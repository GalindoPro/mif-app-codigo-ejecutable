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da2b2627b8da2b2/Desktop/"/>
    </mc:Choice>
  </mc:AlternateContent>
  <xr:revisionPtr revIDLastSave="0" documentId="13_ncr:1_{DD74AFFE-C1DD-4108-9BFA-1BBB63E497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Hoja1!$A$6:$AA$840</definedName>
    <definedName name="SAN_GASPAR_R.L." comment="NOMBRE COMERCIAL DE LA COOPSANGASPAR">Hoja1!$A$2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U52" i="1"/>
  <c r="S423" i="1"/>
  <c r="U9" i="1" l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6" i="1"/>
  <c r="S95" i="1"/>
  <c r="S94" i="1"/>
  <c r="S93" i="1"/>
  <c r="S92" i="1"/>
  <c r="W90" i="1" l="1"/>
  <c r="U10" i="1" l="1"/>
  <c r="U11" i="1" s="1"/>
  <c r="U12" i="1" s="1"/>
  <c r="U13" i="1" l="1"/>
  <c r="U53" i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U503" i="1" s="1"/>
  <c r="U504" i="1" s="1"/>
  <c r="U505" i="1" s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U542" i="1" s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U577" i="1" s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U681" i="1" s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U764" i="1" s="1"/>
  <c r="U765" i="1" s="1"/>
  <c r="U766" i="1" s="1"/>
  <c r="U767" i="1" s="1"/>
  <c r="U768" i="1" s="1"/>
  <c r="U769" i="1" s="1"/>
  <c r="U770" i="1" s="1"/>
  <c r="U771" i="1" s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U815" i="1" s="1"/>
  <c r="U816" i="1" s="1"/>
  <c r="U817" i="1" s="1"/>
  <c r="U818" i="1" s="1"/>
  <c r="U819" i="1" s="1"/>
  <c r="U820" i="1" s="1"/>
  <c r="U821" i="1" s="1"/>
  <c r="U822" i="1" s="1"/>
  <c r="U823" i="1" s="1"/>
  <c r="U824" i="1" s="1"/>
  <c r="U825" i="1" s="1"/>
  <c r="U826" i="1" s="1"/>
  <c r="U827" i="1" s="1"/>
  <c r="U828" i="1" s="1"/>
  <c r="U829" i="1" s="1"/>
  <c r="U830" i="1" s="1"/>
  <c r="U831" i="1" s="1"/>
  <c r="U832" i="1" s="1"/>
  <c r="U833" i="1" s="1"/>
  <c r="U834" i="1" s="1"/>
  <c r="U835" i="1" s="1"/>
  <c r="U836" i="1" s="1"/>
  <c r="U837" i="1" s="1"/>
  <c r="U838" i="1" s="1"/>
  <c r="U839" i="1" s="1"/>
  <c r="U840" i="1" s="1"/>
  <c r="U14" i="1" l="1"/>
  <c r="U15" i="1" s="1"/>
  <c r="U20" i="1" s="1"/>
  <c r="U21" i="1" s="1"/>
  <c r="U22" i="1" s="1"/>
  <c r="U23" i="1" s="1"/>
  <c r="U24" i="1" s="1"/>
  <c r="U25" i="1" s="1"/>
  <c r="U26" i="1" s="1"/>
  <c r="U27" i="1" s="1"/>
  <c r="H4" i="1"/>
  <c r="U28" i="1" l="1"/>
  <c r="U29" i="1" l="1"/>
  <c r="U30" i="1" s="1"/>
  <c r="U31" i="1" s="1"/>
  <c r="U32" i="1" l="1"/>
  <c r="U33" i="1" s="1"/>
  <c r="U34" i="1" s="1"/>
  <c r="U35" i="1" s="1"/>
  <c r="U36" i="1" s="1"/>
  <c r="U37" i="1" s="1"/>
  <c r="U38" i="1" s="1"/>
  <c r="U39" i="1" s="1"/>
  <c r="U40" i="1" s="1"/>
  <c r="V40" i="1" s="1"/>
</calcChain>
</file>

<file path=xl/sharedStrings.xml><?xml version="1.0" encoding="utf-8"?>
<sst xmlns="http://schemas.openxmlformats.org/spreadsheetml/2006/main" count="3309" uniqueCount="1288">
  <si>
    <t xml:space="preserve">NO. CUENTA </t>
  </si>
  <si>
    <t>FECHA DE ENTRADA</t>
  </si>
  <si>
    <t>NOMBRES Y APELLIDOS</t>
  </si>
  <si>
    <t>DATOS DEL ASOCIADO</t>
  </si>
  <si>
    <t>INTERES GENERADO</t>
  </si>
  <si>
    <t>DATOS DEL RETIRO</t>
  </si>
  <si>
    <t>FECHA DE RETIRO</t>
  </si>
  <si>
    <t>RE. No.</t>
  </si>
  <si>
    <t>TASA</t>
  </si>
  <si>
    <t>No. DOC.</t>
  </si>
  <si>
    <t>DOC. IN.</t>
  </si>
  <si>
    <t>ISR RETENCIONES</t>
  </si>
  <si>
    <t>TASA CALCULADA</t>
  </si>
  <si>
    <t>No. CERTIFICACION</t>
  </si>
  <si>
    <t>DATOS DEL AHORRO</t>
  </si>
  <si>
    <t>DEPÓSITO TOTAL</t>
  </si>
  <si>
    <t>SALDO LIQUIDO A PAGAR</t>
  </si>
  <si>
    <r>
      <rPr>
        <b/>
        <sz val="10"/>
        <color theme="0"/>
        <rFont val="Calibri"/>
        <family val="2"/>
        <scheme val="minor"/>
      </rPr>
      <t>CONTRATO</t>
    </r>
    <r>
      <rPr>
        <b/>
        <sz val="8"/>
        <color theme="0"/>
        <rFont val="Calibri"/>
        <family val="2"/>
        <scheme val="minor"/>
      </rPr>
      <t xml:space="preserve"> (MESES)</t>
    </r>
  </si>
  <si>
    <t>PORCENTAJE CALCULADO</t>
  </si>
  <si>
    <t>INGRESO</t>
  </si>
  <si>
    <t>EGRESO</t>
  </si>
  <si>
    <t>FECHA</t>
  </si>
  <si>
    <t xml:space="preserve">CONTROL </t>
  </si>
  <si>
    <t>INTERES NETO</t>
  </si>
  <si>
    <t>SALDO CONTABLE</t>
  </si>
  <si>
    <t>SALDO EN MOVIMIENTO</t>
  </si>
  <si>
    <t>ESTADO DEL EFECTIVO</t>
  </si>
  <si>
    <t>RI</t>
  </si>
  <si>
    <t>N/A</t>
  </si>
  <si>
    <t xml:space="preserve">JUAN GARCIA </t>
  </si>
  <si>
    <t xml:space="preserve">ACTIVO </t>
  </si>
  <si>
    <t xml:space="preserve">JUAN TOMA SAMBRANO </t>
  </si>
  <si>
    <t xml:space="preserve">RI </t>
  </si>
  <si>
    <t>3200-7342</t>
  </si>
  <si>
    <t xml:space="preserve">INGRESOS </t>
  </si>
  <si>
    <t xml:space="preserve">EGRESOS </t>
  </si>
  <si>
    <t>JUANA ANAY</t>
  </si>
  <si>
    <t>IN</t>
  </si>
  <si>
    <t>ACTIVO</t>
  </si>
  <si>
    <t>134-2015</t>
  </si>
  <si>
    <t>146-2015</t>
  </si>
  <si>
    <t>dic.2016</t>
  </si>
  <si>
    <t>PABLO SANCHEZ ESCOBAR</t>
  </si>
  <si>
    <t>4626-0235</t>
  </si>
  <si>
    <t>228-2017</t>
  </si>
  <si>
    <t>PEDRO COC CHAVEZ</t>
  </si>
  <si>
    <t>236-2017</t>
  </si>
  <si>
    <t>FELIPE LAYNEZ DEL BARRIO</t>
  </si>
  <si>
    <t>5187-5794</t>
  </si>
  <si>
    <t>259-2017</t>
  </si>
  <si>
    <t>GASPAR LÓPEZ CABA</t>
  </si>
  <si>
    <t>263-2017</t>
  </si>
  <si>
    <t>4600-5289</t>
  </si>
  <si>
    <t>5163-0779</t>
  </si>
  <si>
    <t>273-2017</t>
  </si>
  <si>
    <t>4551-8313</t>
  </si>
  <si>
    <t>278-2017</t>
  </si>
  <si>
    <t>4057-6159</t>
  </si>
  <si>
    <t>MARIA HÚ MÓ</t>
  </si>
  <si>
    <t>3086-3770</t>
  </si>
  <si>
    <t>281-2017</t>
  </si>
  <si>
    <t>4903-6333</t>
  </si>
  <si>
    <t>234-2017</t>
  </si>
  <si>
    <t>ROSA CRISTINA ANAY ORTEGA</t>
  </si>
  <si>
    <t>4113-4029</t>
  </si>
  <si>
    <t>JUANA ANAY CABA</t>
  </si>
  <si>
    <t>4515-1357</t>
  </si>
  <si>
    <t>402-2017</t>
  </si>
  <si>
    <t>JUAN DIAZ ANAY</t>
  </si>
  <si>
    <t>5551-7289</t>
  </si>
  <si>
    <t>dif</t>
  </si>
  <si>
    <t>dic.2017</t>
  </si>
  <si>
    <t>052-2013</t>
  </si>
  <si>
    <t>FRANCISCO CABA ASICONA</t>
  </si>
  <si>
    <t>408-2017</t>
  </si>
  <si>
    <t>JUANA FAUSTINA RAYUMUNDO</t>
  </si>
  <si>
    <t>427-2018</t>
  </si>
  <si>
    <t>JUAN CARLOS CABA CABA</t>
  </si>
  <si>
    <t>5720-4916</t>
  </si>
  <si>
    <t>0431-2018</t>
  </si>
  <si>
    <t>MARIA CABA XINIC</t>
  </si>
  <si>
    <t>4612-6691</t>
  </si>
  <si>
    <t>433-2018</t>
  </si>
  <si>
    <t>MARIA ESTHER CABA IJOM</t>
  </si>
  <si>
    <t>4601-9527</t>
  </si>
  <si>
    <t>4437-2018</t>
  </si>
  <si>
    <t>MARCELINO VATZ LAYNEZ</t>
  </si>
  <si>
    <t>004-2019</t>
  </si>
  <si>
    <t>PABLO SANCHEZ ECOBAR</t>
  </si>
  <si>
    <t>4464-2018</t>
  </si>
  <si>
    <t>GASPAR DAVID CABA GALLEGO</t>
  </si>
  <si>
    <t>4824-330</t>
  </si>
  <si>
    <t>0453-2018</t>
  </si>
  <si>
    <t>JUANA CABA MENDOZA</t>
  </si>
  <si>
    <t>5764-5321</t>
  </si>
  <si>
    <t>221-2017</t>
  </si>
  <si>
    <t>TEREZA REGINA CHAVEZ</t>
  </si>
  <si>
    <t>5166-6574</t>
  </si>
  <si>
    <t>425-2018</t>
  </si>
  <si>
    <t>JUANA CABA GUZMAN</t>
  </si>
  <si>
    <t>4674-5545</t>
  </si>
  <si>
    <t>460-2018</t>
  </si>
  <si>
    <t xml:space="preserve">ENRIQUE ANTONIO SOLANO CABA </t>
  </si>
  <si>
    <t>5188-9322</t>
  </si>
  <si>
    <t>463-2018</t>
  </si>
  <si>
    <t>TIBURCIO UTUY</t>
  </si>
  <si>
    <t>3116-6686</t>
  </si>
  <si>
    <t>464-2018</t>
  </si>
  <si>
    <t>MARIA MATEO RAMIREZ</t>
  </si>
  <si>
    <t>470-2018</t>
  </si>
  <si>
    <t>MARGARITA ANAY CABA</t>
  </si>
  <si>
    <t>4632-9163</t>
  </si>
  <si>
    <t>317-2108</t>
  </si>
  <si>
    <t>MARIA CATALINA LAYNEZ DEL BARRIO</t>
  </si>
  <si>
    <t>5205-3373</t>
  </si>
  <si>
    <t>0472-2018</t>
  </si>
  <si>
    <t>ANTONIO CABA XINIC</t>
  </si>
  <si>
    <t>3018-1686</t>
  </si>
  <si>
    <t>092-2014</t>
  </si>
  <si>
    <t>3345-6333</t>
  </si>
  <si>
    <t>474-2018</t>
  </si>
  <si>
    <t>JUAN ASICONA HÚ</t>
  </si>
  <si>
    <t>4645-1112</t>
  </si>
  <si>
    <t>337-2018</t>
  </si>
  <si>
    <t>MANUELA CABA ASICONA</t>
  </si>
  <si>
    <t>3010-6125</t>
  </si>
  <si>
    <t>478-2018</t>
  </si>
  <si>
    <t>CARLOS ALBERTO GALLEGO CETO</t>
  </si>
  <si>
    <t>IGLESIA FUENTE DE VIDA</t>
  </si>
  <si>
    <t>3258-8704</t>
  </si>
  <si>
    <t>0045-2012</t>
  </si>
  <si>
    <t>ANA PEREZ SANCHEZ</t>
  </si>
  <si>
    <t>3286-4423</t>
  </si>
  <si>
    <t>0498-2015</t>
  </si>
  <si>
    <t>ANA CABA GALLEGO</t>
  </si>
  <si>
    <t>5882-1888</t>
  </si>
  <si>
    <t>514-2018</t>
  </si>
  <si>
    <t>TEREZA EDUVIGES ZIÑIGA</t>
  </si>
  <si>
    <t>4959-4035</t>
  </si>
  <si>
    <t>MARIA RIVERA HÚ</t>
  </si>
  <si>
    <t>3308-7532</t>
  </si>
  <si>
    <t>513-2018</t>
  </si>
  <si>
    <t>JACINTA SANCHEZ LOPEZ</t>
  </si>
  <si>
    <t>522-2018</t>
  </si>
  <si>
    <t>GASPAR CABA ESCOBAR</t>
  </si>
  <si>
    <t>5805-0261</t>
  </si>
  <si>
    <t>526-2018</t>
  </si>
  <si>
    <t>MIGUEL SÁNCHEZ SÁNCHEZ</t>
  </si>
  <si>
    <t>5307-0278</t>
  </si>
  <si>
    <t>528-2018</t>
  </si>
  <si>
    <t>ROSA ANAY ANAY</t>
  </si>
  <si>
    <t>3210-9397</t>
  </si>
  <si>
    <t>534-2018</t>
  </si>
  <si>
    <t>MADGALENA CRISTINA SÁNCHEZ LAYNEZ</t>
  </si>
  <si>
    <t>5192-1875</t>
  </si>
  <si>
    <t>540-2018</t>
  </si>
  <si>
    <t>JUANA TOMA SAMBRANO</t>
  </si>
  <si>
    <t>3307-2639</t>
  </si>
  <si>
    <t>541-2018</t>
  </si>
  <si>
    <t>SUSANA SAMBRANO RAMOS</t>
  </si>
  <si>
    <t>544-2018</t>
  </si>
  <si>
    <t>FERNANDO RAYMUNDO MENDOZA</t>
  </si>
  <si>
    <t>4963-6546</t>
  </si>
  <si>
    <t>545-2018</t>
  </si>
  <si>
    <t>MARIA MATEO CABA</t>
  </si>
  <si>
    <t>4605-4391</t>
  </si>
  <si>
    <t>546-2018</t>
  </si>
  <si>
    <t>TEREZA CANAY MENDEZ</t>
  </si>
  <si>
    <t>4549-2229</t>
  </si>
  <si>
    <t>548-2015</t>
  </si>
  <si>
    <t>FRANCISCO LAYNEZ LAYNEZ</t>
  </si>
  <si>
    <t>4040-8528</t>
  </si>
  <si>
    <t>557-2018</t>
  </si>
  <si>
    <t>MARGARITA LAYNEZ CHAVEZ</t>
  </si>
  <si>
    <t>5156-4603</t>
  </si>
  <si>
    <t>181-2016</t>
  </si>
  <si>
    <t>PETRONILA SANTA MARIA RAY</t>
  </si>
  <si>
    <t>4680-7859</t>
  </si>
  <si>
    <t>564-2018</t>
  </si>
  <si>
    <t>SERGIO YONATAN CASTRO</t>
  </si>
  <si>
    <t>5773-6807</t>
  </si>
  <si>
    <t>576-2018</t>
  </si>
  <si>
    <t>ANA CABA PEREZ</t>
  </si>
  <si>
    <t>3307-6262</t>
  </si>
  <si>
    <t>577-2018</t>
  </si>
  <si>
    <t>JUANA ASICONA CABA</t>
  </si>
  <si>
    <t>259-</t>
  </si>
  <si>
    <t>5757-6619</t>
  </si>
  <si>
    <t>579-2018</t>
  </si>
  <si>
    <t>ANA VERONICA LOPEZ RIVERA</t>
  </si>
  <si>
    <t>5381-7446</t>
  </si>
  <si>
    <t>395-2017</t>
  </si>
  <si>
    <t>584-2018</t>
  </si>
  <si>
    <t>JUANA PATRICIA CABA GALLEGO</t>
  </si>
  <si>
    <t>4071-5043</t>
  </si>
  <si>
    <t>319--2017</t>
  </si>
  <si>
    <t>GASPAR DEL BARRIO CABA</t>
  </si>
  <si>
    <t>5169-2441</t>
  </si>
  <si>
    <t>596-2018</t>
  </si>
  <si>
    <t>BALTAZAR ASICONA CABA</t>
  </si>
  <si>
    <t>3122-7647</t>
  </si>
  <si>
    <t>197-2017</t>
  </si>
  <si>
    <t>ELENA ESCOBAR LAYNEZ</t>
  </si>
  <si>
    <t>622-2018</t>
  </si>
  <si>
    <t>ROSA HERNANDEZ LAYNEZ</t>
  </si>
  <si>
    <t>5366-2274</t>
  </si>
  <si>
    <t>154-2016</t>
  </si>
  <si>
    <t>DOMINGO CABA IJOM</t>
  </si>
  <si>
    <t>273-</t>
  </si>
  <si>
    <t>ANA RAYMUNDO MENDOZA</t>
  </si>
  <si>
    <t>4541-8313</t>
  </si>
  <si>
    <t>219-2018</t>
  </si>
  <si>
    <t>ANA CABA ASICONA</t>
  </si>
  <si>
    <t>4091-8481</t>
  </si>
  <si>
    <t>4959-4038</t>
  </si>
  <si>
    <t>103-2014</t>
  </si>
  <si>
    <t>SANDRA REBECA CASTRO SICA</t>
  </si>
  <si>
    <t>3265-7425</t>
  </si>
  <si>
    <t>640-2018</t>
  </si>
  <si>
    <t>GASPAR DAVID PACHECO VATZ</t>
  </si>
  <si>
    <t>3145-7183</t>
  </si>
  <si>
    <t>645-2018</t>
  </si>
  <si>
    <t>TEREZA AURELIA CHAVEZ IJOM</t>
  </si>
  <si>
    <t>4910-0101</t>
  </si>
  <si>
    <t>648-2018</t>
  </si>
  <si>
    <t>MARIA RAMIREZ RIVERA</t>
  </si>
  <si>
    <t>4085-2568</t>
  </si>
  <si>
    <t>649-2018</t>
  </si>
  <si>
    <t>ROSA ASICONA CANAY</t>
  </si>
  <si>
    <t>4913-8766</t>
  </si>
  <si>
    <t xml:space="preserve">MANUELA MATEO CABA </t>
  </si>
  <si>
    <t>651-2108</t>
  </si>
  <si>
    <t>JUAN LOPEZ CHIVAZ</t>
  </si>
  <si>
    <t>3163-3807</t>
  </si>
  <si>
    <t>542-2018</t>
  </si>
  <si>
    <t>4646-1478</t>
  </si>
  <si>
    <t>317-2017</t>
  </si>
  <si>
    <t>615-2018</t>
  </si>
  <si>
    <t>CATARINA SANCHEZ CABA</t>
  </si>
  <si>
    <t>663-2018</t>
  </si>
  <si>
    <t>MANUELA ASICONA DEL BARRIO</t>
  </si>
  <si>
    <t>5166-3403</t>
  </si>
  <si>
    <t>280-2017</t>
  </si>
  <si>
    <t>667-2108</t>
  </si>
  <si>
    <t>ANTONIO LAYNEZ CABA</t>
  </si>
  <si>
    <t>5168-4983</t>
  </si>
  <si>
    <t>674-2018</t>
  </si>
  <si>
    <t>ANA GALLEGO ASICONA</t>
  </si>
  <si>
    <t>3081-9098</t>
  </si>
  <si>
    <t>679-2018</t>
  </si>
  <si>
    <t>ROSA REGINA RIVERA CABA</t>
  </si>
  <si>
    <t>4856-5698</t>
  </si>
  <si>
    <t>MARGARITA RIVERA CABA</t>
  </si>
  <si>
    <t>5368-4097</t>
  </si>
  <si>
    <t>694-2018</t>
  </si>
  <si>
    <t>JUANA LOPEZ CABA</t>
  </si>
  <si>
    <t>0387-8844</t>
  </si>
  <si>
    <t>307-2017</t>
  </si>
  <si>
    <t>GASPAR CABA LOPEZ</t>
  </si>
  <si>
    <t>4955-9930</t>
  </si>
  <si>
    <t>699-2018</t>
  </si>
  <si>
    <t>ROSA HERMELINDA MENDOZA L.</t>
  </si>
  <si>
    <t>4689-5804</t>
  </si>
  <si>
    <t>009-2007</t>
  </si>
  <si>
    <t>JUANA LOPEZ LAYNEZ</t>
  </si>
  <si>
    <t>005-2007</t>
  </si>
  <si>
    <t>JUAN ESCOBAR RIVERA</t>
  </si>
  <si>
    <t>4673-8029</t>
  </si>
  <si>
    <t>708-2018</t>
  </si>
  <si>
    <t>MANUELA EMILIA BOP ZUÑIGA</t>
  </si>
  <si>
    <t>4010-7544</t>
  </si>
  <si>
    <t>719-2018</t>
  </si>
  <si>
    <t xml:space="preserve">ANA DEL BARRIO CABA </t>
  </si>
  <si>
    <t>3200-0676</t>
  </si>
  <si>
    <t>00727-2018</t>
  </si>
  <si>
    <t>GASPAR VATZ LAYNEZ</t>
  </si>
  <si>
    <t>4862-9837</t>
  </si>
  <si>
    <t>190-2016</t>
  </si>
  <si>
    <t>TERESA LAYNEZ HÚ</t>
  </si>
  <si>
    <t>4848-4834</t>
  </si>
  <si>
    <t>739-2018</t>
  </si>
  <si>
    <t>ROSA DIAZ HÚ</t>
  </si>
  <si>
    <t>5707-8003</t>
  </si>
  <si>
    <t>165-2016</t>
  </si>
  <si>
    <t>TOMAS SANCHEZ CABA</t>
  </si>
  <si>
    <t>4864-0548</t>
  </si>
  <si>
    <t>662-2018</t>
  </si>
  <si>
    <t>VICENTE LAYNEZ CABA</t>
  </si>
  <si>
    <t>3242-1453</t>
  </si>
  <si>
    <t>391-2017</t>
  </si>
  <si>
    <t>MARIA IJOM GUZMAN</t>
  </si>
  <si>
    <t>5162-7547</t>
  </si>
  <si>
    <t>756-2018</t>
  </si>
  <si>
    <t>GASPAR IJOM SÁNCHEZ</t>
  </si>
  <si>
    <t>4853-8108</t>
  </si>
  <si>
    <t>771-</t>
  </si>
  <si>
    <t>JUANA ESPERANZA CANAY GALINDO</t>
  </si>
  <si>
    <t>3324-1317</t>
  </si>
  <si>
    <t>397-2108</t>
  </si>
  <si>
    <t>785-2018</t>
  </si>
  <si>
    <t>ROSA RAMIREZ MATEO</t>
  </si>
  <si>
    <t>3173-1457</t>
  </si>
  <si>
    <t>787-2018</t>
  </si>
  <si>
    <t>JENNIFER ANA CABA SÁNCHEZ</t>
  </si>
  <si>
    <t>4683-2642</t>
  </si>
  <si>
    <t>808-2019</t>
  </si>
  <si>
    <t>MARIA ASICONA RAMIREZ</t>
  </si>
  <si>
    <t>3119-0129</t>
  </si>
  <si>
    <t>004-2007</t>
  </si>
  <si>
    <t>339-2017</t>
  </si>
  <si>
    <t>AMMY ZAHIRA MARGARITA ESCOBAR</t>
  </si>
  <si>
    <t>219-2017</t>
  </si>
  <si>
    <t>3367-2750</t>
  </si>
  <si>
    <t>437-2018</t>
  </si>
  <si>
    <t>MARCELINO BATZ LAYNEZ</t>
  </si>
  <si>
    <t>815-2019</t>
  </si>
  <si>
    <t>GASPAR ESCOBAR CABA</t>
  </si>
  <si>
    <t>4811-2991</t>
  </si>
  <si>
    <t>818-2019</t>
  </si>
  <si>
    <t>MAGDALENA XINIC RIVERA</t>
  </si>
  <si>
    <t>5804-7164</t>
  </si>
  <si>
    <t>CATARINA CABA LOPEZ</t>
  </si>
  <si>
    <t>831-2019</t>
  </si>
  <si>
    <t>ANA MATEO IJOM</t>
  </si>
  <si>
    <t>3019-7905</t>
  </si>
  <si>
    <t>ANULADO</t>
  </si>
  <si>
    <t xml:space="preserve">JUANA FAUSTINA RAYMUNDO </t>
  </si>
  <si>
    <t>835-2019</t>
  </si>
  <si>
    <t>NILA LAYNEZ ORTEGA</t>
  </si>
  <si>
    <t>4518-7662</t>
  </si>
  <si>
    <t>838-2019</t>
  </si>
  <si>
    <t>MARIA HERMELINDA CABA CABA</t>
  </si>
  <si>
    <t>4876-4521</t>
  </si>
  <si>
    <t>JUAN SANCHEZ ORTEGA</t>
  </si>
  <si>
    <t>4854-05 48</t>
  </si>
  <si>
    <t>4510-6160</t>
  </si>
  <si>
    <t>ACYIVO</t>
  </si>
  <si>
    <t>651-2018</t>
  </si>
  <si>
    <t>JUANA LOPEZ CHIVAZ</t>
  </si>
  <si>
    <t>453-21019</t>
  </si>
  <si>
    <t>843-2019</t>
  </si>
  <si>
    <t>FRANCISCO CABA RAYMUNDO</t>
  </si>
  <si>
    <t>4495-3217</t>
  </si>
  <si>
    <t>189-2106</t>
  </si>
  <si>
    <t>4064-5292</t>
  </si>
  <si>
    <t xml:space="preserve">ANULADO </t>
  </si>
  <si>
    <t>TERESA CANAY MENDEZ</t>
  </si>
  <si>
    <t>5735-3076</t>
  </si>
  <si>
    <t xml:space="preserve">MARGARITA ANAY CABA </t>
  </si>
  <si>
    <t>414-2017</t>
  </si>
  <si>
    <t xml:space="preserve">CATARINA CABA ANAY </t>
  </si>
  <si>
    <t>4536-6247</t>
  </si>
  <si>
    <t xml:space="preserve">MARTIN RAMIREZ ASICONA  </t>
  </si>
  <si>
    <t>AVTICO</t>
  </si>
  <si>
    <t>3055-6365</t>
  </si>
  <si>
    <t>711-2018</t>
  </si>
  <si>
    <t>ANA CARMEN ESCOBAR L.</t>
  </si>
  <si>
    <t>5162-7574</t>
  </si>
  <si>
    <t>858-2019</t>
  </si>
  <si>
    <t>92-2014</t>
  </si>
  <si>
    <t>862-2019</t>
  </si>
  <si>
    <t>JUANA DIAZ GALINDO</t>
  </si>
  <si>
    <t>4894-2483</t>
  </si>
  <si>
    <t>45-2012</t>
  </si>
  <si>
    <t>58-2013</t>
  </si>
  <si>
    <t>MANUELA CRISTINA ASICONA</t>
  </si>
  <si>
    <t>3081-4007</t>
  </si>
  <si>
    <t>MARIA ESTHER IJOM</t>
  </si>
  <si>
    <t>4602-9527</t>
  </si>
  <si>
    <t>872-2019</t>
  </si>
  <si>
    <t>MANUEL CANAY ORTEGA</t>
  </si>
  <si>
    <t>5154-1719</t>
  </si>
  <si>
    <t>874-2019</t>
  </si>
  <si>
    <t>MARIA MATOM BERNAL</t>
  </si>
  <si>
    <t>3331-1840</t>
  </si>
  <si>
    <t>885-2019</t>
  </si>
  <si>
    <t>TERESA CANAY ORTEGA</t>
  </si>
  <si>
    <t>4805-0309</t>
  </si>
  <si>
    <t>MANUEL  CANAY OETEGA</t>
  </si>
  <si>
    <t>887-2019</t>
  </si>
  <si>
    <t>MAGDALENA DIAZ GALINDO</t>
  </si>
  <si>
    <t>4088-7822</t>
  </si>
  <si>
    <t>3374-9789</t>
  </si>
  <si>
    <t>487-2019</t>
  </si>
  <si>
    <t>729-2018</t>
  </si>
  <si>
    <t>MARIA MELISA XINIC MENDOZA</t>
  </si>
  <si>
    <t>5903-0072</t>
  </si>
  <si>
    <t>895-2019</t>
  </si>
  <si>
    <t>MARIA PACHECO MATEO</t>
  </si>
  <si>
    <t>3214-1607</t>
  </si>
  <si>
    <t>897-2019</t>
  </si>
  <si>
    <t>PETRONILA ORTEGA GUZMAN</t>
  </si>
  <si>
    <t>4209-6004</t>
  </si>
  <si>
    <t>334-2017</t>
  </si>
  <si>
    <t>ANA RAMIREZ CABA</t>
  </si>
  <si>
    <t>4949-7830</t>
  </si>
  <si>
    <t>719-2019</t>
  </si>
  <si>
    <t>5163-8165</t>
  </si>
  <si>
    <t>909-2019</t>
  </si>
  <si>
    <t>REBECA ISABEL MATEO DEL BARRIO</t>
  </si>
  <si>
    <t>5781-4086</t>
  </si>
  <si>
    <t>912-2019</t>
  </si>
  <si>
    <t>MARGARITA KARINA ANAY ASICONA</t>
  </si>
  <si>
    <t>3115-9722</t>
  </si>
  <si>
    <t>MAGDALENA CRISTINA SANCHEZ</t>
  </si>
  <si>
    <t>548-2018</t>
  </si>
  <si>
    <t>3033-1627</t>
  </si>
  <si>
    <t>919-2019</t>
  </si>
  <si>
    <t>MANUELA MATEO RIVERA DE IJOM</t>
  </si>
  <si>
    <t>3395-7466</t>
  </si>
  <si>
    <t>926-2019</t>
  </si>
  <si>
    <t>ROSA CABA</t>
  </si>
  <si>
    <t>4527-6183</t>
  </si>
  <si>
    <t>PETRONILA SANTA MARIA M.R</t>
  </si>
  <si>
    <t>927-2019</t>
  </si>
  <si>
    <t>MANUEL PACHECO ASICONA</t>
  </si>
  <si>
    <t>5274-8229</t>
  </si>
  <si>
    <t>5156--4603</t>
  </si>
  <si>
    <t>928-2019</t>
  </si>
  <si>
    <t>MANUELA LAYNEZ IJOM</t>
  </si>
  <si>
    <t>4896-2019</t>
  </si>
  <si>
    <t>268-2017</t>
  </si>
  <si>
    <t>ANA CABA MENDOZA</t>
  </si>
  <si>
    <t>5363-8753</t>
  </si>
  <si>
    <t>GASPAR LOPEZ CABA</t>
  </si>
  <si>
    <t>626-2018</t>
  </si>
  <si>
    <t>JACITA LAYNEZ RAMIREZ</t>
  </si>
  <si>
    <t>4594-0741</t>
  </si>
  <si>
    <t xml:space="preserve">JUANA ASICONA CABA </t>
  </si>
  <si>
    <t>MADGALENA VERONICA CANAY HÚ</t>
  </si>
  <si>
    <t>BALTAZAR PEREZ RAMIREZ</t>
  </si>
  <si>
    <t>REBECA ISABEL MATEO</t>
  </si>
  <si>
    <t>MARCOS LAYNEZ CABA</t>
  </si>
  <si>
    <t>4894-5453</t>
  </si>
  <si>
    <t>4493-9413</t>
  </si>
  <si>
    <t>959-2019</t>
  </si>
  <si>
    <t>ALONSO NUNAL CABA</t>
  </si>
  <si>
    <t>5595-6591</t>
  </si>
  <si>
    <t>ROSA DIAZ HU</t>
  </si>
  <si>
    <t>961 2019</t>
  </si>
  <si>
    <t>JOSE HERNANDEZ MO</t>
  </si>
  <si>
    <t>3285-0899</t>
  </si>
  <si>
    <t>191-2016</t>
  </si>
  <si>
    <t>ROSA BATZ LOPEZ</t>
  </si>
  <si>
    <t>3322-2286</t>
  </si>
  <si>
    <t>967-2019</t>
  </si>
  <si>
    <t>ROSA CECILIA IJOM PEREZ</t>
  </si>
  <si>
    <t>5890-0044</t>
  </si>
  <si>
    <t xml:space="preserve">ELENA CABA CABA </t>
  </si>
  <si>
    <t>3358-8899</t>
  </si>
  <si>
    <t>720-2018</t>
  </si>
  <si>
    <t>SABINA HERNANDEZ PEREZ</t>
  </si>
  <si>
    <t>4082-1728</t>
  </si>
  <si>
    <t>ACTIVCO</t>
  </si>
  <si>
    <t>642-2018</t>
  </si>
  <si>
    <t>MANUELA MARCELINA CABA MATEO</t>
  </si>
  <si>
    <t>3297-1564</t>
  </si>
  <si>
    <t>972-2019</t>
  </si>
  <si>
    <t xml:space="preserve">JACINTO BRITO RAYMUNDO </t>
  </si>
  <si>
    <t>3083-4572</t>
  </si>
  <si>
    <t>522-</t>
  </si>
  <si>
    <t>154- 2016</t>
  </si>
  <si>
    <t>3150-9438</t>
  </si>
  <si>
    <t>981-2019</t>
  </si>
  <si>
    <t>ANA CABA MATEO</t>
  </si>
  <si>
    <t>4677-6955</t>
  </si>
  <si>
    <t>3367-2150</t>
  </si>
  <si>
    <t>884-2019</t>
  </si>
  <si>
    <t>GRICELDA ROSA XINIC SANTIAGO</t>
  </si>
  <si>
    <t>3067-7880</t>
  </si>
  <si>
    <t>987-2019</t>
  </si>
  <si>
    <t>MARTA CABA PACHECO</t>
  </si>
  <si>
    <t>996-2019</t>
  </si>
  <si>
    <t>MARGARITA CABA LAYNEZ</t>
  </si>
  <si>
    <t>997-2019</t>
  </si>
  <si>
    <t>MARIA GALLEGO RAMIREZ</t>
  </si>
  <si>
    <t>3154-0702</t>
  </si>
  <si>
    <t>5578-6591</t>
  </si>
  <si>
    <t>SANDRA REBECA CASTRO SICÁ</t>
  </si>
  <si>
    <t>3123-6918</t>
  </si>
  <si>
    <t>1000-2019</t>
  </si>
  <si>
    <t>ROSA ASICONA ASICONA</t>
  </si>
  <si>
    <t>4539-7339</t>
  </si>
  <si>
    <t>1001-2019</t>
  </si>
  <si>
    <t>IGLESIA EVANGELICA ¨TRINIDAD DE DIOS¨</t>
  </si>
  <si>
    <t>5003-0332</t>
  </si>
  <si>
    <t>1004-2019</t>
  </si>
  <si>
    <t>COOP TICAHJUL TENAM R.L</t>
  </si>
  <si>
    <t>4774-5697</t>
  </si>
  <si>
    <t>663-2019</t>
  </si>
  <si>
    <t xml:space="preserve">MANUELA ASICONA DEL BARRIO </t>
  </si>
  <si>
    <t>738-2018</t>
  </si>
  <si>
    <t>MARIA ANAY CABA</t>
  </si>
  <si>
    <t>3275-4044</t>
  </si>
  <si>
    <t>1008-2019</t>
  </si>
  <si>
    <t>MARGARITA LAYNEZ ESCOBAR</t>
  </si>
  <si>
    <t>3390-0662</t>
  </si>
  <si>
    <t>1011-2019</t>
  </si>
  <si>
    <t>ANA CATALINA PACHECO MATEO</t>
  </si>
  <si>
    <t>1012-2019</t>
  </si>
  <si>
    <t>MARIA CABA PACHECO</t>
  </si>
  <si>
    <t>3171-6297</t>
  </si>
  <si>
    <t>474-</t>
  </si>
  <si>
    <t xml:space="preserve">JUAN ASICONA HÚ </t>
  </si>
  <si>
    <t>1014-2019</t>
  </si>
  <si>
    <t>MARIA DEL CARMEN MÓ RAMIREZ</t>
  </si>
  <si>
    <t>4556-8761</t>
  </si>
  <si>
    <t>1016-2019</t>
  </si>
  <si>
    <t>JUAN ANAY ZUÑIGA</t>
  </si>
  <si>
    <t>5159-8643</t>
  </si>
  <si>
    <t>1017-2019</t>
  </si>
  <si>
    <t>BARTOLOME LAINEZ</t>
  </si>
  <si>
    <t>3300-8301</t>
  </si>
  <si>
    <t>1018-2019</t>
  </si>
  <si>
    <t>MARIA PEREZ</t>
  </si>
  <si>
    <t>4849-5083</t>
  </si>
  <si>
    <t>960-2019</t>
  </si>
  <si>
    <t>JUAN ELIAS ANAY CABA</t>
  </si>
  <si>
    <t>4666-9246</t>
  </si>
  <si>
    <t>858-2018</t>
  </si>
  <si>
    <t>910-2019</t>
  </si>
  <si>
    <t>MARIA LUCRECIA ASICONA GALINDO</t>
  </si>
  <si>
    <t>3357-1747</t>
  </si>
  <si>
    <t>1021-2019</t>
  </si>
  <si>
    <t>ANTONIO LAYNEZ IJOM</t>
  </si>
  <si>
    <t>3371-8102</t>
  </si>
  <si>
    <t>1023-2019</t>
  </si>
  <si>
    <t xml:space="preserve">ROSA AMELIA MATEO ASICONA </t>
  </si>
  <si>
    <t>3339-4380</t>
  </si>
  <si>
    <t>1025-2019</t>
  </si>
  <si>
    <t>MANUEL IJOM CABA</t>
  </si>
  <si>
    <t>5776-0090</t>
  </si>
  <si>
    <t>081-2014</t>
  </si>
  <si>
    <t>MIGUEL ABRAHAM SANTIAGO</t>
  </si>
  <si>
    <t>3175-6909</t>
  </si>
  <si>
    <t>858- 2019</t>
  </si>
  <si>
    <t>3227-7026</t>
  </si>
  <si>
    <t>1034-2019</t>
  </si>
  <si>
    <t>SEBASTIAN ASICONA MENDEZ</t>
  </si>
  <si>
    <t>5523-2419</t>
  </si>
  <si>
    <t>1035-2019</t>
  </si>
  <si>
    <t xml:space="preserve">JUANA CONCEPCION LOPEZ </t>
  </si>
  <si>
    <t>3044-4496</t>
  </si>
  <si>
    <t>1036-2019</t>
  </si>
  <si>
    <t xml:space="preserve">MANUELA XINIC LOPEZ </t>
  </si>
  <si>
    <t>4009-2228</t>
  </si>
  <si>
    <t>953-2019</t>
  </si>
  <si>
    <t xml:space="preserve">AGAPITO MARTINEZ DIAZ </t>
  </si>
  <si>
    <t>4646-9653</t>
  </si>
  <si>
    <t xml:space="preserve">ANA CABA ASICONA </t>
  </si>
  <si>
    <t>542-18</t>
  </si>
  <si>
    <t>JUANA TOMA SAMBIANO</t>
  </si>
  <si>
    <t>4081-9023</t>
  </si>
  <si>
    <t>1052-2019</t>
  </si>
  <si>
    <t>JUANA ANAY ZUÑIGA DE MO</t>
  </si>
  <si>
    <t>5177-5827</t>
  </si>
  <si>
    <t>664-2018</t>
  </si>
  <si>
    <t xml:space="preserve">MARGARITA REGINA MENDOZA </t>
  </si>
  <si>
    <t>5775-5388</t>
  </si>
  <si>
    <t xml:space="preserve">ANA PEREZ SANCHEZ </t>
  </si>
  <si>
    <t xml:space="preserve">JUANA DIAZ GALINDO </t>
  </si>
  <si>
    <t>4894-2283</t>
  </si>
  <si>
    <t>1059-2019</t>
  </si>
  <si>
    <t xml:space="preserve">JOSEFA LAYNEZ CABA </t>
  </si>
  <si>
    <t>4526-8367</t>
  </si>
  <si>
    <t xml:space="preserve">ANA GALLEGO ASICONA </t>
  </si>
  <si>
    <t>353-2017</t>
  </si>
  <si>
    <t xml:space="preserve">CATARINA GOMEZ RAYMUNDO </t>
  </si>
  <si>
    <t>3203-0725</t>
  </si>
  <si>
    <t>1062-2019</t>
  </si>
  <si>
    <t xml:space="preserve">ANA ESCOBAR ASICONA </t>
  </si>
  <si>
    <t>4613-4121</t>
  </si>
  <si>
    <t xml:space="preserve">ALONSO NUNAL CABA </t>
  </si>
  <si>
    <t>4850-8227</t>
  </si>
  <si>
    <t>1069-2019</t>
  </si>
  <si>
    <t xml:space="preserve">CIRIACA SANCHEZ CABRERA </t>
  </si>
  <si>
    <t>4880-7603</t>
  </si>
  <si>
    <t>433-2019</t>
  </si>
  <si>
    <t xml:space="preserve">MARIA ESTER CABA IJOM </t>
  </si>
  <si>
    <t xml:space="preserve">JUANA GALINDO SOLANO </t>
  </si>
  <si>
    <t>3129-6568</t>
  </si>
  <si>
    <t>1071-2019</t>
  </si>
  <si>
    <t xml:space="preserve">ROSA MENDEZ MENDOZA </t>
  </si>
  <si>
    <t>4044-4056</t>
  </si>
  <si>
    <t>345-2017</t>
  </si>
  <si>
    <t xml:space="preserve">JUANA SANCHEZ CABA </t>
  </si>
  <si>
    <t>4796-1688</t>
  </si>
  <si>
    <t xml:space="preserve">AMMY ZAHIRA MARGARITA ESCOBAR </t>
  </si>
  <si>
    <t>685-2018</t>
  </si>
  <si>
    <t xml:space="preserve">MARGARITA RIVERA CABA </t>
  </si>
  <si>
    <t>5195-7957</t>
  </si>
  <si>
    <t>1079-2019</t>
  </si>
  <si>
    <t>3049-6886</t>
  </si>
  <si>
    <t>1080-2019</t>
  </si>
  <si>
    <t xml:space="preserve">ROSA ESCOBAR RAYMUNDO </t>
  </si>
  <si>
    <t>5004-4455</t>
  </si>
  <si>
    <t>1085-2019</t>
  </si>
  <si>
    <t>JACINTA MATILDE DIAZ ANAY</t>
  </si>
  <si>
    <t>4904-0920</t>
  </si>
  <si>
    <t>322-2018</t>
  </si>
  <si>
    <t xml:space="preserve">GASPAR CABA ESCOBAR </t>
  </si>
  <si>
    <t>708-2019</t>
  </si>
  <si>
    <t xml:space="preserve">MANUELA EMILIA BOP ZUÑIGA </t>
  </si>
  <si>
    <t>4944-3455</t>
  </si>
  <si>
    <t xml:space="preserve">1087-2019 </t>
  </si>
  <si>
    <t xml:space="preserve">ROSA LAYNEZ CANAY </t>
  </si>
  <si>
    <t>4676-1121</t>
  </si>
  <si>
    <t>1094-2019</t>
  </si>
  <si>
    <t xml:space="preserve">MARGARITA LEONCIA CHAVEZ IJOM </t>
  </si>
  <si>
    <t>3348-6880</t>
  </si>
  <si>
    <t>418-2017</t>
  </si>
  <si>
    <t xml:space="preserve">MARIA ANASTACIA XINIC CABA </t>
  </si>
  <si>
    <t>4522-9804</t>
  </si>
  <si>
    <t>1102-2019</t>
  </si>
  <si>
    <t xml:space="preserve">MARIA CABA MATEO </t>
  </si>
  <si>
    <t>5770-8040</t>
  </si>
  <si>
    <t>1103-2019</t>
  </si>
  <si>
    <t xml:space="preserve">MARIA AMALIA ASICONA RAMIREZ </t>
  </si>
  <si>
    <t>3257-0980</t>
  </si>
  <si>
    <t xml:space="preserve">SEBASTIAN ASICONA MENDEZ </t>
  </si>
  <si>
    <t>5523-2479</t>
  </si>
  <si>
    <t>1104-2019</t>
  </si>
  <si>
    <t xml:space="preserve">MARIA ASICONA DEL BARRIO </t>
  </si>
  <si>
    <t>4942-4255</t>
  </si>
  <si>
    <t>1901-20166</t>
  </si>
  <si>
    <t xml:space="preserve">TERESA LAINEZ HU </t>
  </si>
  <si>
    <t>3204-6553</t>
  </si>
  <si>
    <t>1105-2019</t>
  </si>
  <si>
    <t xml:space="preserve">MARIA MARLENY PUENTE </t>
  </si>
  <si>
    <t>5720-9974</t>
  </si>
  <si>
    <t>1107-2019</t>
  </si>
  <si>
    <t xml:space="preserve">JUAN LAYNEZ RAMIREZ </t>
  </si>
  <si>
    <t>4888-3988</t>
  </si>
  <si>
    <t>1112-2019</t>
  </si>
  <si>
    <t xml:space="preserve">MAYLIS MARGARITA DAYELIN ANAY </t>
  </si>
  <si>
    <t>1113-2019</t>
  </si>
  <si>
    <t xml:space="preserve">MARIA ASICONA CANAY </t>
  </si>
  <si>
    <t>5374-4140</t>
  </si>
  <si>
    <t xml:space="preserve">1114-2019 </t>
  </si>
  <si>
    <t xml:space="preserve">TERESA VERONICA ASICONA </t>
  </si>
  <si>
    <t>3097-2828</t>
  </si>
  <si>
    <t>280-17</t>
  </si>
  <si>
    <t xml:space="preserve">MARIA HU MO </t>
  </si>
  <si>
    <t xml:space="preserve">MANUEL PACHECO ASICONA </t>
  </si>
  <si>
    <t>5174-8229</t>
  </si>
  <si>
    <t>JUAN GARCIA</t>
  </si>
  <si>
    <t>1121-2019</t>
  </si>
  <si>
    <t xml:space="preserve">TIMOTEO ANTONIO MENDEZ </t>
  </si>
  <si>
    <t>4894-5615</t>
  </si>
  <si>
    <t>1126-2019</t>
  </si>
  <si>
    <t xml:space="preserve">SALVADOR IJOM CABA </t>
  </si>
  <si>
    <t>3702-2559</t>
  </si>
  <si>
    <t>181-2019</t>
  </si>
  <si>
    <t xml:space="preserve">PETRONILA SANTA MARIA MATEO </t>
  </si>
  <si>
    <t>1185-2019</t>
  </si>
  <si>
    <t xml:space="preserve">JACINTA MATILDE DIAZ ANAY </t>
  </si>
  <si>
    <t xml:space="preserve">JUANA LOPEZ CABA </t>
  </si>
  <si>
    <t>3333-2619</t>
  </si>
  <si>
    <t>1133-2019</t>
  </si>
  <si>
    <t xml:space="preserve">JUANA BATZ CABA </t>
  </si>
  <si>
    <t>4562-8059</t>
  </si>
  <si>
    <t>1136-2019</t>
  </si>
  <si>
    <t xml:space="preserve">MANUEL MENDEZ CABA </t>
  </si>
  <si>
    <t>4783-5877</t>
  </si>
  <si>
    <t xml:space="preserve">MARIA IJOM GUZMAN </t>
  </si>
  <si>
    <t>3309-7887</t>
  </si>
  <si>
    <t>4793-5877</t>
  </si>
  <si>
    <t xml:space="preserve">VICENTE LAYNEZ CABA </t>
  </si>
  <si>
    <t>1145-2019</t>
  </si>
  <si>
    <t xml:space="preserve">ANTONIA MATEO CANCAP </t>
  </si>
  <si>
    <t>4937-0019</t>
  </si>
  <si>
    <t>1148-2019</t>
  </si>
  <si>
    <t xml:space="preserve">ISABEL AJANEL </t>
  </si>
  <si>
    <t>3246-4915</t>
  </si>
  <si>
    <t>1072-2019</t>
  </si>
  <si>
    <t xml:space="preserve">MARIA RIVERA PEREZ </t>
  </si>
  <si>
    <t>3119-3331</t>
  </si>
  <si>
    <t>1153-2019</t>
  </si>
  <si>
    <t xml:space="preserve">ANA CANAY PACHECO </t>
  </si>
  <si>
    <t>4825-3730</t>
  </si>
  <si>
    <t>563-2018</t>
  </si>
  <si>
    <t xml:space="preserve">MARIA CECILIA LAYNEZ ASICONA </t>
  </si>
  <si>
    <t>3399-5302</t>
  </si>
  <si>
    <t>1159-2019</t>
  </si>
  <si>
    <t>1160-2019</t>
  </si>
  <si>
    <t xml:space="preserve">MAGDALENA CABA YULA </t>
  </si>
  <si>
    <t>4909-3560</t>
  </si>
  <si>
    <t>189-2016</t>
  </si>
  <si>
    <t xml:space="preserve">JUANA LOPEZ CHIVAZ </t>
  </si>
  <si>
    <t>4064-3292</t>
  </si>
  <si>
    <t xml:space="preserve">N/A </t>
  </si>
  <si>
    <t>457-2018</t>
  </si>
  <si>
    <t>MARIA RIVERA HU</t>
  </si>
  <si>
    <t>4012-6419</t>
  </si>
  <si>
    <t>403-2017</t>
  </si>
  <si>
    <t xml:space="preserve">PETRONILA ESCOBAR VI </t>
  </si>
  <si>
    <t xml:space="preserve">JUANA DIAZ ANAY </t>
  </si>
  <si>
    <t>1165-2019</t>
  </si>
  <si>
    <t xml:space="preserve">HEYDI MARILY CABA CALEL </t>
  </si>
  <si>
    <t>4985-8373</t>
  </si>
  <si>
    <t>1166-2019</t>
  </si>
  <si>
    <t xml:space="preserve">ROSA CABA ESCOBAR DE HERRERA </t>
  </si>
  <si>
    <t>4823-6237</t>
  </si>
  <si>
    <t>4028-1728</t>
  </si>
  <si>
    <t>1172-2019</t>
  </si>
  <si>
    <t xml:space="preserve">ANA ANAY ASICONA DE ASICONA </t>
  </si>
  <si>
    <t>5333-9714</t>
  </si>
  <si>
    <t>1177-2019</t>
  </si>
  <si>
    <t xml:space="preserve">MARIA MARGARITA PEREZ SANTIAGO </t>
  </si>
  <si>
    <t>3003-3657</t>
  </si>
  <si>
    <t>1179-2019</t>
  </si>
  <si>
    <t xml:space="preserve">CONCEPCION ARCEMIO RIVERA MO </t>
  </si>
  <si>
    <t>4590-4242</t>
  </si>
  <si>
    <t>1182-2019</t>
  </si>
  <si>
    <t xml:space="preserve">MARIA JUDIT LAYNEZ ASICONA </t>
  </si>
  <si>
    <t>5734-3755</t>
  </si>
  <si>
    <t>1183-2019</t>
  </si>
  <si>
    <t xml:space="preserve">KRISTEL GREGORIA YADIRA XINIC </t>
  </si>
  <si>
    <t>4599-3770</t>
  </si>
  <si>
    <t xml:space="preserve">ROSA GALLEGO IJOM </t>
  </si>
  <si>
    <t>4521-3228</t>
  </si>
  <si>
    <t>395-2019</t>
  </si>
  <si>
    <t>59-2013</t>
  </si>
  <si>
    <t xml:space="preserve">MANUELA CRISTINA ASICONA </t>
  </si>
  <si>
    <t>1188-2019</t>
  </si>
  <si>
    <t xml:space="preserve">FELIPE PEDRO MARCOS GALLEGO </t>
  </si>
  <si>
    <t>5000-1427</t>
  </si>
  <si>
    <t>1189-2020</t>
  </si>
  <si>
    <t xml:space="preserve">ANA ANAY  ORTEGA </t>
  </si>
  <si>
    <t>4942-1025</t>
  </si>
  <si>
    <t xml:space="preserve">GASPAR IJOM SANCHEZ </t>
  </si>
  <si>
    <t xml:space="preserve">ROSA BATZ LOPEZ </t>
  </si>
  <si>
    <t>5207-3144</t>
  </si>
  <si>
    <t>1193-2020</t>
  </si>
  <si>
    <t xml:space="preserve">MATEO LAYNEZ CABA </t>
  </si>
  <si>
    <t>5054-2224</t>
  </si>
  <si>
    <t>1195-2020</t>
  </si>
  <si>
    <t xml:space="preserve">JUANA ASICONA HERNANDEZ </t>
  </si>
  <si>
    <t>5374-4127</t>
  </si>
  <si>
    <t>3389-7785</t>
  </si>
  <si>
    <t>89-2014</t>
  </si>
  <si>
    <t xml:space="preserve">MARCOS LAYNEZ CABA </t>
  </si>
  <si>
    <t xml:space="preserve">ROSA DIAZ HU </t>
  </si>
  <si>
    <t>3267-7987</t>
  </si>
  <si>
    <t>1196-2020</t>
  </si>
  <si>
    <t xml:space="preserve">MARGARITA HU HU </t>
  </si>
  <si>
    <t>4801-0590</t>
  </si>
  <si>
    <t xml:space="preserve">PABLO SANCHEZ ESCOBAR </t>
  </si>
  <si>
    <t xml:space="preserve">MARIA RAMIREZ RIVERA </t>
  </si>
  <si>
    <t>4501-2224</t>
  </si>
  <si>
    <t>290-2017</t>
  </si>
  <si>
    <t xml:space="preserve">JOSE EDGAR DIAZ ASICONA </t>
  </si>
  <si>
    <t>4903-3057</t>
  </si>
  <si>
    <t>397-2018</t>
  </si>
  <si>
    <t xml:space="preserve">JUANA ANAY CABA </t>
  </si>
  <si>
    <t>398-2019</t>
  </si>
  <si>
    <t xml:space="preserve">GASPAR ESCOBAR CABA </t>
  </si>
  <si>
    <t>492-2018</t>
  </si>
  <si>
    <t xml:space="preserve">FRANCISCO  CABA CABA </t>
  </si>
  <si>
    <t>3031-4390</t>
  </si>
  <si>
    <t>137-2018</t>
  </si>
  <si>
    <t xml:space="preserve">MARCELINO BATZ LAYNEZ </t>
  </si>
  <si>
    <t>21-2007</t>
  </si>
  <si>
    <t xml:space="preserve">PAULINO SANTIAGO RAYMUNDO </t>
  </si>
  <si>
    <t>4621-3116</t>
  </si>
  <si>
    <t>1211-2020</t>
  </si>
  <si>
    <t xml:space="preserve">ANTONIO HU RIVERA </t>
  </si>
  <si>
    <t>3327-2542</t>
  </si>
  <si>
    <t>1212-2020</t>
  </si>
  <si>
    <t xml:space="preserve">CIPRIANO BOP PEREZ </t>
  </si>
  <si>
    <t>1216-2020</t>
  </si>
  <si>
    <t xml:space="preserve">MAGDALENA MENDOZA RIVERA </t>
  </si>
  <si>
    <t>4784-1169</t>
  </si>
  <si>
    <t>202-2016</t>
  </si>
  <si>
    <t xml:space="preserve">MARGARITA PATRICIA PACHECO </t>
  </si>
  <si>
    <t>5455-669</t>
  </si>
  <si>
    <t>1217-2020</t>
  </si>
  <si>
    <t>5165-9267</t>
  </si>
  <si>
    <t>445-2018</t>
  </si>
  <si>
    <t xml:space="preserve">JUAN CARLOS CABA CABA </t>
  </si>
  <si>
    <t>369-2017</t>
  </si>
  <si>
    <t xml:space="preserve">MARIA EMACULADA ASICONA </t>
  </si>
  <si>
    <t>3399-1020</t>
  </si>
  <si>
    <t xml:space="preserve">MANUEL IJOM CABA </t>
  </si>
  <si>
    <t>423-2018</t>
  </si>
  <si>
    <t xml:space="preserve">JUANA CABA MENDOZA </t>
  </si>
  <si>
    <t>81-2014</t>
  </si>
  <si>
    <t xml:space="preserve">MIGUEL ABRAHAM SANTIAGO </t>
  </si>
  <si>
    <t>3175-6809</t>
  </si>
  <si>
    <t>1253-2020</t>
  </si>
  <si>
    <t xml:space="preserve">CATARINA PACHECO CABA </t>
  </si>
  <si>
    <t>4535-1198</t>
  </si>
  <si>
    <t>1255-2020</t>
  </si>
  <si>
    <t xml:space="preserve">PEDRO NOE BRITO HERMOSO </t>
  </si>
  <si>
    <t>5806-1764</t>
  </si>
  <si>
    <t xml:space="preserve">ENRIQUE ANTONIO SOLANO </t>
  </si>
  <si>
    <t>5523-2179</t>
  </si>
  <si>
    <t>531-2018</t>
  </si>
  <si>
    <t xml:space="preserve">JUANA CETO GONZALES </t>
  </si>
  <si>
    <t>5703-1894</t>
  </si>
  <si>
    <t>848-2019</t>
  </si>
  <si>
    <t xml:space="preserve">MARTIN RAMIREZ ASICONA </t>
  </si>
  <si>
    <t>1264-2020</t>
  </si>
  <si>
    <t xml:space="preserve">ROSA ESCOBAR LAYNEZ </t>
  </si>
  <si>
    <t>3153-4464</t>
  </si>
  <si>
    <t xml:space="preserve">MARGARITA LAYNEZ ESCOBAR </t>
  </si>
  <si>
    <t>1266-2020</t>
  </si>
  <si>
    <t xml:space="preserve">PEDRO IJOM CABA </t>
  </si>
  <si>
    <t>4022-8798</t>
  </si>
  <si>
    <t>1274-2020</t>
  </si>
  <si>
    <t xml:space="preserve">AGUSTIN LAYNEZ SANCHEZ </t>
  </si>
  <si>
    <t>4849-5093</t>
  </si>
  <si>
    <t>877-2019</t>
  </si>
  <si>
    <t xml:space="preserve">JUAN MATEO SANTIAGO </t>
  </si>
  <si>
    <t>4681-0679</t>
  </si>
  <si>
    <t xml:space="preserve">MARIA HERMELINDA CABA CABA </t>
  </si>
  <si>
    <t>1286-2020</t>
  </si>
  <si>
    <t xml:space="preserve">ANA ROSENDA ANAY RAYMUNDO </t>
  </si>
  <si>
    <t>3317-9600</t>
  </si>
  <si>
    <t>930-2019</t>
  </si>
  <si>
    <t xml:space="preserve">ROSA SANTIAGO BATZ </t>
  </si>
  <si>
    <t>4563-8378</t>
  </si>
  <si>
    <t>975-2019</t>
  </si>
  <si>
    <t>1289-2020</t>
  </si>
  <si>
    <t>1290-2020</t>
  </si>
  <si>
    <t xml:space="preserve">JACINTA ASICONA RIVERA </t>
  </si>
  <si>
    <t>5313-3934</t>
  </si>
  <si>
    <t xml:space="preserve">DAMIANA MATEO RIVERA </t>
  </si>
  <si>
    <t>4004-4101</t>
  </si>
  <si>
    <t>1296-2020</t>
  </si>
  <si>
    <t xml:space="preserve">TOMAS PACHECO RIVERA </t>
  </si>
  <si>
    <t>3320-0174</t>
  </si>
  <si>
    <t>568-2018</t>
  </si>
  <si>
    <t xml:space="preserve">JUANA LAYNEZ CABA </t>
  </si>
  <si>
    <t>1297-2020</t>
  </si>
  <si>
    <t xml:space="preserve">HECTOR ELIAS UTUY AJANEL </t>
  </si>
  <si>
    <t>5163-2005</t>
  </si>
  <si>
    <t>1307-2020</t>
  </si>
  <si>
    <t xml:space="preserve">ROSA ELVIRA VI MENDEZ </t>
  </si>
  <si>
    <t>3141-3036</t>
  </si>
  <si>
    <t>78-2014</t>
  </si>
  <si>
    <t xml:space="preserve">DANIEL MANUEL PACHECO </t>
  </si>
  <si>
    <t>4859-2988</t>
  </si>
  <si>
    <t xml:space="preserve">ROSA CRISTINA ANAY ORTEGA </t>
  </si>
  <si>
    <t>1312-2020</t>
  </si>
  <si>
    <t xml:space="preserve">PABLO ELIAS ASICONA ASICONA </t>
  </si>
  <si>
    <t>5840-5942</t>
  </si>
  <si>
    <t>945-2020</t>
  </si>
  <si>
    <t xml:space="preserve">MAGDALENA VERONICA CANAY </t>
  </si>
  <si>
    <t>5320-0603</t>
  </si>
  <si>
    <t>146-15</t>
  </si>
  <si>
    <t>1316-2020</t>
  </si>
  <si>
    <t xml:space="preserve">ROSA ARACELI GALINDO IJOM </t>
  </si>
  <si>
    <t>4679-5902</t>
  </si>
  <si>
    <t xml:space="preserve">MARIA ESTHER CABA IJOM </t>
  </si>
  <si>
    <t xml:space="preserve">MANUEL CANAY ORTEGA </t>
  </si>
  <si>
    <t>623-2018</t>
  </si>
  <si>
    <t xml:space="preserve">MANUELA ESPERANZA MENDOZA </t>
  </si>
  <si>
    <t>4614-9626</t>
  </si>
  <si>
    <t>521-2018</t>
  </si>
  <si>
    <t xml:space="preserve">PEDRO VENANCIO CABA IJOM </t>
  </si>
  <si>
    <t>4754-5342</t>
  </si>
  <si>
    <t>1331-2020</t>
  </si>
  <si>
    <t xml:space="preserve">ROSA MATEO SANTIAGO </t>
  </si>
  <si>
    <t>4644-9555</t>
  </si>
  <si>
    <t xml:space="preserve">FELIPE LAYNEZ DEL BARRIO </t>
  </si>
  <si>
    <t>1335-2020</t>
  </si>
  <si>
    <t xml:space="preserve">JOSE GUZMAN RAMIREZ </t>
  </si>
  <si>
    <t>4001-6726</t>
  </si>
  <si>
    <t>1337-2020</t>
  </si>
  <si>
    <t xml:space="preserve">MAGDALENA MISHEL SANCHEZ </t>
  </si>
  <si>
    <t>4002-4559</t>
  </si>
  <si>
    <t>4526-6247</t>
  </si>
  <si>
    <t>471-2018</t>
  </si>
  <si>
    <t xml:space="preserve">ROSA SANCHEZ ANAY </t>
  </si>
  <si>
    <t>3022-8177</t>
  </si>
  <si>
    <t>1401-2020</t>
  </si>
  <si>
    <t xml:space="preserve">MANUELA CABA ESCOBAR </t>
  </si>
  <si>
    <t>1402-2020</t>
  </si>
  <si>
    <t xml:space="preserve">ANA BETSAIDA LAYNEZ CABA </t>
  </si>
  <si>
    <t>4535-9266</t>
  </si>
  <si>
    <t>912-19</t>
  </si>
  <si>
    <t xml:space="preserve">MARGARITA KARINA ANAY ASICONA </t>
  </si>
  <si>
    <t>3705-0190</t>
  </si>
  <si>
    <t>1346-2020</t>
  </si>
  <si>
    <t>ANA LOPEZ MATEO DE DEL BARRIO</t>
  </si>
  <si>
    <t>3144-2828</t>
  </si>
  <si>
    <t xml:space="preserve">MARIA MATEO CABA </t>
  </si>
  <si>
    <t>5736-8237</t>
  </si>
  <si>
    <t xml:space="preserve">ANA CANAY LOPEZ </t>
  </si>
  <si>
    <t>5047-6509</t>
  </si>
  <si>
    <t xml:space="preserve">MAGDALENA CRISTINA SANCHEZ LAYNEZ </t>
  </si>
  <si>
    <t xml:space="preserve">REBECA ISABEL MATEO </t>
  </si>
  <si>
    <t>3223-6113</t>
  </si>
  <si>
    <t xml:space="preserve">MARGARITA CABA MATEO </t>
  </si>
  <si>
    <t>4581-6802</t>
  </si>
  <si>
    <t xml:space="preserve">MANUELA MATEO RIVERA </t>
  </si>
  <si>
    <t xml:space="preserve">ROSA MARIA CABA LAYNEZ </t>
  </si>
  <si>
    <t>5174-8729</t>
  </si>
  <si>
    <t xml:space="preserve">ROSA LAYNEZ DIAZ </t>
  </si>
  <si>
    <t>4915-3814</t>
  </si>
  <si>
    <t>MARIA ASICONA DEL BARRIO</t>
  </si>
  <si>
    <t xml:space="preserve">MANUELA LAYNEZ IJOM </t>
  </si>
  <si>
    <t>4869-7709</t>
  </si>
  <si>
    <t xml:space="preserve">ANA CABA MENDOZA </t>
  </si>
  <si>
    <t>3235-8309</t>
  </si>
  <si>
    <t>3263-7741</t>
  </si>
  <si>
    <t xml:space="preserve">FRANCISCO ADRIAN LAYNEZ ANAY </t>
  </si>
  <si>
    <t>3207-6278</t>
  </si>
  <si>
    <t xml:space="preserve">GASPAR LOPEZ CABA </t>
  </si>
  <si>
    <t xml:space="preserve">ROSA INMACULADA IJOM CANAY </t>
  </si>
  <si>
    <t>3255-3218</t>
  </si>
  <si>
    <t xml:space="preserve">JUANA PATRICIA CABA GALLEGO </t>
  </si>
  <si>
    <t>3377-8696</t>
  </si>
  <si>
    <t xml:space="preserve">IGLESIA FUENTE DE VIDA </t>
  </si>
  <si>
    <t xml:space="preserve">ANA CANAY ORTEGA </t>
  </si>
  <si>
    <t>4503-9285</t>
  </si>
  <si>
    <t xml:space="preserve">MARIA MELISA XINIC MENDOZA </t>
  </si>
  <si>
    <t xml:space="preserve">EDILMA MARGARITA HERNANDEZ IJOM </t>
  </si>
  <si>
    <t>4457-3116</t>
  </si>
  <si>
    <t>3084-5439</t>
  </si>
  <si>
    <t xml:space="preserve">BALTAZAR PEREZ SANCHEZ </t>
  </si>
  <si>
    <t>3208-0165</t>
  </si>
  <si>
    <t xml:space="preserve">CATARINA CABA LOPEZ </t>
  </si>
  <si>
    <t xml:space="preserve">ANA MENDOZA ESCOBAR </t>
  </si>
  <si>
    <t>4781-7785</t>
  </si>
  <si>
    <t xml:space="preserve">ROSA RAQUEL MENDOZA MENDOZA </t>
  </si>
  <si>
    <t>4992-1000</t>
  </si>
  <si>
    <t xml:space="preserve">TEREZA CANAY MENDEZ </t>
  </si>
  <si>
    <t>4554-2460</t>
  </si>
  <si>
    <t xml:space="preserve">ELENA IJOM CABA DE CANAY </t>
  </si>
  <si>
    <t>4691-2936</t>
  </si>
  <si>
    <t xml:space="preserve">MARIA RIVERA HU </t>
  </si>
  <si>
    <t>3274-5393</t>
  </si>
  <si>
    <t xml:space="preserve">ELENA ESCOBAR LAYNEZ </t>
  </si>
  <si>
    <t xml:space="preserve">MARGARITA LAYNEZ CHAVEZ </t>
  </si>
  <si>
    <t xml:space="preserve">MARGARITA CABA GUZMAN </t>
  </si>
  <si>
    <t>5190-3680</t>
  </si>
  <si>
    <t xml:space="preserve">FRANCISCO RAMIREZ LAYNEZ </t>
  </si>
  <si>
    <t>5350-6353</t>
  </si>
  <si>
    <t xml:space="preserve">JUANA SANCHEZ ORTEGA </t>
  </si>
  <si>
    <t>4854-0548</t>
  </si>
  <si>
    <t xml:space="preserve">MARGARITA CRISTINA MENDOZA CABA </t>
  </si>
  <si>
    <t>5037-5909</t>
  </si>
  <si>
    <t xml:space="preserve">ANA RIVERA ASICONA DE MENDOZA </t>
  </si>
  <si>
    <t>4076-2754</t>
  </si>
  <si>
    <t xml:space="preserve">MELCHOR ASICONA CABA </t>
  </si>
  <si>
    <t>4803-5848</t>
  </si>
  <si>
    <t xml:space="preserve">ANA KARINA CABA MENDOZA </t>
  </si>
  <si>
    <t>4074-9178</t>
  </si>
  <si>
    <t xml:space="preserve">MANUEL ASICONA RIVERA </t>
  </si>
  <si>
    <t>3220-7815</t>
  </si>
  <si>
    <t xml:space="preserve">DOMINGO CABA IJOM </t>
  </si>
  <si>
    <t xml:space="preserve">ANA RAYMUNDO MENDOZA </t>
  </si>
  <si>
    <t xml:space="preserve">MARIA PEREZ ESCOBAR </t>
  </si>
  <si>
    <t>4601-2490</t>
  </si>
  <si>
    <t>4597-7021</t>
  </si>
  <si>
    <t>3283-6466</t>
  </si>
  <si>
    <t xml:space="preserve">ANA CRISTINA SANCHEZ CABA </t>
  </si>
  <si>
    <t>5374-7468</t>
  </si>
  <si>
    <t xml:space="preserve">MARIA MARLENY PUENTE ASICONA </t>
  </si>
  <si>
    <t xml:space="preserve">JUANA ANAY ZUÑIGA </t>
  </si>
  <si>
    <t xml:space="preserve">MANUELA CLAUDIA LAYNEZ ANAY </t>
  </si>
  <si>
    <t>3291-8588</t>
  </si>
  <si>
    <t xml:space="preserve">TERESA ZUÑIGA CANAY </t>
  </si>
  <si>
    <t xml:space="preserve">MARGARITA BATZ CANAY </t>
  </si>
  <si>
    <t>3298-5667</t>
  </si>
  <si>
    <t xml:space="preserve">GASPAR ASICONA CABA </t>
  </si>
  <si>
    <t>5729-5806</t>
  </si>
  <si>
    <t xml:space="preserve">MARIA PACHECO PACHECO DE ESCOBAR </t>
  </si>
  <si>
    <t>3366-9493</t>
  </si>
  <si>
    <t xml:space="preserve">ANA CABA MATEO </t>
  </si>
  <si>
    <t xml:space="preserve">JUANA IJOM SANCHEZ </t>
  </si>
  <si>
    <t>4687-9967</t>
  </si>
  <si>
    <t xml:space="preserve">MARIA NATALIA HU CABA DE PEREZ </t>
  </si>
  <si>
    <t>4035-2523</t>
  </si>
  <si>
    <t xml:space="preserve">ROSA CABA RAMIREZ </t>
  </si>
  <si>
    <t>4047-7810</t>
  </si>
  <si>
    <t xml:space="preserve">MARGARITA CABA LAYNEZ </t>
  </si>
  <si>
    <t>5902-5355</t>
  </si>
  <si>
    <t xml:space="preserve">MARIA IJOM ASICONA </t>
  </si>
  <si>
    <t xml:space="preserve">MARIA GALLEGO MENDOZA </t>
  </si>
  <si>
    <t>5751-8331</t>
  </si>
  <si>
    <t xml:space="preserve">PEDRO LAYNEZ BOP </t>
  </si>
  <si>
    <t xml:space="preserve">DOMINGO LEONARADO LAYNEZ LOPEZ </t>
  </si>
  <si>
    <t>4595-2827</t>
  </si>
  <si>
    <t xml:space="preserve">DOMINGO WALTER VI CABA </t>
  </si>
  <si>
    <t>5725-6913</t>
  </si>
  <si>
    <t xml:space="preserve">MARIA GALLEGO RAMIREZ </t>
  </si>
  <si>
    <t>5325-6611</t>
  </si>
  <si>
    <t xml:space="preserve">MARIA GUADALUPE RAYMUNDO MENDOZA </t>
  </si>
  <si>
    <t>4859-4237</t>
  </si>
  <si>
    <t xml:space="preserve">CATARINA CABA RAMIREZ DE LAYNEZ </t>
  </si>
  <si>
    <t>4671-4736</t>
  </si>
  <si>
    <t xml:space="preserve">ROSA PACHECO HU </t>
  </si>
  <si>
    <t>4674-2186</t>
  </si>
  <si>
    <t xml:space="preserve">MANUELA RAYMUNDO CABA </t>
  </si>
  <si>
    <t xml:space="preserve">MATEO ABELARDO MO ASICONA </t>
  </si>
  <si>
    <t>4551-14360</t>
  </si>
  <si>
    <t xml:space="preserve">SANDRA REBECA CASTRO SICA </t>
  </si>
  <si>
    <t xml:space="preserve">GASPAR EDWIN TELIZ MENDOZA </t>
  </si>
  <si>
    <t>3021-5847</t>
  </si>
  <si>
    <t xml:space="preserve">ANA MATEO RIVERA </t>
  </si>
  <si>
    <t>4546-8325</t>
  </si>
  <si>
    <t xml:space="preserve">SEBASTIAN CABA CABA </t>
  </si>
  <si>
    <t>4042-9273</t>
  </si>
  <si>
    <t xml:space="preserve">ELENA HAIDEE MO ASICONA </t>
  </si>
  <si>
    <t>4551-1460</t>
  </si>
  <si>
    <t xml:space="preserve">MARIA ANAY CABA </t>
  </si>
  <si>
    <t xml:space="preserve">MARIA CABA PACHECO </t>
  </si>
  <si>
    <t xml:space="preserve">ROSA SUSANA IJOM CHAVEZ </t>
  </si>
  <si>
    <t>3120-0091</t>
  </si>
  <si>
    <t xml:space="preserve">DOMINGO RAYMUNDO PACHECO </t>
  </si>
  <si>
    <t>4780-1707</t>
  </si>
  <si>
    <t xml:space="preserve">ANA ASICONA RAMIREZ </t>
  </si>
  <si>
    <t>3258-8546</t>
  </si>
  <si>
    <t xml:space="preserve">BARTOLOME LAINEZ </t>
  </si>
  <si>
    <t>3745-0606</t>
  </si>
  <si>
    <t xml:space="preserve">MAGDALENA DIAZ GALINDO </t>
  </si>
  <si>
    <t xml:space="preserve">JUAN ASICONA MENDOZA </t>
  </si>
  <si>
    <t>3274-4374</t>
  </si>
  <si>
    <t xml:space="preserve">ROSA CECILIA IJOM PEREZ </t>
  </si>
  <si>
    <t>4643-3942</t>
  </si>
  <si>
    <t>5173-6682</t>
  </si>
  <si>
    <t xml:space="preserve">AMADA MANUELA RIVERA MATEO </t>
  </si>
  <si>
    <t>4035-2111</t>
  </si>
  <si>
    <t xml:space="preserve">JUANA DEYSI CANAY IJOM </t>
  </si>
  <si>
    <t>3283-9829</t>
  </si>
  <si>
    <t xml:space="preserve">MIGUEL ABRAHAM SANTIAGO CABA </t>
  </si>
  <si>
    <t xml:space="preserve">ANA CRISTINA IJOM SANCHEZ </t>
  </si>
  <si>
    <t>5723-5610</t>
  </si>
  <si>
    <t xml:space="preserve">MANUELA BEATRIZ RIVERA SANCHEZ </t>
  </si>
  <si>
    <t xml:space="preserve">MAGDALENA CABA DIAZ </t>
  </si>
  <si>
    <t>3160-5648</t>
  </si>
  <si>
    <t xml:space="preserve">JOSE OSWALDO ASICONA CABA </t>
  </si>
  <si>
    <t>4982-4583</t>
  </si>
  <si>
    <t xml:space="preserve">JACINTA LAYNEZ RAMIREZ </t>
  </si>
  <si>
    <t xml:space="preserve">DIEGO PUENTE IJOM </t>
  </si>
  <si>
    <t>3734-7168</t>
  </si>
  <si>
    <t xml:space="preserve">MARIA DEL CARMEN MO RAMIREZ </t>
  </si>
  <si>
    <t>4880-5559</t>
  </si>
  <si>
    <t xml:space="preserve">NILA LAYNEZ ORTEGA </t>
  </si>
  <si>
    <t>4571-8336</t>
  </si>
  <si>
    <t xml:space="preserve">ROSA ASICONA ASICONA </t>
  </si>
  <si>
    <t xml:space="preserve">JUANA LORENY GALINDO MATEO </t>
  </si>
  <si>
    <t>3749-8584</t>
  </si>
  <si>
    <t xml:space="preserve">ALONZO NUNAL NUNAL </t>
  </si>
  <si>
    <t>MARIA ANGELA LAYNEZ LAYNEZ</t>
  </si>
  <si>
    <t>3607-6555</t>
  </si>
  <si>
    <t>4646-9553</t>
  </si>
  <si>
    <t xml:space="preserve">PEDRO MENDOZA CHIVAZ </t>
  </si>
  <si>
    <t>5165-9366</t>
  </si>
  <si>
    <t xml:space="preserve">CATARINA LAYNEZ RAMIREZ </t>
  </si>
  <si>
    <t>5771-3111</t>
  </si>
  <si>
    <t xml:space="preserve">BALTAZAR CABA RIVERA </t>
  </si>
  <si>
    <t>3277-6304</t>
  </si>
  <si>
    <t xml:space="preserve">JUANA CONCEPCION LAYNEZ CABA </t>
  </si>
  <si>
    <t xml:space="preserve">TEREZA ANAY CABA </t>
  </si>
  <si>
    <t>3312-1646</t>
  </si>
  <si>
    <t xml:space="preserve">JUANA SANCHEZ BATZ </t>
  </si>
  <si>
    <t>3398-5665</t>
  </si>
  <si>
    <t xml:space="preserve">MATEO IJOM CABA </t>
  </si>
  <si>
    <t>5165-3435</t>
  </si>
  <si>
    <t xml:space="preserve">MARGARITA PACHECO ASICONA </t>
  </si>
  <si>
    <t>4673-7130</t>
  </si>
  <si>
    <t xml:space="preserve">JUAN ASICONA HU </t>
  </si>
  <si>
    <t>4068-5980</t>
  </si>
  <si>
    <t xml:space="preserve">JUAN ANAY ZUÑIGA </t>
  </si>
  <si>
    <t>5159-8693</t>
  </si>
  <si>
    <t>4681-0674</t>
  </si>
  <si>
    <t>3298-5665</t>
  </si>
  <si>
    <t xml:space="preserve">MARIA DOMINGA MATEO BOP </t>
  </si>
  <si>
    <t>5169-0855</t>
  </si>
  <si>
    <t>MARIA MATEO BOP</t>
  </si>
  <si>
    <t>3225-7960</t>
  </si>
  <si>
    <t xml:space="preserve">PEDRO MENDOZA RIVERA </t>
  </si>
  <si>
    <t>4786-1439</t>
  </si>
  <si>
    <t xml:space="preserve">ANA BERNAL HERMOSO </t>
  </si>
  <si>
    <t>4106-5758</t>
  </si>
  <si>
    <t xml:space="preserve">JUANA MARICELA RIVERA ZUÑIGA </t>
  </si>
  <si>
    <t>4158-6263</t>
  </si>
  <si>
    <t xml:space="preserve">PEDRO XINIC PACHECO </t>
  </si>
  <si>
    <t>5043-3435</t>
  </si>
  <si>
    <t xml:space="preserve">ANA PEREZ SANTIAGO </t>
  </si>
  <si>
    <t xml:space="preserve">MARIA LAYNEZ ANAY DE GUZMAN </t>
  </si>
  <si>
    <t>3092-1031</t>
  </si>
  <si>
    <t>4542-1413</t>
  </si>
  <si>
    <t xml:space="preserve">DIEGO ANAY </t>
  </si>
  <si>
    <t>4872-9584</t>
  </si>
  <si>
    <t xml:space="preserve">ANA PACHECO CABA </t>
  </si>
  <si>
    <t>JUANA AURELIA ANAY ZUÑIGA</t>
  </si>
  <si>
    <t>3232-6745</t>
  </si>
  <si>
    <t xml:space="preserve">PETRONILA PEREZ CANAY </t>
  </si>
  <si>
    <t>3671-4922</t>
  </si>
  <si>
    <t xml:space="preserve">IGNACIO ANSELMO CABA GALLEGO </t>
  </si>
  <si>
    <t>4812-2927</t>
  </si>
  <si>
    <t>4075-4047</t>
  </si>
  <si>
    <t xml:space="preserve">ANA ESCOBAR ASICONA DEL BARRIO </t>
  </si>
  <si>
    <t xml:space="preserve">MARIA MENDEZ CABA </t>
  </si>
  <si>
    <t>3058-3828</t>
  </si>
  <si>
    <t xml:space="preserve">MANUELA ASICONA DEL BARRIO DE MO </t>
  </si>
  <si>
    <t>3196-1090</t>
  </si>
  <si>
    <t xml:space="preserve">CIRIACA SÀNCHEZ CABRERA </t>
  </si>
  <si>
    <t>4664-0260</t>
  </si>
  <si>
    <t xml:space="preserve">FELICIANA PEREZ RAYMUNDO </t>
  </si>
  <si>
    <t>5060-3112</t>
  </si>
  <si>
    <t xml:space="preserve">ANTONIA MENDOZA MATEO </t>
  </si>
  <si>
    <t>3192-1205</t>
  </si>
  <si>
    <t xml:space="preserve">JUANA RAMIREZ CABA </t>
  </si>
  <si>
    <t>4496-5859</t>
  </si>
  <si>
    <t>MARVIN DAGOVERTO SANCHEZ SANDOVAL</t>
  </si>
  <si>
    <t>4011-0590</t>
  </si>
  <si>
    <t xml:space="preserve">MARIA DEL CARMEN MÒ RAMIREZ </t>
  </si>
  <si>
    <t xml:space="preserve">ROSA MENDOZA CABA </t>
  </si>
  <si>
    <t>3708-2961</t>
  </si>
  <si>
    <t xml:space="preserve">FRANCISCO CABA ORTEGA </t>
  </si>
  <si>
    <t>4635-4471</t>
  </si>
  <si>
    <t xml:space="preserve">MARIA LAYNEZ SOLANO </t>
  </si>
  <si>
    <t>3749-6520</t>
  </si>
  <si>
    <t xml:space="preserve">CRISTINA TERESA ASICONA RIVERA </t>
  </si>
  <si>
    <t>5524-0128</t>
  </si>
  <si>
    <t>3117-2285</t>
  </si>
  <si>
    <t>MARIA BATZ ORTEGA</t>
  </si>
  <si>
    <t xml:space="preserve">PETRONA LOPEZ RAYMUNDO </t>
  </si>
  <si>
    <t>3740-6142</t>
  </si>
  <si>
    <t xml:space="preserve">MAGDALENA MENDOZA MENDOZA </t>
  </si>
  <si>
    <t>5744-6069</t>
  </si>
  <si>
    <t xml:space="preserve">CHRISTOPHER RICHARD VILLATORO LAYNEZ </t>
  </si>
  <si>
    <t>5973-8159</t>
  </si>
  <si>
    <t xml:space="preserve">MARGARITA SANCHEZ LAYNEZ </t>
  </si>
  <si>
    <t>5880-5470</t>
  </si>
  <si>
    <t>4754-5392</t>
  </si>
  <si>
    <t xml:space="preserve">MAGDALENA MISHEL SANCHEZ LOPEZ </t>
  </si>
  <si>
    <t xml:space="preserve">ROSA CANAY CABA </t>
  </si>
  <si>
    <t>3735-0646</t>
  </si>
  <si>
    <t xml:space="preserve">MARIA IJOM GUZMÀN DE GUZMÀN </t>
  </si>
  <si>
    <t>5901-4472</t>
  </si>
  <si>
    <t xml:space="preserve">ANA XINIC PACHECO DE SANCHEZ </t>
  </si>
  <si>
    <t>3084-6985</t>
  </si>
  <si>
    <t xml:space="preserve">ANA JENNIFER ESCOBAR ASICONA </t>
  </si>
  <si>
    <t>5385-5370</t>
  </si>
  <si>
    <t xml:space="preserve">ANA FLORIDALMA SÀNCHEZ ANAY </t>
  </si>
  <si>
    <t>3306-3408</t>
  </si>
  <si>
    <t xml:space="preserve">BERNARDO PEREZ CORIO </t>
  </si>
  <si>
    <t>5882-9842</t>
  </si>
  <si>
    <t xml:space="preserve">MARIA MARCELINA ZUÑIGA CABA </t>
  </si>
  <si>
    <t>5038-3063</t>
  </si>
  <si>
    <t xml:space="preserve">MARIA CECILIA MATEO MENDOZA </t>
  </si>
  <si>
    <t>4636-7852</t>
  </si>
  <si>
    <t>3182-1308</t>
  </si>
  <si>
    <t xml:space="preserve">MATIAS IJOM MENDEZ </t>
  </si>
  <si>
    <t>MARGARITA MENDOZA CABA DE TELIS</t>
  </si>
  <si>
    <t>5720-9683</t>
  </si>
  <si>
    <t>4902-8837</t>
  </si>
  <si>
    <t>4805-0383</t>
  </si>
  <si>
    <t xml:space="preserve">MAYLIS MARGARITA DAYELIN ANAY DE CABA </t>
  </si>
  <si>
    <t xml:space="preserve">MARGARITA IJOM CHAVEZ </t>
  </si>
  <si>
    <t>5377-6796</t>
  </si>
  <si>
    <t xml:space="preserve">MARIA ESCOBAR PACHECO </t>
  </si>
  <si>
    <t>4936-1687</t>
  </si>
  <si>
    <t xml:space="preserve">ANA ANAY ORTEGA </t>
  </si>
  <si>
    <t xml:space="preserve">PEDRO CABA PACHECO </t>
  </si>
  <si>
    <t>5035-1570</t>
  </si>
  <si>
    <t xml:space="preserve">ELENA CABA MATEO </t>
  </si>
  <si>
    <t>4532-2939</t>
  </si>
  <si>
    <t xml:space="preserve">MARIA LAZARO MARROQUIN </t>
  </si>
  <si>
    <t xml:space="preserve">JUANA CABA DIAS </t>
  </si>
  <si>
    <t>4868-1206</t>
  </si>
  <si>
    <t xml:space="preserve">TERESA VERONICA ASICONA ASICONA </t>
  </si>
  <si>
    <t xml:space="preserve">GASPAR LAYNEZ ANAY </t>
  </si>
  <si>
    <t>3721-0146</t>
  </si>
  <si>
    <t xml:space="preserve">ROSA CABA LAYNEZ </t>
  </si>
  <si>
    <t>5063-0598</t>
  </si>
  <si>
    <t xml:space="preserve">MARTA ANAY IJOM </t>
  </si>
  <si>
    <t>3706-0870</t>
  </si>
  <si>
    <t xml:space="preserve">ROSA RAMIREZ SANCHEZ </t>
  </si>
  <si>
    <t>3184-9132</t>
  </si>
  <si>
    <t xml:space="preserve">MARIA PACHECO RIVERA </t>
  </si>
  <si>
    <t>3817-8397</t>
  </si>
  <si>
    <t xml:space="preserve">JUAN LOPEZ RIVERA </t>
  </si>
  <si>
    <t>3706-5182</t>
  </si>
  <si>
    <t xml:space="preserve">MARIA BATZ RAMOS </t>
  </si>
  <si>
    <t>4830-7632</t>
  </si>
  <si>
    <t xml:space="preserve">MARIA PEREZ </t>
  </si>
  <si>
    <t xml:space="preserve">ANA MAURA ANAY ORTEGA </t>
  </si>
  <si>
    <t>4679-5873</t>
  </si>
  <si>
    <t>3725-1570</t>
  </si>
  <si>
    <t xml:space="preserve">JUANA ESCOBAR ASICONA </t>
  </si>
  <si>
    <t>4699-6666</t>
  </si>
  <si>
    <t xml:space="preserve">ANA ANAY  MATEO </t>
  </si>
  <si>
    <t>3174-7207</t>
  </si>
  <si>
    <t xml:space="preserve">MARIA CABA MENDOZA </t>
  </si>
  <si>
    <t xml:space="preserve">ANA LAYNEZ BATZ </t>
  </si>
  <si>
    <t>5721-4183</t>
  </si>
  <si>
    <t xml:space="preserve">MARGARITA RIVERA DEL BARRIO DE CANAY </t>
  </si>
  <si>
    <t>5808-5977</t>
  </si>
  <si>
    <t xml:space="preserve">CECILIA JACINTA CANAY RIVERA </t>
  </si>
  <si>
    <t>4695-4379</t>
  </si>
  <si>
    <t xml:space="preserve">MANUEL MENDEZ MO </t>
  </si>
  <si>
    <t>5195-7521</t>
  </si>
  <si>
    <t xml:space="preserve">JUAN ARTURO MATEO DEL BARRIO </t>
  </si>
  <si>
    <t>5914-5426</t>
  </si>
  <si>
    <t xml:space="preserve">MARGARITA RAMIREZ ASICONA DE HU </t>
  </si>
  <si>
    <t>5372-0203</t>
  </si>
  <si>
    <t xml:space="preserve">MANUELA RAMIREZ </t>
  </si>
  <si>
    <t>DAFNE CELIDONIA VILLATORO LAYNEZ</t>
  </si>
  <si>
    <t>3762-3666</t>
  </si>
  <si>
    <t>479-2017</t>
  </si>
  <si>
    <t xml:space="preserve">ANA ROSA RIVERA CABA </t>
  </si>
  <si>
    <t>5184-3456</t>
  </si>
  <si>
    <t xml:space="preserve">PEDRO LAYNEZ CABA </t>
  </si>
  <si>
    <t>5346-4369</t>
  </si>
  <si>
    <t xml:space="preserve">MARIA CABA ASICONA </t>
  </si>
  <si>
    <t>4630-5263</t>
  </si>
  <si>
    <t xml:space="preserve">PABLO ANAY </t>
  </si>
  <si>
    <t>5888-2741</t>
  </si>
  <si>
    <t xml:space="preserve">MARIA CECILIA ASICONA RIVERA </t>
  </si>
  <si>
    <t>5706-5703</t>
  </si>
  <si>
    <t>4684-7866</t>
  </si>
  <si>
    <t>3251-0980</t>
  </si>
  <si>
    <t xml:space="preserve">MARCOTULIO GABRIEL DIAZ ASICONA </t>
  </si>
  <si>
    <t xml:space="preserve">JUAN DIAZ ANAY </t>
  </si>
  <si>
    <t>3201-3017</t>
  </si>
  <si>
    <t xml:space="preserve">ROSA IJOM BATZ </t>
  </si>
  <si>
    <t>4805-1508</t>
  </si>
  <si>
    <t xml:space="preserve">MARTIN HAGEO CABA XINIC </t>
  </si>
  <si>
    <t>3180-6054</t>
  </si>
  <si>
    <t xml:space="preserve">JUANA ASUNCION LAYNEZ ESCOBAR </t>
  </si>
  <si>
    <t>4841-0889</t>
  </si>
  <si>
    <t xml:space="preserve">HEYDI MARILY CASTRO CALEL </t>
  </si>
  <si>
    <t>4595-9558</t>
  </si>
  <si>
    <t>5375-3345</t>
  </si>
  <si>
    <t xml:space="preserve">MARIA RAMIREZ GALLEGO DE RAMIREZ </t>
  </si>
  <si>
    <t>4663-3850</t>
  </si>
  <si>
    <t xml:space="preserve">PETRONILA MATEO RAMIREZ </t>
  </si>
  <si>
    <t>3019-5097</t>
  </si>
  <si>
    <t xml:space="preserve">JUANA ESPERANZA ANAY BATZ </t>
  </si>
  <si>
    <t>4588-3924</t>
  </si>
  <si>
    <t xml:space="preserve">MANUELA BATZ LOPEZ </t>
  </si>
  <si>
    <t>14-2007</t>
  </si>
  <si>
    <t xml:space="preserve">ESTEBAN SANCHEZ HERNANDEZ </t>
  </si>
  <si>
    <t>5048-7351</t>
  </si>
  <si>
    <t xml:space="preserve">MARIA IJOM CABA </t>
  </si>
  <si>
    <t xml:space="preserve">ANA ANAY ASICONA </t>
  </si>
  <si>
    <t xml:space="preserve">JUANA RIVERA CANAY </t>
  </si>
  <si>
    <t>4060-4851</t>
  </si>
  <si>
    <t xml:space="preserve">PEDRO CANAY SANCHEZ </t>
  </si>
  <si>
    <t>3704-7323</t>
  </si>
  <si>
    <t xml:space="preserve">CONCEPCION ARCEMO RIVERA MOLINA </t>
  </si>
  <si>
    <t xml:space="preserve">MARGARITA NATIVIDAD ASICONA SANCHEZ </t>
  </si>
  <si>
    <t>4580-8203</t>
  </si>
  <si>
    <t>5000-7827</t>
  </si>
  <si>
    <t>COOPERATIVA  INTEGRAL DE AHORRO Y CREDITO REGIONAL IXIL</t>
  </si>
  <si>
    <t>3078-7188</t>
  </si>
  <si>
    <t xml:space="preserve">CARLOS ALBERTO GALLEGO CETO </t>
  </si>
  <si>
    <t xml:space="preserve">AGENCIAS </t>
  </si>
  <si>
    <t>FEBRERO</t>
  </si>
  <si>
    <t>MARZO</t>
  </si>
  <si>
    <t>COOPERATIVA INTEGRAL DE AHORRO Y CRÉDITO  MAYA INVERSIOENS FUTURAS R.L</t>
  </si>
  <si>
    <t>CIFRAS EN QUETZALES</t>
  </si>
  <si>
    <t>KARDEX DE AHORRO A PLAZO FIJO 2026</t>
  </si>
  <si>
    <t>saldo inicial</t>
  </si>
  <si>
    <t>ENERO</t>
  </si>
  <si>
    <t>CIPRIANO BOP PEREZ ANTONIO SOLANO CABA</t>
  </si>
  <si>
    <t>2-95-6-2</t>
  </si>
  <si>
    <t>JACINTA OFELIA PACHECO IJOM</t>
  </si>
  <si>
    <t>2-32-6-3</t>
  </si>
  <si>
    <t>JUANA RAYMUNDO ANAY</t>
  </si>
  <si>
    <t>2-194-6-1</t>
  </si>
  <si>
    <t>PABLO HU</t>
  </si>
  <si>
    <t>CHAJUL</t>
  </si>
  <si>
    <t>1-467-6-1</t>
  </si>
  <si>
    <t>SIN MOVIMIENTO</t>
  </si>
  <si>
    <t>ABRIL</t>
  </si>
  <si>
    <t>2-223-6-1</t>
  </si>
  <si>
    <t>Q                                           -</t>
  </si>
  <si>
    <t>2-226-6-1</t>
  </si>
  <si>
    <t>MELQUI GONZALES</t>
  </si>
  <si>
    <t>2-227-6-1</t>
  </si>
  <si>
    <t>DELFIO CLEMENTE GONZALEZ ALVA</t>
  </si>
  <si>
    <t>MAYO</t>
  </si>
  <si>
    <t>INTERESES</t>
  </si>
  <si>
    <t>JUNIO</t>
  </si>
  <si>
    <t>JULIO</t>
  </si>
  <si>
    <t>AGOSTO</t>
  </si>
  <si>
    <t xml:space="preserve">PABLO </t>
  </si>
  <si>
    <t>EG</t>
  </si>
  <si>
    <t>ACTIVA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</si>
</sst>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Q&quot;* #,##0.00_-;\-&quot;Q&quot;* #,##0.00_-;_-&quot;Q&quot;* &quot;-&quot;??_-;_-@_-"/>
    <numFmt numFmtId="164" formatCode="_-[$Q-100A]* #,##0.0_-;\-[$Q-100A]* #,##0.0_-;_-[$Q-100A]* &quot;-&quot;?_-;_-@_-"/>
    <numFmt numFmtId="165" formatCode="_-[$Q-100A]* #,##0.00_-;\-[$Q-100A]* #,##0.00_-;_-[$Q-100A]* &quot;-&quot;??_-;_-@_-"/>
    <numFmt numFmtId="166" formatCode="[$-F800]dddd\,\ mmmm\ dd\,\ yyyy"/>
    <numFmt numFmtId="167" formatCode="&quot;Q&quot;#,##0.00"/>
  </numFmts>
  <fonts count="26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1"/>
      <name val="Bodoni MT"/>
      <family val="1"/>
    </font>
    <font>
      <b/>
      <sz val="14"/>
      <color theme="1"/>
      <name val="Bodoni MT"/>
      <family val="1"/>
    </font>
    <font>
      <b/>
      <sz val="8"/>
      <color theme="0"/>
      <name val="Bodoni MT"/>
      <family val="1"/>
    </font>
    <font>
      <b/>
      <sz val="10"/>
      <color theme="1"/>
      <name val="Bodoni MT"/>
      <family val="1"/>
    </font>
    <font>
      <sz val="8"/>
      <name val="Calibri"/>
      <family val="2"/>
      <scheme val="minor"/>
    </font>
    <font>
      <sz val="8"/>
      <color theme="4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6600"/>
      <name val="Calibri"/>
      <family val="2"/>
      <scheme val="minor"/>
    </font>
    <font>
      <sz val="8"/>
      <color rgb="FF7030A0"/>
      <name val="Calibri"/>
      <family val="2"/>
      <scheme val="minor"/>
    </font>
    <font>
      <b/>
      <sz val="18"/>
      <color theme="0"/>
      <name val="Bodoni MT"/>
      <family val="1"/>
    </font>
    <font>
      <b/>
      <sz val="14"/>
      <color theme="0"/>
      <name val="Bodoni MT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16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hair">
        <color auto="1"/>
      </right>
      <top style="thin">
        <color rgb="FFFFFFFF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FFFFFF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2" fillId="0" borderId="0" xfId="0" applyFont="1"/>
    <xf numFmtId="10" fontId="2" fillId="3" borderId="1" xfId="0" applyNumberFormat="1" applyFont="1" applyFill="1" applyBorder="1"/>
    <xf numFmtId="0" fontId="2" fillId="3" borderId="1" xfId="0" applyFont="1" applyFill="1" applyBorder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justify" wrapText="1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165" fontId="2" fillId="4" borderId="0" xfId="0" applyNumberFormat="1" applyFont="1" applyFill="1"/>
    <xf numFmtId="0" fontId="2" fillId="4" borderId="0" xfId="0" applyFont="1" applyFill="1"/>
    <xf numFmtId="165" fontId="2" fillId="4" borderId="0" xfId="0" applyNumberFormat="1" applyFont="1" applyFill="1" applyAlignment="1">
      <alignment horizontal="center"/>
    </xf>
    <xf numFmtId="165" fontId="2" fillId="4" borderId="3" xfId="0" applyNumberFormat="1" applyFont="1" applyFill="1" applyBorder="1"/>
    <xf numFmtId="0" fontId="2" fillId="4" borderId="5" xfId="0" applyFont="1" applyFill="1" applyBorder="1" applyAlignment="1">
      <alignment horizontal="left"/>
    </xf>
    <xf numFmtId="14" fontId="2" fillId="4" borderId="5" xfId="0" applyNumberFormat="1" applyFont="1" applyFill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165" fontId="2" fillId="4" borderId="5" xfId="0" applyNumberFormat="1" applyFont="1" applyFill="1" applyBorder="1"/>
    <xf numFmtId="9" fontId="2" fillId="3" borderId="6" xfId="0" applyNumberFormat="1" applyFont="1" applyFill="1" applyBorder="1"/>
    <xf numFmtId="10" fontId="2" fillId="3" borderId="7" xfId="0" applyNumberFormat="1" applyFont="1" applyFill="1" applyBorder="1"/>
    <xf numFmtId="164" fontId="2" fillId="3" borderId="7" xfId="0" applyNumberFormat="1" applyFont="1" applyFill="1" applyBorder="1"/>
    <xf numFmtId="0" fontId="2" fillId="4" borderId="5" xfId="0" applyFont="1" applyFill="1" applyBorder="1"/>
    <xf numFmtId="165" fontId="2" fillId="4" borderId="4" xfId="0" applyNumberFormat="1" applyFont="1" applyFill="1" applyBorder="1"/>
    <xf numFmtId="14" fontId="2" fillId="4" borderId="0" xfId="0" applyNumberFormat="1" applyFont="1" applyFill="1" applyAlignment="1">
      <alignment horizontal="left"/>
    </xf>
    <xf numFmtId="0" fontId="10" fillId="0" borderId="0" xfId="0" applyFont="1" applyAlignment="1">
      <alignment horizontal="center"/>
    </xf>
    <xf numFmtId="14" fontId="2" fillId="4" borderId="0" xfId="0" applyNumberFormat="1" applyFont="1" applyFill="1"/>
    <xf numFmtId="0" fontId="13" fillId="4" borderId="5" xfId="0" applyFont="1" applyFill="1" applyBorder="1" applyAlignment="1">
      <alignment horizontal="center"/>
    </xf>
    <xf numFmtId="165" fontId="12" fillId="4" borderId="0" xfId="0" applyNumberFormat="1" applyFont="1" applyFill="1"/>
    <xf numFmtId="165" fontId="12" fillId="4" borderId="5" xfId="0" applyNumberFormat="1" applyFont="1" applyFill="1" applyBorder="1"/>
    <xf numFmtId="0" fontId="14" fillId="4" borderId="5" xfId="0" applyFont="1" applyFill="1" applyBorder="1" applyAlignment="1">
      <alignment horizontal="center"/>
    </xf>
    <xf numFmtId="0" fontId="1" fillId="5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justify" wrapText="1"/>
    </xf>
    <xf numFmtId="0" fontId="9" fillId="6" borderId="0" xfId="0" applyFont="1" applyFill="1" applyAlignment="1">
      <alignment horizontal="right"/>
    </xf>
    <xf numFmtId="0" fontId="6" fillId="7" borderId="2" xfId="0" applyFont="1" applyFill="1" applyBorder="1" applyAlignment="1">
      <alignment horizontal="center"/>
    </xf>
    <xf numFmtId="0" fontId="0" fillId="6" borderId="3" xfId="0" applyFill="1" applyBorder="1"/>
    <xf numFmtId="167" fontId="2" fillId="0" borderId="0" xfId="0" applyNumberFormat="1" applyFont="1"/>
    <xf numFmtId="167" fontId="18" fillId="0" borderId="0" xfId="0" applyNumberFormat="1" applyFont="1"/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justify" wrapText="1"/>
    </xf>
    <xf numFmtId="165" fontId="1" fillId="8" borderId="0" xfId="0" applyNumberFormat="1" applyFont="1" applyFill="1" applyAlignment="1">
      <alignment horizontal="center" vertical="center" wrapText="1"/>
    </xf>
    <xf numFmtId="165" fontId="1" fillId="8" borderId="0" xfId="0" applyNumberFormat="1" applyFont="1" applyFill="1" applyAlignment="1">
      <alignment horizontal="center" wrapText="1"/>
    </xf>
    <xf numFmtId="165" fontId="5" fillId="8" borderId="5" xfId="0" applyNumberFormat="1" applyFont="1" applyFill="1" applyBorder="1"/>
    <xf numFmtId="165" fontId="5" fillId="8" borderId="0" xfId="0" applyNumberFormat="1" applyFont="1" applyFill="1"/>
    <xf numFmtId="0" fontId="8" fillId="8" borderId="3" xfId="0" applyFont="1" applyFill="1" applyBorder="1" applyAlignment="1">
      <alignment horizontal="center" vertical="center" wrapText="1"/>
    </xf>
    <xf numFmtId="9" fontId="2" fillId="3" borderId="8" xfId="0" applyNumberFormat="1" applyFont="1" applyFill="1" applyBorder="1"/>
    <xf numFmtId="10" fontId="2" fillId="3" borderId="9" xfId="0" applyNumberFormat="1" applyFont="1" applyFill="1" applyBorder="1"/>
    <xf numFmtId="164" fontId="2" fillId="3" borderId="9" xfId="0" applyNumberFormat="1" applyFont="1" applyFill="1" applyBorder="1"/>
    <xf numFmtId="17" fontId="2" fillId="4" borderId="0" xfId="0" applyNumberFormat="1" applyFont="1" applyFill="1" applyAlignment="1">
      <alignment horizontal="left"/>
    </xf>
    <xf numFmtId="0" fontId="2" fillId="9" borderId="5" xfId="0" applyFont="1" applyFill="1" applyBorder="1" applyAlignment="1">
      <alignment horizontal="center"/>
    </xf>
    <xf numFmtId="9" fontId="2" fillId="9" borderId="8" xfId="0" applyNumberFormat="1" applyFont="1" applyFill="1" applyBorder="1"/>
    <xf numFmtId="10" fontId="2" fillId="9" borderId="9" xfId="0" applyNumberFormat="1" applyFont="1" applyFill="1" applyBorder="1"/>
    <xf numFmtId="164" fontId="2" fillId="9" borderId="7" xfId="0" applyNumberFormat="1" applyFont="1" applyFill="1" applyBorder="1"/>
    <xf numFmtId="164" fontId="2" fillId="9" borderId="9" xfId="0" applyNumberFormat="1" applyFont="1" applyFill="1" applyBorder="1"/>
    <xf numFmtId="14" fontId="2" fillId="9" borderId="0" xfId="0" applyNumberFormat="1" applyFont="1" applyFill="1"/>
    <xf numFmtId="0" fontId="2" fillId="9" borderId="0" xfId="0" applyFont="1" applyFill="1"/>
    <xf numFmtId="165" fontId="12" fillId="9" borderId="0" xfId="0" applyNumberFormat="1" applyFont="1" applyFill="1"/>
    <xf numFmtId="0" fontId="10" fillId="4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14" fontId="2" fillId="9" borderId="0" xfId="0" applyNumberFormat="1" applyFont="1" applyFill="1" applyAlignment="1">
      <alignment horizontal="left"/>
    </xf>
    <xf numFmtId="0" fontId="2" fillId="9" borderId="0" xfId="0" applyFont="1" applyFill="1" applyAlignment="1">
      <alignment horizontal="center"/>
    </xf>
    <xf numFmtId="165" fontId="2" fillId="9" borderId="5" xfId="0" applyNumberFormat="1" applyFont="1" applyFill="1" applyBorder="1"/>
    <xf numFmtId="9" fontId="2" fillId="4" borderId="8" xfId="0" applyNumberFormat="1" applyFont="1" applyFill="1" applyBorder="1"/>
    <xf numFmtId="10" fontId="2" fillId="4" borderId="9" xfId="0" applyNumberFormat="1" applyFont="1" applyFill="1" applyBorder="1"/>
    <xf numFmtId="164" fontId="2" fillId="4" borderId="7" xfId="0" applyNumberFormat="1" applyFont="1" applyFill="1" applyBorder="1"/>
    <xf numFmtId="164" fontId="2" fillId="4" borderId="9" xfId="0" applyNumberFormat="1" applyFont="1" applyFill="1" applyBorder="1"/>
    <xf numFmtId="165" fontId="10" fillId="4" borderId="0" xfId="0" applyNumberFormat="1" applyFont="1" applyFill="1"/>
    <xf numFmtId="0" fontId="19" fillId="0" borderId="0" xfId="0" applyFont="1"/>
    <xf numFmtId="0" fontId="14" fillId="4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14" fontId="10" fillId="4" borderId="0" xfId="0" applyNumberFormat="1" applyFont="1" applyFill="1" applyAlignment="1">
      <alignment horizontal="left"/>
    </xf>
    <xf numFmtId="0" fontId="10" fillId="4" borderId="5" xfId="0" applyFont="1" applyFill="1" applyBorder="1" applyAlignment="1">
      <alignment horizontal="center"/>
    </xf>
    <xf numFmtId="0" fontId="10" fillId="4" borderId="0" xfId="0" applyFont="1" applyFill="1"/>
    <xf numFmtId="14" fontId="10" fillId="4" borderId="0" xfId="0" applyNumberFormat="1" applyFont="1" applyFill="1"/>
    <xf numFmtId="165" fontId="2" fillId="0" borderId="0" xfId="0" applyNumberFormat="1" applyFont="1"/>
    <xf numFmtId="165" fontId="5" fillId="10" borderId="3" xfId="0" applyNumberFormat="1" applyFont="1" applyFill="1" applyBorder="1"/>
    <xf numFmtId="0" fontId="13" fillId="4" borderId="0" xfId="0" applyFont="1" applyFill="1" applyAlignment="1">
      <alignment horizontal="left"/>
    </xf>
    <xf numFmtId="14" fontId="13" fillId="4" borderId="0" xfId="0" applyNumberFormat="1" applyFont="1" applyFill="1" applyAlignment="1">
      <alignment horizontal="left"/>
    </xf>
    <xf numFmtId="0" fontId="13" fillId="4" borderId="0" xfId="0" applyFont="1" applyFill="1" applyAlignment="1">
      <alignment horizontal="center"/>
    </xf>
    <xf numFmtId="165" fontId="13" fillId="4" borderId="0" xfId="0" applyNumberFormat="1" applyFont="1" applyFill="1" applyAlignment="1">
      <alignment horizontal="center"/>
    </xf>
    <xf numFmtId="0" fontId="13" fillId="4" borderId="0" xfId="0" applyFont="1" applyFill="1"/>
    <xf numFmtId="14" fontId="14" fillId="4" borderId="0" xfId="0" applyNumberFormat="1" applyFont="1" applyFill="1" applyAlignment="1">
      <alignment horizontal="left"/>
    </xf>
    <xf numFmtId="0" fontId="14" fillId="4" borderId="0" xfId="0" applyFont="1" applyFill="1" applyAlignment="1">
      <alignment horizontal="center"/>
    </xf>
    <xf numFmtId="165" fontId="14" fillId="4" borderId="0" xfId="0" applyNumberFormat="1" applyFont="1" applyFill="1" applyAlignment="1">
      <alignment horizontal="center"/>
    </xf>
    <xf numFmtId="0" fontId="14" fillId="4" borderId="0" xfId="0" applyFont="1" applyFill="1"/>
    <xf numFmtId="0" fontId="20" fillId="4" borderId="0" xfId="0" applyFont="1" applyFill="1" applyAlignment="1">
      <alignment horizontal="left"/>
    </xf>
    <xf numFmtId="14" fontId="20" fillId="4" borderId="0" xfId="0" applyNumberFormat="1" applyFont="1" applyFill="1" applyAlignment="1">
      <alignment horizontal="left"/>
    </xf>
    <xf numFmtId="0" fontId="20" fillId="4" borderId="0" xfId="0" applyFont="1" applyFill="1" applyAlignment="1">
      <alignment horizontal="center"/>
    </xf>
    <xf numFmtId="0" fontId="20" fillId="4" borderId="5" xfId="0" applyFont="1" applyFill="1" applyBorder="1" applyAlignment="1">
      <alignment horizontal="center"/>
    </xf>
    <xf numFmtId="165" fontId="20" fillId="4" borderId="0" xfId="0" applyNumberFormat="1" applyFont="1" applyFill="1" applyAlignment="1">
      <alignment horizontal="center"/>
    </xf>
    <xf numFmtId="0" fontId="20" fillId="4" borderId="0" xfId="0" applyFont="1" applyFill="1"/>
    <xf numFmtId="165" fontId="10" fillId="4" borderId="0" xfId="0" applyNumberFormat="1" applyFont="1" applyFill="1" applyAlignment="1">
      <alignment horizontal="center"/>
    </xf>
    <xf numFmtId="14" fontId="13" fillId="4" borderId="0" xfId="0" applyNumberFormat="1" applyFont="1" applyFill="1"/>
    <xf numFmtId="14" fontId="14" fillId="4" borderId="0" xfId="0" applyNumberFormat="1" applyFont="1" applyFill="1"/>
    <xf numFmtId="14" fontId="20" fillId="4" borderId="0" xfId="0" applyNumberFormat="1" applyFont="1" applyFill="1"/>
    <xf numFmtId="165" fontId="2" fillId="9" borderId="0" xfId="0" applyNumberFormat="1" applyFont="1" applyFill="1"/>
    <xf numFmtId="165" fontId="11" fillId="4" borderId="0" xfId="0" applyNumberFormat="1" applyFont="1" applyFill="1"/>
    <xf numFmtId="165" fontId="20" fillId="4" borderId="0" xfId="0" applyNumberFormat="1" applyFont="1" applyFill="1"/>
    <xf numFmtId="165" fontId="14" fillId="4" borderId="0" xfId="0" applyNumberFormat="1" applyFont="1" applyFill="1"/>
    <xf numFmtId="17" fontId="2" fillId="0" borderId="0" xfId="0" applyNumberFormat="1" applyFont="1"/>
    <xf numFmtId="2" fontId="2" fillId="4" borderId="5" xfId="0" applyNumberFormat="1" applyFont="1" applyFill="1" applyBorder="1"/>
    <xf numFmtId="14" fontId="2" fillId="4" borderId="5" xfId="0" applyNumberFormat="1" applyFont="1" applyFill="1" applyBorder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/>
    <xf numFmtId="165" fontId="11" fillId="0" borderId="0" xfId="0" applyNumberFormat="1" applyFont="1"/>
    <xf numFmtId="165" fontId="2" fillId="11" borderId="5" xfId="0" applyNumberFormat="1" applyFont="1" applyFill="1" applyBorder="1"/>
    <xf numFmtId="165" fontId="2" fillId="11" borderId="0" xfId="0" applyNumberFormat="1" applyFont="1" applyFill="1"/>
    <xf numFmtId="165" fontId="14" fillId="11" borderId="0" xfId="0" applyNumberFormat="1" applyFont="1" applyFill="1"/>
    <xf numFmtId="165" fontId="10" fillId="11" borderId="0" xfId="0" applyNumberFormat="1" applyFont="1" applyFill="1"/>
    <xf numFmtId="165" fontId="13" fillId="11" borderId="0" xfId="0" applyNumberFormat="1" applyFont="1" applyFill="1"/>
    <xf numFmtId="165" fontId="20" fillId="11" borderId="0" xfId="0" applyNumberFormat="1" applyFont="1" applyFill="1"/>
    <xf numFmtId="165" fontId="1" fillId="5" borderId="0" xfId="0" applyNumberFormat="1" applyFont="1" applyFill="1" applyAlignment="1">
      <alignment horizontal="center" vertical="center" wrapText="1"/>
    </xf>
    <xf numFmtId="0" fontId="23" fillId="9" borderId="0" xfId="0" applyFont="1" applyFill="1" applyAlignment="1">
      <alignment horizontal="center"/>
    </xf>
    <xf numFmtId="0" fontId="17" fillId="0" borderId="0" xfId="0" applyFont="1"/>
    <xf numFmtId="0" fontId="21" fillId="9" borderId="0" xfId="0" applyFont="1" applyFill="1" applyAlignment="1">
      <alignment horizontal="center"/>
    </xf>
    <xf numFmtId="165" fontId="2" fillId="11" borderId="0" xfId="0" applyNumberFormat="1" applyFont="1" applyFill="1" applyAlignment="1">
      <alignment horizontal="center"/>
    </xf>
    <xf numFmtId="0" fontId="23" fillId="9" borderId="0" xfId="0" applyFont="1" applyFill="1"/>
    <xf numFmtId="0" fontId="21" fillId="9" borderId="0" xfId="0" applyFont="1" applyFill="1"/>
    <xf numFmtId="0" fontId="24" fillId="0" borderId="0" xfId="0" applyFont="1"/>
    <xf numFmtId="44" fontId="24" fillId="0" borderId="0" xfId="0" applyNumberFormat="1" applyFont="1"/>
    <xf numFmtId="44" fontId="25" fillId="0" borderId="0" xfId="0" applyNumberFormat="1" applyFont="1"/>
    <xf numFmtId="165" fontId="2" fillId="12" borderId="0" xfId="0" applyNumberFormat="1" applyFont="1" applyFill="1"/>
    <xf numFmtId="0" fontId="2" fillId="12" borderId="0" xfId="0" applyFont="1" applyFill="1" applyAlignment="1">
      <alignment horizontal="left"/>
    </xf>
    <xf numFmtId="14" fontId="2" fillId="12" borderId="0" xfId="0" applyNumberFormat="1" applyFont="1" applyFill="1" applyAlignment="1">
      <alignment horizontal="left"/>
    </xf>
    <xf numFmtId="0" fontId="2" fillId="12" borderId="0" xfId="0" applyFont="1" applyFill="1"/>
    <xf numFmtId="0" fontId="2" fillId="12" borderId="0" xfId="0" applyFont="1" applyFill="1" applyAlignment="1">
      <alignment horizontal="center"/>
    </xf>
    <xf numFmtId="165" fontId="2" fillId="12" borderId="0" xfId="0" applyNumberFormat="1" applyFont="1" applyFill="1" applyAlignment="1">
      <alignment horizontal="center"/>
    </xf>
    <xf numFmtId="14" fontId="2" fillId="12" borderId="0" xfId="0" applyNumberFormat="1" applyFont="1" applyFill="1"/>
    <xf numFmtId="0" fontId="2" fillId="4" borderId="0" xfId="0" applyFont="1" applyFill="1" applyAlignment="1">
      <alignment horizontal="center" vertical="center"/>
    </xf>
    <xf numFmtId="9" fontId="2" fillId="0" borderId="8" xfId="0" applyNumberFormat="1" applyFont="1" applyBorder="1"/>
    <xf numFmtId="10" fontId="2" fillId="0" borderId="9" xfId="0" applyNumberFormat="1" applyFont="1" applyBorder="1"/>
    <xf numFmtId="164" fontId="2" fillId="0" borderId="7" xfId="0" applyNumberFormat="1" applyFont="1" applyBorder="1"/>
    <xf numFmtId="164" fontId="2" fillId="0" borderId="9" xfId="0" applyNumberFormat="1" applyFont="1" applyBorder="1"/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justify" wrapText="1"/>
    </xf>
    <xf numFmtId="165" fontId="1" fillId="4" borderId="0" xfId="0" applyNumberFormat="1" applyFont="1" applyFill="1" applyAlignment="1">
      <alignment horizontal="center" vertical="center" wrapText="1"/>
    </xf>
    <xf numFmtId="165" fontId="1" fillId="4" borderId="0" xfId="0" applyNumberFormat="1" applyFont="1" applyFill="1" applyAlignment="1">
      <alignment horizontal="center" wrapText="1"/>
    </xf>
    <xf numFmtId="0" fontId="8" fillId="4" borderId="3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justify" wrapText="1"/>
    </xf>
    <xf numFmtId="165" fontId="22" fillId="4" borderId="0" xfId="0" applyNumberFormat="1" applyFont="1" applyFill="1" applyAlignment="1">
      <alignment horizontal="center" wrapText="1"/>
    </xf>
    <xf numFmtId="44" fontId="2" fillId="4" borderId="0" xfId="0" applyNumberFormat="1" applyFont="1" applyFill="1"/>
    <xf numFmtId="49" fontId="2" fillId="4" borderId="0" xfId="0" applyNumberFormat="1" applyFont="1" applyFill="1" applyAlignment="1">
      <alignment horizontal="left"/>
    </xf>
    <xf numFmtId="44" fontId="2" fillId="9" borderId="0" xfId="0" applyNumberFormat="1" applyFont="1" applyFill="1"/>
    <xf numFmtId="0" fontId="1" fillId="9" borderId="0" xfId="0" applyFont="1" applyFill="1" applyAlignment="1">
      <alignment horizontal="center" vertical="top" wrapText="1"/>
    </xf>
    <xf numFmtId="0" fontId="23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justify" wrapText="1"/>
    </xf>
    <xf numFmtId="165" fontId="1" fillId="9" borderId="0" xfId="0" applyNumberFormat="1" applyFont="1" applyFill="1" applyAlignment="1">
      <alignment horizontal="center" vertical="center" wrapText="1"/>
    </xf>
    <xf numFmtId="0" fontId="22" fillId="13" borderId="0" xfId="0" applyFont="1" applyFill="1"/>
    <xf numFmtId="0" fontId="22" fillId="13" borderId="0" xfId="0" applyFont="1" applyFill="1" applyAlignment="1">
      <alignment horizontal="center"/>
    </xf>
    <xf numFmtId="165" fontId="2" fillId="13" borderId="3" xfId="0" applyNumberFormat="1" applyFont="1" applyFill="1" applyBorder="1"/>
    <xf numFmtId="17" fontId="2" fillId="13" borderId="0" xfId="0" applyNumberFormat="1" applyFont="1" applyFill="1" applyAlignment="1">
      <alignment horizontal="left"/>
    </xf>
    <xf numFmtId="0" fontId="2" fillId="13" borderId="0" xfId="0" applyFont="1" applyFill="1"/>
    <xf numFmtId="0" fontId="19" fillId="13" borderId="0" xfId="0" applyFont="1" applyFill="1"/>
    <xf numFmtId="167" fontId="18" fillId="13" borderId="0" xfId="0" applyNumberFormat="1" applyFont="1" applyFill="1"/>
    <xf numFmtId="167" fontId="2" fillId="13" borderId="0" xfId="0" applyNumberFormat="1" applyFont="1" applyFill="1"/>
    <xf numFmtId="0" fontId="22" fillId="9" borderId="0" xfId="0" applyFont="1" applyFill="1" applyAlignment="1">
      <alignment horizontal="left"/>
    </xf>
    <xf numFmtId="0" fontId="19" fillId="4" borderId="0" xfId="0" applyFont="1" applyFill="1"/>
    <xf numFmtId="167" fontId="18" fillId="4" borderId="0" xfId="0" applyNumberFormat="1" applyFont="1" applyFill="1"/>
    <xf numFmtId="167" fontId="2" fillId="4" borderId="0" xfId="0" applyNumberFormat="1" applyFont="1" applyFill="1"/>
    <xf numFmtId="9" fontId="2" fillId="0" borderId="0" xfId="0" applyNumberFormat="1" applyFont="1"/>
    <xf numFmtId="0" fontId="0" fillId="9" borderId="0" xfId="0" applyFill="1"/>
    <xf numFmtId="10" fontId="2" fillId="0" borderId="0" xfId="0" applyNumberFormat="1" applyFont="1"/>
    <xf numFmtId="0" fontId="10" fillId="9" borderId="0" xfId="0" applyFont="1" applyFill="1" applyAlignment="1">
      <alignment horizontal="center"/>
    </xf>
    <xf numFmtId="165" fontId="5" fillId="9" borderId="5" xfId="0" applyNumberFormat="1" applyFont="1" applyFill="1" applyBorder="1"/>
    <xf numFmtId="165" fontId="2" fillId="9" borderId="3" xfId="0" applyNumberFormat="1" applyFont="1" applyFill="1" applyBorder="1"/>
    <xf numFmtId="0" fontId="19" fillId="9" borderId="0" xfId="0" applyFont="1" applyFill="1"/>
    <xf numFmtId="167" fontId="18" fillId="9" borderId="0" xfId="0" applyNumberFormat="1" applyFont="1" applyFill="1"/>
    <xf numFmtId="167" fontId="2" fillId="9" borderId="0" xfId="0" applyNumberFormat="1" applyFont="1" applyFill="1"/>
    <xf numFmtId="0" fontId="15" fillId="8" borderId="0" xfId="0" applyFont="1" applyFill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16" fillId="8" borderId="0" xfId="0" applyFont="1" applyFill="1" applyAlignment="1">
      <alignment horizontal="center"/>
    </xf>
    <xf numFmtId="0" fontId="16" fillId="8" borderId="3" xfId="0" applyFont="1" applyFill="1" applyBorder="1" applyAlignment="1">
      <alignment horizontal="center"/>
    </xf>
    <xf numFmtId="166" fontId="7" fillId="7" borderId="0" xfId="0" applyNumberFormat="1" applyFont="1" applyFill="1" applyAlignment="1">
      <alignment horizontal="center" vertical="center"/>
    </xf>
    <xf numFmtId="0" fontId="9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3" fillId="8" borderId="0" xfId="0" applyFont="1" applyFill="1" applyAlignment="1">
      <alignment horizontal="center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  <color rgb="FF000066"/>
      <color rgb="FF000A54"/>
      <color rgb="FFF8CBAD"/>
      <color rgb="FF001654"/>
      <color rgb="FF00002E"/>
      <color rgb="FF000014"/>
      <color rgb="FF00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if%20Chajul\Desktop\FORMATOS%20DE%20COOPE\AHORRO%20PLAZO%20FIJO\KARDEX%20AHORRO%20PF%202025%205.xlsx" TargetMode="External"/><Relationship Id="rId1" Type="http://schemas.openxmlformats.org/officeDocument/2006/relationships/externalLinkPath" Target="KARDEX%20AHORRO%20PF%202025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34">
          <cell r="V34">
            <v>99804.03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ombra extrema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A840"/>
  <sheetViews>
    <sheetView tabSelected="1" zoomScale="86" zoomScaleNormal="86" workbookViewId="0">
      <pane ySplit="6" topLeftCell="A13" activePane="bottomLeft" state="frozen"/>
      <selection pane="bottomLeft" activeCell="S34" sqref="S34"/>
    </sheetView>
  </sheetViews>
  <sheetFormatPr baseColWidth="10" defaultColWidth="11.42578125" defaultRowHeight="11.25" outlineLevelCol="1" x14ac:dyDescent="0.2"/>
  <cols>
    <col min="1" max="1" width="13.85546875" style="6" customWidth="1"/>
    <col min="2" max="2" width="27.28515625" style="6" customWidth="1"/>
    <col min="3" max="3" width="16.28515625" style="6" customWidth="1"/>
    <col min="4" max="4" width="10.42578125" style="6" customWidth="1"/>
    <col min="5" max="5" width="7.7109375" style="7" customWidth="1"/>
    <col min="6" max="6" width="9.28515625" style="7" customWidth="1"/>
    <col min="7" max="7" width="12.140625" style="7" customWidth="1"/>
    <col min="8" max="9" width="12.140625" style="10" customWidth="1"/>
    <col min="10" max="10" width="12.42578125" style="9" customWidth="1"/>
    <col min="11" max="11" width="4.42578125" style="3" hidden="1" customWidth="1" outlineLevel="1"/>
    <col min="12" max="12" width="9.140625" style="2" hidden="1" customWidth="1" outlineLevel="1"/>
    <col min="13" max="13" width="12.140625" style="3" hidden="1" customWidth="1" outlineLevel="1"/>
    <col min="14" max="14" width="12" style="3" hidden="1" customWidth="1" outlineLevel="1"/>
    <col min="15" max="15" width="8.85546875" style="3" hidden="1" customWidth="1" outlineLevel="1"/>
    <col min="16" max="16" width="12.7109375" style="3" hidden="1" customWidth="1" outlineLevel="1"/>
    <col min="17" max="17" width="11.5703125" style="9" customWidth="1" outlineLevel="1"/>
    <col min="18" max="18" width="10.140625" style="9" bestFit="1" customWidth="1" outlineLevel="1"/>
    <col min="19" max="19" width="13" style="108" customWidth="1"/>
    <col min="20" max="20" width="15.140625" style="8" customWidth="1"/>
    <col min="21" max="21" width="17.7109375" style="41" customWidth="1"/>
    <col min="22" max="22" width="14.5703125" style="11" customWidth="1"/>
    <col min="23" max="23" width="13.85546875" style="1" bestFit="1" customWidth="1"/>
    <col min="24" max="24" width="16.42578125" style="1" customWidth="1"/>
    <col min="25" max="25" width="17.28515625" style="1" bestFit="1" customWidth="1"/>
    <col min="26" max="26" width="15.7109375" style="1" bestFit="1" customWidth="1"/>
    <col min="27" max="16384" width="11.42578125" style="1"/>
  </cols>
  <sheetData>
    <row r="1" spans="1:27" customFormat="1" ht="23.25" x14ac:dyDescent="0.35">
      <c r="A1" s="173" t="s">
        <v>1258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4"/>
    </row>
    <row r="2" spans="1:27" customFormat="1" ht="23.25" x14ac:dyDescent="0.35">
      <c r="A2" s="173" t="s">
        <v>1259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4"/>
    </row>
    <row r="3" spans="1:27" customFormat="1" ht="18.75" x14ac:dyDescent="0.3">
      <c r="A3" s="175" t="s">
        <v>1260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</row>
    <row r="4" spans="1:27" customFormat="1" ht="15" customHeight="1" x14ac:dyDescent="0.25">
      <c r="A4" s="180"/>
      <c r="B4" s="180"/>
      <c r="C4" s="180"/>
      <c r="D4" s="180"/>
      <c r="E4" s="180"/>
      <c r="F4" s="180"/>
      <c r="G4" s="31" t="s">
        <v>21</v>
      </c>
      <c r="H4" s="177">
        <f ca="1">TODAY()</f>
        <v>46281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81" t="s">
        <v>25</v>
      </c>
      <c r="V4" s="33"/>
    </row>
    <row r="5" spans="1:27" customFormat="1" ht="15" x14ac:dyDescent="0.25">
      <c r="A5" s="179" t="s">
        <v>3</v>
      </c>
      <c r="B5" s="179"/>
      <c r="C5" s="32"/>
      <c r="D5" s="179" t="s">
        <v>14</v>
      </c>
      <c r="E5" s="179"/>
      <c r="F5" s="179"/>
      <c r="G5" s="179"/>
      <c r="H5" s="179"/>
      <c r="I5" s="179"/>
      <c r="J5" s="179"/>
      <c r="K5" s="179" t="s">
        <v>18</v>
      </c>
      <c r="L5" s="179"/>
      <c r="M5" s="179"/>
      <c r="N5" s="179"/>
      <c r="O5" s="179"/>
      <c r="P5" s="179"/>
      <c r="Q5" s="178" t="s">
        <v>5</v>
      </c>
      <c r="R5" s="178"/>
      <c r="S5" s="179" t="s">
        <v>22</v>
      </c>
      <c r="T5" s="179"/>
      <c r="U5" s="181"/>
      <c r="V5" s="33"/>
    </row>
    <row r="6" spans="1:27" customFormat="1" ht="24" x14ac:dyDescent="0.25">
      <c r="A6" s="28" t="s">
        <v>0</v>
      </c>
      <c r="B6" s="36" t="s">
        <v>2</v>
      </c>
      <c r="C6" s="29" t="s">
        <v>1255</v>
      </c>
      <c r="D6" s="36" t="s">
        <v>1</v>
      </c>
      <c r="E6" s="29" t="s">
        <v>10</v>
      </c>
      <c r="F6" s="36" t="s">
        <v>9</v>
      </c>
      <c r="G6" s="30" t="s">
        <v>13</v>
      </c>
      <c r="H6" s="37" t="s">
        <v>17</v>
      </c>
      <c r="I6" s="30" t="s">
        <v>26</v>
      </c>
      <c r="J6" s="37" t="s">
        <v>15</v>
      </c>
      <c r="K6" s="4" t="s">
        <v>8</v>
      </c>
      <c r="L6" s="5" t="s">
        <v>12</v>
      </c>
      <c r="M6" s="4" t="s">
        <v>4</v>
      </c>
      <c r="N6" s="4" t="s">
        <v>11</v>
      </c>
      <c r="O6" s="4" t="s">
        <v>23</v>
      </c>
      <c r="P6" s="4" t="s">
        <v>16</v>
      </c>
      <c r="Q6" s="29" t="s">
        <v>6</v>
      </c>
      <c r="R6" s="36" t="s">
        <v>7</v>
      </c>
      <c r="S6" s="113" t="s">
        <v>19</v>
      </c>
      <c r="T6" s="38" t="s">
        <v>20</v>
      </c>
      <c r="U6" s="39">
        <v>0</v>
      </c>
      <c r="V6" s="42" t="s">
        <v>24</v>
      </c>
      <c r="W6" s="165" t="s">
        <v>1281</v>
      </c>
      <c r="Y6" s="115"/>
      <c r="Z6" s="115" t="s">
        <v>34</v>
      </c>
      <c r="AA6" s="115" t="s">
        <v>35</v>
      </c>
    </row>
    <row r="7" spans="1:27" customFormat="1" ht="15" x14ac:dyDescent="0.25">
      <c r="A7" s="135"/>
      <c r="B7" s="136"/>
      <c r="C7" s="136"/>
      <c r="D7" s="136"/>
      <c r="E7" s="136"/>
      <c r="F7" s="136"/>
      <c r="G7" s="137"/>
      <c r="H7" s="141" t="s">
        <v>1261</v>
      </c>
      <c r="I7" s="137"/>
      <c r="J7" s="137"/>
      <c r="K7" s="136"/>
      <c r="L7" s="137"/>
      <c r="M7" s="136"/>
      <c r="N7" s="136"/>
      <c r="O7" s="136"/>
      <c r="P7" s="136"/>
      <c r="Q7" s="136"/>
      <c r="R7" s="136"/>
      <c r="S7" s="138"/>
      <c r="T7" s="138"/>
      <c r="U7" s="142">
        <f>[1]Hoja1!$V$34</f>
        <v>99804.03</v>
      </c>
      <c r="V7" s="140"/>
      <c r="Y7" s="115"/>
      <c r="Z7" s="115"/>
      <c r="AA7" s="115"/>
    </row>
    <row r="8" spans="1:27" customFormat="1" ht="15" x14ac:dyDescent="0.25">
      <c r="A8" s="146"/>
      <c r="B8" s="147" t="s">
        <v>1262</v>
      </c>
      <c r="C8" s="148"/>
      <c r="D8" s="149"/>
      <c r="E8" s="148"/>
      <c r="F8" s="148"/>
      <c r="G8" s="150"/>
      <c r="H8" s="150"/>
      <c r="I8" s="150"/>
      <c r="J8" s="150"/>
      <c r="K8" s="148"/>
      <c r="L8" s="150"/>
      <c r="M8" s="148"/>
      <c r="N8" s="148"/>
      <c r="O8" s="148"/>
      <c r="P8" s="148"/>
      <c r="Q8" s="148"/>
      <c r="R8" s="148"/>
      <c r="S8" s="151"/>
      <c r="T8" s="151"/>
      <c r="U8" s="139"/>
      <c r="V8" s="140"/>
      <c r="Y8" s="115"/>
      <c r="Z8" s="115"/>
      <c r="AA8" s="115"/>
    </row>
    <row r="9" spans="1:27" ht="15.75" x14ac:dyDescent="0.25">
      <c r="A9" s="144" t="s">
        <v>1271</v>
      </c>
      <c r="B9" s="6" t="s">
        <v>1263</v>
      </c>
      <c r="C9" s="6" t="s">
        <v>1270</v>
      </c>
      <c r="D9" s="21">
        <v>46043</v>
      </c>
      <c r="E9" s="14" t="s">
        <v>1286</v>
      </c>
      <c r="F9" s="7">
        <v>2313</v>
      </c>
      <c r="G9" s="7">
        <v>41</v>
      </c>
      <c r="H9" s="14">
        <v>6</v>
      </c>
      <c r="I9" s="14" t="s">
        <v>38</v>
      </c>
      <c r="J9" s="15">
        <v>250162.5</v>
      </c>
      <c r="K9" s="16"/>
      <c r="L9" s="17"/>
      <c r="M9" s="18"/>
      <c r="N9" s="18"/>
      <c r="O9" s="18"/>
      <c r="P9" s="18"/>
      <c r="Q9" s="23">
        <v>46224</v>
      </c>
      <c r="R9" s="9">
        <v>882</v>
      </c>
      <c r="S9" s="107">
        <v>250162.5</v>
      </c>
      <c r="T9" s="8">
        <v>250162.5</v>
      </c>
      <c r="U9" s="40">
        <f>U7+S9-T9</f>
        <v>99804.030000000028</v>
      </c>
      <c r="V9" s="20"/>
      <c r="W9" s="164">
        <v>0.06</v>
      </c>
      <c r="Y9" s="65">
        <v>2021</v>
      </c>
      <c r="Z9" s="35"/>
      <c r="AA9" s="34"/>
    </row>
    <row r="10" spans="1:27" ht="15.75" x14ac:dyDescent="0.25">
      <c r="A10" s="21"/>
      <c r="D10" s="21"/>
      <c r="E10" s="14"/>
      <c r="H10" s="14"/>
      <c r="I10" s="14"/>
      <c r="J10" s="15"/>
      <c r="K10" s="43"/>
      <c r="L10" s="44"/>
      <c r="M10" s="18"/>
      <c r="N10" s="45"/>
      <c r="O10" s="45"/>
      <c r="P10" s="45"/>
      <c r="Q10" s="23"/>
      <c r="S10" s="107"/>
      <c r="U10" s="40">
        <f t="shared" ref="U10:U13" si="0">U9+S10-T10</f>
        <v>99804.030000000028</v>
      </c>
      <c r="Y10" s="65"/>
      <c r="Z10" s="35"/>
      <c r="AA10" s="34"/>
    </row>
    <row r="11" spans="1:27" ht="15.75" x14ac:dyDescent="0.25">
      <c r="A11" s="118"/>
      <c r="B11" s="118" t="s">
        <v>1256</v>
      </c>
      <c r="C11" s="118"/>
      <c r="D11" s="118"/>
      <c r="E11" s="118"/>
      <c r="F11" s="118"/>
      <c r="G11" s="118"/>
      <c r="H11" s="118"/>
      <c r="I11" s="118"/>
      <c r="J11" s="118"/>
      <c r="K11" s="114"/>
      <c r="L11" s="114"/>
      <c r="M11" s="114"/>
      <c r="N11" s="114"/>
      <c r="O11" s="114"/>
      <c r="P11" s="114"/>
      <c r="Q11" s="118"/>
      <c r="R11" s="118"/>
      <c r="S11" s="118"/>
      <c r="T11" s="118"/>
      <c r="U11" s="40">
        <f t="shared" si="0"/>
        <v>99804.030000000028</v>
      </c>
      <c r="Y11" s="65"/>
      <c r="Z11" s="35"/>
      <c r="AA11" s="34"/>
    </row>
    <row r="12" spans="1:27" ht="15.75" customHeight="1" x14ac:dyDescent="0.25">
      <c r="A12" s="6" t="s">
        <v>1264</v>
      </c>
      <c r="B12" s="6" t="s">
        <v>1265</v>
      </c>
      <c r="C12" s="6" t="s">
        <v>1270</v>
      </c>
      <c r="D12" s="21">
        <v>46057</v>
      </c>
      <c r="E12" s="14" t="s">
        <v>37</v>
      </c>
      <c r="F12" s="7">
        <v>2381</v>
      </c>
      <c r="G12" s="7">
        <v>42</v>
      </c>
      <c r="H12" s="14">
        <v>12</v>
      </c>
      <c r="I12" s="14" t="s">
        <v>38</v>
      </c>
      <c r="J12" s="15">
        <v>6626</v>
      </c>
      <c r="K12" s="43"/>
      <c r="L12" s="44"/>
      <c r="M12" s="18"/>
      <c r="N12" s="45"/>
      <c r="O12" s="45"/>
      <c r="P12" s="45"/>
      <c r="Q12" s="23">
        <v>46422</v>
      </c>
      <c r="S12" s="108">
        <v>6626</v>
      </c>
      <c r="U12" s="40">
        <f t="shared" si="0"/>
        <v>106430.03000000003</v>
      </c>
      <c r="W12" s="164">
        <v>0.14000000000000001</v>
      </c>
      <c r="Y12" s="65"/>
      <c r="Z12" s="35"/>
      <c r="AA12" s="34"/>
    </row>
    <row r="13" spans="1:27" ht="15.75" customHeight="1" x14ac:dyDescent="0.25">
      <c r="A13" s="6" t="s">
        <v>1266</v>
      </c>
      <c r="B13" s="6" t="s">
        <v>1267</v>
      </c>
      <c r="C13" s="6" t="s">
        <v>1270</v>
      </c>
      <c r="D13" s="21">
        <v>46076</v>
      </c>
      <c r="E13" s="14" t="s">
        <v>37</v>
      </c>
      <c r="F13" s="7">
        <v>2475</v>
      </c>
      <c r="G13" s="7">
        <v>43</v>
      </c>
      <c r="H13" s="14">
        <v>12</v>
      </c>
      <c r="I13" s="14" t="s">
        <v>38</v>
      </c>
      <c r="J13" s="15">
        <v>24200.38</v>
      </c>
      <c r="K13" s="43"/>
      <c r="L13" s="44"/>
      <c r="M13" s="18"/>
      <c r="N13" s="45"/>
      <c r="O13" s="45"/>
      <c r="P13" s="45"/>
      <c r="Q13" s="23">
        <v>46441</v>
      </c>
      <c r="S13" s="108">
        <v>24200.38</v>
      </c>
      <c r="U13" s="40">
        <f t="shared" si="0"/>
        <v>130630.41000000003</v>
      </c>
      <c r="W13" s="164">
        <v>0.14000000000000001</v>
      </c>
      <c r="Y13" s="65"/>
      <c r="Z13" s="35"/>
      <c r="AA13" s="34"/>
    </row>
    <row r="14" spans="1:27" ht="15.75" customHeight="1" x14ac:dyDescent="0.25">
      <c r="A14" s="6" t="s">
        <v>1268</v>
      </c>
      <c r="B14" s="6" t="s">
        <v>1269</v>
      </c>
      <c r="C14" s="6" t="s">
        <v>1270</v>
      </c>
      <c r="D14" s="21">
        <v>46077</v>
      </c>
      <c r="E14" s="14" t="s">
        <v>1286</v>
      </c>
      <c r="F14" s="7">
        <v>2492</v>
      </c>
      <c r="G14" s="7">
        <v>45</v>
      </c>
      <c r="H14" s="14">
        <v>6</v>
      </c>
      <c r="I14" s="14" t="s">
        <v>38</v>
      </c>
      <c r="J14" s="143">
        <v>40000</v>
      </c>
      <c r="K14" s="43"/>
      <c r="L14" s="44"/>
      <c r="M14" s="18"/>
      <c r="N14" s="45"/>
      <c r="O14" s="45"/>
      <c r="P14" s="45"/>
      <c r="Q14" s="23">
        <v>46258</v>
      </c>
      <c r="R14" s="9">
        <v>956</v>
      </c>
      <c r="S14" s="108">
        <v>40000</v>
      </c>
      <c r="T14" s="8">
        <v>40000</v>
      </c>
      <c r="U14" s="40">
        <f>U13+S14-T14</f>
        <v>130630.41000000003</v>
      </c>
      <c r="Y14" s="65"/>
      <c r="Z14" s="35"/>
      <c r="AA14" s="34"/>
    </row>
    <row r="15" spans="1:27" ht="15.75" customHeight="1" x14ac:dyDescent="0.25">
      <c r="D15" s="21"/>
      <c r="E15" s="14"/>
      <c r="H15" s="14"/>
      <c r="I15" s="14"/>
      <c r="J15" s="143"/>
      <c r="K15" s="43"/>
      <c r="L15" s="44"/>
      <c r="M15" s="18"/>
      <c r="N15" s="45"/>
      <c r="O15" s="45"/>
      <c r="P15" s="45"/>
      <c r="Q15" s="23"/>
      <c r="U15" s="40">
        <f>U14+S15-T15</f>
        <v>130630.41000000003</v>
      </c>
      <c r="W15" s="164">
        <v>0.12</v>
      </c>
      <c r="Y15" s="65"/>
      <c r="Z15" s="35"/>
      <c r="AA15" s="34"/>
    </row>
    <row r="16" spans="1:27" ht="15.75" customHeight="1" x14ac:dyDescent="0.25">
      <c r="A16" s="56"/>
      <c r="B16" s="160" t="s">
        <v>1257</v>
      </c>
      <c r="C16" s="56"/>
      <c r="D16" s="57"/>
      <c r="E16" s="47"/>
      <c r="F16" s="58"/>
      <c r="G16" s="58"/>
      <c r="H16" s="47"/>
      <c r="I16" s="47"/>
      <c r="J16" s="145"/>
      <c r="K16" s="48"/>
      <c r="L16" s="49"/>
      <c r="M16" s="50"/>
      <c r="N16" s="51"/>
      <c r="O16" s="51"/>
      <c r="P16" s="51"/>
      <c r="Q16" s="52"/>
      <c r="R16" s="53"/>
      <c r="S16" s="93"/>
      <c r="T16" s="93"/>
      <c r="U16" s="40" t="s">
        <v>1275</v>
      </c>
      <c r="Y16" s="65"/>
      <c r="Z16" s="35"/>
      <c r="AA16" s="34"/>
    </row>
    <row r="17" spans="1:27" ht="15.75" customHeight="1" x14ac:dyDescent="0.25">
      <c r="B17" s="6" t="s">
        <v>1272</v>
      </c>
      <c r="D17" s="21"/>
      <c r="E17" s="14"/>
      <c r="H17" s="14"/>
      <c r="I17" s="14"/>
      <c r="J17" s="143"/>
      <c r="K17" s="43"/>
      <c r="L17" s="44"/>
      <c r="M17" s="18"/>
      <c r="N17" s="45"/>
      <c r="O17" s="45"/>
      <c r="P17" s="45"/>
      <c r="Q17" s="23"/>
      <c r="U17" s="40" t="s">
        <v>1275</v>
      </c>
      <c r="Y17" s="65"/>
      <c r="Z17" s="35"/>
      <c r="AA17" s="34"/>
    </row>
    <row r="18" spans="1:27" ht="15.75" customHeight="1" x14ac:dyDescent="0.25">
      <c r="D18" s="21"/>
      <c r="E18" s="14"/>
      <c r="H18" s="14"/>
      <c r="I18" s="14"/>
      <c r="J18" s="143"/>
      <c r="K18" s="43"/>
      <c r="L18" s="44"/>
      <c r="M18" s="18"/>
      <c r="N18" s="45"/>
      <c r="O18" s="45"/>
      <c r="P18" s="45"/>
      <c r="Q18" s="23"/>
      <c r="U18" s="40" t="s">
        <v>1275</v>
      </c>
      <c r="Y18" s="65"/>
      <c r="Z18" s="35"/>
      <c r="AA18" s="34"/>
    </row>
    <row r="19" spans="1:27" ht="15.75" customHeight="1" x14ac:dyDescent="0.25">
      <c r="A19" s="56"/>
      <c r="B19" s="160" t="s">
        <v>1273</v>
      </c>
      <c r="C19" s="56"/>
      <c r="D19" s="57"/>
      <c r="E19" s="47"/>
      <c r="F19" s="58"/>
      <c r="G19" s="58"/>
      <c r="H19" s="47"/>
      <c r="I19" s="47"/>
      <c r="J19" s="145"/>
      <c r="K19" s="48"/>
      <c r="L19" s="49"/>
      <c r="M19" s="50"/>
      <c r="N19" s="51"/>
      <c r="O19" s="51"/>
      <c r="P19" s="51"/>
      <c r="Q19" s="52"/>
      <c r="R19" s="53"/>
      <c r="S19" s="93"/>
      <c r="T19" s="93"/>
      <c r="U19" s="40" t="s">
        <v>1275</v>
      </c>
      <c r="Y19" s="65"/>
      <c r="Z19" s="35"/>
      <c r="AA19" s="34"/>
    </row>
    <row r="20" spans="1:27" ht="15.75" customHeight="1" x14ac:dyDescent="0.25">
      <c r="A20" s="6" t="s">
        <v>1274</v>
      </c>
      <c r="B20" s="6" t="s">
        <v>1151</v>
      </c>
      <c r="C20" s="6" t="s">
        <v>1270</v>
      </c>
      <c r="D20" s="21">
        <v>46121</v>
      </c>
      <c r="E20" s="14" t="s">
        <v>37</v>
      </c>
      <c r="F20" s="7">
        <v>2754</v>
      </c>
      <c r="G20" s="7">
        <v>47</v>
      </c>
      <c r="H20" s="14">
        <v>12</v>
      </c>
      <c r="I20" s="14" t="s">
        <v>38</v>
      </c>
      <c r="J20" s="143">
        <v>100000</v>
      </c>
      <c r="K20" s="43"/>
      <c r="L20" s="44"/>
      <c r="M20" s="18"/>
      <c r="N20" s="45"/>
      <c r="O20" s="45"/>
      <c r="P20" s="45"/>
      <c r="Q20" s="23">
        <v>46486</v>
      </c>
      <c r="S20" s="108">
        <v>100000</v>
      </c>
      <c r="U20" s="40">
        <f>U15+S20-T20</f>
        <v>230630.41000000003</v>
      </c>
      <c r="W20" s="166">
        <v>0.14499999999999999</v>
      </c>
      <c r="Y20" s="65"/>
      <c r="Z20" s="35"/>
      <c r="AA20" s="34"/>
    </row>
    <row r="21" spans="1:27" ht="15.75" customHeight="1" x14ac:dyDescent="0.25">
      <c r="A21" s="6" t="s">
        <v>1276</v>
      </c>
      <c r="B21" s="6" t="s">
        <v>1277</v>
      </c>
      <c r="C21" s="6" t="s">
        <v>1270</v>
      </c>
      <c r="D21" s="21">
        <v>46126</v>
      </c>
      <c r="E21" s="14" t="s">
        <v>37</v>
      </c>
      <c r="F21" s="7">
        <v>2789</v>
      </c>
      <c r="G21" s="7">
        <v>48</v>
      </c>
      <c r="H21" s="14">
        <v>12</v>
      </c>
      <c r="I21" s="14" t="s">
        <v>38</v>
      </c>
      <c r="J21" s="143">
        <v>100000</v>
      </c>
      <c r="K21" s="43"/>
      <c r="L21" s="44"/>
      <c r="M21" s="18"/>
      <c r="N21" s="45"/>
      <c r="O21" s="45"/>
      <c r="P21" s="45"/>
      <c r="Q21" s="23">
        <v>46491</v>
      </c>
      <c r="S21" s="108">
        <v>100000</v>
      </c>
      <c r="U21" s="40">
        <f t="shared" ref="U21:U23" si="1">U20+S21-T21</f>
        <v>330630.41000000003</v>
      </c>
      <c r="W21" s="166">
        <v>0.16700000000000001</v>
      </c>
      <c r="Y21" s="65"/>
      <c r="Z21" s="35"/>
      <c r="AA21" s="34"/>
    </row>
    <row r="22" spans="1:27" ht="15.75" customHeight="1" x14ac:dyDescent="0.25">
      <c r="A22" s="6" t="s">
        <v>1278</v>
      </c>
      <c r="B22" s="6" t="s">
        <v>1279</v>
      </c>
      <c r="C22" s="6" t="s">
        <v>1270</v>
      </c>
      <c r="D22" s="21">
        <v>46126</v>
      </c>
      <c r="E22" s="14" t="s">
        <v>37</v>
      </c>
      <c r="F22" s="7">
        <v>2796</v>
      </c>
      <c r="G22" s="7">
        <v>49</v>
      </c>
      <c r="H22" s="14">
        <v>12</v>
      </c>
      <c r="I22" s="14" t="s">
        <v>38</v>
      </c>
      <c r="J22" s="143">
        <v>50000</v>
      </c>
      <c r="K22" s="43"/>
      <c r="L22" s="44"/>
      <c r="M22" s="18"/>
      <c r="N22" s="45"/>
      <c r="O22" s="45"/>
      <c r="P22" s="45"/>
      <c r="Q22" s="23">
        <v>46491</v>
      </c>
      <c r="S22" s="108">
        <v>50000</v>
      </c>
      <c r="U22" s="40">
        <f t="shared" si="1"/>
        <v>380630.41000000003</v>
      </c>
      <c r="W22" s="166">
        <v>0.16700000000000001</v>
      </c>
      <c r="Y22" s="65"/>
      <c r="Z22" s="35"/>
      <c r="AA22" s="34"/>
    </row>
    <row r="23" spans="1:27" ht="15.75" customHeight="1" x14ac:dyDescent="0.25">
      <c r="A23" s="46"/>
      <c r="D23" s="21"/>
      <c r="E23" s="14"/>
      <c r="H23" s="14"/>
      <c r="I23" s="14"/>
      <c r="J23" s="143"/>
      <c r="K23" s="43"/>
      <c r="L23" s="44"/>
      <c r="M23" s="18"/>
      <c r="N23" s="45"/>
      <c r="O23" s="45"/>
      <c r="P23" s="45"/>
      <c r="Q23" s="23"/>
      <c r="U23" s="40">
        <f t="shared" si="1"/>
        <v>380630.41000000003</v>
      </c>
      <c r="Y23" s="65"/>
      <c r="Z23" s="35"/>
      <c r="AA23" s="34"/>
    </row>
    <row r="24" spans="1:27" s="9" customFormat="1" ht="15.75" customHeight="1" x14ac:dyDescent="0.25">
      <c r="A24" s="56"/>
      <c r="B24" s="160" t="s">
        <v>1280</v>
      </c>
      <c r="C24" s="56"/>
      <c r="D24" s="57"/>
      <c r="E24" s="47"/>
      <c r="F24" s="58"/>
      <c r="G24" s="58"/>
      <c r="H24" s="47"/>
      <c r="I24" s="47"/>
      <c r="J24" s="145"/>
      <c r="K24" s="48"/>
      <c r="L24" s="49"/>
      <c r="M24" s="50"/>
      <c r="N24" s="51"/>
      <c r="O24" s="51"/>
      <c r="P24" s="51"/>
      <c r="Q24" s="52"/>
      <c r="R24" s="53"/>
      <c r="S24" s="93"/>
      <c r="T24" s="93"/>
      <c r="U24" s="40">
        <f>U23+S24-T24</f>
        <v>380630.41000000003</v>
      </c>
      <c r="V24" s="11"/>
      <c r="Y24" s="161"/>
      <c r="Z24" s="162"/>
      <c r="AA24" s="163"/>
    </row>
    <row r="25" spans="1:27" ht="15.75" customHeight="1" x14ac:dyDescent="0.25">
      <c r="A25" s="7"/>
      <c r="B25" s="6" t="s">
        <v>1272</v>
      </c>
      <c r="D25" s="21"/>
      <c r="E25" s="14"/>
      <c r="F25" s="55"/>
      <c r="H25" s="14"/>
      <c r="I25" s="14"/>
      <c r="K25" s="43"/>
      <c r="L25" s="44"/>
      <c r="M25" s="18"/>
      <c r="N25" s="45"/>
      <c r="O25" s="45"/>
      <c r="P25" s="45"/>
      <c r="Q25" s="23"/>
      <c r="U25" s="40">
        <f>U24+S25-T25</f>
        <v>380630.41000000003</v>
      </c>
      <c r="Y25" s="65"/>
      <c r="Z25" s="35"/>
      <c r="AA25" s="34"/>
    </row>
    <row r="26" spans="1:27" ht="15.75" customHeight="1" x14ac:dyDescent="0.25">
      <c r="D26" s="21"/>
      <c r="E26" s="14"/>
      <c r="F26" s="55"/>
      <c r="H26" s="14"/>
      <c r="I26" s="14"/>
      <c r="K26" s="43"/>
      <c r="L26" s="44"/>
      <c r="M26" s="18"/>
      <c r="N26" s="45"/>
      <c r="O26" s="45"/>
      <c r="P26" s="45"/>
      <c r="Q26" s="23"/>
      <c r="U26" s="40">
        <f t="shared" ref="U26:U39" si="2">U25+S26-T26</f>
        <v>380630.41000000003</v>
      </c>
      <c r="Y26" s="65"/>
      <c r="Z26" s="35"/>
      <c r="AA26" s="34"/>
    </row>
    <row r="27" spans="1:27" s="53" customFormat="1" ht="15.75" customHeight="1" x14ac:dyDescent="0.25">
      <c r="A27" s="56"/>
      <c r="B27" s="160" t="s">
        <v>1282</v>
      </c>
      <c r="C27" s="56"/>
      <c r="D27" s="57"/>
      <c r="E27" s="47"/>
      <c r="F27" s="167"/>
      <c r="G27" s="58"/>
      <c r="H27" s="47"/>
      <c r="I27" s="47"/>
      <c r="K27" s="48"/>
      <c r="L27" s="49"/>
      <c r="M27" s="50"/>
      <c r="N27" s="51"/>
      <c r="O27" s="51"/>
      <c r="P27" s="51"/>
      <c r="Q27" s="52"/>
      <c r="S27" s="93"/>
      <c r="T27" s="93"/>
      <c r="U27" s="168">
        <f t="shared" si="2"/>
        <v>380630.41000000003</v>
      </c>
      <c r="V27" s="169"/>
      <c r="Y27" s="170"/>
      <c r="Z27" s="171"/>
      <c r="AA27" s="172"/>
    </row>
    <row r="28" spans="1:27" ht="15.75" customHeight="1" x14ac:dyDescent="0.25">
      <c r="B28" s="6" t="s">
        <v>1272</v>
      </c>
      <c r="D28" s="21"/>
      <c r="E28" s="14"/>
      <c r="F28" s="55"/>
      <c r="H28" s="14"/>
      <c r="I28" s="14"/>
      <c r="K28" s="43"/>
      <c r="L28" s="44"/>
      <c r="M28" s="18"/>
      <c r="N28" s="45"/>
      <c r="O28" s="45"/>
      <c r="P28" s="45"/>
      <c r="Q28" s="23"/>
      <c r="U28" s="40">
        <f t="shared" si="2"/>
        <v>380630.41000000003</v>
      </c>
      <c r="Y28" s="65"/>
      <c r="Z28" s="35"/>
      <c r="AA28" s="34"/>
    </row>
    <row r="29" spans="1:27" ht="15.75" customHeight="1" x14ac:dyDescent="0.25">
      <c r="D29" s="21"/>
      <c r="E29" s="14"/>
      <c r="F29" s="55"/>
      <c r="H29" s="14"/>
      <c r="I29" s="14"/>
      <c r="K29" s="43"/>
      <c r="L29" s="44"/>
      <c r="M29" s="18"/>
      <c r="N29" s="45"/>
      <c r="O29" s="45"/>
      <c r="P29" s="45"/>
      <c r="Q29" s="23"/>
      <c r="U29" s="40">
        <f t="shared" si="2"/>
        <v>380630.41000000003</v>
      </c>
      <c r="Y29" s="65"/>
      <c r="Z29" s="35"/>
      <c r="AA29" s="34"/>
    </row>
    <row r="30" spans="1:27" s="53" customFormat="1" ht="15.75" customHeight="1" x14ac:dyDescent="0.25">
      <c r="A30" s="56"/>
      <c r="B30" s="160" t="s">
        <v>1283</v>
      </c>
      <c r="C30" s="56"/>
      <c r="D30" s="57"/>
      <c r="E30" s="47"/>
      <c r="F30" s="167"/>
      <c r="G30" s="58"/>
      <c r="H30" s="47"/>
      <c r="I30" s="47"/>
      <c r="K30" s="48"/>
      <c r="L30" s="49"/>
      <c r="M30" s="50"/>
      <c r="N30" s="51"/>
      <c r="O30" s="51"/>
      <c r="P30" s="51"/>
      <c r="Q30" s="52"/>
      <c r="S30" s="93"/>
      <c r="T30" s="93"/>
      <c r="U30" s="168">
        <f t="shared" si="2"/>
        <v>380630.41000000003</v>
      </c>
      <c r="V30" s="169"/>
      <c r="Y30" s="170"/>
      <c r="Z30" s="171"/>
      <c r="AA30" s="172"/>
    </row>
    <row r="31" spans="1:27" ht="15.75" customHeight="1" x14ac:dyDescent="0.25">
      <c r="B31" s="6" t="s">
        <v>1272</v>
      </c>
      <c r="D31" s="21"/>
      <c r="E31" s="14"/>
      <c r="F31" s="55"/>
      <c r="H31" s="14"/>
      <c r="I31" s="14"/>
      <c r="K31" s="43"/>
      <c r="L31" s="44"/>
      <c r="M31" s="18"/>
      <c r="N31" s="45"/>
      <c r="O31" s="45"/>
      <c r="P31" s="45"/>
      <c r="Q31" s="23"/>
      <c r="U31" s="40">
        <f t="shared" si="2"/>
        <v>380630.41000000003</v>
      </c>
      <c r="Y31" s="65"/>
      <c r="Z31" s="35"/>
      <c r="AA31" s="34"/>
    </row>
    <row r="32" spans="1:27" ht="15.75" customHeight="1" x14ac:dyDescent="0.25">
      <c r="D32" s="21"/>
      <c r="E32" s="14"/>
      <c r="F32" s="55"/>
      <c r="H32" s="14"/>
      <c r="I32" s="14"/>
      <c r="K32" s="43"/>
      <c r="L32" s="44"/>
      <c r="M32" s="18"/>
      <c r="N32" s="45"/>
      <c r="O32" s="45"/>
      <c r="P32" s="45"/>
      <c r="Q32" s="23"/>
      <c r="U32" s="40">
        <f t="shared" si="2"/>
        <v>380630.41000000003</v>
      </c>
      <c r="Y32" s="65"/>
      <c r="Z32" s="35"/>
      <c r="AA32" s="34"/>
    </row>
    <row r="33" spans="1:27" s="53" customFormat="1" ht="15.75" customHeight="1" x14ac:dyDescent="0.25">
      <c r="A33" s="56"/>
      <c r="B33" s="160" t="s">
        <v>1284</v>
      </c>
      <c r="C33" s="56"/>
      <c r="D33" s="57"/>
      <c r="E33" s="47"/>
      <c r="F33" s="167"/>
      <c r="G33" s="58"/>
      <c r="H33" s="47"/>
      <c r="I33" s="47"/>
      <c r="K33" s="48"/>
      <c r="L33" s="49"/>
      <c r="M33" s="50"/>
      <c r="N33" s="51"/>
      <c r="O33" s="51"/>
      <c r="P33" s="51"/>
      <c r="Q33" s="52"/>
      <c r="S33" s="93"/>
      <c r="T33" s="93"/>
      <c r="U33" s="168">
        <f t="shared" si="2"/>
        <v>380630.41000000003</v>
      </c>
      <c r="V33" s="169"/>
      <c r="Y33" s="170"/>
      <c r="Z33" s="171"/>
      <c r="AA33" s="172"/>
    </row>
    <row r="34" spans="1:27" ht="15.75" customHeight="1" x14ac:dyDescent="0.25">
      <c r="A34" s="6" t="s">
        <v>1268</v>
      </c>
      <c r="B34" s="6" t="s">
        <v>1285</v>
      </c>
      <c r="C34" s="6" t="s">
        <v>1270</v>
      </c>
      <c r="D34" s="21">
        <v>46258</v>
      </c>
      <c r="E34" s="14" t="s">
        <v>37</v>
      </c>
      <c r="F34" s="55"/>
      <c r="G34" s="7">
        <v>50</v>
      </c>
      <c r="H34" s="14">
        <v>12</v>
      </c>
      <c r="I34" s="14" t="s">
        <v>1287</v>
      </c>
      <c r="J34" s="143">
        <v>42000</v>
      </c>
      <c r="K34" s="43"/>
      <c r="L34" s="44"/>
      <c r="M34" s="18"/>
      <c r="N34" s="45"/>
      <c r="O34" s="45"/>
      <c r="P34" s="45"/>
      <c r="Q34" s="23">
        <v>46442</v>
      </c>
      <c r="S34" s="108">
        <v>42000</v>
      </c>
      <c r="U34" s="40">
        <f t="shared" si="2"/>
        <v>422630.41000000003</v>
      </c>
      <c r="W34" s="164">
        <v>0.06</v>
      </c>
      <c r="Y34" s="65"/>
      <c r="Z34" s="35"/>
      <c r="AA34" s="34"/>
    </row>
    <row r="35" spans="1:27" ht="15.75" customHeight="1" x14ac:dyDescent="0.25">
      <c r="D35" s="21"/>
      <c r="E35" s="14"/>
      <c r="F35" s="55"/>
      <c r="H35" s="14"/>
      <c r="I35" s="14"/>
      <c r="K35" s="43"/>
      <c r="L35" s="44"/>
      <c r="M35" s="18"/>
      <c r="N35" s="45"/>
      <c r="O35" s="45"/>
      <c r="P35" s="45"/>
      <c r="Q35" s="23"/>
      <c r="U35" s="40">
        <f t="shared" si="2"/>
        <v>422630.41000000003</v>
      </c>
      <c r="Y35" s="65"/>
      <c r="Z35" s="35"/>
      <c r="AA35" s="34"/>
    </row>
    <row r="36" spans="1:27" ht="15.75" customHeight="1" x14ac:dyDescent="0.25">
      <c r="D36" s="21"/>
      <c r="E36" s="14"/>
      <c r="F36" s="55"/>
      <c r="H36" s="14"/>
      <c r="I36" s="14"/>
      <c r="K36" s="43"/>
      <c r="L36" s="44"/>
      <c r="M36" s="18"/>
      <c r="N36" s="45"/>
      <c r="O36" s="45"/>
      <c r="P36" s="45"/>
      <c r="Q36" s="23"/>
      <c r="U36" s="40">
        <f t="shared" si="2"/>
        <v>422630.41000000003</v>
      </c>
      <c r="Y36" s="65"/>
      <c r="Z36" s="35"/>
      <c r="AA36" s="34"/>
    </row>
    <row r="37" spans="1:27" ht="15.75" customHeight="1" x14ac:dyDescent="0.25">
      <c r="D37" s="21"/>
      <c r="E37" s="14"/>
      <c r="F37" s="55"/>
      <c r="H37" s="14"/>
      <c r="I37" s="14"/>
      <c r="K37" s="43"/>
      <c r="L37" s="44"/>
      <c r="M37" s="18"/>
      <c r="N37" s="45"/>
      <c r="O37" s="45"/>
      <c r="P37" s="45"/>
      <c r="Q37" s="23"/>
      <c r="U37" s="40">
        <f t="shared" si="2"/>
        <v>422630.41000000003</v>
      </c>
      <c r="Y37" s="65"/>
      <c r="Z37" s="35"/>
      <c r="AA37" s="34"/>
    </row>
    <row r="38" spans="1:27" ht="15.75" customHeight="1" x14ac:dyDescent="0.25">
      <c r="D38" s="21"/>
      <c r="E38" s="14"/>
      <c r="F38" s="55"/>
      <c r="H38" s="14"/>
      <c r="I38" s="14"/>
      <c r="K38" s="43"/>
      <c r="L38" s="44"/>
      <c r="M38" s="18"/>
      <c r="N38" s="45"/>
      <c r="O38" s="45"/>
      <c r="P38" s="45"/>
      <c r="Q38" s="23"/>
      <c r="U38" s="40">
        <f t="shared" si="2"/>
        <v>422630.41000000003</v>
      </c>
      <c r="Y38" s="65"/>
      <c r="Z38" s="35"/>
      <c r="AA38" s="34"/>
    </row>
    <row r="39" spans="1:27" ht="15.75" customHeight="1" x14ac:dyDescent="0.25">
      <c r="D39" s="21"/>
      <c r="E39" s="14"/>
      <c r="H39" s="14"/>
      <c r="I39" s="14"/>
      <c r="K39" s="43"/>
      <c r="L39" s="44"/>
      <c r="M39" s="18"/>
      <c r="N39" s="45"/>
      <c r="O39" s="45"/>
      <c r="P39" s="45"/>
      <c r="Q39" s="23"/>
      <c r="U39" s="40">
        <f t="shared" si="2"/>
        <v>422630.41000000003</v>
      </c>
      <c r="Y39" s="65"/>
      <c r="Z39" s="35"/>
      <c r="AA39" s="34"/>
    </row>
    <row r="40" spans="1:27" s="156" customFormat="1" ht="15.75" x14ac:dyDescent="0.25">
      <c r="A40" s="152"/>
      <c r="B40" s="152"/>
      <c r="C40" s="152"/>
      <c r="D40" s="152"/>
      <c r="E40" s="152"/>
      <c r="F40" s="152">
        <v>2026</v>
      </c>
      <c r="G40" s="152"/>
      <c r="H40" s="152"/>
      <c r="I40" s="152"/>
      <c r="J40" s="152"/>
      <c r="K40" s="153"/>
      <c r="L40" s="153"/>
      <c r="M40" s="153"/>
      <c r="N40" s="153"/>
      <c r="O40" s="153"/>
      <c r="P40" s="153"/>
      <c r="Q40" s="152"/>
      <c r="R40" s="152"/>
      <c r="S40" s="152"/>
      <c r="T40" s="152"/>
      <c r="U40" s="40">
        <f>U39+S40-$T$4</f>
        <v>422630.41000000003</v>
      </c>
      <c r="V40" s="154">
        <f>U40</f>
        <v>422630.41000000003</v>
      </c>
      <c r="W40" s="155">
        <v>46357</v>
      </c>
      <c r="Y40" s="157"/>
      <c r="Z40" s="158"/>
      <c r="AA40" s="159"/>
    </row>
    <row r="41" spans="1:27" ht="15.75" customHeight="1" x14ac:dyDescent="0.25">
      <c r="D41" s="21"/>
      <c r="E41" s="14"/>
      <c r="H41" s="14"/>
      <c r="I41" s="14"/>
      <c r="J41" s="15"/>
      <c r="K41" s="43"/>
      <c r="L41" s="44"/>
      <c r="M41" s="18"/>
      <c r="N41" s="45"/>
      <c r="O41" s="45"/>
      <c r="P41" s="45"/>
      <c r="Q41" s="23"/>
      <c r="U41" s="40"/>
      <c r="Y41" s="65"/>
      <c r="Z41" s="35"/>
      <c r="AA41" s="34"/>
    </row>
    <row r="42" spans="1:27" ht="15.75" customHeight="1" x14ac:dyDescent="0.25">
      <c r="D42" s="21"/>
      <c r="E42" s="14"/>
      <c r="H42" s="14"/>
      <c r="I42" s="14"/>
      <c r="J42" s="8"/>
      <c r="K42" s="43"/>
      <c r="L42" s="44"/>
      <c r="M42" s="18"/>
      <c r="N42" s="45"/>
      <c r="O42" s="45"/>
      <c r="P42" s="45"/>
      <c r="Q42" s="23"/>
      <c r="U42" s="40"/>
      <c r="Y42" s="65"/>
      <c r="Z42" s="35"/>
      <c r="AA42" s="34"/>
    </row>
    <row r="43" spans="1:27" ht="15.75" customHeight="1" x14ac:dyDescent="0.25">
      <c r="D43" s="21"/>
      <c r="E43" s="14"/>
      <c r="H43" s="14"/>
      <c r="I43" s="14"/>
      <c r="J43" s="8"/>
      <c r="K43" s="43"/>
      <c r="L43" s="44"/>
      <c r="M43" s="18"/>
      <c r="N43" s="45"/>
      <c r="O43" s="45"/>
      <c r="P43" s="45"/>
      <c r="Q43" s="23"/>
      <c r="U43" s="40"/>
      <c r="Y43" s="65"/>
      <c r="Z43" s="35"/>
      <c r="AA43" s="34"/>
    </row>
    <row r="44" spans="1:27" ht="15.75" customHeight="1" x14ac:dyDescent="0.25">
      <c r="D44" s="21"/>
      <c r="E44" s="14"/>
      <c r="H44" s="14"/>
      <c r="I44" s="14"/>
      <c r="J44" s="8"/>
      <c r="K44" s="43"/>
      <c r="L44" s="44"/>
      <c r="M44" s="18"/>
      <c r="N44" s="45"/>
      <c r="O44" s="45"/>
      <c r="P44" s="45"/>
      <c r="Q44" s="23"/>
      <c r="U44" s="40"/>
      <c r="Y44" s="65"/>
      <c r="Z44" s="35"/>
      <c r="AA44" s="34"/>
    </row>
    <row r="45" spans="1:27" ht="15.75" customHeight="1" x14ac:dyDescent="0.25">
      <c r="D45" s="21"/>
      <c r="E45" s="14"/>
      <c r="H45" s="14"/>
      <c r="I45" s="14"/>
      <c r="J45" s="8"/>
      <c r="K45" s="43"/>
      <c r="L45" s="44"/>
      <c r="M45" s="18"/>
      <c r="N45" s="45"/>
      <c r="O45" s="45"/>
      <c r="P45" s="45"/>
      <c r="Q45" s="23"/>
      <c r="U45" s="40"/>
      <c r="Y45" s="65"/>
      <c r="Z45" s="35"/>
      <c r="AA45" s="34"/>
    </row>
    <row r="46" spans="1:27" ht="15.75" customHeight="1" x14ac:dyDescent="0.25">
      <c r="D46" s="21"/>
      <c r="E46" s="14"/>
      <c r="H46" s="14"/>
      <c r="I46" s="14"/>
      <c r="J46" s="8"/>
      <c r="K46" s="43"/>
      <c r="L46" s="44"/>
      <c r="M46" s="18"/>
      <c r="N46" s="45"/>
      <c r="O46" s="45"/>
      <c r="P46" s="45"/>
      <c r="Q46" s="23"/>
      <c r="U46" s="40"/>
      <c r="Y46" s="65"/>
      <c r="Z46" s="35"/>
      <c r="AA46" s="34"/>
    </row>
    <row r="47" spans="1:27" ht="15.75" customHeight="1" x14ac:dyDescent="0.25">
      <c r="D47" s="21"/>
      <c r="E47" s="14"/>
      <c r="H47" s="14"/>
      <c r="I47" s="14"/>
      <c r="J47" s="8"/>
      <c r="K47" s="43"/>
      <c r="L47" s="44"/>
      <c r="M47" s="18"/>
      <c r="N47" s="45"/>
      <c r="O47" s="45"/>
      <c r="P47" s="45"/>
      <c r="Q47" s="23"/>
      <c r="U47" s="40"/>
      <c r="Y47" s="65"/>
      <c r="Z47" s="35"/>
      <c r="AA47" s="34"/>
    </row>
    <row r="48" spans="1:27" ht="15.75" customHeight="1" x14ac:dyDescent="0.25">
      <c r="D48" s="21"/>
      <c r="E48" s="14"/>
      <c r="H48" s="14"/>
      <c r="I48" s="14"/>
      <c r="J48" s="8"/>
      <c r="K48" s="43"/>
      <c r="L48" s="44"/>
      <c r="M48" s="18"/>
      <c r="N48" s="45"/>
      <c r="O48" s="45"/>
      <c r="P48" s="45"/>
      <c r="Q48" s="23"/>
      <c r="U48" s="40"/>
      <c r="Y48" s="65"/>
      <c r="Z48" s="35"/>
      <c r="AA48" s="34"/>
    </row>
    <row r="49" spans="1:27" ht="15.75" customHeight="1" x14ac:dyDescent="0.25">
      <c r="D49" s="21"/>
      <c r="E49" s="14"/>
      <c r="H49" s="14"/>
      <c r="I49" s="14"/>
      <c r="J49" s="8"/>
      <c r="K49" s="43"/>
      <c r="L49" s="44"/>
      <c r="M49" s="18"/>
      <c r="N49" s="45"/>
      <c r="O49" s="45"/>
      <c r="P49" s="45"/>
      <c r="Q49" s="23"/>
      <c r="U49" s="40"/>
      <c r="Y49" s="65"/>
      <c r="Z49" s="35"/>
      <c r="AA49" s="34"/>
    </row>
    <row r="50" spans="1:27" ht="15.75" customHeight="1" x14ac:dyDescent="0.25">
      <c r="D50" s="21"/>
      <c r="E50" s="14"/>
      <c r="H50" s="14"/>
      <c r="I50" s="14"/>
      <c r="J50" s="8"/>
      <c r="K50" s="43"/>
      <c r="L50" s="44"/>
      <c r="M50" s="18"/>
      <c r="N50" s="45"/>
      <c r="O50" s="45"/>
      <c r="P50" s="45"/>
      <c r="Q50" s="23"/>
      <c r="U50" s="40"/>
      <c r="Y50" s="65"/>
      <c r="Z50" s="35"/>
      <c r="AA50" s="34"/>
    </row>
    <row r="51" spans="1:27" ht="15.75" customHeight="1" x14ac:dyDescent="0.25">
      <c r="D51" s="21"/>
      <c r="E51" s="14"/>
      <c r="H51" s="14"/>
      <c r="I51" s="14"/>
      <c r="J51" s="8"/>
      <c r="K51" s="43"/>
      <c r="L51" s="44"/>
      <c r="M51" s="18"/>
      <c r="N51" s="45"/>
      <c r="O51" s="45"/>
      <c r="P51" s="45"/>
      <c r="Q51" s="23"/>
      <c r="U51" s="40"/>
      <c r="Y51" s="65"/>
      <c r="Z51" s="35"/>
      <c r="AA51" s="34"/>
    </row>
    <row r="52" spans="1:27" ht="15.75" customHeight="1" x14ac:dyDescent="0.25">
      <c r="A52" s="46"/>
      <c r="D52" s="21"/>
      <c r="E52" s="14"/>
      <c r="H52" s="14"/>
      <c r="I52" s="14"/>
      <c r="K52" s="60"/>
      <c r="L52" s="61"/>
      <c r="M52" s="62"/>
      <c r="N52" s="63"/>
      <c r="O52" s="63"/>
      <c r="P52" s="63"/>
      <c r="Q52" s="23"/>
      <c r="U52" s="40">
        <f>U41+S52-T52</f>
        <v>0</v>
      </c>
      <c r="Y52" s="65"/>
      <c r="Z52" s="35"/>
      <c r="AA52" s="34"/>
    </row>
    <row r="53" spans="1:27" ht="15.75" customHeight="1" x14ac:dyDescent="0.25">
      <c r="D53" s="21"/>
      <c r="E53" s="14"/>
      <c r="H53" s="14"/>
      <c r="I53" s="14"/>
      <c r="K53" s="60"/>
      <c r="L53" s="61"/>
      <c r="M53" s="62"/>
      <c r="N53" s="63"/>
      <c r="O53" s="63"/>
      <c r="P53" s="63"/>
      <c r="Q53" s="23"/>
      <c r="U53" s="40">
        <f t="shared" ref="U53:U102" si="3">U52+S53-T53</f>
        <v>0</v>
      </c>
      <c r="Y53" s="65"/>
      <c r="Z53" s="35"/>
      <c r="AA53" s="34"/>
    </row>
    <row r="54" spans="1:27" ht="15.75" customHeight="1" x14ac:dyDescent="0.25">
      <c r="D54" s="21"/>
      <c r="E54" s="14"/>
      <c r="H54" s="14"/>
      <c r="I54" s="14"/>
      <c r="K54" s="43"/>
      <c r="L54" s="44"/>
      <c r="M54" s="18"/>
      <c r="N54" s="45"/>
      <c r="O54" s="45"/>
      <c r="P54" s="45"/>
      <c r="Q54" s="23"/>
      <c r="R54" s="23"/>
      <c r="U54" s="40">
        <f t="shared" si="3"/>
        <v>0</v>
      </c>
      <c r="Y54" s="65"/>
      <c r="Z54" s="35"/>
      <c r="AA54" s="34"/>
    </row>
    <row r="55" spans="1:27" ht="15.75" customHeight="1" x14ac:dyDescent="0.25">
      <c r="D55" s="21"/>
      <c r="E55" s="14"/>
      <c r="H55" s="14"/>
      <c r="I55" s="14"/>
      <c r="K55" s="43"/>
      <c r="L55" s="44"/>
      <c r="M55" s="18"/>
      <c r="N55" s="45"/>
      <c r="O55" s="45"/>
      <c r="P55" s="45"/>
      <c r="Q55" s="23"/>
      <c r="U55" s="40">
        <f t="shared" si="3"/>
        <v>0</v>
      </c>
      <c r="Y55" s="65"/>
      <c r="Z55" s="35"/>
      <c r="AA55" s="34"/>
    </row>
    <row r="56" spans="1:27" ht="15.75" customHeight="1" x14ac:dyDescent="0.25">
      <c r="D56" s="21"/>
      <c r="E56" s="14"/>
      <c r="H56" s="14"/>
      <c r="I56" s="14"/>
      <c r="K56" s="43"/>
      <c r="L56" s="44"/>
      <c r="M56" s="18"/>
      <c r="N56" s="45"/>
      <c r="O56" s="45"/>
      <c r="P56" s="45"/>
      <c r="Q56" s="23"/>
      <c r="T56" s="64">
        <v>61000</v>
      </c>
      <c r="U56" s="40">
        <f t="shared" si="3"/>
        <v>-61000</v>
      </c>
      <c r="Y56" s="65"/>
      <c r="Z56" s="35"/>
      <c r="AA56" s="34"/>
    </row>
    <row r="57" spans="1:27" ht="15.75" x14ac:dyDescent="0.25">
      <c r="A57" s="56"/>
      <c r="B57" s="56"/>
      <c r="C57" s="56"/>
      <c r="D57" s="57"/>
      <c r="E57" s="58"/>
      <c r="F57" s="58"/>
      <c r="G57" s="114">
        <v>2016</v>
      </c>
      <c r="H57" s="47"/>
      <c r="I57" s="58"/>
      <c r="J57" s="59"/>
      <c r="K57" s="48"/>
      <c r="L57" s="49"/>
      <c r="M57" s="50"/>
      <c r="N57" s="51"/>
      <c r="O57" s="51"/>
      <c r="P57" s="51"/>
      <c r="Q57" s="52"/>
      <c r="R57" s="53"/>
      <c r="T57" s="54"/>
      <c r="U57" s="40">
        <f t="shared" si="3"/>
        <v>-61000</v>
      </c>
      <c r="V57" s="11">
        <v>189100</v>
      </c>
      <c r="W57" s="1" t="s">
        <v>41</v>
      </c>
      <c r="Y57" s="65"/>
      <c r="Z57" s="35"/>
      <c r="AA57" s="34"/>
    </row>
    <row r="58" spans="1:27" ht="15.75" customHeight="1" x14ac:dyDescent="0.25">
      <c r="A58" s="12"/>
      <c r="B58" s="12"/>
      <c r="C58" s="12"/>
      <c r="D58" s="13"/>
      <c r="E58" s="14"/>
      <c r="F58" s="14"/>
      <c r="G58" s="14"/>
      <c r="H58" s="14"/>
      <c r="I58" s="14"/>
      <c r="J58" s="15"/>
      <c r="K58" s="43"/>
      <c r="L58" s="44"/>
      <c r="M58" s="18"/>
      <c r="N58" s="45"/>
      <c r="O58" s="45"/>
      <c r="P58" s="45"/>
      <c r="Q58" s="23"/>
      <c r="R58" s="19"/>
      <c r="S58" s="107"/>
      <c r="T58" s="26">
        <v>1500</v>
      </c>
      <c r="U58" s="40">
        <f t="shared" si="3"/>
        <v>-62500</v>
      </c>
      <c r="Y58" s="65"/>
      <c r="Z58" s="35"/>
      <c r="AA58" s="34"/>
    </row>
    <row r="59" spans="1:27" ht="15.75" customHeight="1" x14ac:dyDescent="0.25">
      <c r="D59" s="21"/>
      <c r="E59" s="14"/>
      <c r="H59" s="14"/>
      <c r="I59" s="14"/>
      <c r="J59" s="15"/>
      <c r="K59" s="43"/>
      <c r="L59" s="44"/>
      <c r="M59" s="18"/>
      <c r="N59" s="45"/>
      <c r="O59" s="45"/>
      <c r="P59" s="45"/>
      <c r="Q59" s="23"/>
      <c r="T59" s="25">
        <v>3000</v>
      </c>
      <c r="U59" s="40">
        <f t="shared" si="3"/>
        <v>-65500</v>
      </c>
      <c r="Y59" s="65"/>
      <c r="Z59" s="35"/>
      <c r="AA59" s="34"/>
    </row>
    <row r="60" spans="1:27" ht="15.75" customHeight="1" x14ac:dyDescent="0.25">
      <c r="A60" s="46"/>
      <c r="D60" s="21"/>
      <c r="E60" s="14"/>
      <c r="H60" s="14"/>
      <c r="I60" s="14"/>
      <c r="K60" s="43"/>
      <c r="L60" s="44"/>
      <c r="M60" s="18"/>
      <c r="N60" s="45"/>
      <c r="O60" s="45"/>
      <c r="P60" s="45"/>
      <c r="Q60" s="23"/>
      <c r="U60" s="40">
        <f t="shared" si="3"/>
        <v>-65500</v>
      </c>
      <c r="Y60" s="65"/>
      <c r="Z60" s="35"/>
      <c r="AA60" s="34"/>
    </row>
    <row r="61" spans="1:27" ht="15.75" customHeight="1" x14ac:dyDescent="0.25">
      <c r="D61" s="21"/>
      <c r="E61" s="14"/>
      <c r="H61" s="14"/>
      <c r="I61" s="14"/>
      <c r="K61" s="43"/>
      <c r="L61" s="44"/>
      <c r="M61" s="18"/>
      <c r="N61" s="45"/>
      <c r="O61" s="45"/>
      <c r="P61" s="45"/>
      <c r="Q61" s="23"/>
      <c r="U61" s="40">
        <f t="shared" si="3"/>
        <v>-65500</v>
      </c>
      <c r="Y61" s="65"/>
      <c r="Z61" s="35"/>
      <c r="AA61" s="34"/>
    </row>
    <row r="62" spans="1:27" ht="15.75" customHeight="1" x14ac:dyDescent="0.25">
      <c r="D62" s="21"/>
      <c r="E62" s="14"/>
      <c r="H62" s="14"/>
      <c r="I62" s="14"/>
      <c r="K62" s="43"/>
      <c r="L62" s="44"/>
      <c r="M62" s="18"/>
      <c r="N62" s="45"/>
      <c r="O62" s="45"/>
      <c r="P62" s="45"/>
      <c r="Q62" s="23"/>
      <c r="T62" s="25"/>
      <c r="U62" s="40">
        <f t="shared" si="3"/>
        <v>-65500</v>
      </c>
      <c r="Y62" s="65"/>
      <c r="Z62" s="35"/>
      <c r="AA62" s="34"/>
    </row>
    <row r="63" spans="1:27" ht="15.75" customHeight="1" x14ac:dyDescent="0.25">
      <c r="D63" s="21"/>
      <c r="E63" s="14"/>
      <c r="H63" s="14"/>
      <c r="I63" s="14"/>
      <c r="K63" s="43"/>
      <c r="L63" s="44"/>
      <c r="M63" s="18"/>
      <c r="N63" s="45"/>
      <c r="O63" s="45"/>
      <c r="P63" s="45"/>
      <c r="Q63" s="23"/>
      <c r="T63" s="25"/>
      <c r="U63" s="40">
        <f t="shared" si="3"/>
        <v>-65500</v>
      </c>
      <c r="Y63" s="65"/>
      <c r="Z63" s="35"/>
      <c r="AA63" s="34"/>
    </row>
    <row r="64" spans="1:27" ht="15.75" customHeight="1" x14ac:dyDescent="0.25">
      <c r="D64" s="21"/>
      <c r="E64" s="14"/>
      <c r="F64" s="55"/>
      <c r="H64" s="14"/>
      <c r="I64" s="14"/>
      <c r="K64" s="43"/>
      <c r="L64" s="44"/>
      <c r="M64" s="18"/>
      <c r="N64" s="45"/>
      <c r="O64" s="45"/>
      <c r="P64" s="45"/>
      <c r="Q64" s="23"/>
      <c r="T64" s="25"/>
      <c r="U64" s="40">
        <f t="shared" si="3"/>
        <v>-65500</v>
      </c>
      <c r="Y64" s="65"/>
      <c r="Z64" s="35"/>
      <c r="AA64" s="34"/>
    </row>
    <row r="65" spans="1:27" ht="15.75" customHeight="1" x14ac:dyDescent="0.25">
      <c r="D65" s="21"/>
      <c r="E65" s="14"/>
      <c r="H65" s="14"/>
      <c r="I65" s="14"/>
      <c r="K65" s="43"/>
      <c r="L65" s="44"/>
      <c r="M65" s="18"/>
      <c r="N65" s="45"/>
      <c r="O65" s="45"/>
      <c r="P65" s="45"/>
      <c r="Q65" s="23"/>
      <c r="T65" s="25"/>
      <c r="U65" s="40">
        <f t="shared" si="3"/>
        <v>-65500</v>
      </c>
      <c r="Y65" s="65"/>
      <c r="Z65" s="35"/>
      <c r="AA65" s="34"/>
    </row>
    <row r="66" spans="1:27" ht="15.75" customHeight="1" x14ac:dyDescent="0.25">
      <c r="D66" s="21"/>
      <c r="E66" s="14"/>
      <c r="H66" s="14"/>
      <c r="I66" s="14"/>
      <c r="K66" s="43"/>
      <c r="L66" s="44"/>
      <c r="M66" s="18"/>
      <c r="N66" s="45"/>
      <c r="O66" s="45"/>
      <c r="P66" s="45"/>
      <c r="Q66" s="23"/>
      <c r="T66" s="25"/>
      <c r="U66" s="40">
        <f t="shared" si="3"/>
        <v>-65500</v>
      </c>
      <c r="Y66" s="65"/>
      <c r="Z66" s="35"/>
      <c r="AA66" s="34"/>
    </row>
    <row r="67" spans="1:27" ht="15.75" customHeight="1" x14ac:dyDescent="0.25">
      <c r="D67" s="21"/>
      <c r="E67" s="14"/>
      <c r="H67" s="14"/>
      <c r="I67" s="14"/>
      <c r="K67" s="43"/>
      <c r="L67" s="44"/>
      <c r="M67" s="18"/>
      <c r="N67" s="45"/>
      <c r="O67" s="45"/>
      <c r="P67" s="45"/>
      <c r="Q67" s="23"/>
      <c r="T67" s="25"/>
      <c r="U67" s="40">
        <f t="shared" si="3"/>
        <v>-65500</v>
      </c>
      <c r="Y67" s="65"/>
      <c r="Z67" s="35"/>
      <c r="AA67" s="34"/>
    </row>
    <row r="68" spans="1:27" ht="15.75" customHeight="1" x14ac:dyDescent="0.25">
      <c r="D68" s="21"/>
      <c r="E68" s="14"/>
      <c r="H68" s="14"/>
      <c r="I68" s="14"/>
      <c r="K68" s="43"/>
      <c r="L68" s="44"/>
      <c r="M68" s="18"/>
      <c r="N68" s="45"/>
      <c r="O68" s="45"/>
      <c r="P68" s="45"/>
      <c r="Q68" s="23"/>
      <c r="T68" s="25"/>
      <c r="U68" s="40">
        <f t="shared" si="3"/>
        <v>-65500</v>
      </c>
      <c r="Y68" s="65"/>
      <c r="Z68" s="35"/>
      <c r="AA68" s="34"/>
    </row>
    <row r="69" spans="1:27" ht="15.75" customHeight="1" x14ac:dyDescent="0.25">
      <c r="D69" s="21"/>
      <c r="E69" s="14"/>
      <c r="H69" s="14"/>
      <c r="I69" s="14"/>
      <c r="K69" s="43"/>
      <c r="L69" s="44"/>
      <c r="M69" s="18"/>
      <c r="N69" s="45"/>
      <c r="O69" s="45"/>
      <c r="P69" s="45"/>
      <c r="Q69" s="23"/>
      <c r="T69" s="25"/>
      <c r="U69" s="40">
        <f t="shared" si="3"/>
        <v>-65500</v>
      </c>
      <c r="Y69" s="65"/>
      <c r="Z69" s="35"/>
      <c r="AA69" s="34"/>
    </row>
    <row r="70" spans="1:27" ht="15.75" customHeight="1" x14ac:dyDescent="0.25">
      <c r="D70" s="21"/>
      <c r="E70" s="14"/>
      <c r="H70" s="14"/>
      <c r="I70" s="14"/>
      <c r="K70" s="43"/>
      <c r="L70" s="44"/>
      <c r="M70" s="18"/>
      <c r="N70" s="45"/>
      <c r="O70" s="45"/>
      <c r="P70" s="45"/>
      <c r="Q70" s="23"/>
      <c r="T70" s="25"/>
      <c r="U70" s="40">
        <f t="shared" si="3"/>
        <v>-65500</v>
      </c>
      <c r="Y70" s="65"/>
      <c r="Z70" s="35"/>
      <c r="AA70" s="34"/>
    </row>
    <row r="71" spans="1:27" ht="15.75" customHeight="1" x14ac:dyDescent="0.25">
      <c r="D71" s="21"/>
      <c r="E71" s="14"/>
      <c r="H71" s="14"/>
      <c r="I71" s="14"/>
      <c r="K71" s="43"/>
      <c r="L71" s="44"/>
      <c r="M71" s="18"/>
      <c r="N71" s="45"/>
      <c r="O71" s="45"/>
      <c r="P71" s="45"/>
      <c r="Q71" s="23"/>
      <c r="T71" s="25"/>
      <c r="U71" s="40">
        <f t="shared" si="3"/>
        <v>-65500</v>
      </c>
      <c r="Y71" s="65"/>
      <c r="Z71" s="35"/>
      <c r="AA71" s="34"/>
    </row>
    <row r="72" spans="1:27" ht="15.75" customHeight="1" x14ac:dyDescent="0.25">
      <c r="D72" s="21"/>
      <c r="E72" s="14"/>
      <c r="H72" s="14"/>
      <c r="I72" s="14"/>
      <c r="K72" s="43"/>
      <c r="L72" s="44"/>
      <c r="M72" s="18"/>
      <c r="N72" s="45"/>
      <c r="O72" s="45"/>
      <c r="P72" s="45"/>
      <c r="Q72" s="23"/>
      <c r="T72" s="25"/>
      <c r="U72" s="40">
        <f t="shared" si="3"/>
        <v>-65500</v>
      </c>
      <c r="Y72" s="65"/>
      <c r="Z72" s="35"/>
      <c r="AA72" s="34"/>
    </row>
    <row r="73" spans="1:27" ht="15.75" customHeight="1" x14ac:dyDescent="0.25">
      <c r="D73" s="21"/>
      <c r="E73" s="14"/>
      <c r="H73" s="14"/>
      <c r="I73" s="14"/>
      <c r="K73" s="43"/>
      <c r="L73" s="44"/>
      <c r="M73" s="18"/>
      <c r="N73" s="45"/>
      <c r="O73" s="45"/>
      <c r="P73" s="45"/>
      <c r="Q73" s="23"/>
      <c r="T73" s="25"/>
      <c r="U73" s="40">
        <f t="shared" si="3"/>
        <v>-65500</v>
      </c>
      <c r="Y73" s="65"/>
      <c r="Z73" s="35"/>
      <c r="AA73" s="34"/>
    </row>
    <row r="74" spans="1:27" ht="15.75" customHeight="1" x14ac:dyDescent="0.25">
      <c r="D74" s="21"/>
      <c r="E74" s="14"/>
      <c r="H74" s="14"/>
      <c r="I74" s="14"/>
      <c r="K74" s="43"/>
      <c r="L74" s="44"/>
      <c r="M74" s="18"/>
      <c r="N74" s="45"/>
      <c r="O74" s="45"/>
      <c r="P74" s="45"/>
      <c r="Q74" s="23"/>
      <c r="T74" s="25"/>
      <c r="U74" s="40">
        <f t="shared" si="3"/>
        <v>-65500</v>
      </c>
      <c r="Y74" s="65"/>
      <c r="Z74" s="35"/>
      <c r="AA74" s="34"/>
    </row>
    <row r="75" spans="1:27" ht="15.75" customHeight="1" x14ac:dyDescent="0.25">
      <c r="D75" s="21"/>
      <c r="E75" s="14"/>
      <c r="H75" s="14"/>
      <c r="I75" s="14"/>
      <c r="K75" s="43"/>
      <c r="L75" s="44"/>
      <c r="M75" s="18"/>
      <c r="N75" s="45"/>
      <c r="O75" s="45"/>
      <c r="P75" s="45"/>
      <c r="Q75" s="23"/>
      <c r="T75" s="25"/>
      <c r="U75" s="40">
        <f t="shared" si="3"/>
        <v>-65500</v>
      </c>
      <c r="Y75" s="65"/>
      <c r="Z75" s="35"/>
      <c r="AA75" s="34"/>
    </row>
    <row r="76" spans="1:27" ht="15.75" customHeight="1" x14ac:dyDescent="0.25">
      <c r="D76" s="21"/>
      <c r="E76" s="14"/>
      <c r="H76" s="14"/>
      <c r="I76" s="14"/>
      <c r="K76" s="43"/>
      <c r="L76" s="44"/>
      <c r="M76" s="18"/>
      <c r="N76" s="45"/>
      <c r="O76" s="45"/>
      <c r="P76" s="45"/>
      <c r="Q76" s="23"/>
      <c r="U76" s="40">
        <f t="shared" si="3"/>
        <v>-65500</v>
      </c>
      <c r="Y76" s="65"/>
      <c r="Z76" s="35"/>
      <c r="AA76" s="34"/>
    </row>
    <row r="77" spans="1:27" ht="15.75" customHeight="1" x14ac:dyDescent="0.25">
      <c r="D77" s="21"/>
      <c r="E77" s="14"/>
      <c r="H77" s="14"/>
      <c r="I77" s="14"/>
      <c r="K77" s="43"/>
      <c r="L77" s="44"/>
      <c r="M77" s="18"/>
      <c r="N77" s="45"/>
      <c r="O77" s="45"/>
      <c r="P77" s="45"/>
      <c r="Q77" s="23"/>
      <c r="T77" s="25"/>
      <c r="U77" s="40">
        <f t="shared" si="3"/>
        <v>-65500</v>
      </c>
      <c r="Y77" s="65"/>
      <c r="Z77" s="35"/>
      <c r="AA77" s="34"/>
    </row>
    <row r="78" spans="1:27" ht="15.75" customHeight="1" x14ac:dyDescent="0.25">
      <c r="A78" s="66"/>
      <c r="B78" s="67"/>
      <c r="C78" s="67"/>
      <c r="D78" s="68"/>
      <c r="E78" s="69"/>
      <c r="F78" s="55"/>
      <c r="G78" s="55"/>
      <c r="H78" s="69"/>
      <c r="I78" s="69"/>
      <c r="J78" s="70"/>
      <c r="K78" s="43"/>
      <c r="L78" s="44"/>
      <c r="M78" s="18"/>
      <c r="N78" s="45"/>
      <c r="O78" s="45"/>
      <c r="P78" s="45"/>
      <c r="Q78" s="71"/>
      <c r="R78" s="70"/>
      <c r="S78" s="110"/>
      <c r="T78" s="25"/>
      <c r="U78" s="40">
        <f t="shared" si="3"/>
        <v>-65500</v>
      </c>
      <c r="Y78" s="65"/>
      <c r="Z78" s="35"/>
      <c r="AA78" s="34"/>
    </row>
    <row r="79" spans="1:27" ht="15.75" customHeight="1" x14ac:dyDescent="0.25">
      <c r="D79" s="21"/>
      <c r="E79" s="14"/>
      <c r="H79" s="7"/>
      <c r="I79" s="14"/>
      <c r="K79" s="43"/>
      <c r="L79" s="44"/>
      <c r="M79" s="18"/>
      <c r="N79" s="45"/>
      <c r="O79" s="45"/>
      <c r="P79" s="45"/>
      <c r="Q79" s="23"/>
      <c r="T79" s="25"/>
      <c r="U79" s="40">
        <f t="shared" si="3"/>
        <v>-65500</v>
      </c>
      <c r="Y79" s="65"/>
      <c r="Z79" s="35"/>
      <c r="AA79" s="34"/>
    </row>
    <row r="80" spans="1:27" ht="15.75" customHeight="1" x14ac:dyDescent="0.25">
      <c r="D80" s="21"/>
      <c r="E80" s="14"/>
      <c r="H80" s="14"/>
      <c r="I80" s="14"/>
      <c r="K80" s="43"/>
      <c r="L80" s="44"/>
      <c r="M80" s="18"/>
      <c r="N80" s="45"/>
      <c r="O80" s="45"/>
      <c r="P80" s="45"/>
      <c r="Q80" s="23"/>
      <c r="T80" s="25"/>
      <c r="U80" s="40">
        <f t="shared" si="3"/>
        <v>-65500</v>
      </c>
      <c r="Y80" s="65"/>
      <c r="Z80" s="35"/>
      <c r="AA80" s="34"/>
    </row>
    <row r="81" spans="1:27" ht="15.75" customHeight="1" x14ac:dyDescent="0.25">
      <c r="D81" s="21"/>
      <c r="E81" s="14"/>
      <c r="F81" s="22"/>
      <c r="H81" s="14"/>
      <c r="I81" s="14"/>
      <c r="K81" s="43"/>
      <c r="L81" s="44"/>
      <c r="M81" s="18"/>
      <c r="N81" s="45"/>
      <c r="O81" s="45"/>
      <c r="P81" s="45"/>
      <c r="Q81" s="23"/>
      <c r="T81" s="25"/>
      <c r="U81" s="40">
        <f>U80+S81-T81</f>
        <v>-65500</v>
      </c>
      <c r="Y81" s="65"/>
      <c r="Z81" s="35"/>
      <c r="AA81" s="34"/>
    </row>
    <row r="82" spans="1:27" ht="15.75" customHeight="1" x14ac:dyDescent="0.25">
      <c r="D82" s="21"/>
      <c r="E82" s="14"/>
      <c r="H82" s="14"/>
      <c r="I82" s="14"/>
      <c r="K82" s="43"/>
      <c r="L82" s="44"/>
      <c r="M82" s="18"/>
      <c r="N82" s="45"/>
      <c r="O82" s="45"/>
      <c r="P82" s="45"/>
      <c r="Q82" s="23"/>
      <c r="T82" s="25"/>
      <c r="U82" s="40">
        <f t="shared" si="3"/>
        <v>-65500</v>
      </c>
      <c r="Y82" s="65"/>
      <c r="Z82" s="35"/>
      <c r="AA82" s="34"/>
    </row>
    <row r="83" spans="1:27" ht="15.75" customHeight="1" x14ac:dyDescent="0.25">
      <c r="D83" s="21"/>
      <c r="E83" s="14"/>
      <c r="H83" s="14"/>
      <c r="I83" s="14"/>
      <c r="K83" s="43"/>
      <c r="L83" s="44"/>
      <c r="M83" s="18"/>
      <c r="N83" s="45"/>
      <c r="O83" s="45"/>
      <c r="P83" s="45"/>
      <c r="Q83" s="23"/>
      <c r="T83" s="25"/>
      <c r="U83" s="40">
        <f t="shared" si="3"/>
        <v>-65500</v>
      </c>
      <c r="Y83" s="65"/>
      <c r="Z83" s="35"/>
      <c r="AA83" s="34"/>
    </row>
    <row r="84" spans="1:27" ht="15.75" customHeight="1" x14ac:dyDescent="0.25">
      <c r="D84" s="21"/>
      <c r="E84" s="14"/>
      <c r="H84" s="14"/>
      <c r="I84" s="14"/>
      <c r="K84" s="43"/>
      <c r="L84" s="44"/>
      <c r="M84" s="18"/>
      <c r="N84" s="45"/>
      <c r="O84" s="45"/>
      <c r="P84" s="45"/>
      <c r="Q84" s="23"/>
      <c r="T84" s="25"/>
      <c r="U84" s="40">
        <f t="shared" si="3"/>
        <v>-65500</v>
      </c>
      <c r="Y84" s="65"/>
      <c r="Z84" s="35"/>
      <c r="AA84" s="34"/>
    </row>
    <row r="85" spans="1:27" ht="15.75" customHeight="1" x14ac:dyDescent="0.25">
      <c r="D85" s="21"/>
      <c r="E85" s="14"/>
      <c r="H85" s="14"/>
      <c r="I85" s="14"/>
      <c r="K85" s="43"/>
      <c r="L85" s="44"/>
      <c r="M85" s="18"/>
      <c r="N85" s="45"/>
      <c r="O85" s="45"/>
      <c r="P85" s="45"/>
      <c r="Q85" s="23"/>
      <c r="T85" s="25"/>
      <c r="U85" s="40">
        <f t="shared" si="3"/>
        <v>-65500</v>
      </c>
      <c r="Y85" s="65"/>
      <c r="Z85" s="35"/>
      <c r="AA85" s="34"/>
    </row>
    <row r="86" spans="1:27" ht="15.75" customHeight="1" x14ac:dyDescent="0.25">
      <c r="D86" s="21"/>
      <c r="E86" s="14"/>
      <c r="H86" s="14"/>
      <c r="I86" s="14"/>
      <c r="K86" s="43"/>
      <c r="L86" s="44"/>
      <c r="M86" s="18"/>
      <c r="N86" s="45"/>
      <c r="O86" s="45"/>
      <c r="P86" s="45"/>
      <c r="Q86" s="23"/>
      <c r="T86" s="25"/>
      <c r="U86" s="40">
        <f t="shared" si="3"/>
        <v>-65500</v>
      </c>
      <c r="Y86" s="65"/>
      <c r="Z86" s="35"/>
      <c r="AA86" s="34"/>
    </row>
    <row r="87" spans="1:27" ht="15.75" customHeight="1" x14ac:dyDescent="0.25">
      <c r="D87" s="21"/>
      <c r="E87" s="14"/>
      <c r="H87" s="14"/>
      <c r="I87" s="14"/>
      <c r="K87" s="43"/>
      <c r="L87" s="44"/>
      <c r="M87" s="18"/>
      <c r="N87" s="45"/>
      <c r="O87" s="45"/>
      <c r="P87" s="45"/>
      <c r="Q87" s="23"/>
      <c r="T87" s="25"/>
      <c r="U87" s="40">
        <f t="shared" si="3"/>
        <v>-65500</v>
      </c>
      <c r="Y87" s="65"/>
      <c r="Z87" s="35"/>
      <c r="AA87" s="34"/>
    </row>
    <row r="88" spans="1:27" ht="15.75" customHeight="1" x14ac:dyDescent="0.25">
      <c r="A88" s="66"/>
      <c r="B88" s="67"/>
      <c r="C88" s="67"/>
      <c r="D88" s="68"/>
      <c r="E88" s="69"/>
      <c r="F88" s="55"/>
      <c r="G88" s="55"/>
      <c r="H88" s="69"/>
      <c r="I88" s="69"/>
      <c r="J88" s="70"/>
      <c r="K88" s="43"/>
      <c r="L88" s="44"/>
      <c r="M88" s="18"/>
      <c r="N88" s="45"/>
      <c r="O88" s="45"/>
      <c r="P88" s="45"/>
      <c r="Q88" s="71"/>
      <c r="R88" s="70"/>
      <c r="S88" s="110"/>
      <c r="T88" s="25"/>
      <c r="U88" s="40">
        <f t="shared" si="3"/>
        <v>-65500</v>
      </c>
      <c r="Y88" s="65"/>
      <c r="Z88" s="35"/>
      <c r="AA88" s="34"/>
    </row>
    <row r="89" spans="1:27" ht="15.75" customHeight="1" x14ac:dyDescent="0.25">
      <c r="A89" s="21"/>
      <c r="D89" s="21"/>
      <c r="E89" s="14"/>
      <c r="H89" s="14"/>
      <c r="I89" s="14"/>
      <c r="K89" s="43"/>
      <c r="L89" s="44"/>
      <c r="M89" s="18"/>
      <c r="N89" s="45"/>
      <c r="O89" s="45"/>
      <c r="P89" s="45"/>
      <c r="Q89" s="23"/>
      <c r="T89" s="25"/>
      <c r="U89" s="40">
        <f t="shared" si="3"/>
        <v>-65500</v>
      </c>
      <c r="Y89" s="65"/>
      <c r="Z89" s="35"/>
      <c r="AA89" s="34"/>
    </row>
    <row r="90" spans="1:27" ht="15.75" customHeight="1" x14ac:dyDescent="0.25">
      <c r="D90" s="21"/>
      <c r="E90" s="14"/>
      <c r="H90" s="14"/>
      <c r="I90" s="14"/>
      <c r="K90" s="43"/>
      <c r="L90" s="44"/>
      <c r="M90" s="18"/>
      <c r="N90" s="45"/>
      <c r="O90" s="45"/>
      <c r="P90" s="45"/>
      <c r="Q90" s="23"/>
      <c r="T90" s="25"/>
      <c r="U90" s="40">
        <f t="shared" si="3"/>
        <v>-65500</v>
      </c>
      <c r="V90" s="11">
        <v>460230</v>
      </c>
      <c r="W90" s="72">
        <f>V91-V90</f>
        <v>-10000</v>
      </c>
      <c r="X90" s="1" t="s">
        <v>70</v>
      </c>
      <c r="Y90" s="65"/>
      <c r="Z90" s="35"/>
      <c r="AA90" s="34"/>
    </row>
    <row r="91" spans="1:27" ht="15.75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4"/>
      <c r="L91" s="114"/>
      <c r="M91" s="114"/>
      <c r="N91" s="114"/>
      <c r="O91" s="114"/>
      <c r="P91" s="114"/>
      <c r="Q91" s="118"/>
      <c r="R91" s="118"/>
      <c r="S91" s="118"/>
      <c r="T91" s="118"/>
      <c r="U91" s="40">
        <f t="shared" si="3"/>
        <v>-65500</v>
      </c>
      <c r="V91" s="73">
        <v>450230</v>
      </c>
      <c r="W91" s="1" t="s">
        <v>71</v>
      </c>
      <c r="Y91" s="65"/>
      <c r="Z91" s="35"/>
      <c r="AA91" s="34"/>
    </row>
    <row r="92" spans="1:27" ht="15.75" customHeight="1" x14ac:dyDescent="0.25">
      <c r="A92" s="12" t="s">
        <v>72</v>
      </c>
      <c r="B92" s="12" t="s">
        <v>73</v>
      </c>
      <c r="C92" s="12"/>
      <c r="D92" s="13">
        <v>43108</v>
      </c>
      <c r="E92" s="14" t="s">
        <v>27</v>
      </c>
      <c r="F92" s="14">
        <v>4614</v>
      </c>
      <c r="G92" s="14">
        <v>51</v>
      </c>
      <c r="H92" s="14">
        <v>12</v>
      </c>
      <c r="I92" s="14" t="s">
        <v>38</v>
      </c>
      <c r="J92" s="15">
        <v>5000</v>
      </c>
      <c r="K92" s="43"/>
      <c r="L92" s="44"/>
      <c r="M92" s="18"/>
      <c r="N92" s="45"/>
      <c r="O92" s="45"/>
      <c r="P92" s="45"/>
      <c r="Q92" s="23">
        <v>43290</v>
      </c>
      <c r="R92" s="19">
        <v>1172</v>
      </c>
      <c r="S92" s="107">
        <f>J92</f>
        <v>5000</v>
      </c>
      <c r="T92" s="26"/>
      <c r="U92" s="40">
        <f t="shared" si="3"/>
        <v>-60500</v>
      </c>
      <c r="Y92" s="65"/>
      <c r="Z92" s="35"/>
      <c r="AA92" s="34"/>
    </row>
    <row r="93" spans="1:27" ht="15.75" customHeight="1" x14ac:dyDescent="0.25">
      <c r="A93" s="6" t="s">
        <v>74</v>
      </c>
      <c r="B93" s="6" t="s">
        <v>75</v>
      </c>
      <c r="D93" s="21">
        <v>43121</v>
      </c>
      <c r="E93" s="7" t="s">
        <v>27</v>
      </c>
      <c r="F93" s="7">
        <v>4739</v>
      </c>
      <c r="G93" s="7">
        <v>52</v>
      </c>
      <c r="H93" s="14">
        <v>12</v>
      </c>
      <c r="I93" s="10" t="s">
        <v>38</v>
      </c>
      <c r="J93" s="15">
        <v>2000</v>
      </c>
      <c r="K93" s="43"/>
      <c r="L93" s="44"/>
      <c r="M93" s="18"/>
      <c r="N93" s="45"/>
      <c r="O93" s="45"/>
      <c r="P93" s="45"/>
      <c r="Q93" s="23">
        <v>43493</v>
      </c>
      <c r="R93" s="9">
        <v>1406</v>
      </c>
      <c r="S93" s="108">
        <f>J93</f>
        <v>2000</v>
      </c>
      <c r="T93" s="25"/>
      <c r="U93" s="40">
        <f t="shared" si="3"/>
        <v>-58500</v>
      </c>
      <c r="Y93" s="65"/>
      <c r="Z93" s="35"/>
      <c r="AA93" s="34"/>
    </row>
    <row r="94" spans="1:27" ht="15.75" customHeight="1" x14ac:dyDescent="0.25">
      <c r="A94" s="46" t="s">
        <v>76</v>
      </c>
      <c r="B94" s="6" t="s">
        <v>77</v>
      </c>
      <c r="C94" s="6" t="s">
        <v>78</v>
      </c>
      <c r="D94" s="21">
        <v>43111</v>
      </c>
      <c r="E94" s="7" t="s">
        <v>27</v>
      </c>
      <c r="F94" s="7">
        <v>4641</v>
      </c>
      <c r="G94" s="7">
        <v>54</v>
      </c>
      <c r="H94" s="14">
        <v>12</v>
      </c>
      <c r="I94" s="10" t="s">
        <v>38</v>
      </c>
      <c r="J94" s="9">
        <v>30000</v>
      </c>
      <c r="K94" s="43"/>
      <c r="L94" s="44"/>
      <c r="M94" s="18"/>
      <c r="N94" s="45"/>
      <c r="O94" s="45"/>
      <c r="P94" s="45"/>
      <c r="Q94" s="23">
        <v>43476</v>
      </c>
      <c r="R94" s="9">
        <v>3917</v>
      </c>
      <c r="S94" s="108">
        <f t="shared" ref="S94:S196" si="4">J94</f>
        <v>30000</v>
      </c>
      <c r="T94" s="25"/>
      <c r="U94" s="40">
        <f t="shared" si="3"/>
        <v>-28500</v>
      </c>
      <c r="Y94" s="65"/>
      <c r="Z94" s="35"/>
      <c r="AA94" s="34"/>
    </row>
    <row r="95" spans="1:27" ht="15.75" customHeight="1" x14ac:dyDescent="0.25">
      <c r="A95" s="6" t="s">
        <v>79</v>
      </c>
      <c r="B95" s="6" t="s">
        <v>80</v>
      </c>
      <c r="C95" s="6" t="s">
        <v>81</v>
      </c>
      <c r="D95" s="21">
        <v>43112</v>
      </c>
      <c r="E95" s="7" t="s">
        <v>27</v>
      </c>
      <c r="F95" s="7">
        <v>4661</v>
      </c>
      <c r="G95" s="7">
        <v>55</v>
      </c>
      <c r="H95" s="14">
        <v>12</v>
      </c>
      <c r="I95" s="10" t="s">
        <v>38</v>
      </c>
      <c r="J95" s="9">
        <v>2000</v>
      </c>
      <c r="K95" s="43"/>
      <c r="L95" s="44"/>
      <c r="M95" s="18"/>
      <c r="N95" s="45"/>
      <c r="O95" s="45"/>
      <c r="P95" s="45"/>
      <c r="Q95" s="23">
        <v>43504</v>
      </c>
      <c r="R95" s="9">
        <v>1464</v>
      </c>
      <c r="S95" s="108">
        <f t="shared" si="4"/>
        <v>2000</v>
      </c>
      <c r="T95" s="25"/>
      <c r="U95" s="40">
        <f t="shared" si="3"/>
        <v>-26500</v>
      </c>
      <c r="Y95" s="65"/>
      <c r="Z95" s="35"/>
      <c r="AA95" s="34"/>
    </row>
    <row r="96" spans="1:27" ht="15.75" customHeight="1" x14ac:dyDescent="0.25">
      <c r="A96" s="6" t="s">
        <v>28</v>
      </c>
      <c r="B96" s="6" t="s">
        <v>28</v>
      </c>
      <c r="C96" s="6" t="s">
        <v>28</v>
      </c>
      <c r="D96" s="21" t="s">
        <v>28</v>
      </c>
      <c r="E96" s="7" t="s">
        <v>28</v>
      </c>
      <c r="G96" s="7">
        <v>56</v>
      </c>
      <c r="H96" s="14"/>
      <c r="J96" s="9">
        <v>0</v>
      </c>
      <c r="K96" s="43"/>
      <c r="L96" s="44"/>
      <c r="M96" s="18"/>
      <c r="N96" s="45"/>
      <c r="O96" s="45"/>
      <c r="P96" s="45"/>
      <c r="S96" s="108">
        <f t="shared" si="4"/>
        <v>0</v>
      </c>
      <c r="U96" s="40">
        <f t="shared" si="3"/>
        <v>-26500</v>
      </c>
      <c r="Y96" s="65"/>
      <c r="Z96" s="35"/>
      <c r="AA96" s="34"/>
    </row>
    <row r="97" spans="1:27" ht="15.75" customHeight="1" x14ac:dyDescent="0.25">
      <c r="A97" s="74" t="s">
        <v>82</v>
      </c>
      <c r="B97" s="74" t="s">
        <v>83</v>
      </c>
      <c r="C97" s="74" t="s">
        <v>84</v>
      </c>
      <c r="D97" s="75">
        <v>43115</v>
      </c>
      <c r="E97" s="76" t="s">
        <v>27</v>
      </c>
      <c r="F97" s="76">
        <v>4681</v>
      </c>
      <c r="G97" s="76">
        <v>57</v>
      </c>
      <c r="H97" s="24">
        <v>24</v>
      </c>
      <c r="I97" s="77" t="s">
        <v>38</v>
      </c>
      <c r="J97" s="78">
        <v>10000</v>
      </c>
      <c r="K97" s="43"/>
      <c r="L97" s="44"/>
      <c r="M97" s="18"/>
      <c r="N97" s="45"/>
      <c r="O97" s="45"/>
      <c r="P97" s="45"/>
      <c r="Q97" s="90">
        <v>43854</v>
      </c>
      <c r="R97" s="78">
        <v>6847</v>
      </c>
      <c r="S97" s="111">
        <v>10000</v>
      </c>
      <c r="T97" s="94"/>
      <c r="U97" s="40">
        <f t="shared" si="3"/>
        <v>-16500</v>
      </c>
      <c r="Y97" s="65"/>
      <c r="Z97" s="35"/>
      <c r="AA97" s="34"/>
    </row>
    <row r="98" spans="1:27" ht="15.75" customHeight="1" x14ac:dyDescent="0.25">
      <c r="A98" s="6" t="s">
        <v>85</v>
      </c>
      <c r="B98" s="6" t="s">
        <v>86</v>
      </c>
      <c r="D98" s="21">
        <v>43116</v>
      </c>
      <c r="E98" s="7" t="s">
        <v>27</v>
      </c>
      <c r="F98" s="55">
        <v>4705</v>
      </c>
      <c r="G98" s="7">
        <v>58</v>
      </c>
      <c r="H98" s="14">
        <v>12</v>
      </c>
      <c r="I98" s="10" t="s">
        <v>38</v>
      </c>
      <c r="J98" s="9">
        <v>9000</v>
      </c>
      <c r="K98" s="43"/>
      <c r="L98" s="44"/>
      <c r="M98" s="18"/>
      <c r="N98" s="45"/>
      <c r="O98" s="45"/>
      <c r="P98" s="45"/>
      <c r="Q98" s="23">
        <v>43481</v>
      </c>
      <c r="R98" s="9">
        <v>3947</v>
      </c>
      <c r="S98" s="108">
        <f t="shared" si="4"/>
        <v>9000</v>
      </c>
      <c r="T98" s="25"/>
      <c r="U98" s="40">
        <f t="shared" si="3"/>
        <v>-7500</v>
      </c>
      <c r="Y98" s="65"/>
      <c r="Z98" s="35"/>
      <c r="AA98" s="34"/>
    </row>
    <row r="99" spans="1:27" ht="15.75" customHeight="1" x14ac:dyDescent="0.25">
      <c r="A99" s="6" t="s">
        <v>87</v>
      </c>
      <c r="B99" s="6" t="s">
        <v>88</v>
      </c>
      <c r="C99" s="6" t="s">
        <v>43</v>
      </c>
      <c r="D99" s="21">
        <v>43111</v>
      </c>
      <c r="E99" s="7" t="s">
        <v>27</v>
      </c>
      <c r="F99" s="7">
        <v>4638</v>
      </c>
      <c r="G99" s="7">
        <v>59</v>
      </c>
      <c r="H99" s="14">
        <v>12</v>
      </c>
      <c r="I99" s="10" t="s">
        <v>38</v>
      </c>
      <c r="J99" s="9">
        <v>1500</v>
      </c>
      <c r="K99" s="43"/>
      <c r="L99" s="44"/>
      <c r="M99" s="18"/>
      <c r="N99" s="45"/>
      <c r="O99" s="45"/>
      <c r="P99" s="45"/>
      <c r="Q99" s="23">
        <v>43476</v>
      </c>
      <c r="R99" s="9">
        <v>3919</v>
      </c>
      <c r="S99" s="108">
        <f t="shared" si="4"/>
        <v>1500</v>
      </c>
      <c r="T99" s="25"/>
      <c r="U99" s="40">
        <f t="shared" si="3"/>
        <v>-6000</v>
      </c>
      <c r="Y99" s="65"/>
      <c r="Z99" s="35"/>
      <c r="AA99" s="34"/>
    </row>
    <row r="100" spans="1:27" ht="15.75" customHeight="1" x14ac:dyDescent="0.25">
      <c r="A100" s="6" t="s">
        <v>89</v>
      </c>
      <c r="B100" s="6" t="s">
        <v>90</v>
      </c>
      <c r="C100" s="6" t="s">
        <v>91</v>
      </c>
      <c r="D100" s="21">
        <v>43125</v>
      </c>
      <c r="E100" s="7" t="s">
        <v>27</v>
      </c>
      <c r="F100" s="7">
        <v>4786</v>
      </c>
      <c r="G100" s="7">
        <v>60</v>
      </c>
      <c r="H100" s="14">
        <v>12</v>
      </c>
      <c r="I100" s="10" t="s">
        <v>38</v>
      </c>
      <c r="J100" s="9">
        <v>1500</v>
      </c>
      <c r="K100" s="43"/>
      <c r="L100" s="44"/>
      <c r="M100" s="18"/>
      <c r="N100" s="45"/>
      <c r="O100" s="45"/>
      <c r="P100" s="45"/>
      <c r="Q100" s="23">
        <v>43559</v>
      </c>
      <c r="R100" s="9">
        <v>4373</v>
      </c>
      <c r="S100" s="108">
        <f t="shared" si="4"/>
        <v>1500</v>
      </c>
      <c r="T100" s="25"/>
      <c r="U100" s="40">
        <f t="shared" si="3"/>
        <v>-4500</v>
      </c>
      <c r="Y100" s="65"/>
      <c r="Z100" s="35"/>
      <c r="AA100" s="34"/>
    </row>
    <row r="101" spans="1:27" ht="15.75" customHeight="1" x14ac:dyDescent="0.25">
      <c r="A101" s="6" t="s">
        <v>92</v>
      </c>
      <c r="B101" s="6" t="s">
        <v>93</v>
      </c>
      <c r="C101" s="6" t="s">
        <v>94</v>
      </c>
      <c r="D101" s="21">
        <v>43131</v>
      </c>
      <c r="E101" s="7" t="s">
        <v>27</v>
      </c>
      <c r="F101" s="7">
        <v>4824</v>
      </c>
      <c r="G101" s="7">
        <v>61</v>
      </c>
      <c r="H101" s="14">
        <v>12</v>
      </c>
      <c r="I101" s="10" t="s">
        <v>38</v>
      </c>
      <c r="J101" s="9">
        <v>10000</v>
      </c>
      <c r="K101" s="43"/>
      <c r="L101" s="44"/>
      <c r="M101" s="18"/>
      <c r="N101" s="45"/>
      <c r="O101" s="45"/>
      <c r="P101" s="45"/>
      <c r="Q101" s="23">
        <v>43511</v>
      </c>
      <c r="R101" s="9">
        <v>4059</v>
      </c>
      <c r="S101" s="108">
        <f t="shared" si="4"/>
        <v>10000</v>
      </c>
      <c r="T101" s="25"/>
      <c r="U101" s="40">
        <f t="shared" si="3"/>
        <v>5500</v>
      </c>
      <c r="Y101" s="65"/>
      <c r="Z101" s="35"/>
      <c r="AA101" s="34"/>
    </row>
    <row r="102" spans="1:27" ht="15.75" customHeight="1" x14ac:dyDescent="0.25">
      <c r="A102" s="6" t="s">
        <v>95</v>
      </c>
      <c r="B102" s="6" t="s">
        <v>96</v>
      </c>
      <c r="C102" s="6" t="s">
        <v>97</v>
      </c>
      <c r="D102" s="21">
        <v>43131</v>
      </c>
      <c r="E102" s="7" t="s">
        <v>27</v>
      </c>
      <c r="F102" s="7">
        <v>4825</v>
      </c>
      <c r="G102" s="7">
        <v>62</v>
      </c>
      <c r="H102" s="14">
        <v>6</v>
      </c>
      <c r="I102" s="10" t="s">
        <v>38</v>
      </c>
      <c r="J102" s="9">
        <v>5000</v>
      </c>
      <c r="K102" s="43"/>
      <c r="L102" s="44"/>
      <c r="M102" s="18"/>
      <c r="N102" s="45"/>
      <c r="O102" s="45"/>
      <c r="P102" s="45"/>
      <c r="Q102" s="23">
        <v>43223</v>
      </c>
      <c r="R102" s="9">
        <v>2480</v>
      </c>
      <c r="S102" s="108">
        <f t="shared" si="4"/>
        <v>5000</v>
      </c>
      <c r="T102" s="25"/>
      <c r="U102" s="40">
        <f t="shared" si="3"/>
        <v>10500</v>
      </c>
      <c r="Y102" s="65"/>
      <c r="Z102" s="35"/>
      <c r="AA102" s="34"/>
    </row>
    <row r="103" spans="1:27" ht="15.75" customHeight="1" x14ac:dyDescent="0.25">
      <c r="A103" s="6" t="s">
        <v>98</v>
      </c>
      <c r="B103" s="6" t="s">
        <v>99</v>
      </c>
      <c r="C103" s="6" t="s">
        <v>100</v>
      </c>
      <c r="D103" s="21">
        <v>43133</v>
      </c>
      <c r="E103" s="7" t="s">
        <v>27</v>
      </c>
      <c r="F103" s="7">
        <v>4856</v>
      </c>
      <c r="G103" s="7">
        <v>63</v>
      </c>
      <c r="H103" s="14">
        <v>12</v>
      </c>
      <c r="I103" s="10" t="s">
        <v>38</v>
      </c>
      <c r="J103" s="9">
        <v>2000</v>
      </c>
      <c r="K103" s="43"/>
      <c r="L103" s="44"/>
      <c r="M103" s="18"/>
      <c r="N103" s="45"/>
      <c r="O103" s="45"/>
      <c r="P103" s="45"/>
      <c r="Q103" s="23">
        <v>43503</v>
      </c>
      <c r="R103" s="9">
        <v>1460</v>
      </c>
      <c r="S103" s="108">
        <f t="shared" si="4"/>
        <v>2000</v>
      </c>
      <c r="T103" s="25"/>
      <c r="U103" s="40">
        <f t="shared" ref="U103:U166" si="5">U102+S103-T103</f>
        <v>12500</v>
      </c>
      <c r="Y103" s="65"/>
      <c r="Z103" s="35"/>
      <c r="AA103" s="34"/>
    </row>
    <row r="104" spans="1:27" ht="15.75" customHeight="1" x14ac:dyDescent="0.25">
      <c r="A104" s="6" t="s">
        <v>101</v>
      </c>
      <c r="B104" s="6" t="s">
        <v>102</v>
      </c>
      <c r="C104" s="6" t="s">
        <v>103</v>
      </c>
      <c r="D104" s="21">
        <v>43134</v>
      </c>
      <c r="E104" s="7" t="s">
        <v>27</v>
      </c>
      <c r="F104" s="7">
        <v>4865</v>
      </c>
      <c r="G104" s="7">
        <v>64</v>
      </c>
      <c r="H104" s="14">
        <v>12</v>
      </c>
      <c r="I104" s="10" t="s">
        <v>38</v>
      </c>
      <c r="J104" s="9">
        <v>15000</v>
      </c>
      <c r="K104" s="43"/>
      <c r="L104" s="44"/>
      <c r="M104" s="18"/>
      <c r="N104" s="45"/>
      <c r="O104" s="45"/>
      <c r="P104" s="45"/>
      <c r="Q104" s="23">
        <v>43522</v>
      </c>
      <c r="R104" s="9">
        <v>4143</v>
      </c>
      <c r="S104" s="108">
        <f t="shared" si="4"/>
        <v>15000</v>
      </c>
      <c r="T104" s="25"/>
      <c r="U104" s="40">
        <f t="shared" si="5"/>
        <v>27500</v>
      </c>
      <c r="Y104" s="65"/>
      <c r="Z104" s="35"/>
      <c r="AA104" s="34"/>
    </row>
    <row r="105" spans="1:27" ht="15.75" customHeight="1" x14ac:dyDescent="0.25">
      <c r="A105" s="6" t="s">
        <v>104</v>
      </c>
      <c r="B105" s="6" t="s">
        <v>105</v>
      </c>
      <c r="C105" s="6" t="s">
        <v>106</v>
      </c>
      <c r="D105" s="21">
        <v>43137</v>
      </c>
      <c r="E105" s="7" t="s">
        <v>27</v>
      </c>
      <c r="F105" s="7">
        <v>4880</v>
      </c>
      <c r="G105" s="7">
        <v>65</v>
      </c>
      <c r="H105" s="14">
        <v>12</v>
      </c>
      <c r="I105" s="10" t="s">
        <v>38</v>
      </c>
      <c r="J105" s="9">
        <v>5000</v>
      </c>
      <c r="K105" s="43"/>
      <c r="L105" s="44"/>
      <c r="M105" s="18"/>
      <c r="N105" s="45"/>
      <c r="O105" s="45"/>
      <c r="P105" s="45"/>
      <c r="Q105" s="23">
        <v>43504</v>
      </c>
      <c r="R105" s="9">
        <v>1461</v>
      </c>
      <c r="S105" s="108">
        <f t="shared" si="4"/>
        <v>5000</v>
      </c>
      <c r="T105" s="25"/>
      <c r="U105" s="40">
        <f t="shared" si="5"/>
        <v>32500</v>
      </c>
      <c r="Y105" s="65"/>
      <c r="Z105" s="35"/>
      <c r="AA105" s="34"/>
    </row>
    <row r="106" spans="1:27" ht="15.75" customHeight="1" x14ac:dyDescent="0.25">
      <c r="A106" s="6" t="s">
        <v>107</v>
      </c>
      <c r="B106" s="6" t="s">
        <v>108</v>
      </c>
      <c r="D106" s="21">
        <v>43137</v>
      </c>
      <c r="E106" s="7" t="s">
        <v>27</v>
      </c>
      <c r="F106" s="7">
        <v>4882</v>
      </c>
      <c r="G106" s="7">
        <v>66</v>
      </c>
      <c r="H106" s="14">
        <v>12</v>
      </c>
      <c r="I106" s="10" t="s">
        <v>38</v>
      </c>
      <c r="J106" s="9">
        <v>1000</v>
      </c>
      <c r="K106" s="43"/>
      <c r="L106" s="44"/>
      <c r="M106" s="18"/>
      <c r="N106" s="45"/>
      <c r="O106" s="45"/>
      <c r="P106" s="45"/>
      <c r="Q106" s="23">
        <v>43510</v>
      </c>
      <c r="R106" s="9">
        <v>4047</v>
      </c>
      <c r="S106" s="108">
        <f t="shared" si="4"/>
        <v>1000</v>
      </c>
      <c r="T106" s="25"/>
      <c r="U106" s="40">
        <f t="shared" si="5"/>
        <v>33500</v>
      </c>
      <c r="Y106" s="65"/>
      <c r="Z106" s="35"/>
      <c r="AA106" s="34"/>
    </row>
    <row r="107" spans="1:27" ht="15.75" customHeight="1" x14ac:dyDescent="0.25">
      <c r="A107" s="6" t="s">
        <v>109</v>
      </c>
      <c r="B107" s="6" t="s">
        <v>110</v>
      </c>
      <c r="C107" s="6" t="s">
        <v>111</v>
      </c>
      <c r="D107" s="21">
        <v>43151</v>
      </c>
      <c r="E107" s="7" t="s">
        <v>27</v>
      </c>
      <c r="F107" s="7">
        <v>4984</v>
      </c>
      <c r="G107" s="7">
        <v>81</v>
      </c>
      <c r="H107" s="14">
        <v>12</v>
      </c>
      <c r="I107" s="10" t="s">
        <v>38</v>
      </c>
      <c r="J107" s="9">
        <v>1000</v>
      </c>
      <c r="K107" s="43"/>
      <c r="L107" s="44"/>
      <c r="M107" s="18"/>
      <c r="N107" s="45"/>
      <c r="O107" s="45"/>
      <c r="P107" s="45"/>
      <c r="Q107" s="23">
        <v>43516</v>
      </c>
      <c r="R107" s="9">
        <v>4101</v>
      </c>
      <c r="S107" s="108">
        <f t="shared" si="4"/>
        <v>1000</v>
      </c>
      <c r="T107" s="25"/>
      <c r="U107" s="40">
        <f t="shared" si="5"/>
        <v>34500</v>
      </c>
      <c r="Y107" s="65"/>
      <c r="Z107" s="35"/>
      <c r="AA107" s="34"/>
    </row>
    <row r="108" spans="1:27" ht="15.75" customHeight="1" x14ac:dyDescent="0.25">
      <c r="A108" s="6" t="s">
        <v>112</v>
      </c>
      <c r="B108" s="6" t="s">
        <v>113</v>
      </c>
      <c r="C108" s="6" t="s">
        <v>114</v>
      </c>
      <c r="D108" s="21">
        <v>43152</v>
      </c>
      <c r="E108" s="7" t="s">
        <v>27</v>
      </c>
      <c r="F108" s="7">
        <v>4990</v>
      </c>
      <c r="G108" s="7">
        <v>67</v>
      </c>
      <c r="H108" s="14">
        <v>6</v>
      </c>
      <c r="I108" s="10" t="s">
        <v>38</v>
      </c>
      <c r="J108" s="9">
        <v>10000</v>
      </c>
      <c r="K108" s="43"/>
      <c r="L108" s="44"/>
      <c r="M108" s="18"/>
      <c r="N108" s="45"/>
      <c r="O108" s="45"/>
      <c r="P108" s="45"/>
      <c r="Q108" s="23">
        <v>43333</v>
      </c>
      <c r="R108" s="9">
        <v>2985</v>
      </c>
      <c r="S108" s="108">
        <f>J108</f>
        <v>10000</v>
      </c>
      <c r="T108" s="25"/>
      <c r="U108" s="40">
        <f t="shared" si="5"/>
        <v>44500</v>
      </c>
      <c r="Y108" s="65"/>
      <c r="Z108" s="35"/>
      <c r="AA108" s="34"/>
    </row>
    <row r="109" spans="1:27" ht="15.75" customHeight="1" x14ac:dyDescent="0.25">
      <c r="A109" s="6" t="s">
        <v>115</v>
      </c>
      <c r="B109" s="6" t="s">
        <v>116</v>
      </c>
      <c r="C109" s="6" t="s">
        <v>117</v>
      </c>
      <c r="D109" s="21">
        <v>43158</v>
      </c>
      <c r="E109" s="7" t="s">
        <v>27</v>
      </c>
      <c r="F109" s="7">
        <v>5028</v>
      </c>
      <c r="G109" s="7">
        <v>53</v>
      </c>
      <c r="H109" s="14">
        <v>12</v>
      </c>
      <c r="I109" s="10" t="s">
        <v>38</v>
      </c>
      <c r="J109" s="9">
        <v>27000</v>
      </c>
      <c r="K109" s="43"/>
      <c r="L109" s="44"/>
      <c r="M109" s="18"/>
      <c r="N109" s="45"/>
      <c r="O109" s="45"/>
      <c r="P109" s="45"/>
      <c r="Q109" s="23">
        <v>43523</v>
      </c>
      <c r="R109" s="9">
        <v>4153</v>
      </c>
      <c r="S109" s="108">
        <f t="shared" si="4"/>
        <v>27000</v>
      </c>
      <c r="T109" s="25"/>
      <c r="U109" s="40">
        <f t="shared" si="5"/>
        <v>71500</v>
      </c>
      <c r="Y109" s="65"/>
      <c r="Z109" s="35"/>
      <c r="AA109" s="34"/>
    </row>
    <row r="110" spans="1:27" ht="15.75" customHeight="1" x14ac:dyDescent="0.25">
      <c r="A110" s="6" t="s">
        <v>118</v>
      </c>
      <c r="B110" s="6" t="s">
        <v>36</v>
      </c>
      <c r="C110" s="6" t="s">
        <v>119</v>
      </c>
      <c r="D110" s="21">
        <v>43159</v>
      </c>
      <c r="E110" s="7" t="s">
        <v>27</v>
      </c>
      <c r="F110" s="7">
        <v>5041</v>
      </c>
      <c r="G110" s="7">
        <v>68</v>
      </c>
      <c r="H110" s="14">
        <v>12</v>
      </c>
      <c r="I110" s="10" t="s">
        <v>38</v>
      </c>
      <c r="J110" s="9">
        <v>3000</v>
      </c>
      <c r="K110" s="43"/>
      <c r="L110" s="44"/>
      <c r="M110" s="18"/>
      <c r="N110" s="45"/>
      <c r="O110" s="45"/>
      <c r="P110" s="45"/>
      <c r="Q110" s="23">
        <v>43546</v>
      </c>
      <c r="R110" s="9">
        <v>4297</v>
      </c>
      <c r="S110" s="108">
        <f t="shared" si="4"/>
        <v>3000</v>
      </c>
      <c r="T110" s="25"/>
      <c r="U110" s="40">
        <f t="shared" si="5"/>
        <v>74500</v>
      </c>
      <c r="Y110" s="65"/>
      <c r="Z110" s="35"/>
      <c r="AA110" s="34"/>
    </row>
    <row r="111" spans="1:27" ht="15.75" customHeight="1" x14ac:dyDescent="0.25">
      <c r="A111" s="6" t="s">
        <v>120</v>
      </c>
      <c r="B111" s="6" t="s">
        <v>121</v>
      </c>
      <c r="C111" s="6" t="s">
        <v>122</v>
      </c>
      <c r="D111" s="21">
        <v>43160</v>
      </c>
      <c r="E111" s="7" t="s">
        <v>27</v>
      </c>
      <c r="F111" s="7">
        <v>5075</v>
      </c>
      <c r="G111" s="7">
        <v>69</v>
      </c>
      <c r="H111" s="14">
        <v>12</v>
      </c>
      <c r="I111" s="10" t="s">
        <v>38</v>
      </c>
      <c r="J111" s="9">
        <v>2000</v>
      </c>
      <c r="K111" s="43"/>
      <c r="L111" s="44"/>
      <c r="M111" s="18"/>
      <c r="N111" s="45"/>
      <c r="O111" s="45"/>
      <c r="P111" s="45"/>
      <c r="Q111" s="23">
        <v>43525</v>
      </c>
      <c r="R111" s="9">
        <v>4172</v>
      </c>
      <c r="S111" s="108">
        <f t="shared" si="4"/>
        <v>2000</v>
      </c>
      <c r="T111" s="25"/>
      <c r="U111" s="40">
        <f t="shared" si="5"/>
        <v>76500</v>
      </c>
      <c r="Y111" s="65"/>
      <c r="Z111" s="35"/>
      <c r="AA111" s="34"/>
    </row>
    <row r="112" spans="1:27" ht="15.75" customHeight="1" x14ac:dyDescent="0.25">
      <c r="A112" s="6" t="s">
        <v>123</v>
      </c>
      <c r="B112" s="6" t="s">
        <v>124</v>
      </c>
      <c r="C112" s="6" t="s">
        <v>125</v>
      </c>
      <c r="D112" s="21">
        <v>43165</v>
      </c>
      <c r="E112" s="7" t="s">
        <v>27</v>
      </c>
      <c r="F112" s="7">
        <v>9099</v>
      </c>
      <c r="G112" s="7">
        <v>70</v>
      </c>
      <c r="H112" s="14">
        <v>12</v>
      </c>
      <c r="I112" s="10" t="s">
        <v>38</v>
      </c>
      <c r="J112" s="9">
        <v>25000</v>
      </c>
      <c r="K112" s="43"/>
      <c r="L112" s="44"/>
      <c r="M112" s="18"/>
      <c r="N112" s="45"/>
      <c r="O112" s="45"/>
      <c r="P112" s="45"/>
      <c r="Q112" s="23">
        <v>43530</v>
      </c>
      <c r="R112" s="9">
        <v>5209</v>
      </c>
      <c r="S112" s="108">
        <f t="shared" si="4"/>
        <v>25000</v>
      </c>
      <c r="T112" s="25"/>
      <c r="U112" s="40">
        <f t="shared" si="5"/>
        <v>101500</v>
      </c>
      <c r="Y112" s="65"/>
      <c r="Z112" s="35"/>
      <c r="AA112" s="34"/>
    </row>
    <row r="113" spans="1:27" ht="15.75" customHeight="1" x14ac:dyDescent="0.25">
      <c r="A113" s="6" t="s">
        <v>126</v>
      </c>
      <c r="B113" s="6" t="s">
        <v>127</v>
      </c>
      <c r="D113" s="21">
        <v>43165</v>
      </c>
      <c r="E113" s="7" t="s">
        <v>27</v>
      </c>
      <c r="F113" s="7">
        <v>5101</v>
      </c>
      <c r="G113" s="7">
        <v>71</v>
      </c>
      <c r="H113" s="7">
        <v>14</v>
      </c>
      <c r="I113" s="10" t="s">
        <v>38</v>
      </c>
      <c r="J113" s="9">
        <v>150000</v>
      </c>
      <c r="K113" s="43"/>
      <c r="L113" s="44"/>
      <c r="M113" s="18"/>
      <c r="N113" s="45"/>
      <c r="O113" s="45"/>
      <c r="P113" s="45"/>
      <c r="Q113" s="23">
        <v>43530</v>
      </c>
      <c r="R113" s="9">
        <v>4202</v>
      </c>
      <c r="S113" s="108">
        <f t="shared" si="4"/>
        <v>150000</v>
      </c>
      <c r="T113" s="25"/>
      <c r="U113" s="40">
        <f t="shared" si="5"/>
        <v>251500</v>
      </c>
      <c r="Y113" s="65"/>
      <c r="Z113" s="35"/>
      <c r="AA113" s="34"/>
    </row>
    <row r="114" spans="1:27" ht="15.75" customHeight="1" x14ac:dyDescent="0.25">
      <c r="A114" s="6">
        <v>487</v>
      </c>
      <c r="B114" s="6" t="s">
        <v>128</v>
      </c>
      <c r="C114" s="6" t="s">
        <v>129</v>
      </c>
      <c r="D114" s="21">
        <v>43172</v>
      </c>
      <c r="E114" s="7" t="s">
        <v>27</v>
      </c>
      <c r="F114" s="7">
        <v>5170</v>
      </c>
      <c r="G114" s="7">
        <v>72</v>
      </c>
      <c r="H114" s="14">
        <v>12</v>
      </c>
      <c r="I114" s="10" t="s">
        <v>38</v>
      </c>
      <c r="J114" s="9">
        <v>9140</v>
      </c>
      <c r="K114" s="43"/>
      <c r="L114" s="44"/>
      <c r="M114" s="18"/>
      <c r="N114" s="45"/>
      <c r="O114" s="45"/>
      <c r="P114" s="45"/>
      <c r="Q114" s="23">
        <v>43556</v>
      </c>
      <c r="R114" s="9">
        <v>4354</v>
      </c>
      <c r="S114" s="108">
        <f t="shared" si="4"/>
        <v>9140</v>
      </c>
      <c r="T114" s="25"/>
      <c r="U114" s="40">
        <f t="shared" si="5"/>
        <v>260640</v>
      </c>
      <c r="Y114" s="65"/>
      <c r="Z114" s="35"/>
      <c r="AA114" s="34"/>
    </row>
    <row r="115" spans="1:27" ht="15.75" customHeight="1" x14ac:dyDescent="0.25">
      <c r="A115" s="6" t="s">
        <v>130</v>
      </c>
      <c r="B115" s="6" t="s">
        <v>131</v>
      </c>
      <c r="C115" s="6" t="s">
        <v>132</v>
      </c>
      <c r="D115" s="21">
        <v>43174</v>
      </c>
      <c r="E115" s="7" t="s">
        <v>27</v>
      </c>
      <c r="F115" s="22">
        <v>5206</v>
      </c>
      <c r="G115" s="7">
        <v>73</v>
      </c>
      <c r="H115" s="14">
        <v>6</v>
      </c>
      <c r="I115" s="10" t="s">
        <v>38</v>
      </c>
      <c r="J115" s="9">
        <v>30000</v>
      </c>
      <c r="K115" s="43"/>
      <c r="L115" s="44"/>
      <c r="M115" s="18"/>
      <c r="N115" s="45"/>
      <c r="O115" s="45"/>
      <c r="P115" s="45"/>
      <c r="Q115" s="23">
        <v>43358</v>
      </c>
      <c r="R115" s="9">
        <v>3137</v>
      </c>
      <c r="S115" s="108">
        <f t="shared" si="4"/>
        <v>30000</v>
      </c>
      <c r="T115" s="25"/>
      <c r="U115" s="40">
        <f t="shared" si="5"/>
        <v>290640</v>
      </c>
      <c r="Y115" s="65"/>
      <c r="Z115" s="35"/>
      <c r="AA115" s="34"/>
    </row>
    <row r="116" spans="1:27" ht="15.75" customHeight="1" x14ac:dyDescent="0.25">
      <c r="A116" s="6" t="s">
        <v>133</v>
      </c>
      <c r="B116" s="6" t="s">
        <v>134</v>
      </c>
      <c r="C116" s="6" t="s">
        <v>135</v>
      </c>
      <c r="D116" s="21">
        <v>43178</v>
      </c>
      <c r="E116" s="7" t="s">
        <v>27</v>
      </c>
      <c r="F116" s="7">
        <v>5243</v>
      </c>
      <c r="G116" s="7">
        <v>74</v>
      </c>
      <c r="H116" s="14">
        <v>12</v>
      </c>
      <c r="I116" s="10" t="s">
        <v>38</v>
      </c>
      <c r="J116" s="9">
        <v>6000</v>
      </c>
      <c r="K116" s="43"/>
      <c r="L116" s="44"/>
      <c r="M116" s="18"/>
      <c r="N116" s="45"/>
      <c r="O116" s="45"/>
      <c r="P116" s="45"/>
      <c r="Q116" s="23">
        <v>43543</v>
      </c>
      <c r="R116" s="9">
        <v>4277</v>
      </c>
      <c r="S116" s="108">
        <f t="shared" si="4"/>
        <v>6000</v>
      </c>
      <c r="T116" s="25"/>
      <c r="U116" s="40">
        <f t="shared" si="5"/>
        <v>296640</v>
      </c>
      <c r="Y116" s="65"/>
      <c r="Z116" s="35"/>
      <c r="AA116" s="34"/>
    </row>
    <row r="117" spans="1:27" ht="15.75" customHeight="1" x14ac:dyDescent="0.25">
      <c r="A117" s="6" t="s">
        <v>136</v>
      </c>
      <c r="B117" s="6" t="s">
        <v>137</v>
      </c>
      <c r="C117" s="6" t="s">
        <v>138</v>
      </c>
      <c r="D117" s="21">
        <v>43195</v>
      </c>
      <c r="E117" s="7" t="s">
        <v>27</v>
      </c>
      <c r="F117" s="7">
        <v>5400</v>
      </c>
      <c r="G117" s="7">
        <v>75</v>
      </c>
      <c r="H117" s="14">
        <v>12</v>
      </c>
      <c r="I117" s="10" t="s">
        <v>38</v>
      </c>
      <c r="J117" s="9">
        <v>50000</v>
      </c>
      <c r="K117" s="43"/>
      <c r="L117" s="44"/>
      <c r="M117" s="18"/>
      <c r="N117" s="45"/>
      <c r="O117" s="45"/>
      <c r="P117" s="45"/>
      <c r="Q117" s="23">
        <v>43560</v>
      </c>
      <c r="R117" s="9">
        <v>4384</v>
      </c>
      <c r="S117" s="108">
        <f t="shared" si="4"/>
        <v>50000</v>
      </c>
      <c r="T117" s="25"/>
      <c r="U117" s="40">
        <f t="shared" si="5"/>
        <v>346640</v>
      </c>
      <c r="Y117" s="65"/>
      <c r="Z117" s="35"/>
      <c r="AA117" s="34"/>
    </row>
    <row r="118" spans="1:27" ht="15.75" customHeight="1" x14ac:dyDescent="0.25">
      <c r="A118" s="6">
        <v>457</v>
      </c>
      <c r="B118" s="6" t="s">
        <v>139</v>
      </c>
      <c r="C118" s="6" t="s">
        <v>140</v>
      </c>
      <c r="D118" s="21">
        <v>43197</v>
      </c>
      <c r="E118" s="7" t="s">
        <v>27</v>
      </c>
      <c r="F118" s="7">
        <v>5412</v>
      </c>
      <c r="G118" s="7">
        <v>76</v>
      </c>
      <c r="H118" s="14">
        <v>6</v>
      </c>
      <c r="I118" s="10" t="s">
        <v>38</v>
      </c>
      <c r="J118" s="9">
        <v>10000</v>
      </c>
      <c r="K118" s="43"/>
      <c r="L118" s="44"/>
      <c r="M118" s="18"/>
      <c r="N118" s="45"/>
      <c r="O118" s="45"/>
      <c r="P118" s="45"/>
      <c r="Q118" s="23">
        <v>43381</v>
      </c>
      <c r="R118" s="9">
        <v>3256</v>
      </c>
      <c r="S118" s="108">
        <f t="shared" si="4"/>
        <v>10000</v>
      </c>
      <c r="T118" s="25"/>
      <c r="U118" s="40">
        <f t="shared" si="5"/>
        <v>356640</v>
      </c>
      <c r="Y118" s="65"/>
      <c r="Z118" s="35"/>
      <c r="AA118" s="34"/>
    </row>
    <row r="119" spans="1:27" ht="15.75" customHeight="1" x14ac:dyDescent="0.25">
      <c r="A119" s="6" t="s">
        <v>141</v>
      </c>
      <c r="B119" s="6" t="s">
        <v>142</v>
      </c>
      <c r="D119" s="21">
        <v>43199</v>
      </c>
      <c r="E119" s="7" t="s">
        <v>27</v>
      </c>
      <c r="F119" s="7">
        <v>5425</v>
      </c>
      <c r="G119" s="7">
        <v>77</v>
      </c>
      <c r="H119" s="14">
        <v>12</v>
      </c>
      <c r="I119" s="10" t="s">
        <v>38</v>
      </c>
      <c r="J119" s="9">
        <v>1400</v>
      </c>
      <c r="K119" s="43"/>
      <c r="L119" s="44"/>
      <c r="M119" s="18"/>
      <c r="N119" s="45"/>
      <c r="O119" s="45"/>
      <c r="P119" s="45"/>
      <c r="Q119" s="23">
        <v>43564</v>
      </c>
      <c r="R119" s="9">
        <v>4410</v>
      </c>
      <c r="S119" s="108">
        <f t="shared" si="4"/>
        <v>1400</v>
      </c>
      <c r="T119" s="25"/>
      <c r="U119" s="40">
        <f t="shared" si="5"/>
        <v>358040</v>
      </c>
      <c r="Y119" s="65"/>
      <c r="Z119" s="35"/>
      <c r="AA119" s="34"/>
    </row>
    <row r="120" spans="1:27" ht="15.75" customHeight="1" x14ac:dyDescent="0.25">
      <c r="A120" s="6" t="s">
        <v>143</v>
      </c>
      <c r="B120" s="6" t="s">
        <v>144</v>
      </c>
      <c r="C120" s="6" t="s">
        <v>145</v>
      </c>
      <c r="D120" s="21">
        <v>43206</v>
      </c>
      <c r="E120" s="7" t="s">
        <v>27</v>
      </c>
      <c r="F120" s="7">
        <v>5477</v>
      </c>
      <c r="G120" s="7">
        <v>78</v>
      </c>
      <c r="H120" s="14">
        <v>6</v>
      </c>
      <c r="I120" s="10" t="s">
        <v>38</v>
      </c>
      <c r="J120" s="9">
        <v>9750</v>
      </c>
      <c r="K120" s="43"/>
      <c r="L120" s="44"/>
      <c r="M120" s="18"/>
      <c r="N120" s="45"/>
      <c r="O120" s="45"/>
      <c r="P120" s="45"/>
      <c r="Q120" s="23">
        <v>43359</v>
      </c>
      <c r="R120" s="9">
        <v>3292</v>
      </c>
      <c r="S120" s="108">
        <f t="shared" si="4"/>
        <v>9750</v>
      </c>
      <c r="T120" s="25"/>
      <c r="U120" s="40">
        <f t="shared" si="5"/>
        <v>367790</v>
      </c>
      <c r="Y120" s="65"/>
      <c r="Z120" s="35"/>
      <c r="AA120" s="34"/>
    </row>
    <row r="121" spans="1:27" ht="15.75" customHeight="1" x14ac:dyDescent="0.25">
      <c r="A121" s="6" t="s">
        <v>146</v>
      </c>
      <c r="B121" s="6" t="s">
        <v>147</v>
      </c>
      <c r="C121" s="6" t="s">
        <v>148</v>
      </c>
      <c r="D121" s="21">
        <v>43210</v>
      </c>
      <c r="E121" s="7" t="s">
        <v>27</v>
      </c>
      <c r="F121" s="7">
        <v>5535</v>
      </c>
      <c r="G121" s="7">
        <v>79</v>
      </c>
      <c r="H121" s="14">
        <v>12</v>
      </c>
      <c r="I121" s="10" t="s">
        <v>38</v>
      </c>
      <c r="J121" s="9">
        <v>40000</v>
      </c>
      <c r="K121" s="43"/>
      <c r="L121" s="44"/>
      <c r="M121" s="18"/>
      <c r="N121" s="45"/>
      <c r="O121" s="45"/>
      <c r="P121" s="45"/>
      <c r="Q121" s="23">
        <v>43577</v>
      </c>
      <c r="R121" s="9">
        <v>4495</v>
      </c>
      <c r="S121" s="108">
        <f t="shared" si="4"/>
        <v>40000</v>
      </c>
      <c r="T121" s="25"/>
      <c r="U121" s="40">
        <f t="shared" si="5"/>
        <v>407790</v>
      </c>
      <c r="Y121" s="65"/>
      <c r="Z121" s="35"/>
      <c r="AA121" s="34"/>
    </row>
    <row r="122" spans="1:27" ht="15.75" customHeight="1" x14ac:dyDescent="0.25">
      <c r="A122" s="6" t="s">
        <v>149</v>
      </c>
      <c r="B122" s="67" t="s">
        <v>150</v>
      </c>
      <c r="C122" s="6" t="s">
        <v>151</v>
      </c>
      <c r="D122" s="21">
        <v>43213</v>
      </c>
      <c r="E122" s="7" t="s">
        <v>27</v>
      </c>
      <c r="F122" s="7">
        <v>5544</v>
      </c>
      <c r="G122" s="7">
        <v>80</v>
      </c>
      <c r="H122" s="14">
        <v>6</v>
      </c>
      <c r="I122" s="10" t="s">
        <v>38</v>
      </c>
      <c r="J122" s="9">
        <v>2000</v>
      </c>
      <c r="K122" s="43"/>
      <c r="L122" s="44"/>
      <c r="M122" s="18"/>
      <c r="N122" s="45"/>
      <c r="O122" s="45"/>
      <c r="P122" s="45"/>
      <c r="Q122" s="23">
        <v>43578</v>
      </c>
      <c r="R122" s="9">
        <v>4504</v>
      </c>
      <c r="S122" s="108">
        <f t="shared" si="4"/>
        <v>2000</v>
      </c>
      <c r="T122" s="25"/>
      <c r="U122" s="40">
        <f t="shared" si="5"/>
        <v>409790</v>
      </c>
      <c r="Y122" s="65"/>
      <c r="Z122" s="35"/>
      <c r="AA122" s="34"/>
    </row>
    <row r="123" spans="1:27" ht="15.75" customHeight="1" x14ac:dyDescent="0.25">
      <c r="A123" s="21" t="s">
        <v>46</v>
      </c>
      <c r="B123" s="6" t="s">
        <v>47</v>
      </c>
      <c r="C123" s="6" t="s">
        <v>48</v>
      </c>
      <c r="D123" s="21">
        <v>43213</v>
      </c>
      <c r="E123" s="7" t="s">
        <v>27</v>
      </c>
      <c r="F123" s="7">
        <v>5557</v>
      </c>
      <c r="G123" s="7">
        <v>213</v>
      </c>
      <c r="H123" s="14">
        <v>12</v>
      </c>
      <c r="I123" s="10" t="s">
        <v>38</v>
      </c>
      <c r="J123" s="9">
        <v>80000</v>
      </c>
      <c r="K123" s="43"/>
      <c r="L123" s="44"/>
      <c r="M123" s="18"/>
      <c r="N123" s="45"/>
      <c r="O123" s="45"/>
      <c r="P123" s="45"/>
      <c r="Q123" s="23">
        <v>43580</v>
      </c>
      <c r="R123" s="9">
        <v>4514</v>
      </c>
      <c r="S123" s="108">
        <f t="shared" si="4"/>
        <v>80000</v>
      </c>
      <c r="T123" s="25"/>
      <c r="U123" s="40">
        <f t="shared" si="5"/>
        <v>489790</v>
      </c>
      <c r="Y123" s="65"/>
      <c r="Z123" s="35"/>
      <c r="AA123" s="34"/>
    </row>
    <row r="124" spans="1:27" ht="15.75" customHeight="1" x14ac:dyDescent="0.25">
      <c r="A124" s="6" t="s">
        <v>152</v>
      </c>
      <c r="B124" s="6" t="s">
        <v>153</v>
      </c>
      <c r="C124" s="6" t="s">
        <v>154</v>
      </c>
      <c r="D124" s="21">
        <v>43215</v>
      </c>
      <c r="E124" s="7" t="s">
        <v>27</v>
      </c>
      <c r="F124" s="7">
        <v>5588</v>
      </c>
      <c r="G124" s="7">
        <v>82</v>
      </c>
      <c r="H124" s="14">
        <v>12</v>
      </c>
      <c r="I124" s="10" t="s">
        <v>38</v>
      </c>
      <c r="J124" s="9">
        <v>8000</v>
      </c>
      <c r="K124" s="43"/>
      <c r="L124" s="44"/>
      <c r="M124" s="18"/>
      <c r="N124" s="45"/>
      <c r="O124" s="45"/>
      <c r="P124" s="45"/>
      <c r="Q124" s="23">
        <v>43592</v>
      </c>
      <c r="R124" s="9">
        <v>4588</v>
      </c>
      <c r="S124" s="108">
        <f t="shared" si="4"/>
        <v>8000</v>
      </c>
      <c r="T124" s="25"/>
      <c r="U124" s="40">
        <f t="shared" si="5"/>
        <v>497790</v>
      </c>
      <c r="Y124" s="65"/>
      <c r="Z124" s="35"/>
      <c r="AA124" s="34"/>
    </row>
    <row r="125" spans="1:27" ht="15.75" customHeight="1" x14ac:dyDescent="0.25">
      <c r="A125" s="6" t="s">
        <v>155</v>
      </c>
      <c r="B125" s="6" t="s">
        <v>156</v>
      </c>
      <c r="C125" s="6" t="s">
        <v>157</v>
      </c>
      <c r="D125" s="21">
        <v>43221</v>
      </c>
      <c r="E125" s="7" t="s">
        <v>27</v>
      </c>
      <c r="F125" s="7">
        <v>5641</v>
      </c>
      <c r="G125" s="7">
        <v>83</v>
      </c>
      <c r="H125" s="14">
        <v>12</v>
      </c>
      <c r="I125" s="10" t="s">
        <v>38</v>
      </c>
      <c r="J125" s="9">
        <v>1200</v>
      </c>
      <c r="K125" s="43"/>
      <c r="L125" s="44"/>
      <c r="M125" s="18"/>
      <c r="N125" s="45"/>
      <c r="O125" s="45"/>
      <c r="P125" s="45"/>
      <c r="Q125" s="23">
        <v>43586</v>
      </c>
      <c r="R125" s="9">
        <v>4555</v>
      </c>
      <c r="S125" s="108">
        <f t="shared" si="4"/>
        <v>1200</v>
      </c>
      <c r="T125" s="25"/>
      <c r="U125" s="40">
        <f t="shared" si="5"/>
        <v>498990</v>
      </c>
      <c r="Y125" s="65"/>
      <c r="Z125" s="35"/>
      <c r="AA125" s="34"/>
    </row>
    <row r="126" spans="1:27" ht="15.75" customHeight="1" x14ac:dyDescent="0.25">
      <c r="A126" s="6" t="s">
        <v>158</v>
      </c>
      <c r="B126" s="6" t="s">
        <v>159</v>
      </c>
      <c r="C126" s="6" t="s">
        <v>157</v>
      </c>
      <c r="D126" s="21">
        <v>43221</v>
      </c>
      <c r="E126" s="7" t="s">
        <v>27</v>
      </c>
      <c r="F126" s="7">
        <v>5645</v>
      </c>
      <c r="G126" s="7">
        <v>84</v>
      </c>
      <c r="H126" s="14">
        <v>12</v>
      </c>
      <c r="I126" s="10" t="s">
        <v>38</v>
      </c>
      <c r="J126" s="9">
        <v>1000</v>
      </c>
      <c r="K126" s="43"/>
      <c r="L126" s="44"/>
      <c r="M126" s="18"/>
      <c r="N126" s="45"/>
      <c r="O126" s="45"/>
      <c r="P126" s="45"/>
      <c r="Q126" s="23">
        <v>43586</v>
      </c>
      <c r="R126" s="9">
        <v>4558</v>
      </c>
      <c r="S126" s="108">
        <f t="shared" si="4"/>
        <v>1000</v>
      </c>
      <c r="T126" s="25"/>
      <c r="U126" s="40">
        <f t="shared" si="5"/>
        <v>499990</v>
      </c>
      <c r="Y126" s="65"/>
      <c r="Z126" s="35"/>
      <c r="AA126" s="34"/>
    </row>
    <row r="127" spans="1:27" ht="15.75" customHeight="1" x14ac:dyDescent="0.25">
      <c r="A127" s="6" t="s">
        <v>160</v>
      </c>
      <c r="B127" s="6" t="s">
        <v>161</v>
      </c>
      <c r="C127" s="6" t="s">
        <v>162</v>
      </c>
      <c r="D127" s="21">
        <v>43223</v>
      </c>
      <c r="E127" s="7" t="s">
        <v>27</v>
      </c>
      <c r="F127" s="7">
        <v>5674</v>
      </c>
      <c r="G127" s="7">
        <v>85</v>
      </c>
      <c r="H127" s="7">
        <v>6</v>
      </c>
      <c r="I127" s="10" t="s">
        <v>38</v>
      </c>
      <c r="J127" s="9">
        <v>10000</v>
      </c>
      <c r="K127" s="43"/>
      <c r="L127" s="44"/>
      <c r="M127" s="18"/>
      <c r="N127" s="45"/>
      <c r="O127" s="45"/>
      <c r="P127" s="45"/>
      <c r="Q127" s="23">
        <v>43411</v>
      </c>
      <c r="R127" s="9">
        <v>3426</v>
      </c>
      <c r="S127" s="108">
        <f t="shared" si="4"/>
        <v>10000</v>
      </c>
      <c r="T127" s="25"/>
      <c r="U127" s="40">
        <f t="shared" si="5"/>
        <v>509990</v>
      </c>
      <c r="Y127" s="65"/>
      <c r="Z127" s="35"/>
      <c r="AA127" s="34"/>
    </row>
    <row r="128" spans="1:27" ht="15.75" customHeight="1" x14ac:dyDescent="0.25">
      <c r="A128" s="6" t="s">
        <v>28</v>
      </c>
      <c r="B128" s="6" t="s">
        <v>28</v>
      </c>
      <c r="C128" s="6" t="s">
        <v>28</v>
      </c>
      <c r="D128" s="21" t="s">
        <v>28</v>
      </c>
      <c r="E128" s="7" t="s">
        <v>28</v>
      </c>
      <c r="G128" s="7">
        <v>86</v>
      </c>
      <c r="H128" s="14"/>
      <c r="J128" s="9">
        <v>0</v>
      </c>
      <c r="K128" s="43"/>
      <c r="L128" s="44"/>
      <c r="M128" s="18"/>
      <c r="N128" s="45"/>
      <c r="O128" s="45"/>
      <c r="P128" s="45"/>
      <c r="S128" s="108">
        <f t="shared" si="4"/>
        <v>0</v>
      </c>
      <c r="U128" s="40">
        <f t="shared" si="5"/>
        <v>509990</v>
      </c>
      <c r="Y128" s="65"/>
      <c r="Z128" s="35"/>
      <c r="AA128" s="34"/>
    </row>
    <row r="129" spans="1:27" ht="15.75" customHeight="1" x14ac:dyDescent="0.25">
      <c r="A129" s="6" t="s">
        <v>28</v>
      </c>
      <c r="B129" s="6" t="s">
        <v>28</v>
      </c>
      <c r="C129" s="6" t="s">
        <v>28</v>
      </c>
      <c r="D129" s="21" t="s">
        <v>28</v>
      </c>
      <c r="E129" s="7" t="s">
        <v>28</v>
      </c>
      <c r="G129" s="7">
        <v>87</v>
      </c>
      <c r="H129" s="14"/>
      <c r="J129" s="9">
        <v>0</v>
      </c>
      <c r="K129" s="43"/>
      <c r="L129" s="44"/>
      <c r="M129" s="18"/>
      <c r="N129" s="45"/>
      <c r="O129" s="45"/>
      <c r="P129" s="45"/>
      <c r="S129" s="108">
        <f t="shared" si="4"/>
        <v>0</v>
      </c>
      <c r="U129" s="40">
        <f t="shared" si="5"/>
        <v>509990</v>
      </c>
      <c r="Y129" s="65"/>
      <c r="Z129" s="35"/>
      <c r="AA129" s="34"/>
    </row>
    <row r="130" spans="1:27" ht="15.75" customHeight="1" x14ac:dyDescent="0.25">
      <c r="A130" s="6" t="s">
        <v>163</v>
      </c>
      <c r="B130" s="6" t="s">
        <v>164</v>
      </c>
      <c r="C130" s="6" t="s">
        <v>165</v>
      </c>
      <c r="D130" s="21">
        <v>43226</v>
      </c>
      <c r="E130" s="7" t="s">
        <v>27</v>
      </c>
      <c r="F130" s="7">
        <v>5700</v>
      </c>
      <c r="G130" s="7">
        <v>88</v>
      </c>
      <c r="H130" s="14">
        <v>12</v>
      </c>
      <c r="I130" s="10" t="s">
        <v>38</v>
      </c>
      <c r="J130" s="9">
        <v>100000</v>
      </c>
      <c r="K130" s="43"/>
      <c r="L130" s="44"/>
      <c r="M130" s="18"/>
      <c r="N130" s="45"/>
      <c r="O130" s="45"/>
      <c r="P130" s="45"/>
      <c r="Q130" s="23">
        <v>43591</v>
      </c>
      <c r="R130" s="9">
        <v>4580</v>
      </c>
      <c r="S130" s="108">
        <f t="shared" si="4"/>
        <v>100000</v>
      </c>
      <c r="T130" s="25"/>
      <c r="U130" s="40">
        <f t="shared" si="5"/>
        <v>609990</v>
      </c>
      <c r="Y130" s="65"/>
      <c r="Z130" s="35"/>
      <c r="AA130" s="34"/>
    </row>
    <row r="131" spans="1:27" ht="15.75" customHeight="1" x14ac:dyDescent="0.25">
      <c r="A131" s="6" t="s">
        <v>166</v>
      </c>
      <c r="B131" s="6" t="s">
        <v>167</v>
      </c>
      <c r="C131" s="6" t="s">
        <v>168</v>
      </c>
      <c r="D131" s="21">
        <v>43227</v>
      </c>
      <c r="E131" s="7" t="s">
        <v>27</v>
      </c>
      <c r="F131" s="7">
        <v>5712</v>
      </c>
      <c r="G131" s="7">
        <v>89</v>
      </c>
      <c r="H131" s="14">
        <v>6</v>
      </c>
      <c r="I131" s="10" t="s">
        <v>38</v>
      </c>
      <c r="J131" s="9">
        <v>8000</v>
      </c>
      <c r="K131" s="43"/>
      <c r="L131" s="44"/>
      <c r="M131" s="18"/>
      <c r="N131" s="45"/>
      <c r="O131" s="45"/>
      <c r="P131" s="45"/>
      <c r="Q131" s="23">
        <v>43411</v>
      </c>
      <c r="R131" s="9">
        <v>3429</v>
      </c>
      <c r="S131" s="108">
        <f t="shared" si="4"/>
        <v>8000</v>
      </c>
      <c r="T131" s="25"/>
      <c r="U131" s="40">
        <f t="shared" si="5"/>
        <v>617990</v>
      </c>
      <c r="Y131" s="65"/>
      <c r="Z131" s="35"/>
      <c r="AA131" s="34"/>
    </row>
    <row r="132" spans="1:27" ht="15.75" customHeight="1" x14ac:dyDescent="0.25">
      <c r="A132" s="6" t="s">
        <v>169</v>
      </c>
      <c r="B132" s="6" t="s">
        <v>170</v>
      </c>
      <c r="C132" s="6" t="s">
        <v>171</v>
      </c>
      <c r="D132" s="21">
        <v>43229</v>
      </c>
      <c r="E132" s="7" t="s">
        <v>27</v>
      </c>
      <c r="F132" s="7">
        <v>5726</v>
      </c>
      <c r="G132" s="7">
        <v>90</v>
      </c>
      <c r="H132" s="14">
        <v>12</v>
      </c>
      <c r="I132" s="10" t="s">
        <v>38</v>
      </c>
      <c r="J132" s="9">
        <v>2000</v>
      </c>
      <c r="K132" s="43"/>
      <c r="L132" s="44"/>
      <c r="M132" s="18"/>
      <c r="N132" s="45"/>
      <c r="O132" s="45"/>
      <c r="P132" s="45"/>
      <c r="Q132" s="23">
        <v>43595</v>
      </c>
      <c r="R132" s="9">
        <v>4600</v>
      </c>
      <c r="S132" s="108">
        <f t="shared" si="4"/>
        <v>2000</v>
      </c>
      <c r="T132" s="25"/>
      <c r="U132" s="40">
        <f t="shared" si="5"/>
        <v>619990</v>
      </c>
      <c r="Y132" s="65"/>
      <c r="Z132" s="35"/>
      <c r="AA132" s="34"/>
    </row>
    <row r="133" spans="1:27" ht="15.75" customHeight="1" x14ac:dyDescent="0.25">
      <c r="A133" s="6" t="s">
        <v>172</v>
      </c>
      <c r="B133" s="6" t="s">
        <v>173</v>
      </c>
      <c r="C133" s="6" t="s">
        <v>174</v>
      </c>
      <c r="D133" s="21">
        <v>43235</v>
      </c>
      <c r="E133" s="7" t="s">
        <v>27</v>
      </c>
      <c r="F133" s="7">
        <v>5800</v>
      </c>
      <c r="G133" s="7">
        <v>91</v>
      </c>
      <c r="H133" s="7">
        <v>12</v>
      </c>
      <c r="I133" s="10" t="s">
        <v>38</v>
      </c>
      <c r="J133" s="9">
        <v>10000</v>
      </c>
      <c r="K133" s="43"/>
      <c r="L133" s="44"/>
      <c r="M133" s="18"/>
      <c r="N133" s="45"/>
      <c r="O133" s="45"/>
      <c r="P133" s="45"/>
      <c r="Q133" s="23">
        <v>43600</v>
      </c>
      <c r="R133" s="9">
        <v>4626</v>
      </c>
      <c r="S133" s="108">
        <f t="shared" si="4"/>
        <v>10000</v>
      </c>
      <c r="T133" s="25"/>
      <c r="U133" s="40">
        <f t="shared" si="5"/>
        <v>629990</v>
      </c>
      <c r="Y133" s="65"/>
      <c r="Z133" s="35"/>
      <c r="AA133" s="34"/>
    </row>
    <row r="134" spans="1:27" ht="15.75" customHeight="1" x14ac:dyDescent="0.25">
      <c r="A134" s="6" t="s">
        <v>175</v>
      </c>
      <c r="B134" s="6" t="s">
        <v>176</v>
      </c>
      <c r="C134" s="6" t="s">
        <v>177</v>
      </c>
      <c r="D134" s="21">
        <v>43236</v>
      </c>
      <c r="E134" s="7" t="s">
        <v>27</v>
      </c>
      <c r="F134" s="7">
        <v>5811</v>
      </c>
      <c r="G134" s="7">
        <v>92</v>
      </c>
      <c r="H134" s="14">
        <v>6</v>
      </c>
      <c r="I134" s="10" t="s">
        <v>38</v>
      </c>
      <c r="J134" s="9">
        <v>75000</v>
      </c>
      <c r="K134" s="43"/>
      <c r="L134" s="44"/>
      <c r="M134" s="18"/>
      <c r="N134" s="45"/>
      <c r="O134" s="45"/>
      <c r="P134" s="45"/>
      <c r="Q134" s="23">
        <v>43420</v>
      </c>
      <c r="R134" s="9">
        <v>3500</v>
      </c>
      <c r="S134" s="108">
        <f t="shared" si="4"/>
        <v>75000</v>
      </c>
      <c r="T134" s="25"/>
      <c r="U134" s="40">
        <f t="shared" si="5"/>
        <v>704990</v>
      </c>
      <c r="Y134" s="65"/>
      <c r="Z134" s="35"/>
      <c r="AA134" s="34"/>
    </row>
    <row r="135" spans="1:27" ht="15.75" customHeight="1" x14ac:dyDescent="0.25">
      <c r="A135" s="6" t="s">
        <v>178</v>
      </c>
      <c r="B135" s="6" t="s">
        <v>179</v>
      </c>
      <c r="C135" s="6" t="s">
        <v>180</v>
      </c>
      <c r="D135" s="21">
        <v>43238</v>
      </c>
      <c r="E135" s="7" t="s">
        <v>27</v>
      </c>
      <c r="F135" s="7">
        <v>5851</v>
      </c>
      <c r="G135" s="7">
        <v>93</v>
      </c>
      <c r="H135" s="14">
        <v>6</v>
      </c>
      <c r="I135" s="10" t="s">
        <v>38</v>
      </c>
      <c r="J135" s="9">
        <v>5000</v>
      </c>
      <c r="K135" s="43"/>
      <c r="L135" s="44"/>
      <c r="M135" s="18"/>
      <c r="N135" s="45"/>
      <c r="O135" s="45"/>
      <c r="P135" s="45"/>
      <c r="Q135" s="23">
        <v>43425</v>
      </c>
      <c r="R135" s="9">
        <v>3600</v>
      </c>
      <c r="S135" s="108">
        <f t="shared" si="4"/>
        <v>5000</v>
      </c>
      <c r="T135" s="25"/>
      <c r="U135" s="40">
        <f t="shared" si="5"/>
        <v>709990</v>
      </c>
      <c r="Y135" s="65"/>
      <c r="Z135" s="35"/>
      <c r="AA135" s="34"/>
    </row>
    <row r="136" spans="1:27" ht="15.75" customHeight="1" x14ac:dyDescent="0.25">
      <c r="A136" s="66" t="s">
        <v>181</v>
      </c>
      <c r="B136" s="66" t="s">
        <v>182</v>
      </c>
      <c r="C136" s="66" t="s">
        <v>183</v>
      </c>
      <c r="D136" s="79">
        <v>43244</v>
      </c>
      <c r="E136" s="80" t="s">
        <v>27</v>
      </c>
      <c r="F136" s="80">
        <v>5922</v>
      </c>
      <c r="G136" s="80">
        <v>94</v>
      </c>
      <c r="H136" s="27">
        <v>12</v>
      </c>
      <c r="I136" s="81" t="s">
        <v>38</v>
      </c>
      <c r="J136" s="82">
        <v>3000</v>
      </c>
      <c r="K136" s="43"/>
      <c r="L136" s="44"/>
      <c r="M136" s="18"/>
      <c r="N136" s="45"/>
      <c r="O136" s="45"/>
      <c r="P136" s="45"/>
      <c r="Q136" s="91">
        <v>43347</v>
      </c>
      <c r="R136" s="82">
        <v>5492</v>
      </c>
      <c r="S136" s="109">
        <f t="shared" si="4"/>
        <v>3000</v>
      </c>
      <c r="T136" s="94"/>
      <c r="U136" s="40">
        <f t="shared" si="5"/>
        <v>712990</v>
      </c>
      <c r="Y136" s="65"/>
      <c r="Z136" s="35"/>
      <c r="AA136" s="34"/>
    </row>
    <row r="137" spans="1:27" ht="15.75" customHeight="1" x14ac:dyDescent="0.25">
      <c r="A137" s="6" t="s">
        <v>184</v>
      </c>
      <c r="B137" s="6" t="s">
        <v>185</v>
      </c>
      <c r="D137" s="21">
        <v>43244</v>
      </c>
      <c r="E137" s="7" t="s">
        <v>27</v>
      </c>
      <c r="F137" s="7">
        <v>5925</v>
      </c>
      <c r="G137" s="7">
        <v>95</v>
      </c>
      <c r="H137" s="14">
        <v>12</v>
      </c>
      <c r="I137" s="10" t="s">
        <v>38</v>
      </c>
      <c r="J137" s="9">
        <v>11000</v>
      </c>
      <c r="K137" s="43"/>
      <c r="L137" s="44"/>
      <c r="M137" s="18"/>
      <c r="N137" s="45"/>
      <c r="O137" s="45"/>
      <c r="P137" s="45"/>
      <c r="Q137" s="23">
        <v>43620</v>
      </c>
      <c r="R137" s="9">
        <v>4761</v>
      </c>
      <c r="S137" s="108">
        <f t="shared" si="4"/>
        <v>11000</v>
      </c>
      <c r="T137" s="25"/>
      <c r="U137" s="40">
        <f t="shared" si="5"/>
        <v>723990</v>
      </c>
      <c r="Y137" s="65"/>
      <c r="Z137" s="35"/>
      <c r="AA137" s="34"/>
    </row>
    <row r="138" spans="1:27" ht="15.75" customHeight="1" x14ac:dyDescent="0.25">
      <c r="A138" s="6" t="s">
        <v>186</v>
      </c>
      <c r="B138" s="6" t="s">
        <v>50</v>
      </c>
      <c r="C138" s="6" t="s">
        <v>187</v>
      </c>
      <c r="D138" s="21">
        <v>43245</v>
      </c>
      <c r="E138" s="7" t="s">
        <v>27</v>
      </c>
      <c r="F138" s="7">
        <v>5941</v>
      </c>
      <c r="G138" s="7">
        <v>96</v>
      </c>
      <c r="H138" s="14">
        <v>12</v>
      </c>
      <c r="I138" s="10" t="s">
        <v>38</v>
      </c>
      <c r="J138" s="9">
        <v>50000</v>
      </c>
      <c r="K138" s="43"/>
      <c r="L138" s="44"/>
      <c r="M138" s="18"/>
      <c r="N138" s="45"/>
      <c r="O138" s="45"/>
      <c r="P138" s="45"/>
      <c r="Q138" s="23">
        <v>43612</v>
      </c>
      <c r="R138" s="9">
        <v>4699</v>
      </c>
      <c r="S138" s="108">
        <f t="shared" si="4"/>
        <v>50000</v>
      </c>
      <c r="T138" s="25"/>
      <c r="U138" s="40">
        <f t="shared" si="5"/>
        <v>773990</v>
      </c>
      <c r="Y138" s="65"/>
      <c r="Z138" s="35"/>
      <c r="AA138" s="34"/>
    </row>
    <row r="139" spans="1:27" ht="15.75" customHeight="1" x14ac:dyDescent="0.25">
      <c r="A139" s="6" t="s">
        <v>188</v>
      </c>
      <c r="B139" s="6" t="s">
        <v>189</v>
      </c>
      <c r="C139" s="6" t="s">
        <v>190</v>
      </c>
      <c r="D139" s="21">
        <v>43249</v>
      </c>
      <c r="E139" s="7" t="s">
        <v>27</v>
      </c>
      <c r="F139" s="7">
        <v>5966</v>
      </c>
      <c r="G139" s="7">
        <v>97</v>
      </c>
      <c r="H139" s="14">
        <v>6</v>
      </c>
      <c r="I139" s="10" t="s">
        <v>38</v>
      </c>
      <c r="J139" s="9">
        <v>20000</v>
      </c>
      <c r="K139" s="43"/>
      <c r="L139" s="44"/>
      <c r="M139" s="18"/>
      <c r="N139" s="45"/>
      <c r="O139" s="45"/>
      <c r="P139" s="45"/>
      <c r="Q139" s="23">
        <v>43434</v>
      </c>
      <c r="R139" s="9">
        <v>3618</v>
      </c>
      <c r="S139" s="108">
        <f t="shared" si="4"/>
        <v>20000</v>
      </c>
      <c r="T139" s="25"/>
      <c r="U139" s="40">
        <f t="shared" si="5"/>
        <v>793990</v>
      </c>
      <c r="Y139" s="65"/>
      <c r="Z139" s="35"/>
      <c r="AA139" s="34"/>
    </row>
    <row r="140" spans="1:27" ht="15.75" customHeight="1" x14ac:dyDescent="0.25">
      <c r="A140" s="6" t="s">
        <v>28</v>
      </c>
      <c r="B140" s="6" t="s">
        <v>28</v>
      </c>
      <c r="C140" s="6" t="s">
        <v>28</v>
      </c>
      <c r="D140" s="21" t="s">
        <v>28</v>
      </c>
      <c r="G140" s="7">
        <v>98</v>
      </c>
      <c r="H140" s="14"/>
      <c r="J140" s="9">
        <v>0</v>
      </c>
      <c r="K140" s="43"/>
      <c r="L140" s="44"/>
      <c r="M140" s="18"/>
      <c r="N140" s="45"/>
      <c r="O140" s="45"/>
      <c r="P140" s="45"/>
      <c r="S140" s="108">
        <f t="shared" si="4"/>
        <v>0</v>
      </c>
      <c r="U140" s="40">
        <f t="shared" si="5"/>
        <v>793990</v>
      </c>
      <c r="Y140" s="65"/>
      <c r="Z140" s="35"/>
      <c r="AA140" s="34"/>
    </row>
    <row r="141" spans="1:27" ht="15.75" customHeight="1" x14ac:dyDescent="0.25">
      <c r="A141" s="6" t="s">
        <v>191</v>
      </c>
      <c r="B141" s="6" t="s">
        <v>63</v>
      </c>
      <c r="C141" s="6" t="s">
        <v>64</v>
      </c>
      <c r="D141" s="21">
        <v>43250</v>
      </c>
      <c r="E141" s="7" t="s">
        <v>27</v>
      </c>
      <c r="F141" s="7">
        <v>5980</v>
      </c>
      <c r="G141" s="7">
        <v>99</v>
      </c>
      <c r="H141" s="14">
        <v>6</v>
      </c>
      <c r="I141" s="10" t="s">
        <v>38</v>
      </c>
      <c r="J141" s="9">
        <v>3800</v>
      </c>
      <c r="K141" s="43"/>
      <c r="L141" s="44"/>
      <c r="M141" s="18"/>
      <c r="N141" s="45"/>
      <c r="O141" s="45"/>
      <c r="P141" s="45"/>
      <c r="Q141" s="23">
        <v>43440</v>
      </c>
      <c r="R141" s="9">
        <v>3662</v>
      </c>
      <c r="S141" s="108">
        <f t="shared" si="4"/>
        <v>3800</v>
      </c>
      <c r="T141" s="25"/>
      <c r="U141" s="40">
        <f t="shared" si="5"/>
        <v>797790</v>
      </c>
      <c r="Y141" s="65"/>
      <c r="Z141" s="35"/>
      <c r="AA141" s="34"/>
    </row>
    <row r="142" spans="1:27" ht="15.75" customHeight="1" x14ac:dyDescent="0.25">
      <c r="A142" s="66" t="s">
        <v>192</v>
      </c>
      <c r="B142" s="66" t="s">
        <v>193</v>
      </c>
      <c r="C142" s="66" t="s">
        <v>194</v>
      </c>
      <c r="D142" s="79">
        <v>43252</v>
      </c>
      <c r="E142" s="80" t="s">
        <v>27</v>
      </c>
      <c r="F142" s="80">
        <v>6011</v>
      </c>
      <c r="G142" s="80">
        <v>100</v>
      </c>
      <c r="H142" s="27">
        <v>12</v>
      </c>
      <c r="I142" s="81" t="s">
        <v>38</v>
      </c>
      <c r="J142" s="82">
        <v>1000</v>
      </c>
      <c r="K142" s="43"/>
      <c r="L142" s="44"/>
      <c r="M142" s="18"/>
      <c r="N142" s="45"/>
      <c r="O142" s="45"/>
      <c r="P142" s="45"/>
      <c r="Q142" s="91">
        <v>43983</v>
      </c>
      <c r="R142" s="82">
        <v>282</v>
      </c>
      <c r="S142" s="109">
        <f t="shared" si="4"/>
        <v>1000</v>
      </c>
      <c r="T142" s="25"/>
      <c r="U142" s="40">
        <f t="shared" si="5"/>
        <v>798790</v>
      </c>
      <c r="Y142" s="65"/>
      <c r="Z142" s="35"/>
      <c r="AA142" s="34"/>
    </row>
    <row r="143" spans="1:27" ht="15.75" customHeight="1" x14ac:dyDescent="0.25">
      <c r="A143" s="6" t="s">
        <v>195</v>
      </c>
      <c r="B143" s="6" t="s">
        <v>196</v>
      </c>
      <c r="C143" s="6" t="s">
        <v>197</v>
      </c>
      <c r="D143" s="21">
        <v>43259</v>
      </c>
      <c r="E143" s="7" t="s">
        <v>27</v>
      </c>
      <c r="F143" s="7">
        <v>6088</v>
      </c>
      <c r="G143" s="7">
        <v>101</v>
      </c>
      <c r="H143" s="14">
        <v>12</v>
      </c>
      <c r="I143" s="10" t="s">
        <v>38</v>
      </c>
      <c r="J143" s="9">
        <v>4500</v>
      </c>
      <c r="K143" s="43"/>
      <c r="L143" s="44"/>
      <c r="M143" s="18"/>
      <c r="N143" s="45"/>
      <c r="O143" s="45"/>
      <c r="P143" s="45"/>
      <c r="Q143" s="23">
        <v>43656</v>
      </c>
      <c r="R143" s="9">
        <v>5024</v>
      </c>
      <c r="S143" s="108">
        <f t="shared" si="4"/>
        <v>4500</v>
      </c>
      <c r="T143" s="25"/>
      <c r="U143" s="40">
        <f t="shared" si="5"/>
        <v>803290</v>
      </c>
      <c r="Y143" s="65"/>
      <c r="Z143" s="35"/>
      <c r="AA143" s="34"/>
    </row>
    <row r="144" spans="1:27" ht="15.75" customHeight="1" x14ac:dyDescent="0.25">
      <c r="A144" s="6" t="s">
        <v>198</v>
      </c>
      <c r="B144" s="6" t="s">
        <v>199</v>
      </c>
      <c r="C144" s="6" t="s">
        <v>200</v>
      </c>
      <c r="D144" s="21">
        <v>43263</v>
      </c>
      <c r="E144" s="7" t="s">
        <v>27</v>
      </c>
      <c r="F144" s="7">
        <v>6123</v>
      </c>
      <c r="G144" s="7">
        <v>102</v>
      </c>
      <c r="H144" s="14">
        <v>12</v>
      </c>
      <c r="I144" s="10" t="s">
        <v>38</v>
      </c>
      <c r="J144" s="9">
        <v>3000</v>
      </c>
      <c r="K144" s="43"/>
      <c r="L144" s="44"/>
      <c r="M144" s="18"/>
      <c r="N144" s="45"/>
      <c r="O144" s="45"/>
      <c r="P144" s="45"/>
      <c r="Q144" s="23">
        <v>43640</v>
      </c>
      <c r="R144" s="9">
        <v>4899</v>
      </c>
      <c r="S144" s="108">
        <f t="shared" si="4"/>
        <v>3000</v>
      </c>
      <c r="T144" s="25"/>
      <c r="U144" s="40">
        <f t="shared" si="5"/>
        <v>806290</v>
      </c>
      <c r="Y144" s="65"/>
      <c r="Z144" s="35"/>
      <c r="AA144" s="34"/>
    </row>
    <row r="145" spans="1:27" ht="15.75" customHeight="1" x14ac:dyDescent="0.25">
      <c r="A145" s="6" t="s">
        <v>201</v>
      </c>
      <c r="B145" s="6" t="s">
        <v>202</v>
      </c>
      <c r="C145" s="6" t="s">
        <v>53</v>
      </c>
      <c r="D145" s="21">
        <v>43273</v>
      </c>
      <c r="E145" s="7" t="s">
        <v>27</v>
      </c>
      <c r="F145" s="7">
        <v>6250</v>
      </c>
      <c r="G145" s="7">
        <v>103</v>
      </c>
      <c r="H145" s="14">
        <v>12</v>
      </c>
      <c r="I145" s="10" t="s">
        <v>38</v>
      </c>
      <c r="J145" s="9">
        <v>6000</v>
      </c>
      <c r="K145" s="43"/>
      <c r="L145" s="44"/>
      <c r="M145" s="18"/>
      <c r="N145" s="45"/>
      <c r="O145" s="45"/>
      <c r="P145" s="45"/>
      <c r="Q145" s="23">
        <v>43640</v>
      </c>
      <c r="R145" s="9">
        <v>4896</v>
      </c>
      <c r="S145" s="108">
        <f t="shared" si="4"/>
        <v>6000</v>
      </c>
      <c r="T145" s="25"/>
      <c r="U145" s="40">
        <f t="shared" si="5"/>
        <v>812290</v>
      </c>
      <c r="Y145" s="65"/>
      <c r="Z145" s="35"/>
      <c r="AA145" s="34"/>
    </row>
    <row r="146" spans="1:27" ht="15.75" customHeight="1" x14ac:dyDescent="0.25">
      <c r="A146" s="6" t="s">
        <v>203</v>
      </c>
      <c r="B146" s="6" t="s">
        <v>204</v>
      </c>
      <c r="C146" s="6" t="s">
        <v>205</v>
      </c>
      <c r="D146" s="21">
        <v>43282</v>
      </c>
      <c r="E146" s="7" t="s">
        <v>27</v>
      </c>
      <c r="F146" s="7">
        <v>6344</v>
      </c>
      <c r="G146" s="7">
        <v>104</v>
      </c>
      <c r="H146" s="14">
        <v>6</v>
      </c>
      <c r="I146" s="10" t="s">
        <v>38</v>
      </c>
      <c r="J146" s="9">
        <v>5000</v>
      </c>
      <c r="K146" s="43"/>
      <c r="L146" s="44"/>
      <c r="M146" s="18"/>
      <c r="N146" s="45"/>
      <c r="O146" s="45"/>
      <c r="P146" s="45"/>
      <c r="Q146" s="23">
        <v>43475</v>
      </c>
      <c r="R146" s="9">
        <v>3832</v>
      </c>
      <c r="S146" s="108">
        <f t="shared" si="4"/>
        <v>5000</v>
      </c>
      <c r="T146" s="25"/>
      <c r="U146" s="40">
        <f t="shared" si="5"/>
        <v>817290</v>
      </c>
      <c r="Y146" s="65"/>
      <c r="Z146" s="35"/>
      <c r="AA146" s="34"/>
    </row>
    <row r="147" spans="1:27" ht="15.75" customHeight="1" x14ac:dyDescent="0.25">
      <c r="A147" s="6" t="s">
        <v>206</v>
      </c>
      <c r="B147" s="6" t="s">
        <v>207</v>
      </c>
      <c r="C147" s="6" t="s">
        <v>55</v>
      </c>
      <c r="D147" s="21">
        <v>43288</v>
      </c>
      <c r="E147" s="7" t="s">
        <v>27</v>
      </c>
      <c r="F147" s="7">
        <v>6435</v>
      </c>
      <c r="G147" s="7">
        <v>105</v>
      </c>
      <c r="H147" s="14">
        <v>12</v>
      </c>
      <c r="I147" s="10" t="s">
        <v>38</v>
      </c>
      <c r="J147" s="9">
        <v>5400</v>
      </c>
      <c r="K147" s="43"/>
      <c r="L147" s="44"/>
      <c r="M147" s="18"/>
      <c r="N147" s="45"/>
      <c r="O147" s="45"/>
      <c r="P147" s="45"/>
      <c r="Q147" s="23">
        <v>43654</v>
      </c>
      <c r="R147" s="9">
        <v>5001</v>
      </c>
      <c r="S147" s="108">
        <f t="shared" si="4"/>
        <v>5400</v>
      </c>
      <c r="T147" s="25"/>
      <c r="U147" s="40">
        <f t="shared" si="5"/>
        <v>822690</v>
      </c>
      <c r="Y147" s="65"/>
      <c r="Z147" s="35"/>
      <c r="AA147" s="34"/>
    </row>
    <row r="148" spans="1:27" ht="15.75" customHeight="1" x14ac:dyDescent="0.25">
      <c r="A148" s="6" t="s">
        <v>208</v>
      </c>
      <c r="B148" s="6" t="s">
        <v>209</v>
      </c>
      <c r="C148" s="6" t="s">
        <v>210</v>
      </c>
      <c r="D148" s="21">
        <v>43288</v>
      </c>
      <c r="E148" s="7" t="s">
        <v>27</v>
      </c>
      <c r="F148" s="7">
        <v>6436</v>
      </c>
      <c r="G148" s="7">
        <v>106</v>
      </c>
      <c r="H148" s="7">
        <v>12</v>
      </c>
      <c r="I148" s="10" t="s">
        <v>38</v>
      </c>
      <c r="J148" s="9">
        <v>5400</v>
      </c>
      <c r="K148" s="43"/>
      <c r="L148" s="44"/>
      <c r="M148" s="18"/>
      <c r="N148" s="45"/>
      <c r="O148" s="45"/>
      <c r="P148" s="45"/>
      <c r="Q148" s="23">
        <v>43654</v>
      </c>
      <c r="R148" s="9">
        <v>5003</v>
      </c>
      <c r="S148" s="108">
        <f t="shared" si="4"/>
        <v>5400</v>
      </c>
      <c r="T148" s="25"/>
      <c r="U148" s="40">
        <f t="shared" si="5"/>
        <v>828090</v>
      </c>
      <c r="Y148" s="65"/>
      <c r="Z148" s="35"/>
      <c r="AA148" s="34"/>
    </row>
    <row r="149" spans="1:27" ht="15.75" customHeight="1" x14ac:dyDescent="0.25">
      <c r="A149" s="6" t="s">
        <v>28</v>
      </c>
      <c r="B149" s="6" t="s">
        <v>28</v>
      </c>
      <c r="C149" s="6" t="s">
        <v>28</v>
      </c>
      <c r="D149" s="21" t="s">
        <v>28</v>
      </c>
      <c r="G149" s="7">
        <v>107</v>
      </c>
      <c r="H149" s="14"/>
      <c r="J149" s="9">
        <v>0</v>
      </c>
      <c r="K149" s="43"/>
      <c r="L149" s="44"/>
      <c r="M149" s="18"/>
      <c r="N149" s="45"/>
      <c r="O149" s="45"/>
      <c r="P149" s="45"/>
      <c r="S149" s="108">
        <f t="shared" si="4"/>
        <v>0</v>
      </c>
      <c r="U149" s="40">
        <f t="shared" si="5"/>
        <v>828090</v>
      </c>
      <c r="Y149" s="65"/>
      <c r="Z149" s="35"/>
      <c r="AA149" s="34"/>
    </row>
    <row r="150" spans="1:27" ht="15.75" customHeight="1" x14ac:dyDescent="0.25">
      <c r="A150" s="6" t="s">
        <v>211</v>
      </c>
      <c r="B150" s="6" t="s">
        <v>212</v>
      </c>
      <c r="C150" s="6" t="s">
        <v>213</v>
      </c>
      <c r="D150" s="21">
        <v>43294</v>
      </c>
      <c r="E150" s="7" t="s">
        <v>27</v>
      </c>
      <c r="F150" s="7">
        <v>6510</v>
      </c>
      <c r="G150" s="7">
        <v>108</v>
      </c>
      <c r="H150" s="14">
        <v>6</v>
      </c>
      <c r="I150" s="10" t="s">
        <v>38</v>
      </c>
      <c r="J150" s="9">
        <v>50000</v>
      </c>
      <c r="K150" s="43"/>
      <c r="L150" s="44"/>
      <c r="M150" s="18"/>
      <c r="N150" s="45"/>
      <c r="O150" s="45"/>
      <c r="P150" s="45"/>
      <c r="Q150" s="23">
        <v>43480</v>
      </c>
      <c r="R150" s="9">
        <v>3942</v>
      </c>
      <c r="S150" s="108">
        <f t="shared" si="4"/>
        <v>50000</v>
      </c>
      <c r="T150" s="25"/>
      <c r="U150" s="40">
        <f t="shared" si="5"/>
        <v>878090</v>
      </c>
      <c r="Y150" s="65"/>
      <c r="Z150" s="35"/>
      <c r="AA150" s="34"/>
    </row>
    <row r="151" spans="1:27" ht="15.75" customHeight="1" x14ac:dyDescent="0.25">
      <c r="A151" s="6" t="s">
        <v>28</v>
      </c>
      <c r="B151" s="6" t="s">
        <v>28</v>
      </c>
      <c r="C151" s="6" t="s">
        <v>28</v>
      </c>
      <c r="D151" s="21" t="s">
        <v>28</v>
      </c>
      <c r="G151" s="7">
        <v>109</v>
      </c>
      <c r="H151" s="14"/>
      <c r="J151" s="9">
        <v>0</v>
      </c>
      <c r="K151" s="43"/>
      <c r="L151" s="44"/>
      <c r="M151" s="18"/>
      <c r="N151" s="45"/>
      <c r="O151" s="45"/>
      <c r="P151" s="45"/>
      <c r="S151" s="108">
        <f t="shared" si="4"/>
        <v>0</v>
      </c>
      <c r="U151" s="40">
        <f t="shared" si="5"/>
        <v>878090</v>
      </c>
      <c r="Y151" s="65"/>
      <c r="Z151" s="35"/>
      <c r="AA151" s="34"/>
    </row>
    <row r="152" spans="1:27" ht="15.75" customHeight="1" x14ac:dyDescent="0.25">
      <c r="A152" s="6" t="s">
        <v>136</v>
      </c>
      <c r="B152" s="6" t="s">
        <v>137</v>
      </c>
      <c r="C152" s="6" t="s">
        <v>214</v>
      </c>
      <c r="D152" s="21">
        <v>43300</v>
      </c>
      <c r="E152" s="7" t="s">
        <v>27</v>
      </c>
      <c r="F152" s="7">
        <v>6568</v>
      </c>
      <c r="G152" s="7">
        <v>110</v>
      </c>
      <c r="H152" s="7">
        <v>12</v>
      </c>
      <c r="I152" s="10" t="s">
        <v>38</v>
      </c>
      <c r="J152" s="9">
        <v>30000</v>
      </c>
      <c r="K152" s="43"/>
      <c r="L152" s="44"/>
      <c r="M152" s="18"/>
      <c r="N152" s="45"/>
      <c r="O152" s="45"/>
      <c r="P152" s="45"/>
      <c r="Q152" s="23">
        <v>43665</v>
      </c>
      <c r="R152" s="9">
        <v>5113</v>
      </c>
      <c r="S152" s="108">
        <f t="shared" si="4"/>
        <v>30000</v>
      </c>
      <c r="T152" s="25"/>
      <c r="U152" s="40">
        <f t="shared" si="5"/>
        <v>908090</v>
      </c>
      <c r="Y152" s="65"/>
      <c r="Z152" s="35"/>
      <c r="AA152" s="34"/>
    </row>
    <row r="153" spans="1:27" ht="15.75" customHeight="1" x14ac:dyDescent="0.25">
      <c r="A153" s="6" t="s">
        <v>215</v>
      </c>
      <c r="B153" s="6" t="s">
        <v>216</v>
      </c>
      <c r="C153" s="6" t="s">
        <v>217</v>
      </c>
      <c r="D153" s="21">
        <v>43301</v>
      </c>
      <c r="E153" s="7" t="s">
        <v>27</v>
      </c>
      <c r="F153" s="7">
        <v>6588</v>
      </c>
      <c r="G153" s="7">
        <v>111</v>
      </c>
      <c r="H153" s="14">
        <v>12</v>
      </c>
      <c r="I153" s="10" t="s">
        <v>38</v>
      </c>
      <c r="J153" s="9">
        <v>18000</v>
      </c>
      <c r="K153" s="43"/>
      <c r="L153" s="44"/>
      <c r="M153" s="18"/>
      <c r="N153" s="45"/>
      <c r="O153" s="45"/>
      <c r="P153" s="45"/>
      <c r="Q153" s="23">
        <v>43671</v>
      </c>
      <c r="R153" s="9">
        <v>5165</v>
      </c>
      <c r="S153" s="108">
        <f t="shared" si="4"/>
        <v>18000</v>
      </c>
      <c r="T153" s="25"/>
      <c r="U153" s="40">
        <f t="shared" si="5"/>
        <v>926090</v>
      </c>
      <c r="Y153" s="65"/>
      <c r="Z153" s="35"/>
      <c r="AA153" s="34"/>
    </row>
    <row r="154" spans="1:27" ht="15.75" customHeight="1" x14ac:dyDescent="0.25">
      <c r="A154" s="6" t="s">
        <v>218</v>
      </c>
      <c r="B154" s="6" t="s">
        <v>219</v>
      </c>
      <c r="C154" s="6" t="s">
        <v>220</v>
      </c>
      <c r="D154" s="21">
        <v>43306</v>
      </c>
      <c r="E154" s="7" t="s">
        <v>27</v>
      </c>
      <c r="F154" s="7">
        <v>6654</v>
      </c>
      <c r="G154" s="7">
        <v>112</v>
      </c>
      <c r="H154" s="14">
        <v>12</v>
      </c>
      <c r="I154" s="10" t="s">
        <v>38</v>
      </c>
      <c r="J154" s="9">
        <v>2800</v>
      </c>
      <c r="K154" s="43"/>
      <c r="L154" s="44"/>
      <c r="M154" s="18"/>
      <c r="N154" s="45"/>
      <c r="O154" s="45"/>
      <c r="P154" s="45"/>
      <c r="Q154" s="23">
        <v>43672</v>
      </c>
      <c r="R154" s="9">
        <v>5177</v>
      </c>
      <c r="S154" s="108">
        <f t="shared" si="4"/>
        <v>2800</v>
      </c>
      <c r="T154" s="25"/>
      <c r="U154" s="40">
        <f t="shared" si="5"/>
        <v>928890</v>
      </c>
      <c r="Y154" s="65"/>
      <c r="Z154" s="35"/>
      <c r="AA154" s="34"/>
    </row>
    <row r="155" spans="1:27" ht="15.75" customHeight="1" x14ac:dyDescent="0.25">
      <c r="A155" s="6" t="s">
        <v>221</v>
      </c>
      <c r="B155" s="6" t="s">
        <v>222</v>
      </c>
      <c r="C155" s="6" t="s">
        <v>223</v>
      </c>
      <c r="D155" s="21">
        <v>43313</v>
      </c>
      <c r="E155" s="7" t="s">
        <v>27</v>
      </c>
      <c r="F155" s="7">
        <v>6714</v>
      </c>
      <c r="G155" s="7">
        <v>113</v>
      </c>
      <c r="H155" s="14">
        <v>12</v>
      </c>
      <c r="I155" s="10" t="s">
        <v>38</v>
      </c>
      <c r="J155" s="9">
        <v>60000</v>
      </c>
      <c r="K155" s="43"/>
      <c r="L155" s="44"/>
      <c r="M155" s="18"/>
      <c r="N155" s="45"/>
      <c r="O155" s="45"/>
      <c r="P155" s="45"/>
      <c r="Q155" s="23">
        <v>43679</v>
      </c>
      <c r="R155" s="9">
        <v>5241</v>
      </c>
      <c r="S155" s="108">
        <f t="shared" si="4"/>
        <v>60000</v>
      </c>
      <c r="T155" s="25"/>
      <c r="U155" s="40">
        <f t="shared" si="5"/>
        <v>988890</v>
      </c>
      <c r="Y155" s="65"/>
      <c r="Z155" s="35"/>
      <c r="AA155" s="34"/>
    </row>
    <row r="156" spans="1:27" ht="15.75" customHeight="1" x14ac:dyDescent="0.25">
      <c r="A156" s="6" t="s">
        <v>224</v>
      </c>
      <c r="B156" s="6" t="s">
        <v>225</v>
      </c>
      <c r="C156" s="6" t="s">
        <v>226</v>
      </c>
      <c r="D156" s="21">
        <v>43319</v>
      </c>
      <c r="E156" s="7" t="s">
        <v>27</v>
      </c>
      <c r="F156" s="7">
        <v>6781</v>
      </c>
      <c r="G156" s="7">
        <v>114</v>
      </c>
      <c r="H156" s="14">
        <v>12</v>
      </c>
      <c r="I156" s="10" t="s">
        <v>38</v>
      </c>
      <c r="J156" s="9">
        <v>2000</v>
      </c>
      <c r="K156" s="43"/>
      <c r="L156" s="44"/>
      <c r="M156" s="18"/>
      <c r="N156" s="45"/>
      <c r="O156" s="45"/>
      <c r="P156" s="45"/>
      <c r="Q156" s="23">
        <v>43684</v>
      </c>
      <c r="R156" s="9">
        <v>5280</v>
      </c>
      <c r="S156" s="108">
        <f t="shared" si="4"/>
        <v>2000</v>
      </c>
      <c r="T156" s="25"/>
      <c r="U156" s="40">
        <f t="shared" si="5"/>
        <v>990890</v>
      </c>
      <c r="Y156" s="65"/>
      <c r="Z156" s="35"/>
      <c r="AA156" s="34"/>
    </row>
    <row r="157" spans="1:27" ht="15.75" customHeight="1" x14ac:dyDescent="0.25">
      <c r="A157" s="6" t="s">
        <v>227</v>
      </c>
      <c r="B157" s="6" t="s">
        <v>228</v>
      </c>
      <c r="C157" s="6" t="s">
        <v>229</v>
      </c>
      <c r="D157" s="21">
        <v>43319</v>
      </c>
      <c r="E157" s="7" t="s">
        <v>27</v>
      </c>
      <c r="F157" s="7">
        <v>6792</v>
      </c>
      <c r="G157" s="7">
        <v>115</v>
      </c>
      <c r="H157" s="14">
        <v>6</v>
      </c>
      <c r="I157" s="10" t="s">
        <v>38</v>
      </c>
      <c r="J157" s="9">
        <v>5000</v>
      </c>
      <c r="K157" s="43"/>
      <c r="L157" s="44"/>
      <c r="M157" s="18"/>
      <c r="N157" s="45"/>
      <c r="O157" s="45"/>
      <c r="P157" s="45"/>
      <c r="Q157" s="23">
        <v>43509</v>
      </c>
      <c r="R157" s="9">
        <v>4031</v>
      </c>
      <c r="S157" s="108">
        <f t="shared" si="4"/>
        <v>5000</v>
      </c>
      <c r="T157" s="25"/>
      <c r="U157" s="40">
        <f t="shared" si="5"/>
        <v>995890</v>
      </c>
      <c r="Y157" s="65"/>
      <c r="Z157" s="35"/>
      <c r="AA157" s="34"/>
    </row>
    <row r="158" spans="1:27" ht="15.75" customHeight="1" x14ac:dyDescent="0.25">
      <c r="A158" s="6" t="s">
        <v>56</v>
      </c>
      <c r="B158" s="6" t="s">
        <v>230</v>
      </c>
      <c r="C158" s="6" t="s">
        <v>57</v>
      </c>
      <c r="D158" s="21">
        <v>43321</v>
      </c>
      <c r="E158" s="7" t="s">
        <v>27</v>
      </c>
      <c r="F158" s="7">
        <v>6808</v>
      </c>
      <c r="G158" s="7">
        <v>116</v>
      </c>
      <c r="H158" s="14">
        <v>12</v>
      </c>
      <c r="I158" s="10" t="s">
        <v>38</v>
      </c>
      <c r="J158" s="9">
        <v>30000</v>
      </c>
      <c r="K158" s="43"/>
      <c r="L158" s="44"/>
      <c r="M158" s="18"/>
      <c r="N158" s="45"/>
      <c r="O158" s="45"/>
      <c r="P158" s="45"/>
      <c r="Q158" s="23">
        <v>43689</v>
      </c>
      <c r="R158" s="9">
        <v>5316</v>
      </c>
      <c r="S158" s="108">
        <f t="shared" si="4"/>
        <v>30000</v>
      </c>
      <c r="T158" s="25"/>
      <c r="U158" s="40">
        <f t="shared" si="5"/>
        <v>1025890</v>
      </c>
      <c r="Y158" s="65"/>
      <c r="Z158" s="35"/>
      <c r="AA158" s="34"/>
    </row>
    <row r="159" spans="1:27" ht="15.75" customHeight="1" x14ac:dyDescent="0.25">
      <c r="A159" s="6" t="s">
        <v>231</v>
      </c>
      <c r="B159" s="6" t="s">
        <v>232</v>
      </c>
      <c r="C159" s="6" t="s">
        <v>233</v>
      </c>
      <c r="D159" s="21">
        <v>43325</v>
      </c>
      <c r="E159" s="7" t="s">
        <v>27</v>
      </c>
      <c r="F159" s="7">
        <v>6833</v>
      </c>
      <c r="G159" s="7">
        <v>117</v>
      </c>
      <c r="H159" s="14">
        <v>6</v>
      </c>
      <c r="I159" s="10" t="s">
        <v>38</v>
      </c>
      <c r="J159" s="9">
        <v>13000</v>
      </c>
      <c r="K159" s="43"/>
      <c r="L159" s="44"/>
      <c r="M159" s="18"/>
      <c r="N159" s="45"/>
      <c r="O159" s="45"/>
      <c r="P159" s="45"/>
      <c r="Q159" s="23">
        <v>43510</v>
      </c>
      <c r="R159" s="9">
        <v>4053</v>
      </c>
      <c r="S159" s="108">
        <f t="shared" si="4"/>
        <v>13000</v>
      </c>
      <c r="T159" s="25"/>
      <c r="U159" s="40">
        <f t="shared" si="5"/>
        <v>1038890</v>
      </c>
      <c r="Y159" s="65"/>
      <c r="Z159" s="35"/>
      <c r="AA159" s="34"/>
    </row>
    <row r="160" spans="1:27" ht="15.75" customHeight="1" x14ac:dyDescent="0.25">
      <c r="A160" s="83" t="s">
        <v>234</v>
      </c>
      <c r="B160" s="83" t="s">
        <v>156</v>
      </c>
      <c r="C160" s="83" t="s">
        <v>235</v>
      </c>
      <c r="D160" s="84">
        <v>43333</v>
      </c>
      <c r="E160" s="85" t="s">
        <v>27</v>
      </c>
      <c r="F160" s="85">
        <v>6919</v>
      </c>
      <c r="G160" s="85">
        <v>118</v>
      </c>
      <c r="H160" s="86">
        <v>12</v>
      </c>
      <c r="I160" s="87" t="s">
        <v>38</v>
      </c>
      <c r="J160" s="88">
        <v>2000</v>
      </c>
      <c r="K160" s="43"/>
      <c r="L160" s="44"/>
      <c r="M160" s="18"/>
      <c r="N160" s="45"/>
      <c r="O160" s="45"/>
      <c r="P160" s="45"/>
      <c r="Q160" s="92">
        <v>43718</v>
      </c>
      <c r="R160" s="88">
        <v>5550</v>
      </c>
      <c r="S160" s="112">
        <f t="shared" si="4"/>
        <v>2000</v>
      </c>
      <c r="T160" s="95"/>
      <c r="U160" s="40">
        <f t="shared" si="5"/>
        <v>1040890</v>
      </c>
      <c r="Y160" s="65"/>
      <c r="Z160" s="35"/>
      <c r="AA160" s="34"/>
    </row>
    <row r="161" spans="1:27" ht="15.75" customHeight="1" x14ac:dyDescent="0.25">
      <c r="A161" s="6" t="s">
        <v>236</v>
      </c>
      <c r="B161" s="6" t="s">
        <v>113</v>
      </c>
      <c r="C161" s="6" t="s">
        <v>114</v>
      </c>
      <c r="D161" s="21">
        <v>43333</v>
      </c>
      <c r="E161" s="7" t="s">
        <v>27</v>
      </c>
      <c r="F161" s="7">
        <v>6928</v>
      </c>
      <c r="G161" s="7">
        <v>119</v>
      </c>
      <c r="H161" s="14">
        <v>6</v>
      </c>
      <c r="I161" s="10" t="s">
        <v>38</v>
      </c>
      <c r="J161" s="9">
        <v>5000</v>
      </c>
      <c r="K161" s="43"/>
      <c r="L161" s="44"/>
      <c r="M161" s="18"/>
      <c r="N161" s="45"/>
      <c r="O161" s="45"/>
      <c r="P161" s="45"/>
      <c r="Q161" s="23">
        <v>43524</v>
      </c>
      <c r="R161" s="9">
        <v>4164</v>
      </c>
      <c r="S161" s="108">
        <f t="shared" si="4"/>
        <v>5000</v>
      </c>
      <c r="T161" s="25"/>
      <c r="U161" s="40">
        <f t="shared" si="5"/>
        <v>1045890</v>
      </c>
      <c r="Y161" s="65"/>
      <c r="Z161" s="35"/>
      <c r="AA161" s="34"/>
    </row>
    <row r="162" spans="1:27" ht="15.75" customHeight="1" x14ac:dyDescent="0.25">
      <c r="A162" s="6" t="s">
        <v>237</v>
      </c>
      <c r="B162" s="6" t="s">
        <v>238</v>
      </c>
      <c r="D162" s="21">
        <v>43334</v>
      </c>
      <c r="E162" s="7" t="s">
        <v>27</v>
      </c>
      <c r="F162" s="7">
        <v>6946</v>
      </c>
      <c r="G162" s="7">
        <v>120</v>
      </c>
      <c r="H162" s="14">
        <v>12</v>
      </c>
      <c r="I162" s="10" t="s">
        <v>38</v>
      </c>
      <c r="J162" s="9">
        <v>11000</v>
      </c>
      <c r="K162" s="43"/>
      <c r="L162" s="44"/>
      <c r="M162" s="18"/>
      <c r="N162" s="45"/>
      <c r="O162" s="45"/>
      <c r="P162" s="45"/>
      <c r="Q162" s="23">
        <v>43700</v>
      </c>
      <c r="R162" s="9">
        <v>5405</v>
      </c>
      <c r="S162" s="108">
        <f t="shared" si="4"/>
        <v>11000</v>
      </c>
      <c r="T162" s="106"/>
      <c r="U162" s="40">
        <f t="shared" si="5"/>
        <v>1056890</v>
      </c>
      <c r="Y162" s="65"/>
      <c r="Z162" s="35"/>
      <c r="AA162" s="34"/>
    </row>
    <row r="163" spans="1:27" ht="15.75" customHeight="1" x14ac:dyDescent="0.25">
      <c r="A163" s="6" t="s">
        <v>239</v>
      </c>
      <c r="B163" s="6" t="s">
        <v>240</v>
      </c>
      <c r="C163" s="6" t="s">
        <v>241</v>
      </c>
      <c r="D163" s="21">
        <v>43340</v>
      </c>
      <c r="E163" s="7" t="s">
        <v>27</v>
      </c>
      <c r="F163" s="7">
        <v>7011</v>
      </c>
      <c r="G163" s="7">
        <v>121</v>
      </c>
      <c r="H163" s="14">
        <v>6</v>
      </c>
      <c r="I163" s="10" t="s">
        <v>38</v>
      </c>
      <c r="J163" s="9">
        <v>9000</v>
      </c>
      <c r="K163" s="43"/>
      <c r="L163" s="44"/>
      <c r="M163" s="18"/>
      <c r="N163" s="45"/>
      <c r="O163" s="45"/>
      <c r="P163" s="45"/>
      <c r="Q163" s="23">
        <v>43530</v>
      </c>
      <c r="R163" s="9">
        <v>4203</v>
      </c>
      <c r="S163" s="108">
        <f t="shared" si="4"/>
        <v>9000</v>
      </c>
      <c r="T163" s="25"/>
      <c r="U163" s="40">
        <f t="shared" si="5"/>
        <v>1065890</v>
      </c>
      <c r="Y163" s="65"/>
      <c r="Z163" s="35"/>
      <c r="AA163" s="34"/>
    </row>
    <row r="164" spans="1:27" ht="15.75" customHeight="1" x14ac:dyDescent="0.25">
      <c r="A164" s="6" t="s">
        <v>242</v>
      </c>
      <c r="B164" s="6" t="s">
        <v>58</v>
      </c>
      <c r="D164" s="21">
        <v>43339</v>
      </c>
      <c r="E164" s="7" t="s">
        <v>27</v>
      </c>
      <c r="F164" s="7">
        <v>7002</v>
      </c>
      <c r="G164" s="7">
        <v>122</v>
      </c>
      <c r="H164" s="14">
        <v>6</v>
      </c>
      <c r="I164" s="10" t="s">
        <v>38</v>
      </c>
      <c r="J164" s="9">
        <v>17500</v>
      </c>
      <c r="K164" s="43"/>
      <c r="L164" s="44"/>
      <c r="M164" s="18"/>
      <c r="N164" s="45"/>
      <c r="O164" s="45"/>
      <c r="P164" s="45"/>
      <c r="Q164" s="23">
        <v>43524</v>
      </c>
      <c r="R164" s="9">
        <v>4163</v>
      </c>
      <c r="S164" s="108">
        <f t="shared" si="4"/>
        <v>17500</v>
      </c>
      <c r="T164" s="25"/>
      <c r="U164" s="40">
        <f t="shared" si="5"/>
        <v>1083390</v>
      </c>
      <c r="Y164" s="65"/>
      <c r="Z164" s="35"/>
      <c r="AA164" s="34"/>
    </row>
    <row r="165" spans="1:27" ht="15.75" customHeight="1" x14ac:dyDescent="0.25">
      <c r="A165" s="6" t="s">
        <v>243</v>
      </c>
      <c r="B165" s="6" t="s">
        <v>244</v>
      </c>
      <c r="C165" s="6" t="s">
        <v>245</v>
      </c>
      <c r="D165" s="21">
        <v>43344</v>
      </c>
      <c r="E165" s="7" t="s">
        <v>27</v>
      </c>
      <c r="F165" s="7">
        <v>7055</v>
      </c>
      <c r="G165" s="7">
        <v>123</v>
      </c>
      <c r="H165" s="14">
        <v>12</v>
      </c>
      <c r="I165" s="10" t="s">
        <v>38</v>
      </c>
      <c r="J165" s="9">
        <v>5000</v>
      </c>
      <c r="K165" s="43"/>
      <c r="L165" s="44"/>
      <c r="M165" s="18"/>
      <c r="N165" s="45"/>
      <c r="O165" s="45"/>
      <c r="P165" s="45"/>
      <c r="Q165" s="23">
        <v>43711</v>
      </c>
      <c r="R165" s="9">
        <v>5473</v>
      </c>
      <c r="S165" s="108">
        <f t="shared" si="4"/>
        <v>5000</v>
      </c>
      <c r="T165" s="106"/>
      <c r="U165" s="40">
        <f t="shared" si="5"/>
        <v>1088390</v>
      </c>
      <c r="Y165" s="65"/>
      <c r="Z165" s="35"/>
      <c r="AA165" s="34"/>
    </row>
    <row r="166" spans="1:27" ht="15.75" customHeight="1" x14ac:dyDescent="0.25">
      <c r="A166" s="83" t="s">
        <v>246</v>
      </c>
      <c r="B166" s="83" t="s">
        <v>247</v>
      </c>
      <c r="C166" s="83" t="s">
        <v>248</v>
      </c>
      <c r="D166" s="84">
        <v>43357</v>
      </c>
      <c r="E166" s="85" t="s">
        <v>27</v>
      </c>
      <c r="F166" s="85">
        <v>7164</v>
      </c>
      <c r="G166" s="85">
        <v>124</v>
      </c>
      <c r="H166" s="86">
        <v>12</v>
      </c>
      <c r="I166" s="87" t="s">
        <v>38</v>
      </c>
      <c r="J166" s="88">
        <v>1450</v>
      </c>
      <c r="K166" s="43"/>
      <c r="L166" s="44"/>
      <c r="M166" s="18"/>
      <c r="N166" s="45"/>
      <c r="O166" s="45"/>
      <c r="P166" s="45"/>
      <c r="Q166" s="92">
        <v>43733</v>
      </c>
      <c r="R166" s="88">
        <v>5675</v>
      </c>
      <c r="S166" s="112">
        <f t="shared" si="4"/>
        <v>1450</v>
      </c>
      <c r="T166" s="95"/>
      <c r="U166" s="40">
        <f t="shared" si="5"/>
        <v>1089840</v>
      </c>
      <c r="Y166" s="65"/>
      <c r="Z166" s="35"/>
      <c r="AA166" s="34"/>
    </row>
    <row r="167" spans="1:27" ht="15.75" customHeight="1" x14ac:dyDescent="0.25">
      <c r="A167" s="6">
        <v>45.2012</v>
      </c>
      <c r="B167" s="6" t="s">
        <v>131</v>
      </c>
      <c r="C167" s="6" t="s">
        <v>132</v>
      </c>
      <c r="D167" s="21">
        <v>43357</v>
      </c>
      <c r="E167" s="7" t="s">
        <v>27</v>
      </c>
      <c r="F167" s="7">
        <v>7178</v>
      </c>
      <c r="G167" s="7">
        <v>125</v>
      </c>
      <c r="H167" s="14">
        <v>6</v>
      </c>
      <c r="I167" s="10" t="s">
        <v>38</v>
      </c>
      <c r="J167" s="9">
        <v>40000</v>
      </c>
      <c r="K167" s="43"/>
      <c r="L167" s="44"/>
      <c r="M167" s="18"/>
      <c r="N167" s="45"/>
      <c r="O167" s="45"/>
      <c r="P167" s="45"/>
      <c r="Q167" s="23">
        <v>43546</v>
      </c>
      <c r="R167" s="9">
        <v>4300</v>
      </c>
      <c r="S167" s="108">
        <f t="shared" si="4"/>
        <v>40000</v>
      </c>
      <c r="T167" s="25"/>
      <c r="U167" s="40">
        <f t="shared" ref="U167:U230" si="6">U166+S167-T167</f>
        <v>1129840</v>
      </c>
      <c r="Y167" s="65"/>
      <c r="Z167" s="35"/>
      <c r="AA167" s="34"/>
    </row>
    <row r="168" spans="1:27" ht="15.75" customHeight="1" x14ac:dyDescent="0.25">
      <c r="A168" s="6" t="s">
        <v>191</v>
      </c>
      <c r="B168" s="6" t="s">
        <v>63</v>
      </c>
      <c r="C168" s="6" t="s">
        <v>64</v>
      </c>
      <c r="D168" s="21">
        <v>43360</v>
      </c>
      <c r="E168" s="7" t="s">
        <v>27</v>
      </c>
      <c r="F168" s="7">
        <v>7190</v>
      </c>
      <c r="G168" s="7">
        <v>126</v>
      </c>
      <c r="H168" s="14">
        <v>6</v>
      </c>
      <c r="I168" s="10" t="s">
        <v>38</v>
      </c>
      <c r="J168" s="9">
        <v>3000</v>
      </c>
      <c r="K168" s="43"/>
      <c r="L168" s="44"/>
      <c r="M168" s="18"/>
      <c r="N168" s="45"/>
      <c r="O168" s="45"/>
      <c r="P168" s="45"/>
      <c r="Q168" s="23">
        <v>43550</v>
      </c>
      <c r="R168" s="9">
        <v>4311</v>
      </c>
      <c r="S168" s="108">
        <f t="shared" si="4"/>
        <v>3000</v>
      </c>
      <c r="T168" s="25"/>
      <c r="U168" s="40">
        <f t="shared" si="6"/>
        <v>1132840</v>
      </c>
      <c r="Y168" s="65"/>
      <c r="Z168" s="35"/>
      <c r="AA168" s="34"/>
    </row>
    <row r="169" spans="1:27" ht="15.75" customHeight="1" x14ac:dyDescent="0.25">
      <c r="A169" s="83" t="s">
        <v>249</v>
      </c>
      <c r="B169" s="83" t="s">
        <v>250</v>
      </c>
      <c r="C169" s="83" t="s">
        <v>251</v>
      </c>
      <c r="D169" s="84">
        <v>43361</v>
      </c>
      <c r="E169" s="85" t="s">
        <v>27</v>
      </c>
      <c r="F169" s="85">
        <v>7214</v>
      </c>
      <c r="G169" s="85">
        <v>127</v>
      </c>
      <c r="H169" s="86">
        <v>12</v>
      </c>
      <c r="I169" s="87" t="s">
        <v>38</v>
      </c>
      <c r="J169" s="88">
        <v>1200</v>
      </c>
      <c r="K169" s="43"/>
      <c r="L169" s="44"/>
      <c r="M169" s="18"/>
      <c r="N169" s="45"/>
      <c r="O169" s="45"/>
      <c r="P169" s="45"/>
      <c r="Q169" s="92">
        <v>43728</v>
      </c>
      <c r="R169" s="88">
        <v>5624</v>
      </c>
      <c r="S169" s="112">
        <f t="shared" si="4"/>
        <v>1200</v>
      </c>
      <c r="T169" s="95"/>
      <c r="U169" s="40">
        <f t="shared" si="6"/>
        <v>1134040</v>
      </c>
      <c r="Y169" s="65"/>
      <c r="Z169" s="35"/>
      <c r="AA169" s="34"/>
    </row>
    <row r="170" spans="1:27" ht="15.75" customHeight="1" x14ac:dyDescent="0.25">
      <c r="A170" s="83">
        <v>685</v>
      </c>
      <c r="B170" s="83" t="s">
        <v>252</v>
      </c>
      <c r="C170" s="83" t="s">
        <v>253</v>
      </c>
      <c r="D170" s="84">
        <v>43363</v>
      </c>
      <c r="E170" s="85" t="s">
        <v>27</v>
      </c>
      <c r="F170" s="85">
        <v>7263</v>
      </c>
      <c r="G170" s="85">
        <v>128</v>
      </c>
      <c r="H170" s="86">
        <v>12</v>
      </c>
      <c r="I170" s="87" t="s">
        <v>38</v>
      </c>
      <c r="J170" s="88">
        <v>20000</v>
      </c>
      <c r="K170" s="43"/>
      <c r="L170" s="44"/>
      <c r="M170" s="18"/>
      <c r="N170" s="45"/>
      <c r="O170" s="45"/>
      <c r="P170" s="45"/>
      <c r="Q170" s="92">
        <v>43728</v>
      </c>
      <c r="R170" s="88">
        <v>5639</v>
      </c>
      <c r="S170" s="112">
        <f t="shared" si="4"/>
        <v>20000</v>
      </c>
      <c r="T170" s="95"/>
      <c r="U170" s="40">
        <f t="shared" si="6"/>
        <v>1154040</v>
      </c>
      <c r="Y170" s="65"/>
      <c r="Z170" s="35"/>
      <c r="AA170" s="34"/>
    </row>
    <row r="171" spans="1:27" ht="15.75" customHeight="1" x14ac:dyDescent="0.25">
      <c r="A171" s="6" t="s">
        <v>160</v>
      </c>
      <c r="B171" s="6" t="s">
        <v>161</v>
      </c>
      <c r="C171" s="6" t="s">
        <v>162</v>
      </c>
      <c r="D171" s="21">
        <v>43375</v>
      </c>
      <c r="E171" s="7" t="s">
        <v>27</v>
      </c>
      <c r="F171" s="7">
        <v>7415</v>
      </c>
      <c r="G171" s="7">
        <v>129</v>
      </c>
      <c r="H171" s="14">
        <v>6</v>
      </c>
      <c r="I171" s="10" t="s">
        <v>38</v>
      </c>
      <c r="J171" s="9">
        <v>50000</v>
      </c>
      <c r="K171" s="43"/>
      <c r="L171" s="44"/>
      <c r="M171" s="18"/>
      <c r="N171" s="45"/>
      <c r="O171" s="45"/>
      <c r="P171" s="45"/>
      <c r="Q171" s="23">
        <v>43557</v>
      </c>
      <c r="R171" s="9">
        <v>4359</v>
      </c>
      <c r="S171" s="108">
        <f t="shared" si="4"/>
        <v>50000</v>
      </c>
      <c r="T171" s="25"/>
      <c r="U171" s="40">
        <f t="shared" si="6"/>
        <v>1204040</v>
      </c>
      <c r="Y171" s="65"/>
      <c r="Z171" s="35"/>
      <c r="AA171" s="34"/>
    </row>
    <row r="172" spans="1:27" ht="15.75" customHeight="1" x14ac:dyDescent="0.25">
      <c r="A172" s="83" t="s">
        <v>254</v>
      </c>
      <c r="B172" s="83" t="s">
        <v>255</v>
      </c>
      <c r="C172" s="83" t="s">
        <v>256</v>
      </c>
      <c r="D172" s="84">
        <v>43375</v>
      </c>
      <c r="E172" s="85" t="s">
        <v>27</v>
      </c>
      <c r="F172" s="85">
        <v>7420</v>
      </c>
      <c r="G172" s="85">
        <v>130</v>
      </c>
      <c r="H172" s="85">
        <v>12</v>
      </c>
      <c r="I172" s="87" t="s">
        <v>38</v>
      </c>
      <c r="J172" s="88">
        <v>5000</v>
      </c>
      <c r="K172" s="43"/>
      <c r="L172" s="44"/>
      <c r="M172" s="18"/>
      <c r="N172" s="45"/>
      <c r="O172" s="45"/>
      <c r="P172" s="45"/>
      <c r="Q172" s="92">
        <v>43745</v>
      </c>
      <c r="R172" s="88">
        <v>5796</v>
      </c>
      <c r="S172" s="112">
        <f t="shared" si="4"/>
        <v>5000</v>
      </c>
      <c r="T172" s="95"/>
      <c r="U172" s="40">
        <f t="shared" si="6"/>
        <v>1209040</v>
      </c>
      <c r="Y172" s="65"/>
      <c r="Z172" s="35"/>
      <c r="AA172" s="34"/>
    </row>
    <row r="173" spans="1:27" ht="15.75" customHeight="1" x14ac:dyDescent="0.25">
      <c r="A173" s="6" t="s">
        <v>257</v>
      </c>
      <c r="B173" s="6" t="s">
        <v>258</v>
      </c>
      <c r="C173" s="6" t="s">
        <v>259</v>
      </c>
      <c r="D173" s="21">
        <v>43378</v>
      </c>
      <c r="E173" s="7" t="s">
        <v>27</v>
      </c>
      <c r="F173" s="7">
        <v>7455</v>
      </c>
      <c r="G173" s="7">
        <v>131</v>
      </c>
      <c r="H173" s="14">
        <v>6</v>
      </c>
      <c r="I173" s="10" t="s">
        <v>38</v>
      </c>
      <c r="J173" s="70">
        <v>15000</v>
      </c>
      <c r="K173" s="43"/>
      <c r="L173" s="44"/>
      <c r="M173" s="18"/>
      <c r="N173" s="45"/>
      <c r="O173" s="45"/>
      <c r="P173" s="45"/>
      <c r="Q173" s="23">
        <v>43563</v>
      </c>
      <c r="R173" s="9">
        <v>4398</v>
      </c>
      <c r="S173" s="108">
        <f t="shared" si="4"/>
        <v>15000</v>
      </c>
      <c r="T173" s="25"/>
      <c r="U173" s="40">
        <f t="shared" si="6"/>
        <v>1224040</v>
      </c>
      <c r="Y173" s="65"/>
      <c r="Z173" s="35"/>
      <c r="AA173" s="34"/>
    </row>
    <row r="174" spans="1:27" ht="15.75" customHeight="1" x14ac:dyDescent="0.25">
      <c r="A174" s="6" t="s">
        <v>260</v>
      </c>
      <c r="B174" s="6" t="s">
        <v>261</v>
      </c>
      <c r="C174" s="6" t="s">
        <v>262</v>
      </c>
      <c r="D174" s="21">
        <v>43378</v>
      </c>
      <c r="E174" s="7" t="s">
        <v>27</v>
      </c>
      <c r="F174" s="7">
        <v>7467</v>
      </c>
      <c r="G174" s="7">
        <v>132</v>
      </c>
      <c r="H174" s="14">
        <v>6</v>
      </c>
      <c r="I174" s="10" t="s">
        <v>38</v>
      </c>
      <c r="J174" s="9">
        <v>3000</v>
      </c>
      <c r="K174" s="43"/>
      <c r="L174" s="44"/>
      <c r="M174" s="18"/>
      <c r="N174" s="45"/>
      <c r="O174" s="45"/>
      <c r="P174" s="45"/>
      <c r="Q174" s="23">
        <v>43563</v>
      </c>
      <c r="R174" s="9">
        <v>4404</v>
      </c>
      <c r="S174" s="108">
        <f t="shared" si="4"/>
        <v>3000</v>
      </c>
      <c r="T174" s="25"/>
      <c r="U174" s="40">
        <f t="shared" si="6"/>
        <v>1227040</v>
      </c>
      <c r="Y174" s="65"/>
      <c r="Z174" s="35"/>
      <c r="AA174" s="34"/>
    </row>
    <row r="175" spans="1:27" ht="15.75" customHeight="1" x14ac:dyDescent="0.25">
      <c r="A175" s="6" t="s">
        <v>263</v>
      </c>
      <c r="B175" s="6" t="s">
        <v>264</v>
      </c>
      <c r="C175" s="6" t="s">
        <v>262</v>
      </c>
      <c r="D175" s="21">
        <v>43378</v>
      </c>
      <c r="E175" s="7" t="s">
        <v>27</v>
      </c>
      <c r="F175" s="7">
        <v>7472</v>
      </c>
      <c r="G175" s="7">
        <v>133</v>
      </c>
      <c r="H175" s="14">
        <v>6</v>
      </c>
      <c r="I175" s="10" t="s">
        <v>38</v>
      </c>
      <c r="J175" s="9">
        <v>5000</v>
      </c>
      <c r="K175" s="43"/>
      <c r="L175" s="44"/>
      <c r="M175" s="18"/>
      <c r="N175" s="45"/>
      <c r="O175" s="45"/>
      <c r="P175" s="45"/>
      <c r="Q175" s="23">
        <v>43563</v>
      </c>
      <c r="R175" s="9">
        <v>4405</v>
      </c>
      <c r="S175" s="108">
        <f t="shared" si="4"/>
        <v>5000</v>
      </c>
      <c r="T175" s="25"/>
      <c r="U175" s="40">
        <f t="shared" si="6"/>
        <v>1232040</v>
      </c>
      <c r="Y175" s="65"/>
      <c r="Z175" s="35"/>
      <c r="AA175" s="34"/>
    </row>
    <row r="176" spans="1:27" ht="15.75" customHeight="1" x14ac:dyDescent="0.25">
      <c r="A176" s="6" t="s">
        <v>265</v>
      </c>
      <c r="B176" s="6" t="s">
        <v>266</v>
      </c>
      <c r="C176" s="6" t="s">
        <v>267</v>
      </c>
      <c r="D176" s="21">
        <v>43386</v>
      </c>
      <c r="E176" s="7" t="s">
        <v>27</v>
      </c>
      <c r="F176" s="7">
        <v>7546</v>
      </c>
      <c r="G176" s="7">
        <v>134</v>
      </c>
      <c r="H176" s="14">
        <v>6</v>
      </c>
      <c r="I176" s="10" t="s">
        <v>38</v>
      </c>
      <c r="J176" s="9">
        <v>3500</v>
      </c>
      <c r="K176" s="43"/>
      <c r="L176" s="44"/>
      <c r="M176" s="18"/>
      <c r="N176" s="45"/>
      <c r="O176" s="45"/>
      <c r="P176" s="45"/>
      <c r="Q176" s="23">
        <v>43584</v>
      </c>
      <c r="R176" s="9">
        <v>4533</v>
      </c>
      <c r="S176" s="108">
        <f t="shared" si="4"/>
        <v>3500</v>
      </c>
      <c r="T176" s="25"/>
      <c r="U176" s="40">
        <f t="shared" si="6"/>
        <v>1235540</v>
      </c>
      <c r="Y176" s="65"/>
      <c r="Z176" s="35"/>
      <c r="AA176" s="34"/>
    </row>
    <row r="177" spans="1:27" ht="15.75" customHeight="1" x14ac:dyDescent="0.25">
      <c r="A177" s="83" t="s">
        <v>268</v>
      </c>
      <c r="B177" s="83" t="s">
        <v>269</v>
      </c>
      <c r="C177" s="83" t="s">
        <v>270</v>
      </c>
      <c r="D177" s="84">
        <v>43388</v>
      </c>
      <c r="E177" s="85" t="s">
        <v>27</v>
      </c>
      <c r="F177" s="85">
        <v>7561</v>
      </c>
      <c r="G177" s="85">
        <v>135</v>
      </c>
      <c r="H177" s="86">
        <v>12</v>
      </c>
      <c r="I177" s="87" t="s">
        <v>38</v>
      </c>
      <c r="J177" s="88">
        <v>6000</v>
      </c>
      <c r="K177" s="43"/>
      <c r="L177" s="44"/>
      <c r="M177" s="18"/>
      <c r="N177" s="45"/>
      <c r="O177" s="45"/>
      <c r="P177" s="45"/>
      <c r="Q177" s="92">
        <v>43755</v>
      </c>
      <c r="R177" s="88">
        <v>5894</v>
      </c>
      <c r="S177" s="112">
        <f t="shared" si="4"/>
        <v>6000</v>
      </c>
      <c r="T177" s="95"/>
      <c r="U177" s="40">
        <f t="shared" si="6"/>
        <v>1241540</v>
      </c>
      <c r="Y177" s="65"/>
      <c r="Z177" s="35"/>
      <c r="AA177" s="34"/>
    </row>
    <row r="178" spans="1:27" ht="15.75" customHeight="1" x14ac:dyDescent="0.25">
      <c r="A178" s="6" t="s">
        <v>143</v>
      </c>
      <c r="B178" s="6" t="s">
        <v>144</v>
      </c>
      <c r="C178" s="6" t="s">
        <v>145</v>
      </c>
      <c r="D178" s="21">
        <v>43389</v>
      </c>
      <c r="E178" s="7" t="s">
        <v>27</v>
      </c>
      <c r="F178" s="7">
        <v>7580</v>
      </c>
      <c r="G178" s="7">
        <v>136</v>
      </c>
      <c r="H178" s="14">
        <v>6</v>
      </c>
      <c r="I178" s="10" t="s">
        <v>38</v>
      </c>
      <c r="J178" s="9">
        <v>10000</v>
      </c>
      <c r="K178" s="43"/>
      <c r="L178" s="44"/>
      <c r="M178" s="18"/>
      <c r="N178" s="45"/>
      <c r="O178" s="45"/>
      <c r="P178" s="45"/>
      <c r="Q178" s="23">
        <v>43571</v>
      </c>
      <c r="R178" s="9">
        <v>4469</v>
      </c>
      <c r="S178" s="108">
        <f t="shared" si="4"/>
        <v>10000</v>
      </c>
      <c r="T178" s="25"/>
      <c r="U178" s="40">
        <f t="shared" si="6"/>
        <v>1251540</v>
      </c>
      <c r="Y178" s="65"/>
      <c r="Z178" s="35"/>
      <c r="AA178" s="34"/>
    </row>
    <row r="179" spans="1:27" ht="15.75" customHeight="1" x14ac:dyDescent="0.25">
      <c r="A179" s="6" t="s">
        <v>271</v>
      </c>
      <c r="B179" s="6" t="s">
        <v>272</v>
      </c>
      <c r="C179" s="6" t="s">
        <v>273</v>
      </c>
      <c r="D179" s="21">
        <v>43398</v>
      </c>
      <c r="E179" s="7" t="s">
        <v>27</v>
      </c>
      <c r="F179" s="7">
        <v>7686</v>
      </c>
      <c r="G179" s="7">
        <v>137</v>
      </c>
      <c r="H179" s="14">
        <v>6</v>
      </c>
      <c r="I179" s="10" t="s">
        <v>38</v>
      </c>
      <c r="J179" s="9">
        <v>90000</v>
      </c>
      <c r="K179" s="43"/>
      <c r="L179" s="44"/>
      <c r="M179" s="18"/>
      <c r="N179" s="45"/>
      <c r="O179" s="45"/>
      <c r="P179" s="45"/>
      <c r="Q179" s="23">
        <v>43580</v>
      </c>
      <c r="R179" s="9">
        <v>4513</v>
      </c>
      <c r="S179" s="108">
        <f t="shared" si="4"/>
        <v>90000</v>
      </c>
      <c r="T179" s="25"/>
      <c r="U179" s="40">
        <f t="shared" si="6"/>
        <v>1341540</v>
      </c>
      <c r="Y179" s="65"/>
      <c r="Z179" s="35"/>
      <c r="AA179" s="34"/>
    </row>
    <row r="180" spans="1:27" ht="15.75" customHeight="1" x14ac:dyDescent="0.25">
      <c r="A180" s="83" t="s">
        <v>274</v>
      </c>
      <c r="B180" s="83" t="s">
        <v>275</v>
      </c>
      <c r="C180" s="83" t="s">
        <v>276</v>
      </c>
      <c r="D180" s="84">
        <v>43409</v>
      </c>
      <c r="E180" s="85" t="s">
        <v>27</v>
      </c>
      <c r="F180" s="85">
        <v>7831</v>
      </c>
      <c r="G180" s="85">
        <v>138</v>
      </c>
      <c r="H180" s="86">
        <v>12</v>
      </c>
      <c r="I180" s="87" t="s">
        <v>38</v>
      </c>
      <c r="J180" s="88">
        <v>50000</v>
      </c>
      <c r="K180" s="43"/>
      <c r="L180" s="44"/>
      <c r="M180" s="18"/>
      <c r="N180" s="45"/>
      <c r="O180" s="45"/>
      <c r="P180" s="45"/>
      <c r="Q180" s="92">
        <v>43801</v>
      </c>
      <c r="R180" s="88">
        <v>6253</v>
      </c>
      <c r="S180" s="112">
        <f t="shared" si="4"/>
        <v>50000</v>
      </c>
      <c r="T180" s="95"/>
      <c r="U180" s="40">
        <f t="shared" si="6"/>
        <v>1391540</v>
      </c>
      <c r="Y180" s="65"/>
      <c r="Z180" s="35"/>
      <c r="AA180" s="34"/>
    </row>
    <row r="181" spans="1:27" ht="15.75" customHeight="1" x14ac:dyDescent="0.25">
      <c r="A181" s="6" t="s">
        <v>166</v>
      </c>
      <c r="B181" s="6" t="s">
        <v>167</v>
      </c>
      <c r="C181" s="6" t="s">
        <v>168</v>
      </c>
      <c r="D181" s="21">
        <v>43411</v>
      </c>
      <c r="E181" s="7" t="s">
        <v>27</v>
      </c>
      <c r="F181" s="7">
        <v>7862</v>
      </c>
      <c r="G181" s="7">
        <v>139</v>
      </c>
      <c r="H181" s="14">
        <v>3</v>
      </c>
      <c r="I181" s="10" t="s">
        <v>38</v>
      </c>
      <c r="J181" s="9">
        <v>16000</v>
      </c>
      <c r="K181" s="43"/>
      <c r="L181" s="44"/>
      <c r="M181" s="18"/>
      <c r="N181" s="45"/>
      <c r="O181" s="45"/>
      <c r="P181" s="45"/>
      <c r="Q181" s="23">
        <v>43504</v>
      </c>
      <c r="R181" s="9">
        <v>1463</v>
      </c>
      <c r="S181" s="108">
        <f t="shared" si="4"/>
        <v>16000</v>
      </c>
      <c r="T181" s="25"/>
      <c r="U181" s="40">
        <f t="shared" si="6"/>
        <v>1407540</v>
      </c>
      <c r="Y181" s="65"/>
      <c r="Z181" s="35"/>
      <c r="AA181" s="34"/>
    </row>
    <row r="182" spans="1:27" ht="15.75" customHeight="1" x14ac:dyDescent="0.25">
      <c r="A182" s="67" t="s">
        <v>277</v>
      </c>
      <c r="B182" s="67" t="s">
        <v>278</v>
      </c>
      <c r="C182" s="67" t="s">
        <v>279</v>
      </c>
      <c r="D182" s="68">
        <v>43416</v>
      </c>
      <c r="E182" s="55" t="s">
        <v>27</v>
      </c>
      <c r="F182" s="55">
        <v>7920</v>
      </c>
      <c r="G182" s="55">
        <v>140</v>
      </c>
      <c r="H182" s="69">
        <v>12</v>
      </c>
      <c r="I182" s="89" t="s">
        <v>38</v>
      </c>
      <c r="J182" s="70">
        <v>10000</v>
      </c>
      <c r="K182" s="43"/>
      <c r="L182" s="44"/>
      <c r="M182" s="18"/>
      <c r="N182" s="45"/>
      <c r="O182" s="45"/>
      <c r="P182" s="45"/>
      <c r="Q182" s="71">
        <v>43781</v>
      </c>
      <c r="R182" s="70">
        <v>6097</v>
      </c>
      <c r="S182" s="110">
        <f t="shared" si="4"/>
        <v>10000</v>
      </c>
      <c r="T182" s="96"/>
      <c r="U182" s="40">
        <f t="shared" si="6"/>
        <v>1417540</v>
      </c>
      <c r="Y182" s="65"/>
      <c r="Z182" s="35"/>
      <c r="AA182" s="34"/>
    </row>
    <row r="183" spans="1:27" ht="15.75" customHeight="1" x14ac:dyDescent="0.25">
      <c r="A183" s="6" t="s">
        <v>175</v>
      </c>
      <c r="B183" s="6" t="s">
        <v>176</v>
      </c>
      <c r="C183" s="6" t="s">
        <v>177</v>
      </c>
      <c r="D183" s="21">
        <v>43419</v>
      </c>
      <c r="E183" s="7" t="s">
        <v>27</v>
      </c>
      <c r="F183" s="7">
        <v>7950</v>
      </c>
      <c r="G183" s="7">
        <v>141</v>
      </c>
      <c r="H183" s="7">
        <v>6</v>
      </c>
      <c r="I183" s="10" t="s">
        <v>38</v>
      </c>
      <c r="J183" s="9">
        <v>100000</v>
      </c>
      <c r="K183" s="43"/>
      <c r="L183" s="44"/>
      <c r="M183" s="18"/>
      <c r="N183" s="45"/>
      <c r="O183" s="45"/>
      <c r="P183" s="45"/>
      <c r="Q183" s="23">
        <v>43600</v>
      </c>
      <c r="R183" s="9">
        <v>4623</v>
      </c>
      <c r="S183" s="108">
        <f t="shared" si="4"/>
        <v>100000</v>
      </c>
      <c r="T183" s="25"/>
      <c r="U183" s="40">
        <f t="shared" si="6"/>
        <v>1517540</v>
      </c>
      <c r="Y183" s="65"/>
      <c r="Z183" s="35"/>
      <c r="AA183" s="34"/>
    </row>
    <row r="184" spans="1:27" ht="15.75" customHeight="1" x14ac:dyDescent="0.25">
      <c r="A184" s="6" t="s">
        <v>280</v>
      </c>
      <c r="B184" s="6" t="s">
        <v>281</v>
      </c>
      <c r="C184" s="6" t="s">
        <v>282</v>
      </c>
      <c r="D184" s="21">
        <v>43421</v>
      </c>
      <c r="E184" s="7" t="s">
        <v>27</v>
      </c>
      <c r="F184" s="7">
        <v>7977</v>
      </c>
      <c r="G184" s="7">
        <v>142</v>
      </c>
      <c r="H184" s="14">
        <v>6</v>
      </c>
      <c r="I184" s="10" t="s">
        <v>38</v>
      </c>
      <c r="J184" s="9">
        <v>27000</v>
      </c>
      <c r="K184" s="43"/>
      <c r="L184" s="44"/>
      <c r="M184" s="18"/>
      <c r="N184" s="45"/>
      <c r="O184" s="45"/>
      <c r="P184" s="45"/>
      <c r="Q184" s="23">
        <v>43616</v>
      </c>
      <c r="R184" s="9">
        <v>4736</v>
      </c>
      <c r="S184" s="108">
        <f t="shared" si="4"/>
        <v>27000</v>
      </c>
      <c r="T184" s="25"/>
      <c r="U184" s="40">
        <f t="shared" si="6"/>
        <v>1544540</v>
      </c>
      <c r="Y184" s="65"/>
      <c r="Z184" s="35"/>
      <c r="AA184" s="34"/>
    </row>
    <row r="185" spans="1:27" ht="15.75" customHeight="1" x14ac:dyDescent="0.25">
      <c r="A185" s="83" t="s">
        <v>283</v>
      </c>
      <c r="B185" s="83" t="s">
        <v>284</v>
      </c>
      <c r="C185" s="83" t="s">
        <v>285</v>
      </c>
      <c r="D185" s="84">
        <v>43424</v>
      </c>
      <c r="E185" s="85" t="s">
        <v>27</v>
      </c>
      <c r="F185" s="85">
        <v>8002</v>
      </c>
      <c r="G185" s="85">
        <v>143</v>
      </c>
      <c r="H185" s="86">
        <v>12</v>
      </c>
      <c r="I185" s="87" t="s">
        <v>38</v>
      </c>
      <c r="J185" s="88">
        <v>5000</v>
      </c>
      <c r="K185" s="43"/>
      <c r="L185" s="44"/>
      <c r="M185" s="18"/>
      <c r="N185" s="45"/>
      <c r="O185" s="45"/>
      <c r="P185" s="45"/>
      <c r="Q185" s="92">
        <v>43973</v>
      </c>
      <c r="R185" s="88">
        <v>203</v>
      </c>
      <c r="S185" s="112">
        <f>J185</f>
        <v>5000</v>
      </c>
      <c r="T185" s="95"/>
      <c r="U185" s="40">
        <f t="shared" si="6"/>
        <v>1549540</v>
      </c>
      <c r="Y185" s="65"/>
      <c r="Z185" s="35"/>
      <c r="AA185" s="34"/>
    </row>
    <row r="186" spans="1:27" ht="15.75" customHeight="1" x14ac:dyDescent="0.25">
      <c r="A186" s="6" t="s">
        <v>257</v>
      </c>
      <c r="B186" s="6" t="s">
        <v>258</v>
      </c>
      <c r="C186" s="6" t="s">
        <v>259</v>
      </c>
      <c r="D186" s="21">
        <v>43427</v>
      </c>
      <c r="E186" s="7" t="s">
        <v>27</v>
      </c>
      <c r="F186" s="7">
        <v>8055</v>
      </c>
      <c r="G186" s="7">
        <v>144</v>
      </c>
      <c r="H186" s="14">
        <v>6</v>
      </c>
      <c r="I186" s="10" t="s">
        <v>38</v>
      </c>
      <c r="J186" s="9">
        <v>14000</v>
      </c>
      <c r="K186" s="43"/>
      <c r="L186" s="44"/>
      <c r="M186" s="18"/>
      <c r="N186" s="45"/>
      <c r="O186" s="45"/>
      <c r="P186" s="45"/>
      <c r="Q186" s="23">
        <v>43610</v>
      </c>
      <c r="R186" s="9">
        <v>4690</v>
      </c>
      <c r="S186" s="108">
        <f t="shared" si="4"/>
        <v>14000</v>
      </c>
      <c r="T186" s="25"/>
      <c r="U186" s="40">
        <f t="shared" si="6"/>
        <v>1563540</v>
      </c>
      <c r="Y186" s="65"/>
      <c r="Z186" s="35"/>
      <c r="AA186" s="34"/>
    </row>
    <row r="187" spans="1:27" ht="15.75" customHeight="1" x14ac:dyDescent="0.25">
      <c r="A187" s="83" t="s">
        <v>286</v>
      </c>
      <c r="B187" s="83" t="s">
        <v>287</v>
      </c>
      <c r="C187" s="83" t="s">
        <v>288</v>
      </c>
      <c r="D187" s="84">
        <v>43431</v>
      </c>
      <c r="E187" s="85" t="s">
        <v>27</v>
      </c>
      <c r="F187" s="85">
        <v>8108</v>
      </c>
      <c r="G187" s="85">
        <v>145</v>
      </c>
      <c r="H187" s="86">
        <v>12</v>
      </c>
      <c r="I187" s="87" t="s">
        <v>38</v>
      </c>
      <c r="J187" s="88">
        <v>7000</v>
      </c>
      <c r="K187" s="43"/>
      <c r="L187" s="44"/>
      <c r="M187" s="18"/>
      <c r="N187" s="45"/>
      <c r="O187" s="45"/>
      <c r="P187" s="45"/>
      <c r="Q187" s="92">
        <v>43804</v>
      </c>
      <c r="R187" s="88">
        <v>6293</v>
      </c>
      <c r="S187" s="112">
        <f t="shared" si="4"/>
        <v>7000</v>
      </c>
      <c r="T187" s="95"/>
      <c r="U187" s="40">
        <f t="shared" si="6"/>
        <v>1570540</v>
      </c>
      <c r="Y187" s="65"/>
      <c r="Z187" s="35"/>
      <c r="AA187" s="34"/>
    </row>
    <row r="188" spans="1:27" ht="15.75" customHeight="1" x14ac:dyDescent="0.25">
      <c r="A188" s="83" t="s">
        <v>289</v>
      </c>
      <c r="B188" s="83" t="s">
        <v>290</v>
      </c>
      <c r="C188" s="83" t="s">
        <v>291</v>
      </c>
      <c r="D188" s="84">
        <v>43433</v>
      </c>
      <c r="E188" s="85" t="s">
        <v>27</v>
      </c>
      <c r="F188" s="85">
        <v>8130</v>
      </c>
      <c r="G188" s="85">
        <v>146</v>
      </c>
      <c r="H188" s="86">
        <v>12</v>
      </c>
      <c r="I188" s="87" t="s">
        <v>38</v>
      </c>
      <c r="J188" s="88">
        <v>2100</v>
      </c>
      <c r="K188" s="43"/>
      <c r="L188" s="44"/>
      <c r="M188" s="18"/>
      <c r="N188" s="45"/>
      <c r="O188" s="45"/>
      <c r="P188" s="45"/>
      <c r="Q188" s="92">
        <v>43801</v>
      </c>
      <c r="R188" s="88">
        <v>6255</v>
      </c>
      <c r="S188" s="112">
        <f t="shared" si="4"/>
        <v>2100</v>
      </c>
      <c r="T188" s="95"/>
      <c r="U188" s="40">
        <f t="shared" si="6"/>
        <v>1572640</v>
      </c>
      <c r="Y188" s="65"/>
      <c r="Z188" s="35"/>
      <c r="AA188" s="34"/>
    </row>
    <row r="189" spans="1:27" ht="15.75" customHeight="1" x14ac:dyDescent="0.25">
      <c r="A189" s="6" t="s">
        <v>28</v>
      </c>
      <c r="B189" s="6" t="s">
        <v>28</v>
      </c>
      <c r="C189" s="6" t="s">
        <v>28</v>
      </c>
      <c r="D189" s="21" t="s">
        <v>28</v>
      </c>
      <c r="G189" s="7">
        <v>147</v>
      </c>
      <c r="H189" s="14"/>
      <c r="I189" s="10" t="s">
        <v>38</v>
      </c>
      <c r="J189" s="9">
        <v>0</v>
      </c>
      <c r="K189" s="43"/>
      <c r="L189" s="44"/>
      <c r="M189" s="18"/>
      <c r="N189" s="45"/>
      <c r="O189" s="45"/>
      <c r="P189" s="45"/>
      <c r="S189" s="108">
        <f t="shared" si="4"/>
        <v>0</v>
      </c>
      <c r="U189" s="40">
        <f t="shared" si="6"/>
        <v>1572640</v>
      </c>
      <c r="Y189" s="65"/>
      <c r="Z189" s="35"/>
      <c r="AA189" s="34"/>
    </row>
    <row r="190" spans="1:27" ht="15.75" customHeight="1" x14ac:dyDescent="0.25">
      <c r="A190" s="66" t="s">
        <v>292</v>
      </c>
      <c r="B190" s="66" t="s">
        <v>293</v>
      </c>
      <c r="C190" s="66" t="s">
        <v>294</v>
      </c>
      <c r="D190" s="79">
        <v>43437</v>
      </c>
      <c r="E190" s="80" t="s">
        <v>27</v>
      </c>
      <c r="F190" s="80">
        <v>8195</v>
      </c>
      <c r="G190" s="80">
        <v>148</v>
      </c>
      <c r="H190" s="27">
        <v>6</v>
      </c>
      <c r="I190" s="81" t="s">
        <v>38</v>
      </c>
      <c r="J190" s="82">
        <v>3800</v>
      </c>
      <c r="K190" s="43"/>
      <c r="L190" s="44"/>
      <c r="M190" s="18"/>
      <c r="N190" s="45"/>
      <c r="O190" s="45"/>
      <c r="P190" s="45"/>
      <c r="Q190" s="91">
        <v>43833</v>
      </c>
      <c r="R190" s="82">
        <v>6582</v>
      </c>
      <c r="S190" s="109">
        <f t="shared" si="4"/>
        <v>3800</v>
      </c>
      <c r="U190" s="40">
        <f t="shared" si="6"/>
        <v>1576440</v>
      </c>
      <c r="Y190" s="65"/>
      <c r="Z190" s="35"/>
      <c r="AA190" s="34"/>
    </row>
    <row r="191" spans="1:27" ht="15.75" customHeight="1" x14ac:dyDescent="0.25">
      <c r="A191" s="6" t="s">
        <v>295</v>
      </c>
      <c r="B191" s="6" t="s">
        <v>296</v>
      </c>
      <c r="C191" s="6" t="s">
        <v>297</v>
      </c>
      <c r="D191" s="21">
        <v>43443</v>
      </c>
      <c r="E191" s="7" t="s">
        <v>27</v>
      </c>
      <c r="F191" s="7">
        <v>8289</v>
      </c>
      <c r="G191" s="7">
        <v>150</v>
      </c>
      <c r="H191" s="14">
        <v>6</v>
      </c>
      <c r="I191" s="10" t="s">
        <v>38</v>
      </c>
      <c r="J191" s="9">
        <v>12500</v>
      </c>
      <c r="K191" s="43"/>
      <c r="L191" s="44"/>
      <c r="M191" s="18"/>
      <c r="N191" s="45"/>
      <c r="O191" s="45"/>
      <c r="P191" s="45"/>
      <c r="Q191" s="23">
        <v>43626</v>
      </c>
      <c r="R191" s="9">
        <v>4795</v>
      </c>
      <c r="S191" s="108">
        <f t="shared" si="4"/>
        <v>12500</v>
      </c>
      <c r="T191" s="25"/>
      <c r="U191" s="40">
        <f t="shared" si="6"/>
        <v>1588940</v>
      </c>
      <c r="Y191" s="65"/>
      <c r="Z191" s="35"/>
      <c r="AA191" s="34"/>
    </row>
    <row r="192" spans="1:27" ht="15.75" customHeight="1" x14ac:dyDescent="0.25">
      <c r="A192" s="83" t="s">
        <v>298</v>
      </c>
      <c r="B192" s="83" t="s">
        <v>65</v>
      </c>
      <c r="C192" s="83" t="s">
        <v>66</v>
      </c>
      <c r="D192" s="84">
        <v>43444</v>
      </c>
      <c r="E192" s="85" t="s">
        <v>27</v>
      </c>
      <c r="F192" s="85">
        <v>8302</v>
      </c>
      <c r="G192" s="85">
        <v>149</v>
      </c>
      <c r="H192" s="86">
        <v>12</v>
      </c>
      <c r="I192" s="87" t="s">
        <v>38</v>
      </c>
      <c r="J192" s="88">
        <v>40000</v>
      </c>
      <c r="K192" s="43"/>
      <c r="L192" s="44"/>
      <c r="M192" s="18"/>
      <c r="N192" s="45"/>
      <c r="O192" s="45"/>
      <c r="P192" s="45"/>
      <c r="Q192" s="92">
        <v>43811</v>
      </c>
      <c r="R192" s="88">
        <v>6358</v>
      </c>
      <c r="S192" s="112">
        <f>J192</f>
        <v>40000</v>
      </c>
      <c r="T192" s="95"/>
      <c r="U192" s="40">
        <f t="shared" si="6"/>
        <v>1628940</v>
      </c>
      <c r="Y192" s="65"/>
      <c r="Z192" s="35"/>
      <c r="AA192" s="34"/>
    </row>
    <row r="193" spans="1:27" ht="15.75" customHeight="1" x14ac:dyDescent="0.25">
      <c r="A193" s="83" t="s">
        <v>67</v>
      </c>
      <c r="B193" s="83" t="s">
        <v>68</v>
      </c>
      <c r="C193" s="83" t="s">
        <v>69</v>
      </c>
      <c r="D193" s="84">
        <v>43449</v>
      </c>
      <c r="E193" s="85" t="s">
        <v>27</v>
      </c>
      <c r="F193" s="85">
        <v>8383</v>
      </c>
      <c r="G193" s="85">
        <v>154</v>
      </c>
      <c r="H193" s="86">
        <v>12</v>
      </c>
      <c r="I193" s="87" t="s">
        <v>38</v>
      </c>
      <c r="J193" s="88">
        <v>9700</v>
      </c>
      <c r="K193" s="43"/>
      <c r="L193" s="44"/>
      <c r="M193" s="18"/>
      <c r="N193" s="45"/>
      <c r="O193" s="45"/>
      <c r="P193" s="45"/>
      <c r="Q193" s="92">
        <v>43816</v>
      </c>
      <c r="R193" s="88">
        <v>6396</v>
      </c>
      <c r="S193" s="112">
        <f t="shared" si="4"/>
        <v>9700</v>
      </c>
      <c r="T193" s="95"/>
      <c r="U193" s="40">
        <f t="shared" si="6"/>
        <v>1638640</v>
      </c>
      <c r="Y193" s="65"/>
      <c r="Z193" s="35"/>
      <c r="AA193" s="34"/>
    </row>
    <row r="194" spans="1:27" ht="15.75" customHeight="1" x14ac:dyDescent="0.25">
      <c r="A194" s="6" t="s">
        <v>299</v>
      </c>
      <c r="B194" s="6" t="s">
        <v>300</v>
      </c>
      <c r="C194" s="6" t="s">
        <v>301</v>
      </c>
      <c r="D194" s="21">
        <v>43452</v>
      </c>
      <c r="E194" s="7" t="s">
        <v>27</v>
      </c>
      <c r="F194" s="7">
        <v>8454</v>
      </c>
      <c r="G194" s="7">
        <v>152</v>
      </c>
      <c r="H194" s="14">
        <v>6</v>
      </c>
      <c r="I194" s="10" t="s">
        <v>38</v>
      </c>
      <c r="J194" s="9">
        <v>15000</v>
      </c>
      <c r="K194" s="43"/>
      <c r="L194" s="44"/>
      <c r="M194" s="18"/>
      <c r="N194" s="45"/>
      <c r="O194" s="45"/>
      <c r="P194" s="45"/>
      <c r="Q194" s="23">
        <v>43634</v>
      </c>
      <c r="R194" s="9">
        <v>4844</v>
      </c>
      <c r="S194" s="108">
        <f t="shared" si="4"/>
        <v>15000</v>
      </c>
      <c r="T194" s="25"/>
      <c r="U194" s="40">
        <f t="shared" si="6"/>
        <v>1653640</v>
      </c>
      <c r="Y194" s="65"/>
      <c r="Z194" s="35"/>
      <c r="AA194" s="34"/>
    </row>
    <row r="195" spans="1:27" ht="15.75" customHeight="1" x14ac:dyDescent="0.25">
      <c r="A195" s="6" t="s">
        <v>191</v>
      </c>
      <c r="B195" s="6" t="s">
        <v>63</v>
      </c>
      <c r="C195" s="6" t="s">
        <v>64</v>
      </c>
      <c r="D195" s="21">
        <v>43453</v>
      </c>
      <c r="E195" s="7" t="s">
        <v>27</v>
      </c>
      <c r="F195" s="7">
        <v>8467</v>
      </c>
      <c r="G195" s="7">
        <v>151</v>
      </c>
      <c r="H195" s="14">
        <v>6</v>
      </c>
      <c r="I195" s="10" t="s">
        <v>38</v>
      </c>
      <c r="J195" s="9">
        <v>4000</v>
      </c>
      <c r="K195" s="43"/>
      <c r="L195" s="44"/>
      <c r="M195" s="18"/>
      <c r="N195" s="45"/>
      <c r="O195" s="45"/>
      <c r="P195" s="45"/>
      <c r="Q195" s="23">
        <v>43637</v>
      </c>
      <c r="R195" s="9">
        <v>4880</v>
      </c>
      <c r="S195" s="108">
        <f t="shared" si="4"/>
        <v>4000</v>
      </c>
      <c r="T195" s="25"/>
      <c r="U195" s="40">
        <f t="shared" si="6"/>
        <v>1657640</v>
      </c>
      <c r="Y195" s="65"/>
      <c r="Z195" s="35"/>
      <c r="AA195" s="34"/>
    </row>
    <row r="196" spans="1:27" ht="15.75" customHeight="1" x14ac:dyDescent="0.25">
      <c r="A196" s="6" t="s">
        <v>302</v>
      </c>
      <c r="B196" s="6" t="s">
        <v>303</v>
      </c>
      <c r="C196" s="6" t="s">
        <v>304</v>
      </c>
      <c r="D196" s="21">
        <v>43453</v>
      </c>
      <c r="E196" s="7" t="s">
        <v>27</v>
      </c>
      <c r="F196" s="7">
        <v>8488</v>
      </c>
      <c r="G196" s="7">
        <v>153</v>
      </c>
      <c r="H196" s="14">
        <v>6</v>
      </c>
      <c r="I196" s="10" t="s">
        <v>38</v>
      </c>
      <c r="J196" s="9">
        <v>5000</v>
      </c>
      <c r="K196" s="43"/>
      <c r="L196" s="44"/>
      <c r="M196" s="18"/>
      <c r="N196" s="45"/>
      <c r="O196" s="45"/>
      <c r="P196" s="45"/>
      <c r="Q196" s="23">
        <v>43636</v>
      </c>
      <c r="R196" s="9">
        <v>4861</v>
      </c>
      <c r="S196" s="108">
        <f t="shared" si="4"/>
        <v>5000</v>
      </c>
      <c r="T196" s="25"/>
      <c r="U196" s="40">
        <f t="shared" si="6"/>
        <v>1662640</v>
      </c>
      <c r="V196" s="11">
        <v>1728140</v>
      </c>
      <c r="W196" s="97">
        <v>43435</v>
      </c>
      <c r="Y196" s="65"/>
      <c r="Z196" s="35"/>
      <c r="AA196" s="34"/>
    </row>
    <row r="197" spans="1:27" ht="15.75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4"/>
      <c r="L197" s="114"/>
      <c r="M197" s="114"/>
      <c r="N197" s="114"/>
      <c r="O197" s="114"/>
      <c r="P197" s="114"/>
      <c r="Q197" s="118"/>
      <c r="R197" s="118"/>
      <c r="S197" s="118"/>
      <c r="T197" s="118"/>
      <c r="U197" s="40">
        <f t="shared" si="6"/>
        <v>1662640</v>
      </c>
      <c r="Y197" s="65"/>
      <c r="Z197" s="35"/>
      <c r="AA197" s="34"/>
    </row>
    <row r="198" spans="1:27" ht="15.75" customHeight="1" x14ac:dyDescent="0.25">
      <c r="A198" s="12" t="s">
        <v>203</v>
      </c>
      <c r="B198" s="12" t="s">
        <v>204</v>
      </c>
      <c r="C198" s="12" t="s">
        <v>205</v>
      </c>
      <c r="D198" s="13">
        <v>43467</v>
      </c>
      <c r="E198" s="14" t="s">
        <v>27</v>
      </c>
      <c r="F198" s="14">
        <v>8653</v>
      </c>
      <c r="G198" s="14">
        <v>155</v>
      </c>
      <c r="H198" s="14">
        <v>6</v>
      </c>
      <c r="I198" s="14" t="s">
        <v>38</v>
      </c>
      <c r="J198" s="98">
        <v>5000</v>
      </c>
      <c r="K198" s="43"/>
      <c r="L198" s="44"/>
      <c r="M198" s="18"/>
      <c r="N198" s="45"/>
      <c r="O198" s="45"/>
      <c r="P198" s="45"/>
      <c r="Q198" s="99">
        <v>43648</v>
      </c>
      <c r="R198" s="19">
        <v>4939</v>
      </c>
      <c r="S198" s="107">
        <v>5000</v>
      </c>
      <c r="T198" s="26"/>
      <c r="U198" s="40">
        <f t="shared" si="6"/>
        <v>1667640</v>
      </c>
      <c r="Y198" s="65"/>
      <c r="Z198" s="35"/>
      <c r="AA198" s="34"/>
    </row>
    <row r="199" spans="1:27" ht="15.75" customHeight="1" x14ac:dyDescent="0.25">
      <c r="A199" s="6" t="s">
        <v>143</v>
      </c>
      <c r="B199" s="6" t="s">
        <v>144</v>
      </c>
      <c r="C199" s="6" t="s">
        <v>145</v>
      </c>
      <c r="D199" s="21">
        <v>43468</v>
      </c>
      <c r="E199" s="7" t="s">
        <v>27</v>
      </c>
      <c r="F199" s="7">
        <v>8685</v>
      </c>
      <c r="G199" s="7">
        <v>156</v>
      </c>
      <c r="H199" s="14">
        <v>6</v>
      </c>
      <c r="I199" s="10" t="s">
        <v>38</v>
      </c>
      <c r="J199" s="98">
        <v>10000</v>
      </c>
      <c r="K199" s="43"/>
      <c r="L199" s="44"/>
      <c r="M199" s="18"/>
      <c r="N199" s="45"/>
      <c r="O199" s="45"/>
      <c r="P199" s="45"/>
      <c r="Q199" s="23">
        <v>43649</v>
      </c>
      <c r="R199" s="9">
        <v>4962</v>
      </c>
      <c r="S199" s="108">
        <v>10000</v>
      </c>
      <c r="T199" s="25"/>
      <c r="U199" s="40">
        <f t="shared" si="6"/>
        <v>1677640</v>
      </c>
      <c r="Y199" s="65"/>
      <c r="Z199" s="35"/>
      <c r="AA199" s="34"/>
    </row>
    <row r="200" spans="1:27" ht="15.75" customHeight="1" x14ac:dyDescent="0.25">
      <c r="A200" s="6" t="s">
        <v>305</v>
      </c>
      <c r="B200" s="6" t="s">
        <v>306</v>
      </c>
      <c r="C200" s="6" t="s">
        <v>307</v>
      </c>
      <c r="D200" s="21">
        <v>43476</v>
      </c>
      <c r="E200" s="7" t="s">
        <v>27</v>
      </c>
      <c r="F200" s="7">
        <v>8772</v>
      </c>
      <c r="G200" s="7">
        <v>157</v>
      </c>
      <c r="H200" s="14">
        <v>12</v>
      </c>
      <c r="I200" s="10" t="s">
        <v>38</v>
      </c>
      <c r="J200" s="9">
        <v>20000</v>
      </c>
      <c r="K200" s="43"/>
      <c r="L200" s="44"/>
      <c r="M200" s="18"/>
      <c r="N200" s="45"/>
      <c r="O200" s="45"/>
      <c r="P200" s="45"/>
      <c r="Q200" s="23">
        <v>43843</v>
      </c>
      <c r="R200" s="9">
        <v>6716</v>
      </c>
      <c r="S200" s="108">
        <v>20000</v>
      </c>
      <c r="U200" s="40">
        <f t="shared" si="6"/>
        <v>1697640</v>
      </c>
      <c r="Y200" s="65"/>
      <c r="Z200" s="35"/>
      <c r="AA200" s="34"/>
    </row>
    <row r="201" spans="1:27" ht="15.75" customHeight="1" x14ac:dyDescent="0.25">
      <c r="A201" s="46" t="s">
        <v>308</v>
      </c>
      <c r="B201" s="6" t="s">
        <v>42</v>
      </c>
      <c r="C201" s="6" t="s">
        <v>43</v>
      </c>
      <c r="D201" s="21">
        <v>43476</v>
      </c>
      <c r="E201" s="7" t="s">
        <v>27</v>
      </c>
      <c r="F201" s="7">
        <v>8774</v>
      </c>
      <c r="G201" s="7">
        <v>158</v>
      </c>
      <c r="H201" s="14">
        <v>12</v>
      </c>
      <c r="I201" s="10" t="s">
        <v>38</v>
      </c>
      <c r="J201" s="9">
        <v>1500</v>
      </c>
      <c r="K201" s="43"/>
      <c r="L201" s="44"/>
      <c r="M201" s="18"/>
      <c r="N201" s="45"/>
      <c r="O201" s="45"/>
      <c r="P201" s="45"/>
      <c r="Q201" s="23">
        <v>43843</v>
      </c>
      <c r="R201" s="9">
        <v>6699</v>
      </c>
      <c r="S201" s="108">
        <v>1500</v>
      </c>
      <c r="U201" s="40">
        <f t="shared" si="6"/>
        <v>1699140</v>
      </c>
      <c r="Y201" s="65"/>
      <c r="Z201" s="35"/>
      <c r="AA201" s="34"/>
    </row>
    <row r="202" spans="1:27" ht="15.75" customHeight="1" x14ac:dyDescent="0.25">
      <c r="A202" s="6" t="s">
        <v>299</v>
      </c>
      <c r="B202" s="6" t="s">
        <v>300</v>
      </c>
      <c r="C202" s="6" t="s">
        <v>301</v>
      </c>
      <c r="D202" s="21">
        <v>43479</v>
      </c>
      <c r="E202" s="7" t="s">
        <v>27</v>
      </c>
      <c r="F202" s="7">
        <v>8804</v>
      </c>
      <c r="G202" s="7">
        <v>159</v>
      </c>
      <c r="H202" s="14">
        <v>6</v>
      </c>
      <c r="I202" s="10" t="s">
        <v>38</v>
      </c>
      <c r="J202" s="9">
        <v>15000</v>
      </c>
      <c r="K202" s="43"/>
      <c r="L202" s="44"/>
      <c r="M202" s="18"/>
      <c r="N202" s="45"/>
      <c r="O202" s="45"/>
      <c r="P202" s="45"/>
      <c r="Q202" s="23">
        <v>43660</v>
      </c>
      <c r="R202" s="9">
        <v>5065</v>
      </c>
      <c r="S202" s="108">
        <v>15000</v>
      </c>
      <c r="T202" s="25"/>
      <c r="U202" s="40">
        <f t="shared" si="6"/>
        <v>1714140</v>
      </c>
      <c r="Y202" s="65"/>
      <c r="Z202" s="35"/>
      <c r="AA202" s="34"/>
    </row>
    <row r="203" spans="1:27" ht="15.75" customHeight="1" x14ac:dyDescent="0.25">
      <c r="A203" s="66" t="s">
        <v>309</v>
      </c>
      <c r="B203" s="66" t="s">
        <v>310</v>
      </c>
      <c r="C203" s="66" t="s">
        <v>267</v>
      </c>
      <c r="D203" s="79">
        <v>43480</v>
      </c>
      <c r="E203" s="80" t="s">
        <v>27</v>
      </c>
      <c r="F203" s="80">
        <v>8826</v>
      </c>
      <c r="G203" s="80">
        <v>160</v>
      </c>
      <c r="H203" s="27">
        <v>6</v>
      </c>
      <c r="I203" s="81" t="s">
        <v>38</v>
      </c>
      <c r="J203" s="82">
        <v>1300</v>
      </c>
      <c r="K203" s="43"/>
      <c r="L203" s="44"/>
      <c r="M203" s="18"/>
      <c r="N203" s="45"/>
      <c r="O203" s="45"/>
      <c r="P203" s="45"/>
      <c r="Q203" s="91">
        <v>43745</v>
      </c>
      <c r="R203" s="82">
        <v>5799</v>
      </c>
      <c r="S203" s="109">
        <v>1300</v>
      </c>
      <c r="T203" s="25"/>
      <c r="U203" s="40">
        <f t="shared" si="6"/>
        <v>1715440</v>
      </c>
      <c r="Y203" s="65"/>
      <c r="Z203" s="35"/>
      <c r="AA203" s="34"/>
    </row>
    <row r="204" spans="1:27" ht="15.75" customHeight="1" x14ac:dyDescent="0.25">
      <c r="A204" s="6" t="s">
        <v>311</v>
      </c>
      <c r="B204" s="6" t="s">
        <v>212</v>
      </c>
      <c r="C204" s="6" t="s">
        <v>312</v>
      </c>
      <c r="D204" s="21">
        <v>43480</v>
      </c>
      <c r="E204" s="7" t="s">
        <v>27</v>
      </c>
      <c r="F204" s="7">
        <v>8836</v>
      </c>
      <c r="G204" s="7">
        <v>161</v>
      </c>
      <c r="H204" s="14">
        <v>6</v>
      </c>
      <c r="I204" s="10" t="s">
        <v>38</v>
      </c>
      <c r="J204" s="9">
        <v>50000</v>
      </c>
      <c r="K204" s="43"/>
      <c r="L204" s="44"/>
      <c r="M204" s="18"/>
      <c r="N204" s="45"/>
      <c r="O204" s="45"/>
      <c r="P204" s="45"/>
      <c r="Q204" s="23">
        <v>43661</v>
      </c>
      <c r="R204" s="9">
        <v>5070</v>
      </c>
      <c r="S204" s="108">
        <v>50000</v>
      </c>
      <c r="T204" s="25"/>
      <c r="U204" s="40">
        <f t="shared" si="6"/>
        <v>1765440</v>
      </c>
      <c r="Y204" s="65"/>
      <c r="Z204" s="35"/>
      <c r="AA204" s="34"/>
    </row>
    <row r="205" spans="1:27" ht="15.75" customHeight="1" x14ac:dyDescent="0.25">
      <c r="A205" s="6" t="s">
        <v>313</v>
      </c>
      <c r="B205" s="6" t="s">
        <v>314</v>
      </c>
      <c r="D205" s="21">
        <v>43481</v>
      </c>
      <c r="E205" s="7" t="s">
        <v>27</v>
      </c>
      <c r="F205" s="55">
        <v>8840</v>
      </c>
      <c r="G205" s="7">
        <v>162</v>
      </c>
      <c r="H205" s="14">
        <v>12</v>
      </c>
      <c r="I205" s="10" t="s">
        <v>38</v>
      </c>
      <c r="J205" s="9">
        <v>9000</v>
      </c>
      <c r="K205" s="43"/>
      <c r="L205" s="44"/>
      <c r="M205" s="18"/>
      <c r="N205" s="45"/>
      <c r="O205" s="45"/>
      <c r="P205" s="45"/>
      <c r="Q205" s="23">
        <v>43850</v>
      </c>
      <c r="R205" s="9">
        <v>6794</v>
      </c>
      <c r="S205" s="108">
        <v>9000</v>
      </c>
      <c r="U205" s="40">
        <f t="shared" si="6"/>
        <v>1774440</v>
      </c>
      <c r="Y205" s="65"/>
      <c r="Z205" s="35"/>
      <c r="AA205" s="34"/>
    </row>
    <row r="206" spans="1:27" ht="15.75" customHeight="1" x14ac:dyDescent="0.25">
      <c r="A206" s="6" t="s">
        <v>315</v>
      </c>
      <c r="B206" s="6" t="s">
        <v>316</v>
      </c>
      <c r="C206" s="6" t="s">
        <v>317</v>
      </c>
      <c r="D206" s="21">
        <v>43481</v>
      </c>
      <c r="E206" s="7" t="s">
        <v>27</v>
      </c>
      <c r="F206" s="7">
        <v>8841</v>
      </c>
      <c r="G206" s="7">
        <v>163</v>
      </c>
      <c r="H206" s="14">
        <v>12</v>
      </c>
      <c r="I206" s="10" t="s">
        <v>38</v>
      </c>
      <c r="J206" s="9">
        <v>10000</v>
      </c>
      <c r="K206" s="43"/>
      <c r="L206" s="44"/>
      <c r="M206" s="18"/>
      <c r="N206" s="45"/>
      <c r="O206" s="45"/>
      <c r="P206" s="45"/>
      <c r="Q206" s="23">
        <v>43847</v>
      </c>
      <c r="R206" s="9">
        <v>6752</v>
      </c>
      <c r="S206" s="108">
        <v>10000</v>
      </c>
      <c r="U206" s="40">
        <f t="shared" si="6"/>
        <v>1784440</v>
      </c>
      <c r="Y206" s="65"/>
      <c r="Z206" s="35"/>
      <c r="AA206" s="34"/>
    </row>
    <row r="207" spans="1:27" ht="15.75" customHeight="1" x14ac:dyDescent="0.25">
      <c r="A207" s="6" t="s">
        <v>318</v>
      </c>
      <c r="B207" s="6" t="s">
        <v>319</v>
      </c>
      <c r="C207" s="6" t="s">
        <v>320</v>
      </c>
      <c r="D207" s="21">
        <v>43483</v>
      </c>
      <c r="E207" s="7" t="s">
        <v>27</v>
      </c>
      <c r="F207" s="7">
        <v>8879</v>
      </c>
      <c r="G207" s="7">
        <v>164</v>
      </c>
      <c r="H207" s="14">
        <v>12</v>
      </c>
      <c r="I207" s="10" t="s">
        <v>38</v>
      </c>
      <c r="J207" s="9">
        <v>1000</v>
      </c>
      <c r="K207" s="43"/>
      <c r="L207" s="44"/>
      <c r="M207" s="18"/>
      <c r="N207" s="45"/>
      <c r="O207" s="45"/>
      <c r="P207" s="45"/>
      <c r="Q207" s="23">
        <v>44232</v>
      </c>
      <c r="R207" s="9">
        <v>656</v>
      </c>
      <c r="S207" s="108">
        <v>1000</v>
      </c>
      <c r="U207" s="40">
        <f t="shared" si="6"/>
        <v>1785440</v>
      </c>
      <c r="Y207" s="65"/>
      <c r="Z207" s="35"/>
      <c r="AA207" s="34"/>
    </row>
    <row r="208" spans="1:27" ht="15.75" customHeight="1" x14ac:dyDescent="0.25">
      <c r="A208" s="6" t="s">
        <v>60</v>
      </c>
      <c r="B208" s="6" t="s">
        <v>321</v>
      </c>
      <c r="C208" s="6" t="s">
        <v>61</v>
      </c>
      <c r="D208" s="21">
        <v>43486</v>
      </c>
      <c r="E208" s="7" t="s">
        <v>27</v>
      </c>
      <c r="F208" s="7">
        <v>8926</v>
      </c>
      <c r="G208" s="7">
        <v>165</v>
      </c>
      <c r="H208" s="14">
        <v>12</v>
      </c>
      <c r="I208" s="10" t="s">
        <v>38</v>
      </c>
      <c r="J208" s="9">
        <v>3000</v>
      </c>
      <c r="K208" s="43"/>
      <c r="L208" s="44"/>
      <c r="M208" s="18"/>
      <c r="N208" s="45"/>
      <c r="O208" s="45"/>
      <c r="P208" s="45"/>
      <c r="Q208" s="23">
        <v>43993</v>
      </c>
      <c r="R208" s="9">
        <v>389</v>
      </c>
      <c r="S208" s="108">
        <v>3000</v>
      </c>
      <c r="T208" s="25"/>
      <c r="U208" s="40">
        <f t="shared" si="6"/>
        <v>1788440</v>
      </c>
      <c r="Y208" s="65"/>
      <c r="Z208" s="35"/>
      <c r="AA208" s="34"/>
    </row>
    <row r="209" spans="1:27" ht="15.75" customHeight="1" x14ac:dyDescent="0.25">
      <c r="A209" s="6" t="s">
        <v>322</v>
      </c>
      <c r="B209" s="6" t="s">
        <v>323</v>
      </c>
      <c r="C209" s="6" t="s">
        <v>324</v>
      </c>
      <c r="D209" s="21">
        <v>43490</v>
      </c>
      <c r="E209" s="7" t="s">
        <v>27</v>
      </c>
      <c r="F209" s="7">
        <v>8997</v>
      </c>
      <c r="G209" s="7">
        <v>166</v>
      </c>
      <c r="H209" s="14">
        <v>6</v>
      </c>
      <c r="I209" s="10" t="s">
        <v>38</v>
      </c>
      <c r="J209" s="9">
        <v>5000</v>
      </c>
      <c r="K209" s="43"/>
      <c r="L209" s="44"/>
      <c r="M209" s="18"/>
      <c r="N209" s="45"/>
      <c r="O209" s="45"/>
      <c r="P209" s="45"/>
      <c r="Q209" s="23">
        <v>43672</v>
      </c>
      <c r="R209" s="9">
        <v>5173</v>
      </c>
      <c r="S209" s="108">
        <v>5000</v>
      </c>
      <c r="T209" s="25"/>
      <c r="U209" s="40">
        <f t="shared" si="6"/>
        <v>1793440</v>
      </c>
      <c r="Y209" s="65"/>
      <c r="Z209" s="35"/>
      <c r="AA209" s="34"/>
    </row>
    <row r="210" spans="1:27" ht="15.75" customHeight="1" x14ac:dyDescent="0.25">
      <c r="A210" s="6" t="s">
        <v>28</v>
      </c>
      <c r="B210" s="6" t="s">
        <v>325</v>
      </c>
      <c r="C210" s="6" t="s">
        <v>28</v>
      </c>
      <c r="J210" s="9">
        <v>0</v>
      </c>
      <c r="K210" s="43"/>
      <c r="L210" s="44"/>
      <c r="M210" s="18"/>
      <c r="N210" s="45"/>
      <c r="O210" s="45"/>
      <c r="P210" s="45"/>
      <c r="S210" s="108">
        <v>0</v>
      </c>
      <c r="U210" s="40">
        <f t="shared" si="6"/>
        <v>1793440</v>
      </c>
      <c r="Y210" s="65"/>
      <c r="Z210" s="35"/>
      <c r="AA210" s="34"/>
    </row>
    <row r="211" spans="1:27" ht="15.75" customHeight="1" x14ac:dyDescent="0.25">
      <c r="A211" s="6" t="s">
        <v>74</v>
      </c>
      <c r="B211" s="6" t="s">
        <v>326</v>
      </c>
      <c r="D211" s="21">
        <v>43493</v>
      </c>
      <c r="E211" s="7" t="s">
        <v>27</v>
      </c>
      <c r="F211" s="7">
        <v>9016</v>
      </c>
      <c r="G211" s="7">
        <v>168</v>
      </c>
      <c r="H211" s="14">
        <v>12</v>
      </c>
      <c r="I211" s="10" t="s">
        <v>38</v>
      </c>
      <c r="J211" s="9">
        <v>2216</v>
      </c>
      <c r="K211" s="43"/>
      <c r="L211" s="44"/>
      <c r="M211" s="18"/>
      <c r="N211" s="45"/>
      <c r="O211" s="45"/>
      <c r="P211" s="45"/>
      <c r="Q211" s="23">
        <v>43858</v>
      </c>
      <c r="R211" s="9">
        <v>6877</v>
      </c>
      <c r="S211" s="108">
        <v>2216</v>
      </c>
      <c r="U211" s="40">
        <f t="shared" si="6"/>
        <v>1795656</v>
      </c>
      <c r="Y211" s="65"/>
      <c r="Z211" s="35"/>
      <c r="AA211" s="34"/>
    </row>
    <row r="212" spans="1:27" ht="15.75" customHeight="1" x14ac:dyDescent="0.25">
      <c r="A212" s="6" t="s">
        <v>327</v>
      </c>
      <c r="B212" s="6" t="s">
        <v>328</v>
      </c>
      <c r="C212" s="6" t="s">
        <v>329</v>
      </c>
      <c r="D212" s="21">
        <v>43493</v>
      </c>
      <c r="E212" s="7" t="s">
        <v>27</v>
      </c>
      <c r="F212" s="7">
        <v>9028</v>
      </c>
      <c r="G212" s="7">
        <v>169</v>
      </c>
      <c r="H212" s="14">
        <v>6</v>
      </c>
      <c r="I212" s="10" t="s">
        <v>38</v>
      </c>
      <c r="J212" s="9">
        <v>8500</v>
      </c>
      <c r="K212" s="43"/>
      <c r="L212" s="44"/>
      <c r="M212" s="18"/>
      <c r="N212" s="45"/>
      <c r="O212" s="45"/>
      <c r="P212" s="45"/>
      <c r="Q212" s="23">
        <v>43675</v>
      </c>
      <c r="R212" s="9">
        <v>5196</v>
      </c>
      <c r="S212" s="108">
        <v>8500</v>
      </c>
      <c r="T212" s="25"/>
      <c r="U212" s="40">
        <f t="shared" si="6"/>
        <v>1804156</v>
      </c>
      <c r="Y212" s="65"/>
      <c r="Z212" s="35"/>
      <c r="AA212" s="34"/>
    </row>
    <row r="213" spans="1:27" ht="15.75" customHeight="1" x14ac:dyDescent="0.25">
      <c r="A213" s="6" t="s">
        <v>330</v>
      </c>
      <c r="B213" s="6" t="s">
        <v>331</v>
      </c>
      <c r="C213" s="6" t="s">
        <v>332</v>
      </c>
      <c r="D213" s="21">
        <v>43496</v>
      </c>
      <c r="E213" s="7" t="s">
        <v>27</v>
      </c>
      <c r="F213" s="7">
        <v>9262</v>
      </c>
      <c r="G213" s="7">
        <v>170</v>
      </c>
      <c r="H213" s="14">
        <v>6</v>
      </c>
      <c r="I213" s="10" t="s">
        <v>38</v>
      </c>
      <c r="J213" s="9">
        <v>10000</v>
      </c>
      <c r="K213" s="43"/>
      <c r="L213" s="44"/>
      <c r="M213" s="18"/>
      <c r="N213" s="45"/>
      <c r="O213" s="45"/>
      <c r="P213" s="45"/>
      <c r="Q213" s="23">
        <v>43679</v>
      </c>
      <c r="R213" s="9">
        <v>5243</v>
      </c>
      <c r="S213" s="108">
        <v>10000</v>
      </c>
      <c r="T213" s="64"/>
      <c r="U213" s="40">
        <f t="shared" si="6"/>
        <v>1814156</v>
      </c>
      <c r="Y213" s="65"/>
      <c r="Z213" s="35"/>
      <c r="AA213" s="34"/>
    </row>
    <row r="214" spans="1:27" ht="15.75" customHeight="1" x14ac:dyDescent="0.25">
      <c r="A214" s="6">
        <v>9999</v>
      </c>
      <c r="B214" s="6" t="s">
        <v>333</v>
      </c>
      <c r="C214" s="6" t="s">
        <v>334</v>
      </c>
      <c r="D214" s="21">
        <v>43497</v>
      </c>
      <c r="E214" s="7" t="s">
        <v>27</v>
      </c>
      <c r="F214" s="7">
        <v>9089</v>
      </c>
      <c r="G214" s="7">
        <v>171</v>
      </c>
      <c r="H214" s="14">
        <v>12</v>
      </c>
      <c r="I214" s="10" t="s">
        <v>38</v>
      </c>
      <c r="J214" s="9">
        <v>1500</v>
      </c>
      <c r="K214" s="43"/>
      <c r="L214" s="44"/>
      <c r="M214" s="18"/>
      <c r="N214" s="45"/>
      <c r="O214" s="45"/>
      <c r="P214" s="45"/>
      <c r="Q214" s="23">
        <v>44007</v>
      </c>
      <c r="R214" s="9">
        <v>538</v>
      </c>
      <c r="S214" s="108">
        <v>1500</v>
      </c>
      <c r="U214" s="40">
        <f t="shared" si="6"/>
        <v>1815656</v>
      </c>
      <c r="Y214" s="65"/>
      <c r="Z214" s="35"/>
      <c r="AA214" s="34"/>
    </row>
    <row r="215" spans="1:27" ht="15.75" customHeight="1" x14ac:dyDescent="0.25">
      <c r="A215" s="6" t="s">
        <v>107</v>
      </c>
      <c r="B215" s="6" t="s">
        <v>108</v>
      </c>
      <c r="C215" s="6" t="s">
        <v>335</v>
      </c>
      <c r="D215" s="21">
        <v>43510</v>
      </c>
      <c r="E215" s="7" t="s">
        <v>27</v>
      </c>
      <c r="F215" s="7">
        <v>9197</v>
      </c>
      <c r="G215" s="7">
        <v>172</v>
      </c>
      <c r="H215" s="14">
        <v>12</v>
      </c>
      <c r="I215" s="10" t="s">
        <v>336</v>
      </c>
      <c r="J215" s="9">
        <v>1000</v>
      </c>
      <c r="K215" s="43"/>
      <c r="L215" s="44"/>
      <c r="M215" s="18"/>
      <c r="N215" s="45"/>
      <c r="O215" s="45"/>
      <c r="P215" s="45"/>
      <c r="Q215" s="23">
        <v>43875</v>
      </c>
      <c r="R215" s="9">
        <v>7045</v>
      </c>
      <c r="S215" s="108">
        <v>1000</v>
      </c>
      <c r="U215" s="40">
        <f t="shared" si="6"/>
        <v>1816656</v>
      </c>
      <c r="Y215" s="65"/>
      <c r="Z215" s="35"/>
      <c r="AA215" s="34"/>
    </row>
    <row r="216" spans="1:27" ht="15.75" customHeight="1" x14ac:dyDescent="0.25">
      <c r="A216" s="6" t="s">
        <v>337</v>
      </c>
      <c r="B216" s="6" t="s">
        <v>338</v>
      </c>
      <c r="C216" s="6" t="s">
        <v>233</v>
      </c>
      <c r="D216" s="21">
        <v>43510</v>
      </c>
      <c r="E216" s="7" t="s">
        <v>27</v>
      </c>
      <c r="F216" s="7">
        <v>9200</v>
      </c>
      <c r="G216" s="7">
        <v>173</v>
      </c>
      <c r="H216" s="14">
        <v>6</v>
      </c>
      <c r="I216" s="10" t="s">
        <v>38</v>
      </c>
      <c r="J216" s="9">
        <v>11000</v>
      </c>
      <c r="K216" s="43"/>
      <c r="L216" s="44"/>
      <c r="M216" s="18"/>
      <c r="N216" s="45"/>
      <c r="O216" s="45"/>
      <c r="P216" s="45"/>
      <c r="Q216" s="23">
        <v>43691</v>
      </c>
      <c r="R216" s="9">
        <v>5326</v>
      </c>
      <c r="S216" s="108">
        <v>11000</v>
      </c>
      <c r="T216" s="95"/>
      <c r="U216" s="40">
        <f t="shared" si="6"/>
        <v>1827656</v>
      </c>
      <c r="Y216" s="65"/>
      <c r="Z216" s="35"/>
      <c r="AA216" s="34"/>
    </row>
    <row r="217" spans="1:27" ht="15.75" customHeight="1" x14ac:dyDescent="0.25">
      <c r="A217" s="6" t="s">
        <v>339</v>
      </c>
      <c r="B217" s="6" t="s">
        <v>93</v>
      </c>
      <c r="C217" s="6" t="s">
        <v>94</v>
      </c>
      <c r="D217" s="21">
        <v>43511</v>
      </c>
      <c r="E217" s="7" t="s">
        <v>27</v>
      </c>
      <c r="F217" s="7">
        <v>9207</v>
      </c>
      <c r="G217" s="7">
        <v>174</v>
      </c>
      <c r="H217" s="14">
        <v>12</v>
      </c>
      <c r="I217" s="10" t="s">
        <v>38</v>
      </c>
      <c r="J217" s="9">
        <v>10000</v>
      </c>
      <c r="K217" s="43"/>
      <c r="L217" s="44"/>
      <c r="M217" s="18"/>
      <c r="N217" s="45"/>
      <c r="O217" s="45"/>
      <c r="P217" s="45"/>
      <c r="Q217" s="23">
        <v>43877</v>
      </c>
      <c r="R217" s="9">
        <v>7067</v>
      </c>
      <c r="S217" s="108">
        <v>10000</v>
      </c>
      <c r="U217" s="40">
        <f t="shared" si="6"/>
        <v>1837656</v>
      </c>
      <c r="Y217" s="65"/>
      <c r="Z217" s="35"/>
      <c r="AA217" s="34"/>
    </row>
    <row r="218" spans="1:27" ht="15.75" customHeight="1" x14ac:dyDescent="0.25">
      <c r="A218" s="6" t="s">
        <v>340</v>
      </c>
      <c r="B218" s="6" t="s">
        <v>341</v>
      </c>
      <c r="C218" s="6" t="s">
        <v>342</v>
      </c>
      <c r="D218" s="21">
        <v>43511</v>
      </c>
      <c r="E218" s="7" t="s">
        <v>27</v>
      </c>
      <c r="F218" s="7">
        <v>9211</v>
      </c>
      <c r="G218" s="7">
        <v>175</v>
      </c>
      <c r="H218" s="14">
        <v>12</v>
      </c>
      <c r="I218" s="10" t="s">
        <v>38</v>
      </c>
      <c r="J218" s="9">
        <v>20000</v>
      </c>
      <c r="K218" s="43"/>
      <c r="L218" s="44"/>
      <c r="M218" s="18"/>
      <c r="N218" s="45"/>
      <c r="O218" s="45"/>
      <c r="P218" s="45"/>
      <c r="Q218" s="23">
        <v>43877</v>
      </c>
      <c r="R218" s="9">
        <v>7069</v>
      </c>
      <c r="S218" s="108">
        <v>20000</v>
      </c>
      <c r="U218" s="40">
        <f t="shared" si="6"/>
        <v>1857656</v>
      </c>
      <c r="Y218" s="65"/>
      <c r="Z218" s="35"/>
      <c r="AA218" s="34"/>
    </row>
    <row r="219" spans="1:27" ht="15.75" customHeight="1" x14ac:dyDescent="0.25">
      <c r="A219" s="6" t="s">
        <v>28</v>
      </c>
      <c r="B219" s="6" t="s">
        <v>325</v>
      </c>
      <c r="C219" s="6" t="s">
        <v>28</v>
      </c>
      <c r="D219" s="21"/>
      <c r="H219" s="7"/>
      <c r="J219" s="9">
        <v>0</v>
      </c>
      <c r="K219" s="43"/>
      <c r="L219" s="44"/>
      <c r="M219" s="18"/>
      <c r="N219" s="45"/>
      <c r="O219" s="45"/>
      <c r="P219" s="45"/>
      <c r="S219" s="108">
        <v>0</v>
      </c>
      <c r="U219" s="40">
        <f t="shared" si="6"/>
        <v>1857656</v>
      </c>
      <c r="Y219" s="65"/>
      <c r="Z219" s="35"/>
      <c r="AA219" s="34"/>
    </row>
    <row r="220" spans="1:27" ht="15.75" customHeight="1" x14ac:dyDescent="0.25">
      <c r="A220" s="6" t="s">
        <v>343</v>
      </c>
      <c r="B220" s="6" t="s">
        <v>338</v>
      </c>
      <c r="C220" s="6" t="s">
        <v>344</v>
      </c>
      <c r="D220" s="21">
        <v>43516</v>
      </c>
      <c r="E220" s="7" t="s">
        <v>27</v>
      </c>
      <c r="F220" s="7">
        <v>9260</v>
      </c>
      <c r="G220" s="7">
        <v>177</v>
      </c>
      <c r="H220" s="14">
        <v>6</v>
      </c>
      <c r="I220" s="10" t="s">
        <v>38</v>
      </c>
      <c r="J220" s="9">
        <v>15000</v>
      </c>
      <c r="K220" s="43"/>
      <c r="L220" s="44"/>
      <c r="M220" s="18"/>
      <c r="N220" s="45"/>
      <c r="O220" s="45"/>
      <c r="P220" s="45"/>
      <c r="Q220" s="23">
        <v>43697</v>
      </c>
      <c r="R220" s="9">
        <v>5376</v>
      </c>
      <c r="S220" s="108">
        <v>15000</v>
      </c>
      <c r="T220" s="95"/>
      <c r="U220" s="40">
        <f t="shared" si="6"/>
        <v>1872656</v>
      </c>
      <c r="Y220" s="65"/>
      <c r="Z220" s="35"/>
      <c r="AA220" s="34"/>
    </row>
    <row r="221" spans="1:27" ht="15.75" customHeight="1" x14ac:dyDescent="0.25">
      <c r="A221" s="100" t="s">
        <v>46</v>
      </c>
      <c r="B221" s="100" t="s">
        <v>345</v>
      </c>
      <c r="C221" s="100"/>
      <c r="D221" s="101"/>
      <c r="E221" s="102"/>
      <c r="F221" s="22"/>
      <c r="G221" s="102">
        <v>178</v>
      </c>
      <c r="H221" s="103"/>
      <c r="I221" s="104"/>
      <c r="J221" s="1"/>
      <c r="K221" s="43"/>
      <c r="L221" s="44"/>
      <c r="M221" s="18"/>
      <c r="N221" s="45"/>
      <c r="O221" s="45"/>
      <c r="P221" s="45"/>
      <c r="Q221" s="1"/>
      <c r="R221" s="1"/>
      <c r="S221" s="110">
        <v>0</v>
      </c>
      <c r="T221" s="72"/>
      <c r="U221" s="40">
        <f t="shared" si="6"/>
        <v>1872656</v>
      </c>
      <c r="Y221" s="65"/>
      <c r="Z221" s="35"/>
      <c r="AA221" s="34"/>
    </row>
    <row r="222" spans="1:27" ht="15.75" customHeight="1" x14ac:dyDescent="0.25">
      <c r="A222" s="6" t="s">
        <v>166</v>
      </c>
      <c r="B222" s="6" t="s">
        <v>346</v>
      </c>
      <c r="C222" s="6" t="s">
        <v>347</v>
      </c>
      <c r="D222" s="21">
        <v>43516</v>
      </c>
      <c r="E222" s="7" t="s">
        <v>27</v>
      </c>
      <c r="F222" s="7">
        <v>9270</v>
      </c>
      <c r="G222" s="7">
        <v>179</v>
      </c>
      <c r="H222" s="14">
        <v>12</v>
      </c>
      <c r="I222" s="10" t="s">
        <v>38</v>
      </c>
      <c r="J222" s="9">
        <v>5000</v>
      </c>
      <c r="K222" s="43"/>
      <c r="L222" s="44"/>
      <c r="M222" s="18"/>
      <c r="N222" s="45"/>
      <c r="O222" s="45"/>
      <c r="P222" s="45"/>
      <c r="Q222" s="23">
        <v>43888</v>
      </c>
      <c r="R222" s="9">
        <v>7195</v>
      </c>
      <c r="S222" s="108">
        <v>5000</v>
      </c>
      <c r="U222" s="40">
        <f t="shared" si="6"/>
        <v>1877656</v>
      </c>
      <c r="Y222" s="65"/>
      <c r="Z222" s="35"/>
      <c r="AA222" s="34"/>
    </row>
    <row r="223" spans="1:27" ht="15.75" customHeight="1" x14ac:dyDescent="0.25">
      <c r="A223" s="6" t="s">
        <v>109</v>
      </c>
      <c r="B223" s="6" t="s">
        <v>348</v>
      </c>
      <c r="C223" s="6" t="s">
        <v>111</v>
      </c>
      <c r="D223" s="21">
        <v>43516</v>
      </c>
      <c r="E223" s="7" t="s">
        <v>27</v>
      </c>
      <c r="F223" s="7">
        <v>9274</v>
      </c>
      <c r="G223" s="7">
        <v>180</v>
      </c>
      <c r="H223" s="14">
        <v>12</v>
      </c>
      <c r="I223" s="10" t="s">
        <v>38</v>
      </c>
      <c r="J223" s="9">
        <v>1500</v>
      </c>
      <c r="K223" s="43"/>
      <c r="L223" s="44"/>
      <c r="M223" s="18"/>
      <c r="N223" s="45"/>
      <c r="O223" s="45"/>
      <c r="P223" s="45"/>
      <c r="Q223" s="23">
        <v>43881</v>
      </c>
      <c r="R223" s="9">
        <v>7104</v>
      </c>
      <c r="S223" s="108">
        <v>1500</v>
      </c>
      <c r="U223" s="40">
        <f t="shared" si="6"/>
        <v>1879156</v>
      </c>
      <c r="Y223" s="65"/>
      <c r="Z223" s="35"/>
      <c r="AA223" s="34"/>
    </row>
    <row r="224" spans="1:27" ht="15.75" customHeight="1" x14ac:dyDescent="0.25">
      <c r="A224" s="66" t="s">
        <v>349</v>
      </c>
      <c r="B224" s="67" t="s">
        <v>350</v>
      </c>
      <c r="C224" s="67" t="s">
        <v>351</v>
      </c>
      <c r="D224" s="68">
        <v>43518</v>
      </c>
      <c r="E224" s="55" t="s">
        <v>27</v>
      </c>
      <c r="F224" s="55">
        <v>9292</v>
      </c>
      <c r="G224" s="55">
        <v>181</v>
      </c>
      <c r="H224" s="69">
        <v>12</v>
      </c>
      <c r="I224" s="89" t="s">
        <v>38</v>
      </c>
      <c r="J224" s="70">
        <v>4000</v>
      </c>
      <c r="K224" s="43"/>
      <c r="L224" s="44"/>
      <c r="M224" s="18"/>
      <c r="N224" s="45"/>
      <c r="O224" s="45"/>
      <c r="P224" s="45"/>
      <c r="Q224" s="71">
        <v>43950</v>
      </c>
      <c r="R224" s="70">
        <v>6</v>
      </c>
      <c r="S224" s="110">
        <v>4000</v>
      </c>
      <c r="T224" s="64"/>
      <c r="U224" s="40">
        <f t="shared" si="6"/>
        <v>1883156</v>
      </c>
      <c r="Y224" s="65"/>
      <c r="Z224" s="35"/>
      <c r="AA224" s="34"/>
    </row>
    <row r="225" spans="1:27" ht="15.75" customHeight="1" x14ac:dyDescent="0.25">
      <c r="A225" s="6" t="s">
        <v>101</v>
      </c>
      <c r="B225" s="6" t="s">
        <v>102</v>
      </c>
      <c r="C225" s="6" t="s">
        <v>103</v>
      </c>
      <c r="D225" s="21">
        <v>43522</v>
      </c>
      <c r="E225" s="7" t="s">
        <v>27</v>
      </c>
      <c r="F225" s="7">
        <v>9348</v>
      </c>
      <c r="G225" s="7">
        <v>182</v>
      </c>
      <c r="H225" s="14">
        <v>12</v>
      </c>
      <c r="I225" s="10" t="s">
        <v>38</v>
      </c>
      <c r="J225" s="9">
        <v>17000</v>
      </c>
      <c r="K225" s="43"/>
      <c r="L225" s="44"/>
      <c r="M225" s="18"/>
      <c r="N225" s="45"/>
      <c r="O225" s="45"/>
      <c r="P225" s="45"/>
      <c r="Q225" s="23">
        <v>43888</v>
      </c>
      <c r="R225" s="9">
        <v>7185</v>
      </c>
      <c r="S225" s="108">
        <v>17000</v>
      </c>
      <c r="U225" s="40">
        <f t="shared" si="6"/>
        <v>1900156</v>
      </c>
      <c r="Y225" s="65"/>
      <c r="Z225" s="35"/>
      <c r="AA225" s="34"/>
    </row>
    <row r="226" spans="1:27" ht="15.75" customHeight="1" x14ac:dyDescent="0.25">
      <c r="A226" s="6">
        <v>8482019</v>
      </c>
      <c r="B226" s="6" t="s">
        <v>352</v>
      </c>
      <c r="D226" s="21">
        <v>43523</v>
      </c>
      <c r="E226" s="7" t="s">
        <v>27</v>
      </c>
      <c r="F226" s="7">
        <v>9368</v>
      </c>
      <c r="G226" s="7">
        <v>183</v>
      </c>
      <c r="H226" s="14">
        <v>12</v>
      </c>
      <c r="I226" s="10" t="s">
        <v>353</v>
      </c>
      <c r="J226" s="9">
        <v>50000</v>
      </c>
      <c r="K226" s="43"/>
      <c r="L226" s="44"/>
      <c r="M226" s="18"/>
      <c r="N226" s="45"/>
      <c r="O226" s="45"/>
      <c r="P226" s="45"/>
      <c r="Q226" s="23">
        <v>43889</v>
      </c>
      <c r="R226" s="9">
        <v>7199</v>
      </c>
      <c r="S226" s="108">
        <v>50000</v>
      </c>
      <c r="U226" s="40">
        <f t="shared" si="6"/>
        <v>1950156</v>
      </c>
      <c r="Y226" s="65"/>
      <c r="Z226" s="35"/>
      <c r="AA226" s="34"/>
    </row>
    <row r="227" spans="1:27" ht="15.75" customHeight="1" x14ac:dyDescent="0.25">
      <c r="A227" s="6" t="s">
        <v>126</v>
      </c>
      <c r="B227" s="6" t="s">
        <v>127</v>
      </c>
      <c r="C227" s="6" t="s">
        <v>354</v>
      </c>
      <c r="D227" s="21">
        <v>43530</v>
      </c>
      <c r="E227" s="7" t="s">
        <v>27</v>
      </c>
      <c r="F227" s="7">
        <v>9460</v>
      </c>
      <c r="G227" s="7">
        <v>184</v>
      </c>
      <c r="H227" s="14">
        <v>12</v>
      </c>
      <c r="I227" s="10" t="s">
        <v>38</v>
      </c>
      <c r="J227" s="9">
        <v>150000</v>
      </c>
      <c r="K227" s="43"/>
      <c r="L227" s="44"/>
      <c r="M227" s="18"/>
      <c r="N227" s="45"/>
      <c r="O227" s="45"/>
      <c r="P227" s="45"/>
      <c r="Q227" s="23">
        <v>43899</v>
      </c>
      <c r="R227" s="9">
        <v>7305</v>
      </c>
      <c r="S227" s="108">
        <v>150000</v>
      </c>
      <c r="U227" s="40">
        <f t="shared" si="6"/>
        <v>2100156</v>
      </c>
      <c r="Y227" s="65"/>
      <c r="Z227" s="35"/>
      <c r="AA227" s="34"/>
    </row>
    <row r="228" spans="1:27" ht="15.75" customHeight="1" x14ac:dyDescent="0.25">
      <c r="A228" s="6" t="s">
        <v>355</v>
      </c>
      <c r="B228" s="6" t="s">
        <v>356</v>
      </c>
      <c r="C228" s="6" t="s">
        <v>357</v>
      </c>
      <c r="D228" s="21">
        <v>43535</v>
      </c>
      <c r="E228" s="7" t="s">
        <v>27</v>
      </c>
      <c r="F228" s="7">
        <v>9510</v>
      </c>
      <c r="G228" s="7">
        <v>185</v>
      </c>
      <c r="H228" s="14">
        <v>12</v>
      </c>
      <c r="I228" s="10" t="s">
        <v>38</v>
      </c>
      <c r="J228" s="9">
        <v>10000</v>
      </c>
      <c r="K228" s="43"/>
      <c r="L228" s="44"/>
      <c r="M228" s="18"/>
      <c r="N228" s="45"/>
      <c r="O228" s="45"/>
      <c r="P228" s="45"/>
      <c r="Q228" s="23">
        <v>43910</v>
      </c>
      <c r="R228" s="9">
        <v>7448</v>
      </c>
      <c r="S228" s="108">
        <v>10000</v>
      </c>
      <c r="U228" s="40">
        <f t="shared" si="6"/>
        <v>2110156</v>
      </c>
      <c r="Y228" s="65"/>
      <c r="Z228" s="35"/>
      <c r="AA228" s="34"/>
    </row>
    <row r="229" spans="1:27" ht="15.75" customHeight="1" x14ac:dyDescent="0.25">
      <c r="A229" s="6" t="s">
        <v>358</v>
      </c>
      <c r="B229" s="6" t="s">
        <v>29</v>
      </c>
      <c r="D229" s="21">
        <v>43540</v>
      </c>
      <c r="E229" s="7" t="s">
        <v>27</v>
      </c>
      <c r="F229" s="7">
        <v>9568</v>
      </c>
      <c r="G229" s="7">
        <v>186</v>
      </c>
      <c r="H229" s="14">
        <v>12</v>
      </c>
      <c r="I229" s="10" t="s">
        <v>38</v>
      </c>
      <c r="J229" s="9">
        <v>39000</v>
      </c>
      <c r="K229" s="43"/>
      <c r="L229" s="44"/>
      <c r="M229" s="18"/>
      <c r="N229" s="45"/>
      <c r="O229" s="45"/>
      <c r="P229" s="45"/>
      <c r="Q229" s="23">
        <v>43903</v>
      </c>
      <c r="R229" s="9">
        <v>7402</v>
      </c>
      <c r="S229" s="108">
        <v>39000</v>
      </c>
      <c r="U229" s="40">
        <f t="shared" si="6"/>
        <v>2149156</v>
      </c>
      <c r="Y229" s="65"/>
      <c r="Z229" s="35"/>
      <c r="AA229" s="34"/>
    </row>
    <row r="230" spans="1:27" ht="15.75" customHeight="1" x14ac:dyDescent="0.25">
      <c r="A230" s="6" t="s">
        <v>359</v>
      </c>
      <c r="B230" s="6" t="s">
        <v>36</v>
      </c>
      <c r="C230" s="6" t="s">
        <v>119</v>
      </c>
      <c r="D230" s="21">
        <v>43546</v>
      </c>
      <c r="E230" s="7" t="s">
        <v>27</v>
      </c>
      <c r="F230" s="7">
        <v>9653</v>
      </c>
      <c r="G230" s="7">
        <v>187</v>
      </c>
      <c r="H230" s="14">
        <v>12</v>
      </c>
      <c r="I230" s="10" t="s">
        <v>38</v>
      </c>
      <c r="J230" s="9">
        <v>3000</v>
      </c>
      <c r="K230" s="43"/>
      <c r="L230" s="44"/>
      <c r="M230" s="18"/>
      <c r="N230" s="45"/>
      <c r="O230" s="45"/>
      <c r="P230" s="45"/>
      <c r="Q230" s="23">
        <v>43993</v>
      </c>
      <c r="R230" s="9">
        <v>387</v>
      </c>
      <c r="S230" s="108">
        <v>3000</v>
      </c>
      <c r="U230" s="40">
        <f t="shared" si="6"/>
        <v>2152156</v>
      </c>
      <c r="Y230" s="65"/>
      <c r="Z230" s="35"/>
      <c r="AA230" s="34"/>
    </row>
    <row r="231" spans="1:27" ht="15.75" customHeight="1" x14ac:dyDescent="0.25">
      <c r="A231" s="6" t="s">
        <v>360</v>
      </c>
      <c r="B231" s="6" t="s">
        <v>361</v>
      </c>
      <c r="C231" s="6" t="s">
        <v>362</v>
      </c>
      <c r="D231" s="21">
        <v>43546</v>
      </c>
      <c r="E231" s="7" t="s">
        <v>27</v>
      </c>
      <c r="F231" s="7">
        <v>9655</v>
      </c>
      <c r="G231" s="7">
        <v>188</v>
      </c>
      <c r="H231" s="14">
        <v>6</v>
      </c>
      <c r="I231" s="10" t="s">
        <v>38</v>
      </c>
      <c r="J231" s="9">
        <v>5000</v>
      </c>
      <c r="K231" s="43"/>
      <c r="L231" s="44"/>
      <c r="M231" s="18"/>
      <c r="N231" s="45"/>
      <c r="O231" s="45"/>
      <c r="P231" s="45"/>
      <c r="Q231" s="23">
        <v>43732</v>
      </c>
      <c r="R231" s="9">
        <v>5659</v>
      </c>
      <c r="S231" s="108">
        <v>5000</v>
      </c>
      <c r="U231" s="40">
        <f t="shared" ref="U231:U294" si="7">U230+S231-T231</f>
        <v>2157156</v>
      </c>
      <c r="Y231" s="65"/>
      <c r="Z231" s="35"/>
      <c r="AA231" s="34"/>
    </row>
    <row r="232" spans="1:27" ht="15.75" customHeight="1" x14ac:dyDescent="0.25">
      <c r="A232" s="6" t="s">
        <v>28</v>
      </c>
      <c r="B232" s="6" t="s">
        <v>325</v>
      </c>
      <c r="C232" s="6" t="s">
        <v>28</v>
      </c>
      <c r="D232" s="21"/>
      <c r="H232" s="7"/>
      <c r="J232" s="9">
        <v>0</v>
      </c>
      <c r="K232" s="43"/>
      <c r="L232" s="44"/>
      <c r="M232" s="18"/>
      <c r="N232" s="45"/>
      <c r="O232" s="45"/>
      <c r="P232" s="45"/>
      <c r="S232" s="108">
        <v>0</v>
      </c>
      <c r="U232" s="40">
        <f t="shared" si="7"/>
        <v>2157156</v>
      </c>
      <c r="Y232" s="65"/>
      <c r="Z232" s="35"/>
      <c r="AA232" s="34"/>
    </row>
    <row r="233" spans="1:27" ht="15.75" customHeight="1" x14ac:dyDescent="0.25">
      <c r="A233" s="6" t="s">
        <v>363</v>
      </c>
      <c r="B233" s="6" t="s">
        <v>131</v>
      </c>
      <c r="C233" s="6" t="s">
        <v>132</v>
      </c>
      <c r="D233" s="21">
        <v>43546</v>
      </c>
      <c r="E233" s="7" t="s">
        <v>27</v>
      </c>
      <c r="F233" s="7">
        <v>9656</v>
      </c>
      <c r="G233" s="7">
        <v>190</v>
      </c>
      <c r="H233" s="14">
        <v>6</v>
      </c>
      <c r="I233" s="10" t="s">
        <v>38</v>
      </c>
      <c r="J233" s="9">
        <v>40000</v>
      </c>
      <c r="K233" s="43"/>
      <c r="L233" s="44"/>
      <c r="M233" s="18"/>
      <c r="N233" s="45"/>
      <c r="O233" s="45"/>
      <c r="P233" s="45"/>
      <c r="Q233" s="23">
        <v>43731</v>
      </c>
      <c r="R233" s="9">
        <v>5653</v>
      </c>
      <c r="S233" s="108">
        <v>40000</v>
      </c>
      <c r="U233" s="40">
        <f t="shared" si="7"/>
        <v>2197156</v>
      </c>
      <c r="Y233" s="65"/>
      <c r="Z233" s="35"/>
      <c r="AA233" s="34"/>
    </row>
    <row r="234" spans="1:27" ht="15.75" customHeight="1" x14ac:dyDescent="0.25">
      <c r="A234" s="6" t="s">
        <v>191</v>
      </c>
      <c r="B234" s="6" t="s">
        <v>63</v>
      </c>
      <c r="C234" s="6" t="s">
        <v>64</v>
      </c>
      <c r="D234" s="21">
        <v>43551</v>
      </c>
      <c r="E234" s="7" t="s">
        <v>27</v>
      </c>
      <c r="F234" s="7">
        <v>9679</v>
      </c>
      <c r="G234" s="7">
        <v>191</v>
      </c>
      <c r="H234" s="14">
        <v>6</v>
      </c>
      <c r="I234" s="10" t="s">
        <v>38</v>
      </c>
      <c r="J234" s="9">
        <v>3175</v>
      </c>
      <c r="K234" s="43"/>
      <c r="L234" s="44"/>
      <c r="M234" s="18"/>
      <c r="N234" s="45"/>
      <c r="O234" s="45"/>
      <c r="P234" s="45"/>
      <c r="Q234" s="23">
        <v>43742</v>
      </c>
      <c r="R234" s="9">
        <v>5756</v>
      </c>
      <c r="S234" s="108">
        <v>3175</v>
      </c>
      <c r="U234" s="40">
        <f t="shared" si="7"/>
        <v>2200331</v>
      </c>
      <c r="Y234" s="65"/>
      <c r="Z234" s="35"/>
      <c r="AA234" s="34"/>
    </row>
    <row r="235" spans="1:27" ht="15.75" customHeight="1" x14ac:dyDescent="0.25">
      <c r="A235" s="6" t="s">
        <v>364</v>
      </c>
      <c r="B235" s="6" t="s">
        <v>365</v>
      </c>
      <c r="C235" s="6" t="s">
        <v>366</v>
      </c>
      <c r="D235" s="21">
        <v>43551</v>
      </c>
      <c r="E235" s="7" t="s">
        <v>27</v>
      </c>
      <c r="F235" s="7">
        <v>9717</v>
      </c>
      <c r="G235" s="7">
        <v>192</v>
      </c>
      <c r="H235" s="14">
        <v>6</v>
      </c>
      <c r="I235" s="10" t="s">
        <v>38</v>
      </c>
      <c r="J235" s="9">
        <v>2000</v>
      </c>
      <c r="K235" s="43"/>
      <c r="L235" s="44"/>
      <c r="M235" s="18"/>
      <c r="N235" s="45"/>
      <c r="O235" s="45"/>
      <c r="P235" s="45"/>
      <c r="Q235" s="23">
        <v>43735</v>
      </c>
      <c r="R235" s="9">
        <v>5700</v>
      </c>
      <c r="S235" s="108">
        <v>2000</v>
      </c>
      <c r="U235" s="40">
        <f t="shared" si="7"/>
        <v>2202331</v>
      </c>
      <c r="Y235" s="65"/>
      <c r="Z235" s="35"/>
      <c r="AA235" s="34"/>
    </row>
    <row r="236" spans="1:27" ht="15.75" customHeight="1" x14ac:dyDescent="0.25">
      <c r="A236" s="6" t="s">
        <v>82</v>
      </c>
      <c r="B236" s="6" t="s">
        <v>367</v>
      </c>
      <c r="C236" s="6" t="s">
        <v>368</v>
      </c>
      <c r="D236" s="21">
        <v>43553</v>
      </c>
      <c r="E236" s="7" t="s">
        <v>27</v>
      </c>
      <c r="F236" s="7">
        <v>9751</v>
      </c>
      <c r="G236" s="7">
        <v>193</v>
      </c>
      <c r="H236" s="14">
        <v>6</v>
      </c>
      <c r="I236" s="10" t="s">
        <v>38</v>
      </c>
      <c r="J236" s="9">
        <v>70000</v>
      </c>
      <c r="K236" s="43"/>
      <c r="L236" s="44"/>
      <c r="M236" s="18"/>
      <c r="N236" s="45"/>
      <c r="O236" s="45"/>
      <c r="P236" s="45"/>
      <c r="Q236" s="23">
        <v>43742</v>
      </c>
      <c r="R236" s="9">
        <v>5764</v>
      </c>
      <c r="S236" s="108">
        <v>70000</v>
      </c>
      <c r="U236" s="40">
        <f t="shared" si="7"/>
        <v>2272331</v>
      </c>
      <c r="Y236" s="65"/>
      <c r="Z236" s="35"/>
      <c r="AA236" s="34"/>
    </row>
    <row r="237" spans="1:27" ht="15.75" customHeight="1" x14ac:dyDescent="0.25">
      <c r="A237" s="6" t="s">
        <v>369</v>
      </c>
      <c r="B237" s="6" t="s">
        <v>370</v>
      </c>
      <c r="C237" s="6" t="s">
        <v>371</v>
      </c>
      <c r="D237" s="21">
        <v>43556</v>
      </c>
      <c r="E237" s="7" t="s">
        <v>27</v>
      </c>
      <c r="F237" s="7">
        <v>9763</v>
      </c>
      <c r="G237" s="7">
        <v>194</v>
      </c>
      <c r="H237" s="14">
        <v>12</v>
      </c>
      <c r="I237" s="10" t="s">
        <v>38</v>
      </c>
      <c r="J237" s="9">
        <v>50000</v>
      </c>
      <c r="K237" s="43"/>
      <c r="L237" s="44"/>
      <c r="M237" s="18"/>
      <c r="N237" s="45"/>
      <c r="O237" s="45"/>
      <c r="P237" s="45"/>
      <c r="Q237" s="23">
        <v>43922</v>
      </c>
      <c r="R237" s="9">
        <v>7552</v>
      </c>
      <c r="S237" s="108">
        <v>50000</v>
      </c>
      <c r="U237" s="40">
        <f t="shared" si="7"/>
        <v>2322331</v>
      </c>
      <c r="Y237" s="65"/>
      <c r="Z237" s="35"/>
      <c r="AA237" s="34"/>
    </row>
    <row r="238" spans="1:27" ht="15.75" customHeight="1" x14ac:dyDescent="0.25">
      <c r="A238" s="6" t="s">
        <v>28</v>
      </c>
      <c r="C238" s="6" t="s">
        <v>28</v>
      </c>
      <c r="D238" s="21"/>
      <c r="H238" s="7"/>
      <c r="J238" s="9">
        <v>0</v>
      </c>
      <c r="K238" s="43"/>
      <c r="L238" s="44"/>
      <c r="M238" s="18"/>
      <c r="N238" s="45"/>
      <c r="O238" s="45"/>
      <c r="P238" s="45"/>
      <c r="S238" s="108">
        <v>0</v>
      </c>
      <c r="U238" s="40">
        <f t="shared" si="7"/>
        <v>2322331</v>
      </c>
      <c r="Y238" s="65"/>
      <c r="Z238" s="35"/>
      <c r="AA238" s="34"/>
    </row>
    <row r="239" spans="1:27" ht="15.75" customHeight="1" x14ac:dyDescent="0.25">
      <c r="A239" s="6" t="s">
        <v>160</v>
      </c>
      <c r="B239" s="6" t="s">
        <v>161</v>
      </c>
      <c r="C239" s="6" t="s">
        <v>162</v>
      </c>
      <c r="D239" s="21">
        <v>43557</v>
      </c>
      <c r="E239" s="7" t="s">
        <v>27</v>
      </c>
      <c r="F239" s="7">
        <v>9804</v>
      </c>
      <c r="G239" s="7">
        <v>196</v>
      </c>
      <c r="H239" s="14">
        <v>6</v>
      </c>
      <c r="I239" s="10" t="s">
        <v>38</v>
      </c>
      <c r="J239" s="9">
        <v>25000</v>
      </c>
      <c r="K239" s="43"/>
      <c r="L239" s="44"/>
      <c r="M239" s="18"/>
      <c r="N239" s="45"/>
      <c r="O239" s="45"/>
      <c r="P239" s="45"/>
      <c r="Q239" s="23">
        <v>43742</v>
      </c>
      <c r="R239" s="9">
        <v>5760</v>
      </c>
      <c r="S239" s="108">
        <v>25000</v>
      </c>
      <c r="U239" s="40">
        <f t="shared" si="7"/>
        <v>2347331</v>
      </c>
      <c r="Y239" s="65"/>
      <c r="Z239" s="35"/>
      <c r="AA239" s="34"/>
    </row>
    <row r="240" spans="1:27" ht="15.75" customHeight="1" x14ac:dyDescent="0.25">
      <c r="A240" s="6" t="s">
        <v>372</v>
      </c>
      <c r="B240" s="6" t="s">
        <v>373</v>
      </c>
      <c r="C240" s="6" t="s">
        <v>374</v>
      </c>
      <c r="D240" s="21">
        <v>43558</v>
      </c>
      <c r="E240" s="7" t="s">
        <v>27</v>
      </c>
      <c r="F240" s="7">
        <v>9819</v>
      </c>
      <c r="G240" s="7">
        <v>197</v>
      </c>
      <c r="H240" s="14">
        <v>12</v>
      </c>
      <c r="I240" s="10" t="s">
        <v>38</v>
      </c>
      <c r="J240" s="9">
        <v>3000</v>
      </c>
      <c r="K240" s="43"/>
      <c r="L240" s="44"/>
      <c r="M240" s="18"/>
      <c r="N240" s="45"/>
      <c r="O240" s="45"/>
      <c r="P240" s="45"/>
      <c r="Q240" s="23">
        <v>43927</v>
      </c>
      <c r="R240" s="9">
        <v>7601</v>
      </c>
      <c r="S240" s="108">
        <v>3000</v>
      </c>
      <c r="U240" s="40">
        <f t="shared" si="7"/>
        <v>2350331</v>
      </c>
      <c r="Y240" s="65"/>
      <c r="Z240" s="35"/>
      <c r="AA240" s="34"/>
    </row>
    <row r="241" spans="1:27" ht="15.75" customHeight="1" x14ac:dyDescent="0.25">
      <c r="A241" s="6" t="s">
        <v>263</v>
      </c>
      <c r="B241" s="6" t="s">
        <v>264</v>
      </c>
      <c r="C241" s="6" t="s">
        <v>262</v>
      </c>
      <c r="D241" s="21">
        <v>43563</v>
      </c>
      <c r="E241" s="7" t="s">
        <v>27</v>
      </c>
      <c r="F241" s="7">
        <v>9892</v>
      </c>
      <c r="G241" s="7">
        <v>198</v>
      </c>
      <c r="H241" s="14">
        <v>6</v>
      </c>
      <c r="I241" s="10" t="s">
        <v>38</v>
      </c>
      <c r="J241" s="9">
        <v>5000</v>
      </c>
      <c r="K241" s="43"/>
      <c r="L241" s="44"/>
      <c r="M241" s="18"/>
      <c r="N241" s="45"/>
      <c r="O241" s="45"/>
      <c r="P241" s="45"/>
      <c r="Q241" s="23">
        <v>43755</v>
      </c>
      <c r="R241" s="9">
        <v>5890</v>
      </c>
      <c r="S241" s="108">
        <v>5000</v>
      </c>
      <c r="U241" s="40">
        <f t="shared" si="7"/>
        <v>2355331</v>
      </c>
      <c r="Y241" s="65"/>
      <c r="Z241" s="35"/>
      <c r="AA241" s="34"/>
    </row>
    <row r="242" spans="1:27" ht="15.75" customHeight="1" x14ac:dyDescent="0.25">
      <c r="A242" s="6" t="s">
        <v>375</v>
      </c>
      <c r="B242" s="6" t="s">
        <v>376</v>
      </c>
      <c r="C242" s="6" t="s">
        <v>377</v>
      </c>
      <c r="D242" s="21">
        <v>43563</v>
      </c>
      <c r="E242" s="7" t="s">
        <v>27</v>
      </c>
      <c r="F242" s="7">
        <v>9899</v>
      </c>
      <c r="G242" s="7">
        <v>199</v>
      </c>
      <c r="H242" s="14">
        <v>12</v>
      </c>
      <c r="I242" s="10" t="s">
        <v>38</v>
      </c>
      <c r="J242" s="9">
        <v>4000</v>
      </c>
      <c r="K242" s="43"/>
      <c r="L242" s="44"/>
      <c r="M242" s="18"/>
      <c r="N242" s="45"/>
      <c r="O242" s="45"/>
      <c r="P242" s="45"/>
      <c r="Q242" s="23">
        <v>43929</v>
      </c>
      <c r="R242" s="9">
        <v>7624</v>
      </c>
      <c r="S242" s="108">
        <v>4000</v>
      </c>
      <c r="U242" s="40">
        <f t="shared" si="7"/>
        <v>2359331</v>
      </c>
      <c r="Y242" s="65"/>
      <c r="Z242" s="35"/>
      <c r="AA242" s="34"/>
    </row>
    <row r="243" spans="1:27" ht="15.75" customHeight="1" x14ac:dyDescent="0.25">
      <c r="A243" s="6" t="s">
        <v>369</v>
      </c>
      <c r="B243" s="6" t="s">
        <v>378</v>
      </c>
      <c r="C243" s="6" t="s">
        <v>371</v>
      </c>
      <c r="D243" s="21">
        <v>43565</v>
      </c>
      <c r="E243" s="7" t="s">
        <v>27</v>
      </c>
      <c r="F243" s="7">
        <v>9915</v>
      </c>
      <c r="G243" s="7">
        <v>200</v>
      </c>
      <c r="H243" s="14">
        <v>12</v>
      </c>
      <c r="I243" s="10" t="s">
        <v>38</v>
      </c>
      <c r="J243" s="9">
        <v>125000</v>
      </c>
      <c r="K243" s="43"/>
      <c r="L243" s="44"/>
      <c r="M243" s="18"/>
      <c r="N243" s="45"/>
      <c r="O243" s="45"/>
      <c r="P243" s="45"/>
      <c r="Q243" s="23">
        <v>43934</v>
      </c>
      <c r="R243" s="9">
        <v>7646</v>
      </c>
      <c r="S243" s="108">
        <v>125000</v>
      </c>
      <c r="U243" s="40">
        <f t="shared" si="7"/>
        <v>2484331</v>
      </c>
      <c r="Y243" s="65"/>
      <c r="Z243" s="35"/>
      <c r="AA243" s="34"/>
    </row>
    <row r="244" spans="1:27" ht="15.75" customHeight="1" x14ac:dyDescent="0.25">
      <c r="A244" s="6" t="s">
        <v>379</v>
      </c>
      <c r="B244" s="6" t="s">
        <v>380</v>
      </c>
      <c r="C244" s="6" t="s">
        <v>381</v>
      </c>
      <c r="D244" s="21">
        <v>43567</v>
      </c>
      <c r="E244" s="7" t="s">
        <v>27</v>
      </c>
      <c r="F244" s="7">
        <v>9938</v>
      </c>
      <c r="G244" s="7">
        <v>201</v>
      </c>
      <c r="H244" s="14">
        <v>12</v>
      </c>
      <c r="I244" s="10" t="s">
        <v>38</v>
      </c>
      <c r="J244" s="9">
        <v>1000</v>
      </c>
      <c r="K244" s="43"/>
      <c r="L244" s="44"/>
      <c r="M244" s="18"/>
      <c r="N244" s="45"/>
      <c r="O244" s="45"/>
      <c r="P244" s="45"/>
      <c r="Q244" s="23">
        <v>43934</v>
      </c>
      <c r="R244" s="9">
        <v>7649</v>
      </c>
      <c r="S244" s="108">
        <v>1000</v>
      </c>
      <c r="U244" s="40">
        <f t="shared" si="7"/>
        <v>2485331</v>
      </c>
      <c r="Y244" s="65"/>
      <c r="Z244" s="35"/>
      <c r="AA244" s="34"/>
    </row>
    <row r="245" spans="1:27" ht="15.75" customHeight="1" x14ac:dyDescent="0.25">
      <c r="A245" s="6" t="s">
        <v>265</v>
      </c>
      <c r="B245" s="6" t="s">
        <v>266</v>
      </c>
      <c r="C245" s="6" t="s">
        <v>382</v>
      </c>
      <c r="D245" s="21">
        <v>43568</v>
      </c>
      <c r="E245" s="7" t="s">
        <v>27</v>
      </c>
      <c r="F245" s="7">
        <v>9940</v>
      </c>
      <c r="G245" s="7">
        <v>202</v>
      </c>
      <c r="H245" s="14">
        <v>6</v>
      </c>
      <c r="I245" s="10" t="s">
        <v>38</v>
      </c>
      <c r="J245" s="9">
        <v>8500</v>
      </c>
      <c r="K245" s="43"/>
      <c r="L245" s="44"/>
      <c r="M245" s="18"/>
      <c r="N245" s="45"/>
      <c r="O245" s="45"/>
      <c r="P245" s="45"/>
      <c r="Q245" s="23">
        <v>43752</v>
      </c>
      <c r="R245" s="9">
        <v>5862</v>
      </c>
      <c r="S245" s="108">
        <v>8500</v>
      </c>
      <c r="U245" s="40">
        <f t="shared" si="7"/>
        <v>2493831</v>
      </c>
      <c r="Y245" s="65"/>
      <c r="Z245" s="35"/>
      <c r="AA245" s="34"/>
    </row>
    <row r="246" spans="1:27" ht="15.75" customHeight="1" x14ac:dyDescent="0.25">
      <c r="A246" s="6" t="s">
        <v>28</v>
      </c>
      <c r="C246" s="6" t="s">
        <v>28</v>
      </c>
      <c r="D246" s="21"/>
      <c r="H246" s="14"/>
      <c r="J246" s="9">
        <v>0</v>
      </c>
      <c r="K246" s="43"/>
      <c r="L246" s="44"/>
      <c r="M246" s="18"/>
      <c r="N246" s="45"/>
      <c r="O246" s="45"/>
      <c r="P246" s="45"/>
      <c r="S246" s="108">
        <v>0</v>
      </c>
      <c r="U246" s="40">
        <f t="shared" si="7"/>
        <v>2493831</v>
      </c>
      <c r="Y246" s="65"/>
      <c r="Z246" s="35"/>
      <c r="AA246" s="34"/>
    </row>
    <row r="247" spans="1:27" ht="15.75" customHeight="1" x14ac:dyDescent="0.25">
      <c r="A247" s="6" t="s">
        <v>383</v>
      </c>
      <c r="B247" s="6" t="s">
        <v>128</v>
      </c>
      <c r="C247" s="6" t="s">
        <v>129</v>
      </c>
      <c r="D247" s="21">
        <v>43570</v>
      </c>
      <c r="E247" s="7" t="s">
        <v>27</v>
      </c>
      <c r="F247" s="7">
        <v>9971</v>
      </c>
      <c r="G247" s="7">
        <v>204</v>
      </c>
      <c r="H247" s="14">
        <v>12</v>
      </c>
      <c r="I247" s="10" t="s">
        <v>38</v>
      </c>
      <c r="J247" s="9">
        <v>20000</v>
      </c>
      <c r="K247" s="43"/>
      <c r="L247" s="44"/>
      <c r="M247" s="18"/>
      <c r="N247" s="45"/>
      <c r="O247" s="45"/>
      <c r="P247" s="45"/>
      <c r="Q247" s="23">
        <v>43984</v>
      </c>
      <c r="R247" s="9">
        <v>292</v>
      </c>
      <c r="S247" s="108">
        <v>20000</v>
      </c>
      <c r="U247" s="40">
        <f t="shared" si="7"/>
        <v>2513831</v>
      </c>
      <c r="Y247" s="65"/>
      <c r="Z247" s="35"/>
      <c r="AA247" s="34"/>
    </row>
    <row r="248" spans="1:27" ht="15.75" customHeight="1" x14ac:dyDescent="0.25">
      <c r="A248" s="6" t="s">
        <v>143</v>
      </c>
      <c r="B248" s="6" t="s">
        <v>144</v>
      </c>
      <c r="C248" s="6" t="s">
        <v>145</v>
      </c>
      <c r="D248" s="21">
        <v>43571</v>
      </c>
      <c r="E248" s="7" t="s">
        <v>27</v>
      </c>
      <c r="F248" s="7">
        <v>9981</v>
      </c>
      <c r="G248" s="7">
        <v>205</v>
      </c>
      <c r="H248" s="14">
        <v>6</v>
      </c>
      <c r="I248" s="10" t="s">
        <v>38</v>
      </c>
      <c r="J248" s="9">
        <v>25000</v>
      </c>
      <c r="K248" s="43"/>
      <c r="L248" s="44"/>
      <c r="M248" s="18"/>
      <c r="N248" s="45"/>
      <c r="O248" s="45"/>
      <c r="P248" s="45"/>
      <c r="Q248" s="23">
        <v>43754</v>
      </c>
      <c r="R248" s="9">
        <v>5878</v>
      </c>
      <c r="S248" s="108">
        <v>25000</v>
      </c>
      <c r="U248" s="40">
        <f t="shared" si="7"/>
        <v>2538831</v>
      </c>
      <c r="Y248" s="65"/>
      <c r="Z248" s="35"/>
      <c r="AA248" s="34"/>
    </row>
    <row r="249" spans="1:27" ht="15.75" customHeight="1" x14ac:dyDescent="0.25">
      <c r="A249" s="6" t="s">
        <v>384</v>
      </c>
      <c r="B249" s="6" t="s">
        <v>385</v>
      </c>
      <c r="C249" s="6" t="s">
        <v>386</v>
      </c>
      <c r="D249" s="21">
        <v>43571</v>
      </c>
      <c r="E249" s="7" t="s">
        <v>27</v>
      </c>
      <c r="F249" s="7">
        <v>9982</v>
      </c>
      <c r="G249" s="7">
        <v>206</v>
      </c>
      <c r="H249" s="14">
        <v>6</v>
      </c>
      <c r="I249" s="10" t="s">
        <v>38</v>
      </c>
      <c r="J249" s="9">
        <v>2000</v>
      </c>
      <c r="K249" s="43"/>
      <c r="L249" s="44"/>
      <c r="M249" s="18"/>
      <c r="N249" s="45"/>
      <c r="O249" s="45"/>
      <c r="P249" s="45"/>
      <c r="Q249" s="23">
        <v>43783</v>
      </c>
      <c r="R249" s="9">
        <v>6168</v>
      </c>
      <c r="S249" s="108">
        <v>2000</v>
      </c>
      <c r="U249" s="40">
        <f t="shared" si="7"/>
        <v>2540831</v>
      </c>
      <c r="Y249" s="65"/>
      <c r="Z249" s="35"/>
      <c r="AA249" s="34"/>
    </row>
    <row r="250" spans="1:27" ht="15.75" customHeight="1" x14ac:dyDescent="0.25">
      <c r="A250" s="6" t="s">
        <v>239</v>
      </c>
      <c r="B250" s="6" t="s">
        <v>240</v>
      </c>
      <c r="C250" s="6" t="s">
        <v>241</v>
      </c>
      <c r="D250" s="21">
        <v>43577</v>
      </c>
      <c r="E250" s="7" t="s">
        <v>27</v>
      </c>
      <c r="F250" s="7">
        <v>10018</v>
      </c>
      <c r="G250" s="7">
        <v>207</v>
      </c>
      <c r="H250" s="14">
        <v>6</v>
      </c>
      <c r="I250" s="10" t="s">
        <v>38</v>
      </c>
      <c r="J250" s="9">
        <v>10000</v>
      </c>
      <c r="K250" s="43"/>
      <c r="L250" s="44"/>
      <c r="M250" s="18"/>
      <c r="N250" s="45"/>
      <c r="O250" s="45"/>
      <c r="P250" s="45"/>
      <c r="Q250" s="23">
        <v>43760</v>
      </c>
      <c r="R250" s="9">
        <v>5929</v>
      </c>
      <c r="S250" s="108">
        <v>10000</v>
      </c>
      <c r="U250" s="40">
        <f t="shared" si="7"/>
        <v>2550831</v>
      </c>
      <c r="Y250" s="65"/>
      <c r="Z250" s="35"/>
      <c r="AA250" s="34"/>
    </row>
    <row r="251" spans="1:27" ht="15.75" customHeight="1" x14ac:dyDescent="0.25">
      <c r="A251" s="6" t="s">
        <v>387</v>
      </c>
      <c r="B251" s="6" t="s">
        <v>388</v>
      </c>
      <c r="C251" s="6" t="s">
        <v>389</v>
      </c>
      <c r="D251" s="21">
        <v>43577</v>
      </c>
      <c r="E251" s="7" t="s">
        <v>27</v>
      </c>
      <c r="F251" s="7">
        <v>10046</v>
      </c>
      <c r="G251" s="7">
        <v>208</v>
      </c>
      <c r="H251" s="14">
        <v>12</v>
      </c>
      <c r="I251" s="10" t="s">
        <v>38</v>
      </c>
      <c r="J251" s="9">
        <v>5000</v>
      </c>
      <c r="K251" s="43"/>
      <c r="L251" s="44"/>
      <c r="M251" s="18"/>
      <c r="N251" s="45"/>
      <c r="O251" s="45"/>
      <c r="P251" s="45"/>
      <c r="Q251" s="23">
        <v>43943</v>
      </c>
      <c r="R251" s="9">
        <v>7735</v>
      </c>
      <c r="S251" s="108">
        <v>5000</v>
      </c>
      <c r="U251" s="40">
        <f t="shared" si="7"/>
        <v>2555831</v>
      </c>
      <c r="Y251" s="65"/>
      <c r="Z251" s="35"/>
      <c r="AA251" s="34"/>
    </row>
    <row r="252" spans="1:27" ht="15.75" customHeight="1" x14ac:dyDescent="0.25">
      <c r="A252" s="6" t="s">
        <v>390</v>
      </c>
      <c r="B252" s="6" t="s">
        <v>391</v>
      </c>
      <c r="C252" s="6" t="s">
        <v>392</v>
      </c>
      <c r="D252" s="21">
        <v>43578</v>
      </c>
      <c r="E252" s="7" t="s">
        <v>27</v>
      </c>
      <c r="F252" s="7">
        <v>10068</v>
      </c>
      <c r="G252" s="7">
        <v>209</v>
      </c>
      <c r="H252" s="14">
        <v>12</v>
      </c>
      <c r="I252" s="10" t="s">
        <v>38</v>
      </c>
      <c r="J252" s="9">
        <v>5000</v>
      </c>
      <c r="K252" s="43"/>
      <c r="L252" s="44"/>
      <c r="M252" s="18"/>
      <c r="N252" s="45"/>
      <c r="O252" s="45"/>
      <c r="P252" s="45"/>
      <c r="Q252" s="23">
        <v>43944</v>
      </c>
      <c r="R252" s="9">
        <v>7747</v>
      </c>
      <c r="S252" s="108">
        <v>5000</v>
      </c>
      <c r="U252" s="40">
        <f t="shared" si="7"/>
        <v>2560831</v>
      </c>
      <c r="Y252" s="65"/>
      <c r="Z252" s="35"/>
      <c r="AA252" s="34"/>
    </row>
    <row r="253" spans="1:27" ht="15.75" customHeight="1" x14ac:dyDescent="0.25">
      <c r="A253" s="6" t="s">
        <v>28</v>
      </c>
      <c r="C253" s="6" t="s">
        <v>28</v>
      </c>
      <c r="D253" s="21"/>
      <c r="H253" s="7"/>
      <c r="J253" s="9">
        <v>0</v>
      </c>
      <c r="K253" s="43"/>
      <c r="L253" s="44"/>
      <c r="M253" s="18"/>
      <c r="N253" s="45"/>
      <c r="O253" s="45"/>
      <c r="P253" s="45"/>
      <c r="S253" s="108">
        <v>0</v>
      </c>
      <c r="U253" s="40">
        <f t="shared" si="7"/>
        <v>2560831</v>
      </c>
      <c r="Y253" s="65"/>
      <c r="Z253" s="35"/>
      <c r="AA253" s="34"/>
    </row>
    <row r="254" spans="1:27" ht="15.75" customHeight="1" x14ac:dyDescent="0.25">
      <c r="A254" s="6" t="s">
        <v>393</v>
      </c>
      <c r="B254" s="6" t="s">
        <v>394</v>
      </c>
      <c r="C254" s="6" t="s">
        <v>395</v>
      </c>
      <c r="D254" s="21">
        <v>43579</v>
      </c>
      <c r="E254" s="7" t="s">
        <v>27</v>
      </c>
      <c r="F254" s="7">
        <v>10079</v>
      </c>
      <c r="G254" s="7">
        <v>211</v>
      </c>
      <c r="H254" s="14">
        <v>6</v>
      </c>
      <c r="I254" s="10" t="s">
        <v>38</v>
      </c>
      <c r="J254" s="9">
        <v>37000</v>
      </c>
      <c r="K254" s="43"/>
      <c r="L254" s="44"/>
      <c r="M254" s="18"/>
      <c r="N254" s="45"/>
      <c r="O254" s="45"/>
      <c r="P254" s="45"/>
      <c r="Q254" s="23">
        <v>43783</v>
      </c>
      <c r="R254" s="9">
        <v>6123</v>
      </c>
      <c r="S254" s="108">
        <v>37000</v>
      </c>
      <c r="U254" s="40">
        <f t="shared" si="7"/>
        <v>2597831</v>
      </c>
      <c r="Y254" s="65"/>
      <c r="Z254" s="35"/>
      <c r="AA254" s="34"/>
    </row>
    <row r="255" spans="1:27" ht="15.75" customHeight="1" x14ac:dyDescent="0.25">
      <c r="A255" s="6" t="s">
        <v>396</v>
      </c>
      <c r="B255" s="6" t="s">
        <v>272</v>
      </c>
      <c r="C255" s="6" t="s">
        <v>397</v>
      </c>
      <c r="D255" s="21">
        <v>43580</v>
      </c>
      <c r="E255" s="7" t="s">
        <v>27</v>
      </c>
      <c r="F255" s="7">
        <v>10091</v>
      </c>
      <c r="G255" s="7">
        <v>212</v>
      </c>
      <c r="H255" s="14">
        <v>12</v>
      </c>
      <c r="I255" s="10" t="s">
        <v>38</v>
      </c>
      <c r="J255" s="9">
        <v>75000</v>
      </c>
      <c r="K255" s="43"/>
      <c r="L255" s="44"/>
      <c r="M255" s="18"/>
      <c r="N255" s="45"/>
      <c r="O255" s="45"/>
      <c r="P255" s="45"/>
      <c r="Q255" s="23">
        <v>43948</v>
      </c>
      <c r="R255" s="9">
        <v>7780</v>
      </c>
      <c r="S255" s="108">
        <v>75000</v>
      </c>
      <c r="U255" s="40">
        <f t="shared" si="7"/>
        <v>2672831</v>
      </c>
      <c r="Y255" s="65"/>
      <c r="Z255" s="35"/>
      <c r="AA255" s="34"/>
    </row>
    <row r="256" spans="1:27" ht="15.75" customHeight="1" x14ac:dyDescent="0.25">
      <c r="A256" s="6" t="s">
        <v>28</v>
      </c>
      <c r="B256" s="6" t="s">
        <v>28</v>
      </c>
      <c r="C256" s="6" t="s">
        <v>28</v>
      </c>
      <c r="D256" s="21" t="s">
        <v>28</v>
      </c>
      <c r="E256" s="7" t="s">
        <v>28</v>
      </c>
      <c r="H256" s="14"/>
      <c r="I256" s="10" t="s">
        <v>38</v>
      </c>
      <c r="J256" s="9">
        <v>0</v>
      </c>
      <c r="K256" s="43"/>
      <c r="L256" s="44"/>
      <c r="M256" s="18"/>
      <c r="N256" s="45"/>
      <c r="O256" s="45"/>
      <c r="P256" s="45"/>
      <c r="S256" s="108">
        <v>0</v>
      </c>
      <c r="U256" s="40">
        <f t="shared" si="7"/>
        <v>2672831</v>
      </c>
      <c r="Y256" s="65"/>
      <c r="Z256" s="35"/>
      <c r="AA256" s="34"/>
    </row>
    <row r="257" spans="1:27" ht="15.75" customHeight="1" x14ac:dyDescent="0.25">
      <c r="A257" s="100" t="s">
        <v>46</v>
      </c>
      <c r="B257" s="100" t="s">
        <v>47</v>
      </c>
      <c r="C257" s="100" t="s">
        <v>48</v>
      </c>
      <c r="D257" s="101">
        <v>43580</v>
      </c>
      <c r="E257" s="102" t="s">
        <v>27</v>
      </c>
      <c r="F257" s="102">
        <v>10092</v>
      </c>
      <c r="G257" s="102">
        <v>213</v>
      </c>
      <c r="H257" s="102">
        <v>12</v>
      </c>
      <c r="I257" s="104" t="s">
        <v>38</v>
      </c>
      <c r="J257" s="1">
        <v>80000</v>
      </c>
      <c r="K257" s="43"/>
      <c r="L257" s="44"/>
      <c r="M257" s="18"/>
      <c r="N257" s="45"/>
      <c r="O257" s="45"/>
      <c r="P257" s="45"/>
      <c r="Q257" s="105">
        <v>43948</v>
      </c>
      <c r="R257" s="1">
        <v>7770</v>
      </c>
      <c r="S257" s="108">
        <v>80000</v>
      </c>
      <c r="T257" s="72"/>
      <c r="U257" s="40">
        <f t="shared" si="7"/>
        <v>2752831</v>
      </c>
      <c r="Y257" s="65"/>
      <c r="Z257" s="35"/>
      <c r="AA257" s="34"/>
    </row>
    <row r="258" spans="1:27" ht="15.75" customHeight="1" x14ac:dyDescent="0.25">
      <c r="A258" s="6" t="s">
        <v>155</v>
      </c>
      <c r="B258" s="6" t="s">
        <v>156</v>
      </c>
      <c r="D258" s="21">
        <v>43586</v>
      </c>
      <c r="E258" s="7" t="s">
        <v>27</v>
      </c>
      <c r="F258" s="7">
        <v>10175</v>
      </c>
      <c r="G258" s="7">
        <v>215</v>
      </c>
      <c r="H258" s="14">
        <v>12</v>
      </c>
      <c r="I258" s="10" t="s">
        <v>38</v>
      </c>
      <c r="J258" s="9">
        <v>3300</v>
      </c>
      <c r="K258" s="43"/>
      <c r="L258" s="44"/>
      <c r="M258" s="18"/>
      <c r="N258" s="45"/>
      <c r="O258" s="45"/>
      <c r="P258" s="45"/>
      <c r="Q258" s="23">
        <v>43956</v>
      </c>
      <c r="R258" s="9">
        <v>38</v>
      </c>
      <c r="S258" s="108">
        <v>3300</v>
      </c>
      <c r="U258" s="40">
        <f t="shared" si="7"/>
        <v>2756131</v>
      </c>
      <c r="Y258" s="65"/>
      <c r="Z258" s="35"/>
      <c r="AA258" s="34"/>
    </row>
    <row r="259" spans="1:27" ht="15.75" customHeight="1" x14ac:dyDescent="0.25">
      <c r="A259" s="6" t="s">
        <v>158</v>
      </c>
      <c r="B259" s="6" t="s">
        <v>159</v>
      </c>
      <c r="C259" s="6" t="s">
        <v>157</v>
      </c>
      <c r="D259" s="21">
        <v>43586</v>
      </c>
      <c r="E259" s="7" t="s">
        <v>27</v>
      </c>
      <c r="F259" s="7">
        <v>10176</v>
      </c>
      <c r="G259" s="7">
        <v>216</v>
      </c>
      <c r="H259" s="14">
        <v>12</v>
      </c>
      <c r="I259" s="10" t="s">
        <v>38</v>
      </c>
      <c r="J259" s="9">
        <v>1500</v>
      </c>
      <c r="K259" s="43"/>
      <c r="L259" s="44"/>
      <c r="M259" s="18"/>
      <c r="N259" s="45"/>
      <c r="O259" s="45"/>
      <c r="P259" s="45"/>
      <c r="Q259" s="23">
        <v>43956</v>
      </c>
      <c r="R259" s="9">
        <v>39</v>
      </c>
      <c r="S259" s="108">
        <v>1500</v>
      </c>
      <c r="U259" s="40">
        <f t="shared" si="7"/>
        <v>2757631</v>
      </c>
      <c r="Y259" s="65"/>
      <c r="Z259" s="35"/>
      <c r="AA259" s="34"/>
    </row>
    <row r="260" spans="1:27" ht="15.75" customHeight="1" x14ac:dyDescent="0.25">
      <c r="A260" s="6" t="s">
        <v>398</v>
      </c>
      <c r="B260" s="6" t="s">
        <v>399</v>
      </c>
      <c r="C260" s="6" t="s">
        <v>400</v>
      </c>
      <c r="D260" s="21">
        <v>43591</v>
      </c>
      <c r="E260" s="7" t="s">
        <v>27</v>
      </c>
      <c r="F260" s="7">
        <v>10238</v>
      </c>
      <c r="G260" s="7">
        <v>217</v>
      </c>
      <c r="H260" s="14">
        <v>12</v>
      </c>
      <c r="I260" s="10" t="s">
        <v>38</v>
      </c>
      <c r="J260" s="9">
        <v>1500</v>
      </c>
      <c r="K260" s="43"/>
      <c r="L260" s="44"/>
      <c r="M260" s="18"/>
      <c r="N260" s="45"/>
      <c r="O260" s="45"/>
      <c r="P260" s="45"/>
      <c r="Q260" s="23">
        <v>43962</v>
      </c>
      <c r="R260" s="9">
        <v>88</v>
      </c>
      <c r="S260" s="108">
        <v>1500</v>
      </c>
      <c r="U260" s="40">
        <f t="shared" si="7"/>
        <v>2759131</v>
      </c>
      <c r="Y260" s="65"/>
      <c r="Z260" s="35"/>
      <c r="AA260" s="34"/>
    </row>
    <row r="261" spans="1:27" ht="15.75" customHeight="1" x14ac:dyDescent="0.25">
      <c r="A261" s="6" t="s">
        <v>401</v>
      </c>
      <c r="B261" s="6" t="s">
        <v>402</v>
      </c>
      <c r="C261" s="6" t="s">
        <v>403</v>
      </c>
      <c r="D261" s="21">
        <v>43591</v>
      </c>
      <c r="E261" s="7" t="s">
        <v>27</v>
      </c>
      <c r="F261" s="7">
        <v>10248</v>
      </c>
      <c r="G261" s="7">
        <v>218</v>
      </c>
      <c r="H261" s="14">
        <v>12</v>
      </c>
      <c r="I261" s="10" t="s">
        <v>38</v>
      </c>
      <c r="J261" s="9">
        <v>2000</v>
      </c>
      <c r="K261" s="43"/>
      <c r="L261" s="44"/>
      <c r="M261" s="18"/>
      <c r="N261" s="45"/>
      <c r="O261" s="45"/>
      <c r="P261" s="45"/>
      <c r="Q261" s="23">
        <v>43957</v>
      </c>
      <c r="R261" s="9">
        <v>55</v>
      </c>
      <c r="S261" s="108">
        <v>2000</v>
      </c>
      <c r="U261" s="40">
        <f t="shared" si="7"/>
        <v>2761131</v>
      </c>
      <c r="Y261" s="65"/>
      <c r="Z261" s="35"/>
      <c r="AA261" s="34"/>
    </row>
    <row r="262" spans="1:27" ht="15.75" customHeight="1" x14ac:dyDescent="0.25">
      <c r="A262" s="6" t="s">
        <v>163</v>
      </c>
      <c r="B262" s="6" t="s">
        <v>164</v>
      </c>
      <c r="C262" s="6" t="s">
        <v>165</v>
      </c>
      <c r="D262" s="21">
        <v>43591</v>
      </c>
      <c r="E262" s="7" t="s">
        <v>27</v>
      </c>
      <c r="F262" s="7">
        <v>10258</v>
      </c>
      <c r="G262" s="7">
        <v>219</v>
      </c>
      <c r="H262" s="14">
        <v>12</v>
      </c>
      <c r="I262" s="10" t="s">
        <v>38</v>
      </c>
      <c r="J262" s="9">
        <v>100000</v>
      </c>
      <c r="K262" s="43"/>
      <c r="L262" s="44"/>
      <c r="M262" s="18"/>
      <c r="N262" s="45"/>
      <c r="O262" s="45"/>
      <c r="P262" s="45"/>
      <c r="Q262" s="23">
        <v>43958</v>
      </c>
      <c r="R262" s="9">
        <v>64</v>
      </c>
      <c r="S262" s="108">
        <v>100000</v>
      </c>
      <c r="U262" s="40">
        <f t="shared" si="7"/>
        <v>2861131</v>
      </c>
      <c r="Y262" s="65"/>
      <c r="Z262" s="35"/>
      <c r="AA262" s="34"/>
    </row>
    <row r="263" spans="1:27" ht="15.75" customHeight="1" x14ac:dyDescent="0.25">
      <c r="A263" s="6" t="s">
        <v>152</v>
      </c>
      <c r="B263" s="6" t="s">
        <v>404</v>
      </c>
      <c r="C263" s="6" t="s">
        <v>154</v>
      </c>
      <c r="D263" s="21">
        <v>43592</v>
      </c>
      <c r="E263" s="7" t="s">
        <v>27</v>
      </c>
      <c r="F263" s="7">
        <v>10281</v>
      </c>
      <c r="G263" s="7">
        <v>220</v>
      </c>
      <c r="H263" s="14">
        <v>12</v>
      </c>
      <c r="I263" s="10" t="s">
        <v>38</v>
      </c>
      <c r="J263" s="9">
        <v>8936</v>
      </c>
      <c r="K263" s="43"/>
      <c r="L263" s="44"/>
      <c r="M263" s="18"/>
      <c r="N263" s="45"/>
      <c r="O263" s="45"/>
      <c r="P263" s="45"/>
      <c r="Q263" s="23">
        <v>43962</v>
      </c>
      <c r="R263" s="9">
        <v>109</v>
      </c>
      <c r="S263" s="108">
        <v>8936</v>
      </c>
      <c r="U263" s="40">
        <f t="shared" si="7"/>
        <v>2870067</v>
      </c>
      <c r="Y263" s="65"/>
      <c r="Z263" s="35"/>
      <c r="AA263" s="34"/>
    </row>
    <row r="264" spans="1:27" ht="15.75" customHeight="1" x14ac:dyDescent="0.25">
      <c r="A264" s="6" t="s">
        <v>405</v>
      </c>
      <c r="B264" s="6" t="s">
        <v>170</v>
      </c>
      <c r="C264" s="6" t="s">
        <v>406</v>
      </c>
      <c r="D264" s="21">
        <v>43595</v>
      </c>
      <c r="E264" s="7" t="s">
        <v>27</v>
      </c>
      <c r="F264" s="7">
        <v>10317</v>
      </c>
      <c r="G264" s="7">
        <v>221</v>
      </c>
      <c r="H264" s="14">
        <v>12</v>
      </c>
      <c r="I264" s="10" t="s">
        <v>38</v>
      </c>
      <c r="J264" s="9">
        <v>3200</v>
      </c>
      <c r="K264" s="43"/>
      <c r="L264" s="44"/>
      <c r="M264" s="18"/>
      <c r="N264" s="45"/>
      <c r="O264" s="45"/>
      <c r="P264" s="45"/>
      <c r="Q264" s="23">
        <v>43962</v>
      </c>
      <c r="R264" s="9">
        <v>83</v>
      </c>
      <c r="S264" s="108">
        <v>3200</v>
      </c>
      <c r="U264" s="40">
        <f t="shared" si="7"/>
        <v>2873267</v>
      </c>
      <c r="Y264" s="65"/>
      <c r="Z264" s="35"/>
      <c r="AA264" s="34"/>
    </row>
    <row r="265" spans="1:27" ht="15.75" customHeight="1" x14ac:dyDescent="0.25">
      <c r="A265" s="6" t="s">
        <v>407</v>
      </c>
      <c r="B265" s="6" t="s">
        <v>408</v>
      </c>
      <c r="C265" s="6" t="s">
        <v>409</v>
      </c>
      <c r="D265" s="21">
        <v>43595</v>
      </c>
      <c r="E265" s="7" t="s">
        <v>27</v>
      </c>
      <c r="F265" s="7">
        <v>10322</v>
      </c>
      <c r="G265" s="7">
        <v>222</v>
      </c>
      <c r="H265" s="14">
        <v>12</v>
      </c>
      <c r="I265" s="10" t="s">
        <v>38</v>
      </c>
      <c r="J265" s="9">
        <v>2000</v>
      </c>
      <c r="K265" s="43"/>
      <c r="L265" s="44"/>
      <c r="M265" s="18"/>
      <c r="N265" s="45"/>
      <c r="O265" s="45"/>
      <c r="P265" s="45"/>
      <c r="Q265" s="23">
        <v>43965</v>
      </c>
      <c r="R265" s="9">
        <v>129</v>
      </c>
      <c r="S265" s="108">
        <v>2000</v>
      </c>
      <c r="U265" s="40">
        <f t="shared" si="7"/>
        <v>2875267</v>
      </c>
      <c r="Y265" s="65"/>
      <c r="Z265" s="35"/>
      <c r="AA265" s="34"/>
    </row>
    <row r="266" spans="1:27" ht="15.75" customHeight="1" x14ac:dyDescent="0.25">
      <c r="A266" s="6" t="s">
        <v>160</v>
      </c>
      <c r="B266" s="6" t="s">
        <v>161</v>
      </c>
      <c r="C266" s="6" t="s">
        <v>162</v>
      </c>
      <c r="D266" s="21">
        <v>43598</v>
      </c>
      <c r="E266" s="7" t="s">
        <v>27</v>
      </c>
      <c r="F266" s="7">
        <v>10341</v>
      </c>
      <c r="G266" s="7">
        <v>223</v>
      </c>
      <c r="H266" s="14">
        <v>6</v>
      </c>
      <c r="I266" s="10" t="s">
        <v>38</v>
      </c>
      <c r="J266" s="9">
        <v>25000</v>
      </c>
      <c r="K266" s="43"/>
      <c r="L266" s="44"/>
      <c r="M266" s="18"/>
      <c r="N266" s="45"/>
      <c r="O266" s="45"/>
      <c r="P266" s="45"/>
      <c r="Q266" s="23">
        <v>43783</v>
      </c>
      <c r="R266" s="9">
        <v>6116</v>
      </c>
      <c r="S266" s="108">
        <v>25000</v>
      </c>
      <c r="U266" s="40">
        <f t="shared" si="7"/>
        <v>2900267</v>
      </c>
      <c r="Y266" s="65"/>
      <c r="Z266" s="35"/>
      <c r="AA266" s="34"/>
    </row>
    <row r="267" spans="1:27" ht="15.75" customHeight="1" x14ac:dyDescent="0.25">
      <c r="A267" s="6" t="s">
        <v>410</v>
      </c>
      <c r="B267" s="6" t="s">
        <v>411</v>
      </c>
      <c r="C267" s="6" t="s">
        <v>412</v>
      </c>
      <c r="D267" s="21">
        <v>43600</v>
      </c>
      <c r="E267" s="7" t="s">
        <v>27</v>
      </c>
      <c r="F267" s="7">
        <v>10386</v>
      </c>
      <c r="G267" s="7">
        <v>224</v>
      </c>
      <c r="H267" s="14">
        <v>12</v>
      </c>
      <c r="I267" s="10" t="s">
        <v>38</v>
      </c>
      <c r="J267" s="9">
        <v>10000</v>
      </c>
      <c r="K267" s="43"/>
      <c r="L267" s="44"/>
      <c r="M267" s="18"/>
      <c r="N267" s="45"/>
      <c r="O267" s="45"/>
      <c r="P267" s="45"/>
      <c r="Q267" s="23">
        <v>44375</v>
      </c>
      <c r="R267" s="9">
        <v>2476</v>
      </c>
      <c r="S267" s="108">
        <v>10000</v>
      </c>
      <c r="U267" s="40">
        <f t="shared" si="7"/>
        <v>2910267</v>
      </c>
      <c r="Y267" s="65"/>
      <c r="Z267" s="35"/>
      <c r="AA267" s="34"/>
    </row>
    <row r="268" spans="1:27" ht="15.75" customHeight="1" x14ac:dyDescent="0.25">
      <c r="A268" s="6" t="s">
        <v>175</v>
      </c>
      <c r="B268" s="6" t="s">
        <v>413</v>
      </c>
      <c r="C268" s="6" t="s">
        <v>177</v>
      </c>
      <c r="D268" s="21">
        <v>43600</v>
      </c>
      <c r="E268" s="7" t="s">
        <v>27</v>
      </c>
      <c r="F268" s="7">
        <v>10392</v>
      </c>
      <c r="G268" s="7">
        <v>225</v>
      </c>
      <c r="H268" s="14">
        <v>6</v>
      </c>
      <c r="I268" s="10" t="s">
        <v>38</v>
      </c>
      <c r="J268" s="9">
        <v>105000</v>
      </c>
      <c r="K268" s="43"/>
      <c r="L268" s="44"/>
      <c r="M268" s="18"/>
      <c r="N268" s="45"/>
      <c r="O268" s="45"/>
      <c r="P268" s="45"/>
      <c r="Q268" s="23">
        <v>43791</v>
      </c>
      <c r="R268" s="9">
        <v>6186</v>
      </c>
      <c r="S268" s="108">
        <v>105000</v>
      </c>
      <c r="U268" s="40">
        <f t="shared" si="7"/>
        <v>3015267</v>
      </c>
      <c r="Y268" s="65"/>
      <c r="Z268" s="35"/>
      <c r="AA268" s="34"/>
    </row>
    <row r="269" spans="1:27" ht="15.75" customHeight="1" x14ac:dyDescent="0.25">
      <c r="A269" s="6" t="s">
        <v>414</v>
      </c>
      <c r="B269" s="6" t="s">
        <v>415</v>
      </c>
      <c r="C269" s="6" t="s">
        <v>416</v>
      </c>
      <c r="D269" s="21">
        <v>43600</v>
      </c>
      <c r="E269" s="7" t="s">
        <v>27</v>
      </c>
      <c r="F269" s="7">
        <v>10400</v>
      </c>
      <c r="G269" s="7">
        <v>226</v>
      </c>
      <c r="H269" s="14">
        <v>6</v>
      </c>
      <c r="I269" s="10" t="s">
        <v>38</v>
      </c>
      <c r="J269" s="9">
        <v>10000</v>
      </c>
      <c r="K269" s="43"/>
      <c r="L269" s="44"/>
      <c r="M269" s="18"/>
      <c r="N269" s="45"/>
      <c r="O269" s="45"/>
      <c r="P269" s="45"/>
      <c r="Q269" s="23">
        <v>43786</v>
      </c>
      <c r="R269" s="9">
        <v>6147</v>
      </c>
      <c r="S269" s="108">
        <v>10000</v>
      </c>
      <c r="U269" s="40">
        <f t="shared" si="7"/>
        <v>3025267</v>
      </c>
      <c r="Y269" s="65"/>
      <c r="Z269" s="35"/>
      <c r="AA269" s="34"/>
    </row>
    <row r="270" spans="1:27" ht="15.75" customHeight="1" x14ac:dyDescent="0.25">
      <c r="A270" s="6" t="s">
        <v>172</v>
      </c>
      <c r="B270" s="6" t="s">
        <v>173</v>
      </c>
      <c r="C270" s="6" t="s">
        <v>417</v>
      </c>
      <c r="D270" s="21">
        <v>43600</v>
      </c>
      <c r="E270" s="7" t="s">
        <v>27</v>
      </c>
      <c r="F270" s="7">
        <v>10402</v>
      </c>
      <c r="G270" s="7">
        <v>227</v>
      </c>
      <c r="H270" s="14">
        <v>12</v>
      </c>
      <c r="I270" s="10" t="s">
        <v>38</v>
      </c>
      <c r="J270" s="9">
        <v>2400</v>
      </c>
      <c r="K270" s="43"/>
      <c r="L270" s="44"/>
      <c r="M270" s="18"/>
      <c r="N270" s="45"/>
      <c r="O270" s="45"/>
      <c r="P270" s="45"/>
      <c r="Q270" s="23">
        <v>43965</v>
      </c>
      <c r="R270" s="9">
        <v>134</v>
      </c>
      <c r="S270" s="108">
        <v>2400</v>
      </c>
      <c r="U270" s="40">
        <f t="shared" si="7"/>
        <v>3027667</v>
      </c>
      <c r="Y270" s="65"/>
      <c r="Z270" s="35"/>
      <c r="AA270" s="34"/>
    </row>
    <row r="271" spans="1:27" ht="15.75" customHeight="1" x14ac:dyDescent="0.25">
      <c r="A271" s="6" t="s">
        <v>418</v>
      </c>
      <c r="B271" s="6" t="s">
        <v>419</v>
      </c>
      <c r="C271" s="6" t="s">
        <v>420</v>
      </c>
      <c r="D271" s="21">
        <v>43602</v>
      </c>
      <c r="E271" s="7" t="s">
        <v>27</v>
      </c>
      <c r="F271" s="7">
        <v>10426</v>
      </c>
      <c r="G271" s="7">
        <v>228</v>
      </c>
      <c r="H271" s="14">
        <v>12</v>
      </c>
      <c r="I271" s="10" t="s">
        <v>38</v>
      </c>
      <c r="J271" s="9">
        <v>2300</v>
      </c>
      <c r="K271" s="43"/>
      <c r="L271" s="44"/>
      <c r="M271" s="18"/>
      <c r="N271" s="45"/>
      <c r="O271" s="45"/>
      <c r="P271" s="45"/>
      <c r="Q271" s="23">
        <v>43970</v>
      </c>
      <c r="R271" s="9">
        <v>166</v>
      </c>
      <c r="S271" s="108">
        <v>2300</v>
      </c>
      <c r="U271" s="40">
        <f t="shared" si="7"/>
        <v>3029967</v>
      </c>
      <c r="Y271" s="65"/>
      <c r="Z271" s="35"/>
      <c r="AA271" s="34"/>
    </row>
    <row r="272" spans="1:27" ht="15.75" customHeight="1" x14ac:dyDescent="0.25">
      <c r="A272" s="6" t="s">
        <v>421</v>
      </c>
      <c r="B272" s="6" t="s">
        <v>422</v>
      </c>
      <c r="C272" s="6" t="s">
        <v>423</v>
      </c>
      <c r="D272" s="21">
        <v>43607</v>
      </c>
      <c r="E272" s="7" t="s">
        <v>27</v>
      </c>
      <c r="F272" s="7">
        <v>10521</v>
      </c>
      <c r="G272" s="7">
        <v>229</v>
      </c>
      <c r="H272" s="14">
        <v>12</v>
      </c>
      <c r="I272" s="10" t="s">
        <v>38</v>
      </c>
      <c r="J272" s="9">
        <v>10000</v>
      </c>
      <c r="K272" s="43"/>
      <c r="L272" s="44"/>
      <c r="M272" s="18"/>
      <c r="N272" s="45"/>
      <c r="O272" s="45"/>
      <c r="P272" s="45"/>
      <c r="Q272" s="23">
        <v>43973</v>
      </c>
      <c r="R272" s="9">
        <v>204</v>
      </c>
      <c r="S272" s="108">
        <v>10000</v>
      </c>
      <c r="U272" s="40">
        <f t="shared" si="7"/>
        <v>3039967</v>
      </c>
      <c r="Y272" s="65"/>
      <c r="Z272" s="35"/>
      <c r="AA272" s="34"/>
    </row>
    <row r="273" spans="1:27" ht="15.75" customHeight="1" x14ac:dyDescent="0.25">
      <c r="A273" s="6" t="s">
        <v>398</v>
      </c>
      <c r="B273" s="6" t="s">
        <v>399</v>
      </c>
      <c r="C273" s="6" t="s">
        <v>400</v>
      </c>
      <c r="D273" s="21">
        <v>43609</v>
      </c>
      <c r="E273" s="7" t="s">
        <v>27</v>
      </c>
      <c r="F273" s="7">
        <v>10563</v>
      </c>
      <c r="G273" s="7">
        <v>230</v>
      </c>
      <c r="H273" s="14">
        <v>12</v>
      </c>
      <c r="I273" s="10" t="s">
        <v>38</v>
      </c>
      <c r="J273" s="9">
        <v>40000</v>
      </c>
      <c r="K273" s="43"/>
      <c r="L273" s="44"/>
      <c r="M273" s="18"/>
      <c r="N273" s="45"/>
      <c r="O273" s="45"/>
      <c r="P273" s="45"/>
      <c r="Q273" s="23">
        <v>43976</v>
      </c>
      <c r="R273" s="9">
        <v>213</v>
      </c>
      <c r="S273" s="108">
        <v>40000</v>
      </c>
      <c r="U273" s="40">
        <f t="shared" si="7"/>
        <v>3079967</v>
      </c>
      <c r="Y273" s="65"/>
      <c r="Z273" s="35"/>
      <c r="AA273" s="34"/>
    </row>
    <row r="274" spans="1:27" ht="15.75" customHeight="1" x14ac:dyDescent="0.25">
      <c r="A274" s="6" t="s">
        <v>49</v>
      </c>
      <c r="B274" s="6" t="s">
        <v>424</v>
      </c>
      <c r="C274" s="6" t="s">
        <v>187</v>
      </c>
      <c r="D274" s="21">
        <v>43612</v>
      </c>
      <c r="E274" s="7" t="s">
        <v>27</v>
      </c>
      <c r="F274" s="7">
        <v>10584</v>
      </c>
      <c r="G274" s="7">
        <v>231</v>
      </c>
      <c r="H274" s="14">
        <v>12</v>
      </c>
      <c r="I274" s="10" t="s">
        <v>38</v>
      </c>
      <c r="J274" s="9">
        <v>50000</v>
      </c>
      <c r="K274" s="43"/>
      <c r="L274" s="44"/>
      <c r="M274" s="18"/>
      <c r="N274" s="45"/>
      <c r="O274" s="45"/>
      <c r="P274" s="45"/>
      <c r="Q274" s="23">
        <v>43978</v>
      </c>
      <c r="R274" s="9">
        <v>257</v>
      </c>
      <c r="S274" s="108">
        <v>50000</v>
      </c>
      <c r="U274" s="40">
        <f t="shared" si="7"/>
        <v>3129967</v>
      </c>
      <c r="Y274" s="65"/>
      <c r="Z274" s="35"/>
      <c r="AA274" s="34"/>
    </row>
    <row r="275" spans="1:27" ht="15.75" customHeight="1" x14ac:dyDescent="0.25">
      <c r="A275" s="6" t="s">
        <v>425</v>
      </c>
      <c r="B275" s="6" t="s">
        <v>426</v>
      </c>
      <c r="C275" s="6" t="s">
        <v>427</v>
      </c>
      <c r="D275" s="21">
        <v>43617</v>
      </c>
      <c r="E275" s="7" t="s">
        <v>27</v>
      </c>
      <c r="F275" s="7">
        <v>10685</v>
      </c>
      <c r="G275" s="7">
        <v>232</v>
      </c>
      <c r="H275" s="14">
        <v>12</v>
      </c>
      <c r="I275" s="10" t="s">
        <v>38</v>
      </c>
      <c r="J275" s="9">
        <v>2000</v>
      </c>
      <c r="K275" s="43"/>
      <c r="L275" s="44"/>
      <c r="M275" s="18"/>
      <c r="N275" s="45"/>
      <c r="O275" s="45"/>
      <c r="P275" s="45"/>
      <c r="Q275" s="23">
        <v>44063</v>
      </c>
      <c r="R275" s="9">
        <v>1238</v>
      </c>
      <c r="S275" s="108">
        <v>2000</v>
      </c>
      <c r="U275" s="40">
        <f t="shared" si="7"/>
        <v>3131967</v>
      </c>
      <c r="Y275" s="65"/>
      <c r="Z275" s="35"/>
      <c r="AA275" s="34"/>
    </row>
    <row r="276" spans="1:27" ht="15.75" customHeight="1" x14ac:dyDescent="0.25">
      <c r="A276" s="6" t="s">
        <v>184</v>
      </c>
      <c r="B276" s="6" t="s">
        <v>428</v>
      </c>
      <c r="D276" s="21">
        <v>43620</v>
      </c>
      <c r="E276" s="7" t="s">
        <v>27</v>
      </c>
      <c r="F276" s="7">
        <v>10722</v>
      </c>
      <c r="G276" s="7">
        <v>233</v>
      </c>
      <c r="H276" s="14">
        <v>12</v>
      </c>
      <c r="I276" s="10" t="s">
        <v>38</v>
      </c>
      <c r="J276" s="9">
        <v>2287</v>
      </c>
      <c r="K276" s="43"/>
      <c r="L276" s="44"/>
      <c r="M276" s="18"/>
      <c r="N276" s="45"/>
      <c r="O276" s="45"/>
      <c r="P276" s="45"/>
      <c r="Q276" s="23">
        <v>44015</v>
      </c>
      <c r="R276" s="9">
        <v>631</v>
      </c>
      <c r="S276" s="108">
        <v>2287</v>
      </c>
      <c r="U276" s="40">
        <f t="shared" si="7"/>
        <v>3134254</v>
      </c>
      <c r="Y276" s="65"/>
      <c r="Z276" s="35"/>
      <c r="AA276" s="34"/>
    </row>
    <row r="277" spans="1:27" ht="15.75" customHeight="1" x14ac:dyDescent="0.25">
      <c r="A277" s="6">
        <v>945</v>
      </c>
      <c r="B277" s="6" t="s">
        <v>429</v>
      </c>
      <c r="D277" s="21">
        <v>43621</v>
      </c>
      <c r="E277" s="7" t="s">
        <v>27</v>
      </c>
      <c r="F277" s="7">
        <v>10745</v>
      </c>
      <c r="G277" s="7">
        <v>234</v>
      </c>
      <c r="H277" s="7">
        <v>12</v>
      </c>
      <c r="I277" s="10" t="s">
        <v>38</v>
      </c>
      <c r="J277" s="70">
        <v>3750</v>
      </c>
      <c r="K277" s="43"/>
      <c r="L277" s="44"/>
      <c r="M277" s="18"/>
      <c r="N277" s="45"/>
      <c r="O277" s="45"/>
      <c r="P277" s="45"/>
      <c r="Q277" s="23">
        <v>43990</v>
      </c>
      <c r="R277" s="9">
        <v>340</v>
      </c>
      <c r="S277" s="108">
        <v>3750</v>
      </c>
      <c r="U277" s="40">
        <f t="shared" si="7"/>
        <v>3138004</v>
      </c>
      <c r="Y277" s="65"/>
      <c r="Z277" s="35"/>
      <c r="AA277" s="34"/>
    </row>
    <row r="278" spans="1:27" ht="15.75" customHeight="1" x14ac:dyDescent="0.25">
      <c r="A278" s="6" t="s">
        <v>311</v>
      </c>
      <c r="B278" s="6" t="s">
        <v>212</v>
      </c>
      <c r="D278" s="21">
        <v>43621</v>
      </c>
      <c r="E278" s="7" t="s">
        <v>27</v>
      </c>
      <c r="F278" s="7">
        <v>10752</v>
      </c>
      <c r="G278" s="7">
        <v>235</v>
      </c>
      <c r="H278" s="14">
        <v>6</v>
      </c>
      <c r="I278" s="10" t="s">
        <v>38</v>
      </c>
      <c r="J278" s="70">
        <v>125000</v>
      </c>
      <c r="K278" s="43"/>
      <c r="L278" s="44"/>
      <c r="M278" s="18"/>
      <c r="N278" s="45"/>
      <c r="O278" s="45"/>
      <c r="P278" s="45"/>
      <c r="Q278" s="23">
        <v>43808</v>
      </c>
      <c r="R278" s="9">
        <v>6317</v>
      </c>
      <c r="S278" s="108">
        <v>125000</v>
      </c>
      <c r="U278" s="40">
        <f t="shared" si="7"/>
        <v>3263004</v>
      </c>
      <c r="Y278" s="65"/>
      <c r="Z278" s="35"/>
      <c r="AA278" s="34"/>
    </row>
    <row r="279" spans="1:27" ht="15.75" customHeight="1" x14ac:dyDescent="0.25">
      <c r="A279" s="6" t="s">
        <v>51</v>
      </c>
      <c r="B279" s="6" t="s">
        <v>430</v>
      </c>
      <c r="C279" s="6" t="s">
        <v>52</v>
      </c>
      <c r="D279" s="21">
        <v>43621</v>
      </c>
      <c r="E279" s="7" t="s">
        <v>27</v>
      </c>
      <c r="F279" s="7">
        <v>10754</v>
      </c>
      <c r="G279" s="7">
        <v>236</v>
      </c>
      <c r="H279" s="14">
        <v>12</v>
      </c>
      <c r="I279" s="10" t="s">
        <v>38</v>
      </c>
      <c r="J279" s="9">
        <v>18000</v>
      </c>
      <c r="K279" s="43"/>
      <c r="L279" s="44"/>
      <c r="M279" s="18"/>
      <c r="N279" s="45"/>
      <c r="O279" s="45"/>
      <c r="P279" s="45"/>
      <c r="Q279" s="23">
        <v>43993</v>
      </c>
      <c r="R279" s="9">
        <v>380</v>
      </c>
      <c r="S279" s="108">
        <v>18000</v>
      </c>
      <c r="U279" s="40">
        <f t="shared" si="7"/>
        <v>3281004</v>
      </c>
      <c r="Y279" s="65"/>
      <c r="Z279" s="35"/>
      <c r="AA279" s="34"/>
    </row>
    <row r="280" spans="1:27" ht="15.75" customHeight="1" x14ac:dyDescent="0.25">
      <c r="A280" s="6">
        <v>909</v>
      </c>
      <c r="B280" s="6" t="s">
        <v>431</v>
      </c>
      <c r="C280" s="6" t="s">
        <v>400</v>
      </c>
      <c r="D280" s="21">
        <v>43638</v>
      </c>
      <c r="E280" s="7" t="s">
        <v>27</v>
      </c>
      <c r="F280" s="7">
        <v>10963</v>
      </c>
      <c r="G280" s="7">
        <v>237</v>
      </c>
      <c r="H280" s="14">
        <v>12</v>
      </c>
      <c r="I280" s="10" t="s">
        <v>38</v>
      </c>
      <c r="J280" s="9">
        <v>15000</v>
      </c>
      <c r="K280" s="43"/>
      <c r="L280" s="44"/>
      <c r="M280" s="18"/>
      <c r="N280" s="45"/>
      <c r="O280" s="45"/>
      <c r="P280" s="45"/>
      <c r="Q280" s="23">
        <v>44004</v>
      </c>
      <c r="R280" s="9">
        <v>493</v>
      </c>
      <c r="S280" s="108">
        <v>15000</v>
      </c>
      <c r="U280" s="40">
        <f t="shared" si="7"/>
        <v>3296004</v>
      </c>
      <c r="Y280" s="65"/>
      <c r="Z280" s="35"/>
      <c r="AA280" s="34"/>
    </row>
    <row r="281" spans="1:27" ht="15.75" customHeight="1" x14ac:dyDescent="0.25">
      <c r="A281" s="6">
        <v>89</v>
      </c>
      <c r="B281" s="6" t="s">
        <v>432</v>
      </c>
      <c r="C281" s="6" t="s">
        <v>433</v>
      </c>
      <c r="D281" s="21">
        <v>43640</v>
      </c>
      <c r="E281" s="7" t="s">
        <v>27</v>
      </c>
      <c r="F281" s="7">
        <v>10982</v>
      </c>
      <c r="G281" s="7">
        <v>238</v>
      </c>
      <c r="H281" s="14">
        <v>6</v>
      </c>
      <c r="I281" s="10" t="s">
        <v>38</v>
      </c>
      <c r="J281" s="9">
        <v>1000</v>
      </c>
      <c r="K281" s="43"/>
      <c r="L281" s="44"/>
      <c r="M281" s="18"/>
      <c r="N281" s="45"/>
      <c r="O281" s="45"/>
      <c r="P281" s="45"/>
      <c r="Q281" s="23">
        <v>43837</v>
      </c>
      <c r="R281" s="9">
        <v>6634</v>
      </c>
      <c r="S281" s="108">
        <v>1000</v>
      </c>
      <c r="U281" s="40">
        <f t="shared" si="7"/>
        <v>3297004</v>
      </c>
      <c r="Y281" s="65"/>
      <c r="Z281" s="35"/>
      <c r="AA281" s="34"/>
    </row>
    <row r="282" spans="1:27" ht="15.75" customHeight="1" x14ac:dyDescent="0.25">
      <c r="A282" s="6" t="s">
        <v>201</v>
      </c>
      <c r="B282" s="6" t="s">
        <v>202</v>
      </c>
      <c r="C282" s="6" t="s">
        <v>434</v>
      </c>
      <c r="D282" s="21">
        <v>43640</v>
      </c>
      <c r="E282" s="7" t="s">
        <v>27</v>
      </c>
      <c r="F282" s="7">
        <v>10998</v>
      </c>
      <c r="G282" s="7">
        <v>239</v>
      </c>
      <c r="H282" s="14">
        <v>12</v>
      </c>
      <c r="I282" s="10" t="s">
        <v>38</v>
      </c>
      <c r="J282" s="9">
        <v>9000</v>
      </c>
      <c r="K282" s="43"/>
      <c r="L282" s="44"/>
      <c r="M282" s="18"/>
      <c r="N282" s="45"/>
      <c r="O282" s="45"/>
      <c r="P282" s="45"/>
      <c r="Q282" s="23">
        <v>44006</v>
      </c>
      <c r="R282" s="9">
        <v>524</v>
      </c>
      <c r="S282" s="108">
        <v>9000</v>
      </c>
      <c r="U282" s="40">
        <f t="shared" si="7"/>
        <v>3306004</v>
      </c>
      <c r="Y282" s="65"/>
      <c r="Z282" s="35"/>
      <c r="AA282" s="34"/>
    </row>
    <row r="283" spans="1:27" ht="15.75" customHeight="1" x14ac:dyDescent="0.25">
      <c r="A283" s="6" t="s">
        <v>172</v>
      </c>
      <c r="B283" s="6" t="s">
        <v>173</v>
      </c>
      <c r="C283" s="6" t="s">
        <v>434</v>
      </c>
      <c r="D283" s="21">
        <v>43640</v>
      </c>
      <c r="E283" s="7" t="s">
        <v>27</v>
      </c>
      <c r="F283" s="7">
        <v>10999</v>
      </c>
      <c r="G283" s="7">
        <v>240</v>
      </c>
      <c r="H283" s="14">
        <v>12</v>
      </c>
      <c r="I283" s="10" t="s">
        <v>38</v>
      </c>
      <c r="J283" s="9">
        <v>10000</v>
      </c>
      <c r="K283" s="43"/>
      <c r="L283" s="44"/>
      <c r="M283" s="18"/>
      <c r="N283" s="45"/>
      <c r="O283" s="45"/>
      <c r="P283" s="45"/>
      <c r="Q283" s="23">
        <v>44006</v>
      </c>
      <c r="R283" s="9">
        <v>525</v>
      </c>
      <c r="S283" s="108">
        <v>10000</v>
      </c>
      <c r="U283" s="40">
        <f t="shared" si="7"/>
        <v>3316004</v>
      </c>
      <c r="Y283" s="65"/>
      <c r="Z283" s="35"/>
      <c r="AA283" s="34"/>
    </row>
    <row r="284" spans="1:27" ht="15.75" customHeight="1" x14ac:dyDescent="0.25">
      <c r="A284" s="6" t="s">
        <v>435</v>
      </c>
      <c r="B284" s="6" t="s">
        <v>436</v>
      </c>
      <c r="C284" s="6" t="s">
        <v>437</v>
      </c>
      <c r="D284" s="21">
        <v>43641</v>
      </c>
      <c r="E284" s="7" t="s">
        <v>27</v>
      </c>
      <c r="F284" s="7">
        <v>11033</v>
      </c>
      <c r="G284" s="7">
        <v>241</v>
      </c>
      <c r="H284" s="14">
        <v>12</v>
      </c>
      <c r="I284" s="10" t="s">
        <v>38</v>
      </c>
      <c r="J284" s="9">
        <v>15000</v>
      </c>
      <c r="K284" s="43"/>
      <c r="L284" s="44"/>
      <c r="M284" s="18"/>
      <c r="N284" s="45"/>
      <c r="O284" s="45"/>
      <c r="P284" s="45"/>
      <c r="Q284" s="23">
        <v>44069</v>
      </c>
      <c r="R284" s="9">
        <v>1310</v>
      </c>
      <c r="S284" s="108">
        <v>15000</v>
      </c>
      <c r="U284" s="40">
        <f t="shared" si="7"/>
        <v>3331004</v>
      </c>
      <c r="Y284" s="65"/>
      <c r="Z284" s="35"/>
      <c r="AA284" s="34"/>
    </row>
    <row r="285" spans="1:27" ht="15.75" customHeight="1" x14ac:dyDescent="0.25">
      <c r="A285" s="6" t="s">
        <v>280</v>
      </c>
      <c r="B285" s="6" t="s">
        <v>438</v>
      </c>
      <c r="C285" s="6" t="s">
        <v>282</v>
      </c>
      <c r="D285" s="21">
        <v>43641</v>
      </c>
      <c r="E285" s="7" t="s">
        <v>27</v>
      </c>
      <c r="F285" s="7">
        <v>11035</v>
      </c>
      <c r="G285" s="7">
        <v>242</v>
      </c>
      <c r="H285" s="14">
        <v>6</v>
      </c>
      <c r="I285" s="10" t="s">
        <v>38</v>
      </c>
      <c r="J285" s="9">
        <v>50000</v>
      </c>
      <c r="K285" s="43"/>
      <c r="L285" s="44"/>
      <c r="M285" s="18"/>
      <c r="N285" s="45"/>
      <c r="O285" s="45"/>
      <c r="P285" s="45"/>
      <c r="Q285" s="23">
        <v>43837</v>
      </c>
      <c r="R285" s="9">
        <v>6639</v>
      </c>
      <c r="S285" s="108">
        <v>50000</v>
      </c>
      <c r="U285" s="40">
        <f t="shared" si="7"/>
        <v>3381004</v>
      </c>
      <c r="Y285" s="65"/>
      <c r="Z285" s="35"/>
      <c r="AA285" s="34"/>
    </row>
    <row r="286" spans="1:27" ht="15.75" customHeight="1" x14ac:dyDescent="0.25">
      <c r="A286" s="6" t="s">
        <v>439</v>
      </c>
      <c r="B286" s="6" t="s">
        <v>440</v>
      </c>
      <c r="C286" s="6" t="s">
        <v>441</v>
      </c>
      <c r="D286" s="21">
        <v>43643</v>
      </c>
      <c r="E286" s="7" t="s">
        <v>27</v>
      </c>
      <c r="F286" s="7">
        <v>11067</v>
      </c>
      <c r="G286" s="7">
        <v>243</v>
      </c>
      <c r="H286" s="14">
        <v>12</v>
      </c>
      <c r="I286" s="10" t="s">
        <v>38</v>
      </c>
      <c r="J286" s="9">
        <v>9750</v>
      </c>
      <c r="K286" s="43"/>
      <c r="L286" s="44"/>
      <c r="M286" s="18"/>
      <c r="N286" s="45"/>
      <c r="O286" s="45"/>
      <c r="P286" s="45"/>
      <c r="Q286" s="23">
        <v>44013</v>
      </c>
      <c r="R286" s="9">
        <v>576</v>
      </c>
      <c r="S286" s="108">
        <v>9750</v>
      </c>
      <c r="U286" s="40">
        <f t="shared" si="7"/>
        <v>3390754</v>
      </c>
      <c r="Y286" s="65"/>
      <c r="Z286" s="35"/>
      <c r="AA286" s="34"/>
    </row>
    <row r="287" spans="1:27" ht="15.75" customHeight="1" x14ac:dyDescent="0.25">
      <c r="A287" s="6" t="s">
        <v>442</v>
      </c>
      <c r="B287" s="6" t="s">
        <v>443</v>
      </c>
      <c r="C287" s="6" t="s">
        <v>444</v>
      </c>
      <c r="D287" s="21">
        <v>43648</v>
      </c>
      <c r="E287" s="7" t="s">
        <v>27</v>
      </c>
      <c r="F287" s="7">
        <v>11113</v>
      </c>
      <c r="G287" s="7">
        <v>244</v>
      </c>
      <c r="H287" s="14">
        <v>6</v>
      </c>
      <c r="I287" s="10" t="s">
        <v>38</v>
      </c>
      <c r="J287" s="9">
        <v>100000</v>
      </c>
      <c r="K287" s="43"/>
      <c r="L287" s="44"/>
      <c r="M287" s="18"/>
      <c r="N287" s="45"/>
      <c r="O287" s="45"/>
      <c r="P287" s="45"/>
      <c r="Q287" s="23">
        <v>43833</v>
      </c>
      <c r="R287" s="9">
        <v>6597</v>
      </c>
      <c r="S287" s="108">
        <v>100000</v>
      </c>
      <c r="U287" s="40">
        <f t="shared" si="7"/>
        <v>3490754</v>
      </c>
      <c r="Y287" s="65"/>
      <c r="Z287" s="35"/>
      <c r="AA287" s="34"/>
    </row>
    <row r="288" spans="1:27" ht="15.75" customHeight="1" x14ac:dyDescent="0.25">
      <c r="A288" s="6" t="s">
        <v>28</v>
      </c>
      <c r="C288" s="6" t="s">
        <v>28</v>
      </c>
      <c r="D288" s="21"/>
      <c r="G288" s="7" t="s">
        <v>28</v>
      </c>
      <c r="H288" s="7"/>
      <c r="J288" s="9">
        <v>0</v>
      </c>
      <c r="K288" s="43"/>
      <c r="L288" s="44"/>
      <c r="M288" s="18"/>
      <c r="N288" s="45"/>
      <c r="O288" s="45"/>
      <c r="P288" s="45"/>
      <c r="S288" s="108">
        <v>0</v>
      </c>
      <c r="U288" s="40">
        <f t="shared" si="7"/>
        <v>3490754</v>
      </c>
      <c r="Y288" s="65"/>
      <c r="Z288" s="35"/>
      <c r="AA288" s="34"/>
    </row>
    <row r="289" spans="1:27" ht="15.75" customHeight="1" x14ac:dyDescent="0.25">
      <c r="A289" s="6" t="s">
        <v>445</v>
      </c>
      <c r="B289" s="6" t="s">
        <v>446</v>
      </c>
      <c r="C289" s="6" t="s">
        <v>447</v>
      </c>
      <c r="D289" s="21">
        <v>43648</v>
      </c>
      <c r="E289" s="7" t="s">
        <v>27</v>
      </c>
      <c r="F289" s="7">
        <v>11123</v>
      </c>
      <c r="G289" s="7">
        <v>246</v>
      </c>
      <c r="H289" s="14">
        <v>12</v>
      </c>
      <c r="I289" s="10" t="s">
        <v>38</v>
      </c>
      <c r="J289" s="9">
        <v>1000</v>
      </c>
      <c r="K289" s="43"/>
      <c r="L289" s="44"/>
      <c r="M289" s="18"/>
      <c r="N289" s="45"/>
      <c r="O289" s="45"/>
      <c r="P289" s="45"/>
      <c r="Q289" s="23">
        <v>44054</v>
      </c>
      <c r="R289" s="9">
        <v>1120</v>
      </c>
      <c r="S289" s="108">
        <v>1000</v>
      </c>
      <c r="U289" s="40">
        <f t="shared" si="7"/>
        <v>3491754</v>
      </c>
      <c r="Y289" s="65"/>
      <c r="Z289" s="35"/>
      <c r="AA289" s="34"/>
    </row>
    <row r="290" spans="1:27" ht="15.75" customHeight="1" x14ac:dyDescent="0.25">
      <c r="A290" s="6" t="s">
        <v>203</v>
      </c>
      <c r="B290" s="6" t="s">
        <v>204</v>
      </c>
      <c r="C290" s="6" t="s">
        <v>205</v>
      </c>
      <c r="D290" s="21">
        <v>43648</v>
      </c>
      <c r="E290" s="7" t="s">
        <v>27</v>
      </c>
      <c r="F290" s="7">
        <v>11138</v>
      </c>
      <c r="G290" s="7">
        <v>247</v>
      </c>
      <c r="H290" s="14">
        <v>6</v>
      </c>
      <c r="I290" s="10" t="s">
        <v>38</v>
      </c>
      <c r="J290" s="9">
        <v>3000</v>
      </c>
      <c r="K290" s="43"/>
      <c r="L290" s="44"/>
      <c r="M290" s="18"/>
      <c r="N290" s="45"/>
      <c r="O290" s="45"/>
      <c r="P290" s="45"/>
      <c r="Q290" s="23">
        <v>43832</v>
      </c>
      <c r="R290" s="9">
        <v>6563</v>
      </c>
      <c r="S290" s="108">
        <v>3000</v>
      </c>
      <c r="U290" s="40">
        <f t="shared" si="7"/>
        <v>3494754</v>
      </c>
      <c r="Y290" s="65"/>
      <c r="Z290" s="35"/>
      <c r="AA290" s="34"/>
    </row>
    <row r="291" spans="1:27" ht="15.75" customHeight="1" x14ac:dyDescent="0.25">
      <c r="A291" s="6" t="s">
        <v>62</v>
      </c>
      <c r="B291" s="6" t="s">
        <v>448</v>
      </c>
      <c r="C291" s="6" t="s">
        <v>449</v>
      </c>
      <c r="D291" s="21">
        <v>43648</v>
      </c>
      <c r="E291" s="7" t="s">
        <v>27</v>
      </c>
      <c r="F291" s="7">
        <v>11144</v>
      </c>
      <c r="G291" s="7">
        <v>248</v>
      </c>
      <c r="H291" s="14">
        <v>6</v>
      </c>
      <c r="I291" s="10" t="s">
        <v>38</v>
      </c>
      <c r="J291" s="9">
        <v>2400</v>
      </c>
      <c r="K291" s="43"/>
      <c r="L291" s="44"/>
      <c r="M291" s="18"/>
      <c r="N291" s="45"/>
      <c r="O291" s="45"/>
      <c r="P291" s="45"/>
      <c r="Q291" s="23">
        <v>43855</v>
      </c>
      <c r="R291" s="9">
        <v>6857</v>
      </c>
      <c r="S291" s="108">
        <v>2400</v>
      </c>
      <c r="U291" s="40">
        <f t="shared" si="7"/>
        <v>3497154</v>
      </c>
      <c r="Y291" s="65"/>
      <c r="Z291" s="35"/>
      <c r="AA291" s="34"/>
    </row>
    <row r="292" spans="1:27" ht="15.75" customHeight="1" x14ac:dyDescent="0.25">
      <c r="A292" s="6" t="s">
        <v>450</v>
      </c>
      <c r="B292" s="6" t="s">
        <v>451</v>
      </c>
      <c r="C292" s="6" t="s">
        <v>452</v>
      </c>
      <c r="D292" s="21">
        <v>43651</v>
      </c>
      <c r="E292" s="7" t="s">
        <v>27</v>
      </c>
      <c r="F292" s="7">
        <v>11195</v>
      </c>
      <c r="G292" s="7">
        <v>249</v>
      </c>
      <c r="H292" s="14">
        <v>12</v>
      </c>
      <c r="I292" s="10" t="s">
        <v>453</v>
      </c>
      <c r="J292" s="9">
        <v>3500</v>
      </c>
      <c r="K292" s="43"/>
      <c r="L292" s="44"/>
      <c r="M292" s="18"/>
      <c r="N292" s="45"/>
      <c r="O292" s="45"/>
      <c r="P292" s="45"/>
      <c r="Q292" s="23">
        <v>44019</v>
      </c>
      <c r="R292" s="9">
        <v>667</v>
      </c>
      <c r="S292" s="108">
        <v>3500</v>
      </c>
      <c r="U292" s="40">
        <f t="shared" si="7"/>
        <v>3500654</v>
      </c>
      <c r="Y292" s="65"/>
      <c r="Z292" s="35"/>
      <c r="AA292" s="34"/>
    </row>
    <row r="293" spans="1:27" ht="15.75" customHeight="1" x14ac:dyDescent="0.25">
      <c r="A293" s="6" t="s">
        <v>454</v>
      </c>
      <c r="B293" s="6" t="s">
        <v>455</v>
      </c>
      <c r="C293" s="6" t="s">
        <v>456</v>
      </c>
      <c r="D293" s="21">
        <v>43651</v>
      </c>
      <c r="E293" s="7" t="s">
        <v>27</v>
      </c>
      <c r="F293" s="7">
        <v>11208</v>
      </c>
      <c r="G293" s="7">
        <v>250</v>
      </c>
      <c r="H293" s="14">
        <v>6</v>
      </c>
      <c r="I293" s="10" t="s">
        <v>38</v>
      </c>
      <c r="J293" s="9">
        <v>15000</v>
      </c>
      <c r="K293" s="43"/>
      <c r="L293" s="44"/>
      <c r="M293" s="18"/>
      <c r="N293" s="45"/>
      <c r="O293" s="45"/>
      <c r="P293" s="45"/>
      <c r="Q293" s="23">
        <v>43837</v>
      </c>
      <c r="R293" s="9">
        <v>6615</v>
      </c>
      <c r="S293" s="108">
        <v>15000</v>
      </c>
      <c r="U293" s="40">
        <f t="shared" si="7"/>
        <v>3515654</v>
      </c>
      <c r="Y293" s="65"/>
      <c r="Z293" s="35"/>
      <c r="AA293" s="34"/>
    </row>
    <row r="294" spans="1:27" ht="15.75" customHeight="1" x14ac:dyDescent="0.25">
      <c r="A294" s="6" t="s">
        <v>457</v>
      </c>
      <c r="B294" s="6" t="s">
        <v>458</v>
      </c>
      <c r="C294" s="6" t="s">
        <v>459</v>
      </c>
      <c r="D294" s="21">
        <v>43651</v>
      </c>
      <c r="E294" s="7" t="s">
        <v>27</v>
      </c>
      <c r="F294" s="7">
        <v>11214</v>
      </c>
      <c r="G294" s="7">
        <v>251</v>
      </c>
      <c r="H294" s="14">
        <v>6</v>
      </c>
      <c r="I294" s="10" t="s">
        <v>38</v>
      </c>
      <c r="J294" s="9">
        <v>6000</v>
      </c>
      <c r="K294" s="43"/>
      <c r="L294" s="44"/>
      <c r="M294" s="18"/>
      <c r="N294" s="45"/>
      <c r="O294" s="45"/>
      <c r="P294" s="45"/>
      <c r="Q294" s="23">
        <v>43837</v>
      </c>
      <c r="R294" s="9">
        <v>6613</v>
      </c>
      <c r="S294" s="108">
        <v>6000</v>
      </c>
      <c r="U294" s="40">
        <f t="shared" si="7"/>
        <v>3521654</v>
      </c>
      <c r="Y294" s="65"/>
      <c r="Z294" s="35"/>
      <c r="AA294" s="34"/>
    </row>
    <row r="295" spans="1:27" ht="15.75" customHeight="1" x14ac:dyDescent="0.25">
      <c r="A295" s="6" t="s">
        <v>460</v>
      </c>
      <c r="B295" s="6" t="s">
        <v>144</v>
      </c>
      <c r="C295" s="6" t="s">
        <v>145</v>
      </c>
      <c r="D295" s="21">
        <v>43652</v>
      </c>
      <c r="E295" s="7" t="s">
        <v>27</v>
      </c>
      <c r="F295" s="7">
        <v>11217</v>
      </c>
      <c r="G295" s="7">
        <v>252</v>
      </c>
      <c r="H295" s="14">
        <v>6</v>
      </c>
      <c r="I295" s="10" t="s">
        <v>38</v>
      </c>
      <c r="J295" s="9">
        <v>20000</v>
      </c>
      <c r="K295" s="43"/>
      <c r="L295" s="44"/>
      <c r="M295" s="18"/>
      <c r="N295" s="45"/>
      <c r="O295" s="45"/>
      <c r="P295" s="45"/>
      <c r="Q295" s="23">
        <v>43837</v>
      </c>
      <c r="R295" s="9">
        <v>6616</v>
      </c>
      <c r="S295" s="108">
        <v>20000</v>
      </c>
      <c r="U295" s="40">
        <f t="shared" ref="U295:U358" si="8">U294+S295-T295</f>
        <v>3541654</v>
      </c>
      <c r="Y295" s="65"/>
      <c r="Z295" s="35"/>
      <c r="AA295" s="34"/>
    </row>
    <row r="296" spans="1:27" ht="15.75" customHeight="1" x14ac:dyDescent="0.25">
      <c r="A296" s="6" t="s">
        <v>461</v>
      </c>
      <c r="B296" s="6" t="s">
        <v>207</v>
      </c>
      <c r="C296" s="6" t="s">
        <v>55</v>
      </c>
      <c r="D296" s="21">
        <v>43654</v>
      </c>
      <c r="E296" s="7" t="s">
        <v>27</v>
      </c>
      <c r="F296" s="7">
        <v>11236</v>
      </c>
      <c r="G296" s="7">
        <v>253</v>
      </c>
      <c r="H296" s="14">
        <v>12</v>
      </c>
      <c r="I296" s="10" t="s">
        <v>38</v>
      </c>
      <c r="J296" s="9">
        <v>2000</v>
      </c>
      <c r="K296" s="43"/>
      <c r="L296" s="44"/>
      <c r="M296" s="18"/>
      <c r="N296" s="45"/>
      <c r="O296" s="45"/>
      <c r="P296" s="45"/>
      <c r="Q296" s="23">
        <v>44019</v>
      </c>
      <c r="R296" s="9">
        <v>656</v>
      </c>
      <c r="S296" s="108">
        <v>2000</v>
      </c>
      <c r="U296" s="40">
        <f t="shared" si="8"/>
        <v>3543654</v>
      </c>
      <c r="Y296" s="65"/>
      <c r="Z296" s="35"/>
      <c r="AA296" s="34"/>
    </row>
    <row r="297" spans="1:27" ht="15.75" customHeight="1" x14ac:dyDescent="0.25">
      <c r="A297" s="6" t="s">
        <v>54</v>
      </c>
      <c r="B297" s="6" t="s">
        <v>209</v>
      </c>
      <c r="C297" s="6" t="s">
        <v>55</v>
      </c>
      <c r="D297" s="21">
        <v>43654</v>
      </c>
      <c r="E297" s="7" t="s">
        <v>27</v>
      </c>
      <c r="F297" s="7">
        <v>11238</v>
      </c>
      <c r="G297" s="7">
        <v>254</v>
      </c>
      <c r="H297" s="14">
        <v>12</v>
      </c>
      <c r="I297" s="10" t="s">
        <v>38</v>
      </c>
      <c r="J297" s="9">
        <v>1532</v>
      </c>
      <c r="K297" s="43"/>
      <c r="L297" s="44"/>
      <c r="M297" s="18"/>
      <c r="N297" s="45"/>
      <c r="O297" s="45"/>
      <c r="P297" s="45"/>
      <c r="Q297" s="23">
        <v>44019</v>
      </c>
      <c r="R297" s="9">
        <v>657</v>
      </c>
      <c r="S297" s="108">
        <v>1532</v>
      </c>
      <c r="U297" s="40">
        <f t="shared" si="8"/>
        <v>3545186</v>
      </c>
      <c r="Y297" s="65"/>
      <c r="Z297" s="35"/>
      <c r="AA297" s="34"/>
    </row>
    <row r="298" spans="1:27" ht="15.75" customHeight="1" x14ac:dyDescent="0.25">
      <c r="A298" s="6" t="s">
        <v>44</v>
      </c>
      <c r="B298" s="6" t="s">
        <v>45</v>
      </c>
      <c r="C298" s="6" t="s">
        <v>462</v>
      </c>
      <c r="D298" s="21">
        <v>43655</v>
      </c>
      <c r="E298" s="7" t="s">
        <v>27</v>
      </c>
      <c r="F298" s="7">
        <v>11262</v>
      </c>
      <c r="G298" s="7">
        <v>255</v>
      </c>
      <c r="H298" s="14">
        <v>12</v>
      </c>
      <c r="I298" s="10" t="s">
        <v>38</v>
      </c>
      <c r="J298" s="9">
        <v>30000</v>
      </c>
      <c r="K298" s="43"/>
      <c r="L298" s="44"/>
      <c r="M298" s="18"/>
      <c r="N298" s="45"/>
      <c r="O298" s="45"/>
      <c r="P298" s="45"/>
      <c r="Q298" s="23">
        <v>44021</v>
      </c>
      <c r="R298" s="9">
        <v>682</v>
      </c>
      <c r="S298" s="108">
        <v>30000</v>
      </c>
      <c r="U298" s="40">
        <f t="shared" si="8"/>
        <v>3575186</v>
      </c>
      <c r="Y298" s="65"/>
      <c r="Z298" s="35"/>
      <c r="AA298" s="34"/>
    </row>
    <row r="299" spans="1:27" ht="15.75" customHeight="1" x14ac:dyDescent="0.25">
      <c r="A299" s="6" t="s">
        <v>463</v>
      </c>
      <c r="B299" s="6" t="s">
        <v>464</v>
      </c>
      <c r="C299" s="6" t="s">
        <v>465</v>
      </c>
      <c r="D299" s="21">
        <v>43655</v>
      </c>
      <c r="E299" s="7" t="s">
        <v>27</v>
      </c>
      <c r="F299" s="7">
        <v>11266</v>
      </c>
      <c r="G299" s="7">
        <v>256</v>
      </c>
      <c r="H299" s="14">
        <v>12</v>
      </c>
      <c r="I299" s="10" t="s">
        <v>38</v>
      </c>
      <c r="J299" s="9">
        <v>5000</v>
      </c>
      <c r="K299" s="43"/>
      <c r="L299" s="44"/>
      <c r="M299" s="18"/>
      <c r="N299" s="45"/>
      <c r="O299" s="45"/>
      <c r="P299" s="45"/>
      <c r="Q299" s="23">
        <v>44027</v>
      </c>
      <c r="R299" s="9">
        <v>755</v>
      </c>
      <c r="S299" s="108">
        <v>5000</v>
      </c>
      <c r="U299" s="40">
        <f t="shared" si="8"/>
        <v>3580186</v>
      </c>
      <c r="Y299" s="65"/>
      <c r="Z299" s="35"/>
      <c r="AA299" s="34"/>
    </row>
    <row r="300" spans="1:27" ht="15.75" customHeight="1" x14ac:dyDescent="0.25">
      <c r="A300" s="6" t="s">
        <v>358</v>
      </c>
      <c r="B300" s="6" t="s">
        <v>29</v>
      </c>
      <c r="D300" s="21">
        <v>43656</v>
      </c>
      <c r="E300" s="7" t="s">
        <v>27</v>
      </c>
      <c r="F300" s="7">
        <v>11288</v>
      </c>
      <c r="G300" s="7">
        <v>257</v>
      </c>
      <c r="H300" s="14">
        <v>12</v>
      </c>
      <c r="I300" s="10" t="s">
        <v>38</v>
      </c>
      <c r="J300" s="9">
        <v>47500</v>
      </c>
      <c r="K300" s="43"/>
      <c r="L300" s="44"/>
      <c r="M300" s="18"/>
      <c r="N300" s="45"/>
      <c r="O300" s="45"/>
      <c r="P300" s="45"/>
      <c r="Q300" s="23">
        <v>44022</v>
      </c>
      <c r="R300" s="9">
        <v>704</v>
      </c>
      <c r="S300" s="108">
        <v>47500</v>
      </c>
      <c r="U300" s="40">
        <f t="shared" si="8"/>
        <v>3627686</v>
      </c>
      <c r="Y300" s="65"/>
      <c r="Z300" s="35"/>
      <c r="AA300" s="34"/>
    </row>
    <row r="301" spans="1:27" ht="15.75" customHeight="1" x14ac:dyDescent="0.25">
      <c r="A301" s="6" t="s">
        <v>311</v>
      </c>
      <c r="B301" s="6" t="s">
        <v>212</v>
      </c>
      <c r="C301" s="6" t="s">
        <v>466</v>
      </c>
      <c r="D301" s="21">
        <v>43661</v>
      </c>
      <c r="E301" s="7" t="s">
        <v>27</v>
      </c>
      <c r="F301" s="7">
        <v>11361</v>
      </c>
      <c r="G301" s="7">
        <v>258</v>
      </c>
      <c r="H301" s="14">
        <v>6</v>
      </c>
      <c r="I301" s="10" t="s">
        <v>38</v>
      </c>
      <c r="J301" s="9">
        <v>50000</v>
      </c>
      <c r="K301" s="43"/>
      <c r="L301" s="44"/>
      <c r="M301" s="18"/>
      <c r="N301" s="45"/>
      <c r="O301" s="45"/>
      <c r="P301" s="45"/>
      <c r="Q301" s="23">
        <v>43846</v>
      </c>
      <c r="R301" s="9">
        <v>6748</v>
      </c>
      <c r="S301" s="108">
        <v>50000</v>
      </c>
      <c r="U301" s="40">
        <f t="shared" si="8"/>
        <v>3677686</v>
      </c>
      <c r="Y301" s="65"/>
      <c r="Z301" s="35"/>
      <c r="AA301" s="34"/>
    </row>
    <row r="302" spans="1:27" ht="15.75" customHeight="1" x14ac:dyDescent="0.25">
      <c r="A302" s="6" t="s">
        <v>467</v>
      </c>
      <c r="B302" s="6" t="s">
        <v>468</v>
      </c>
      <c r="C302" s="6" t="s">
        <v>469</v>
      </c>
      <c r="D302" s="21">
        <v>43661</v>
      </c>
      <c r="E302" s="7" t="s">
        <v>27</v>
      </c>
      <c r="F302" s="7">
        <v>11376</v>
      </c>
      <c r="G302" s="7">
        <v>259</v>
      </c>
      <c r="H302" s="14">
        <v>12</v>
      </c>
      <c r="I302" s="10" t="s">
        <v>38</v>
      </c>
      <c r="J302" s="9">
        <v>2000</v>
      </c>
      <c r="K302" s="43"/>
      <c r="L302" s="44"/>
      <c r="M302" s="18"/>
      <c r="N302" s="45"/>
      <c r="O302" s="45"/>
      <c r="P302" s="45"/>
      <c r="Q302" s="23">
        <v>44494</v>
      </c>
      <c r="R302" s="9">
        <v>4080</v>
      </c>
      <c r="S302" s="108">
        <v>2000</v>
      </c>
      <c r="U302" s="40">
        <f t="shared" si="8"/>
        <v>3679686</v>
      </c>
      <c r="Y302" s="65"/>
      <c r="Z302" s="35"/>
      <c r="AA302" s="34"/>
    </row>
    <row r="303" spans="1:27" ht="15.75" customHeight="1" x14ac:dyDescent="0.25">
      <c r="A303" s="6" t="s">
        <v>470</v>
      </c>
      <c r="B303" s="6" t="s">
        <v>471</v>
      </c>
      <c r="D303" s="21">
        <v>43664</v>
      </c>
      <c r="E303" s="7" t="s">
        <v>27</v>
      </c>
      <c r="F303" s="7">
        <v>11418</v>
      </c>
      <c r="G303" s="7">
        <v>260</v>
      </c>
      <c r="H303" s="14">
        <v>12</v>
      </c>
      <c r="I303" s="10" t="s">
        <v>38</v>
      </c>
      <c r="J303" s="9">
        <v>27000</v>
      </c>
      <c r="K303" s="43"/>
      <c r="L303" s="44"/>
      <c r="M303" s="18"/>
      <c r="N303" s="45"/>
      <c r="O303" s="45"/>
      <c r="P303" s="45"/>
      <c r="Q303" s="23">
        <v>44032</v>
      </c>
      <c r="R303" s="9">
        <v>800</v>
      </c>
      <c r="S303" s="108">
        <v>27000</v>
      </c>
      <c r="U303" s="40">
        <f t="shared" si="8"/>
        <v>3706686</v>
      </c>
      <c r="Y303" s="65"/>
      <c r="Z303" s="35"/>
      <c r="AA303" s="34"/>
    </row>
    <row r="304" spans="1:27" ht="15.75" customHeight="1" x14ac:dyDescent="0.25">
      <c r="A304" s="6" t="s">
        <v>472</v>
      </c>
      <c r="B304" s="6" t="s">
        <v>473</v>
      </c>
      <c r="D304" s="21">
        <v>43665</v>
      </c>
      <c r="E304" s="7" t="s">
        <v>27</v>
      </c>
      <c r="F304" s="7">
        <v>11439</v>
      </c>
      <c r="G304" s="7">
        <v>261</v>
      </c>
      <c r="H304" s="14">
        <v>12</v>
      </c>
      <c r="I304" s="10" t="s">
        <v>38</v>
      </c>
      <c r="J304" s="9">
        <v>25750</v>
      </c>
      <c r="K304" s="43"/>
      <c r="L304" s="44"/>
      <c r="M304" s="18"/>
      <c r="N304" s="45"/>
      <c r="O304" s="45"/>
      <c r="P304" s="45"/>
      <c r="Q304" s="23">
        <v>44032</v>
      </c>
      <c r="R304" s="9">
        <v>796</v>
      </c>
      <c r="S304" s="108">
        <v>25750</v>
      </c>
      <c r="U304" s="40">
        <f t="shared" si="8"/>
        <v>3732436</v>
      </c>
      <c r="Y304" s="65"/>
      <c r="Z304" s="35"/>
      <c r="AA304" s="34"/>
    </row>
    <row r="305" spans="1:27" ht="15.75" customHeight="1" x14ac:dyDescent="0.25">
      <c r="A305" s="6" t="s">
        <v>474</v>
      </c>
      <c r="B305" s="6" t="s">
        <v>475</v>
      </c>
      <c r="C305" s="6" t="s">
        <v>476</v>
      </c>
      <c r="D305" s="21">
        <v>43665</v>
      </c>
      <c r="E305" s="7" t="s">
        <v>27</v>
      </c>
      <c r="F305" s="7">
        <v>11452</v>
      </c>
      <c r="G305" s="7">
        <v>262</v>
      </c>
      <c r="H305" s="14">
        <v>12</v>
      </c>
      <c r="I305" s="10" t="s">
        <v>38</v>
      </c>
      <c r="J305" s="9">
        <v>40000</v>
      </c>
      <c r="K305" s="43"/>
      <c r="L305" s="44"/>
      <c r="M305" s="18"/>
      <c r="N305" s="45"/>
      <c r="O305" s="45"/>
      <c r="P305" s="45"/>
      <c r="Q305" s="23">
        <v>44036</v>
      </c>
      <c r="R305" s="9">
        <v>870</v>
      </c>
      <c r="S305" s="108">
        <v>40000</v>
      </c>
      <c r="U305" s="40">
        <f t="shared" si="8"/>
        <v>3772436</v>
      </c>
      <c r="Y305" s="65"/>
      <c r="Z305" s="35"/>
      <c r="AA305" s="34"/>
    </row>
    <row r="306" spans="1:27" ht="15.75" customHeight="1" x14ac:dyDescent="0.25">
      <c r="A306" s="6" t="s">
        <v>435</v>
      </c>
      <c r="B306" s="6" t="s">
        <v>436</v>
      </c>
      <c r="C306" s="6" t="s">
        <v>477</v>
      </c>
      <c r="D306" s="21">
        <v>43670</v>
      </c>
      <c r="E306" s="7" t="s">
        <v>27</v>
      </c>
      <c r="F306" s="7">
        <v>11530</v>
      </c>
      <c r="G306" s="7">
        <v>263</v>
      </c>
      <c r="H306" s="14">
        <v>12</v>
      </c>
      <c r="I306" s="10" t="s">
        <v>38</v>
      </c>
      <c r="J306" s="9">
        <v>14000</v>
      </c>
      <c r="K306" s="43"/>
      <c r="L306" s="44"/>
      <c r="M306" s="18"/>
      <c r="N306" s="45"/>
      <c r="O306" s="45"/>
      <c r="P306" s="45"/>
      <c r="Q306" s="23">
        <v>44069</v>
      </c>
      <c r="R306" s="9">
        <v>1311</v>
      </c>
      <c r="S306" s="108">
        <v>14000</v>
      </c>
      <c r="U306" s="40">
        <f t="shared" si="8"/>
        <v>3786436</v>
      </c>
      <c r="Y306" s="65"/>
      <c r="Z306" s="35"/>
      <c r="AA306" s="34"/>
    </row>
    <row r="307" spans="1:27" ht="15.75" customHeight="1" x14ac:dyDescent="0.25">
      <c r="A307" s="6" t="s">
        <v>215</v>
      </c>
      <c r="B307" s="6" t="s">
        <v>478</v>
      </c>
      <c r="C307" s="6" t="s">
        <v>479</v>
      </c>
      <c r="D307" s="21">
        <v>43671</v>
      </c>
      <c r="E307" s="7" t="s">
        <v>27</v>
      </c>
      <c r="F307" s="7">
        <v>11551</v>
      </c>
      <c r="G307" s="7">
        <v>264</v>
      </c>
      <c r="H307" s="7">
        <v>12</v>
      </c>
      <c r="I307" s="10" t="s">
        <v>38</v>
      </c>
      <c r="J307" s="9">
        <v>20000</v>
      </c>
      <c r="K307" s="43"/>
      <c r="L307" s="44"/>
      <c r="M307" s="18"/>
      <c r="N307" s="45"/>
      <c r="O307" s="45"/>
      <c r="P307" s="45"/>
      <c r="Q307" s="23">
        <v>44039</v>
      </c>
      <c r="R307" s="9">
        <v>897</v>
      </c>
      <c r="S307" s="108">
        <v>20000</v>
      </c>
      <c r="U307" s="40">
        <f t="shared" si="8"/>
        <v>3806436</v>
      </c>
      <c r="Y307" s="65"/>
      <c r="Z307" s="35"/>
      <c r="AA307" s="34"/>
    </row>
    <row r="308" spans="1:27" ht="15.75" customHeight="1" x14ac:dyDescent="0.25">
      <c r="A308" s="6" t="s">
        <v>480</v>
      </c>
      <c r="B308" s="6" t="s">
        <v>481</v>
      </c>
      <c r="C308" s="6" t="s">
        <v>482</v>
      </c>
      <c r="D308" s="21">
        <v>43671</v>
      </c>
      <c r="E308" s="7" t="s">
        <v>27</v>
      </c>
      <c r="F308" s="7">
        <v>11554</v>
      </c>
      <c r="G308" s="7">
        <v>265</v>
      </c>
      <c r="H308" s="14">
        <v>12</v>
      </c>
      <c r="I308" s="10" t="s">
        <v>38</v>
      </c>
      <c r="J308" s="9">
        <v>40000</v>
      </c>
      <c r="K308" s="43"/>
      <c r="L308" s="44"/>
      <c r="M308" s="18"/>
      <c r="N308" s="45"/>
      <c r="O308" s="45"/>
      <c r="P308" s="45"/>
      <c r="Q308" s="23">
        <v>44068</v>
      </c>
      <c r="R308" s="9">
        <v>1299</v>
      </c>
      <c r="S308" s="108">
        <v>40000</v>
      </c>
      <c r="U308" s="40">
        <f t="shared" si="8"/>
        <v>3846436</v>
      </c>
      <c r="Y308" s="65"/>
      <c r="Z308" s="35"/>
      <c r="AA308" s="34"/>
    </row>
    <row r="309" spans="1:27" ht="15.75" customHeight="1" x14ac:dyDescent="0.25">
      <c r="A309" s="6" t="s">
        <v>483</v>
      </c>
      <c r="B309" s="6" t="s">
        <v>484</v>
      </c>
      <c r="C309" s="1" t="s">
        <v>485</v>
      </c>
      <c r="D309" s="21">
        <v>43671</v>
      </c>
      <c r="E309" s="7" t="s">
        <v>27</v>
      </c>
      <c r="F309" s="7">
        <v>11558</v>
      </c>
      <c r="G309" s="7">
        <v>266</v>
      </c>
      <c r="H309" s="14">
        <v>6</v>
      </c>
      <c r="I309" s="10" t="s">
        <v>38</v>
      </c>
      <c r="J309" s="9">
        <v>200000</v>
      </c>
      <c r="K309" s="43"/>
      <c r="L309" s="44"/>
      <c r="M309" s="18"/>
      <c r="N309" s="45"/>
      <c r="O309" s="45"/>
      <c r="P309" s="45"/>
      <c r="Q309" s="23">
        <v>43871</v>
      </c>
      <c r="R309" s="9">
        <v>7004</v>
      </c>
      <c r="S309" s="108">
        <v>200000</v>
      </c>
      <c r="U309" s="40">
        <f t="shared" si="8"/>
        <v>4046436</v>
      </c>
      <c r="Y309" s="65"/>
      <c r="Z309" s="35"/>
      <c r="AA309" s="34"/>
    </row>
    <row r="310" spans="1:27" ht="15.75" customHeight="1" x14ac:dyDescent="0.25">
      <c r="A310" s="6" t="s">
        <v>486</v>
      </c>
      <c r="B310" s="6" t="s">
        <v>487</v>
      </c>
      <c r="C310" s="1" t="s">
        <v>488</v>
      </c>
      <c r="D310" s="21">
        <v>43675</v>
      </c>
      <c r="E310" s="7" t="s">
        <v>27</v>
      </c>
      <c r="F310" s="7">
        <v>11621</v>
      </c>
      <c r="G310" s="7">
        <v>267</v>
      </c>
      <c r="H310" s="14">
        <v>12</v>
      </c>
      <c r="I310" s="10" t="s">
        <v>38</v>
      </c>
      <c r="J310" s="9">
        <v>3900</v>
      </c>
      <c r="K310" s="43"/>
      <c r="L310" s="44"/>
      <c r="M310" s="18"/>
      <c r="N310" s="45"/>
      <c r="O310" s="45"/>
      <c r="P310" s="45"/>
      <c r="Q310" s="23">
        <v>44175</v>
      </c>
      <c r="R310" s="9">
        <v>2763</v>
      </c>
      <c r="S310" s="108">
        <v>3900</v>
      </c>
      <c r="U310" s="40">
        <f t="shared" si="8"/>
        <v>4050336</v>
      </c>
      <c r="Y310" s="65"/>
      <c r="Z310" s="35"/>
      <c r="AA310" s="34"/>
    </row>
    <row r="311" spans="1:27" ht="15.75" customHeight="1" x14ac:dyDescent="0.25">
      <c r="A311" s="6" t="s">
        <v>489</v>
      </c>
      <c r="B311" s="6" t="s">
        <v>490</v>
      </c>
      <c r="D311" s="21">
        <v>43676</v>
      </c>
      <c r="E311" s="7" t="s">
        <v>27</v>
      </c>
      <c r="F311" s="7">
        <v>11631</v>
      </c>
      <c r="G311" s="7">
        <v>268</v>
      </c>
      <c r="H311" s="14">
        <v>6</v>
      </c>
      <c r="I311" s="10" t="s">
        <v>38</v>
      </c>
      <c r="J311" s="9">
        <v>20000</v>
      </c>
      <c r="K311" s="43"/>
      <c r="L311" s="44"/>
      <c r="M311" s="18"/>
      <c r="N311" s="45"/>
      <c r="O311" s="45"/>
      <c r="P311" s="45"/>
      <c r="Q311" s="23">
        <v>43860</v>
      </c>
      <c r="R311" s="9">
        <v>6907</v>
      </c>
      <c r="S311" s="108">
        <v>20000</v>
      </c>
      <c r="U311" s="40">
        <f t="shared" si="8"/>
        <v>4070336</v>
      </c>
      <c r="Y311" s="65"/>
      <c r="Z311" s="35"/>
      <c r="AA311" s="34"/>
    </row>
    <row r="312" spans="1:27" ht="15.75" customHeight="1" x14ac:dyDescent="0.25">
      <c r="A312" s="6" t="s">
        <v>491</v>
      </c>
      <c r="B312" s="6" t="s">
        <v>492</v>
      </c>
      <c r="C312" s="6" t="s">
        <v>493</v>
      </c>
      <c r="D312" s="21">
        <v>43677</v>
      </c>
      <c r="E312" s="7" t="s">
        <v>27</v>
      </c>
      <c r="F312" s="7">
        <v>11660</v>
      </c>
      <c r="G312" s="7">
        <v>269</v>
      </c>
      <c r="H312" s="14">
        <v>12</v>
      </c>
      <c r="I312" s="10" t="s">
        <v>38</v>
      </c>
      <c r="J312" s="9">
        <v>11000</v>
      </c>
      <c r="K312" s="43"/>
      <c r="L312" s="44"/>
      <c r="M312" s="18"/>
      <c r="N312" s="45"/>
      <c r="O312" s="45"/>
      <c r="P312" s="45"/>
      <c r="Q312" s="23">
        <v>44043</v>
      </c>
      <c r="R312" s="9">
        <v>986</v>
      </c>
      <c r="S312" s="108">
        <v>11000</v>
      </c>
      <c r="U312" s="40">
        <f t="shared" si="8"/>
        <v>4081336</v>
      </c>
      <c r="Y312" s="65"/>
      <c r="Z312" s="35"/>
      <c r="AA312" s="34"/>
    </row>
    <row r="313" spans="1:27" ht="15.75" customHeight="1" x14ac:dyDescent="0.25">
      <c r="A313" s="6" t="s">
        <v>494</v>
      </c>
      <c r="B313" s="6" t="s">
        <v>495</v>
      </c>
      <c r="C313" s="6" t="s">
        <v>496</v>
      </c>
      <c r="D313" s="21">
        <v>43677</v>
      </c>
      <c r="E313" s="7" t="s">
        <v>27</v>
      </c>
      <c r="F313" s="7">
        <v>11665</v>
      </c>
      <c r="G313" s="7">
        <v>270</v>
      </c>
      <c r="H313" s="14">
        <v>6</v>
      </c>
      <c r="I313" s="10" t="s">
        <v>38</v>
      </c>
      <c r="J313" s="9">
        <v>7000</v>
      </c>
      <c r="K313" s="60"/>
      <c r="L313" s="61"/>
      <c r="M313" s="62"/>
      <c r="N313" s="63"/>
      <c r="O313" s="63"/>
      <c r="P313" s="63"/>
      <c r="Q313" s="23">
        <v>43892</v>
      </c>
      <c r="R313" s="9">
        <v>7236</v>
      </c>
      <c r="S313" s="108">
        <v>7000</v>
      </c>
      <c r="U313" s="40">
        <f t="shared" si="8"/>
        <v>4088336</v>
      </c>
      <c r="Y313" s="65"/>
      <c r="Z313" s="35"/>
      <c r="AA313" s="34"/>
    </row>
    <row r="314" spans="1:27" ht="15.75" customHeight="1" x14ac:dyDescent="0.25">
      <c r="A314" s="6" t="s">
        <v>497</v>
      </c>
      <c r="B314" s="6" t="s">
        <v>498</v>
      </c>
      <c r="D314" s="21">
        <v>43678</v>
      </c>
      <c r="E314" s="7" t="s">
        <v>27</v>
      </c>
      <c r="F314" s="7">
        <v>11684</v>
      </c>
      <c r="G314" s="7">
        <v>271</v>
      </c>
      <c r="H314" s="14">
        <v>12</v>
      </c>
      <c r="I314" s="10" t="s">
        <v>38</v>
      </c>
      <c r="J314" s="9">
        <v>5000</v>
      </c>
      <c r="K314" s="43"/>
      <c r="L314" s="44"/>
      <c r="M314" s="18"/>
      <c r="N314" s="45"/>
      <c r="O314" s="45"/>
      <c r="P314" s="45"/>
      <c r="Q314" s="23">
        <v>44186</v>
      </c>
      <c r="R314" s="9">
        <v>2858</v>
      </c>
      <c r="S314" s="108">
        <v>5000</v>
      </c>
      <c r="U314" s="40">
        <f t="shared" si="8"/>
        <v>4093336</v>
      </c>
      <c r="Y314" s="65"/>
      <c r="Z314" s="35"/>
      <c r="AA314" s="34"/>
    </row>
    <row r="315" spans="1:27" ht="15.75" customHeight="1" x14ac:dyDescent="0.25">
      <c r="A315" s="6" t="s">
        <v>499</v>
      </c>
      <c r="B315" s="6" t="s">
        <v>500</v>
      </c>
      <c r="C315" s="6" t="s">
        <v>501</v>
      </c>
      <c r="D315" s="21">
        <v>43679</v>
      </c>
      <c r="E315" s="7" t="s">
        <v>27</v>
      </c>
      <c r="F315" s="7">
        <v>11716</v>
      </c>
      <c r="G315" s="7">
        <v>272</v>
      </c>
      <c r="H315" s="14">
        <v>12</v>
      </c>
      <c r="I315" s="10" t="s">
        <v>38</v>
      </c>
      <c r="J315" s="9">
        <v>10000</v>
      </c>
      <c r="K315" s="43"/>
      <c r="L315" s="44"/>
      <c r="M315" s="18"/>
      <c r="N315" s="45"/>
      <c r="O315" s="45"/>
      <c r="P315" s="45"/>
      <c r="Q315" s="23">
        <v>44046</v>
      </c>
      <c r="R315" s="9">
        <v>995</v>
      </c>
      <c r="S315" s="108">
        <v>10000</v>
      </c>
      <c r="U315" s="40">
        <f t="shared" si="8"/>
        <v>4103336</v>
      </c>
      <c r="Y315" s="65"/>
      <c r="Z315" s="35"/>
      <c r="AA315" s="34"/>
    </row>
    <row r="316" spans="1:27" ht="15.75" customHeight="1" x14ac:dyDescent="0.25">
      <c r="A316" s="6" t="s">
        <v>502</v>
      </c>
      <c r="B316" s="6" t="s">
        <v>503</v>
      </c>
      <c r="C316" s="6" t="s">
        <v>122</v>
      </c>
      <c r="D316" s="21">
        <v>43680</v>
      </c>
      <c r="E316" s="7" t="s">
        <v>27</v>
      </c>
      <c r="F316" s="7">
        <v>11726</v>
      </c>
      <c r="G316" s="7">
        <v>273</v>
      </c>
      <c r="H316" s="14">
        <v>12</v>
      </c>
      <c r="I316" s="10" t="s">
        <v>38</v>
      </c>
      <c r="J316" s="9">
        <v>2000</v>
      </c>
      <c r="K316" s="43"/>
      <c r="L316" s="44"/>
      <c r="M316" s="18"/>
      <c r="N316" s="45"/>
      <c r="O316" s="45"/>
      <c r="P316" s="45"/>
      <c r="Q316" s="23">
        <v>44053</v>
      </c>
      <c r="R316" s="9">
        <v>1091</v>
      </c>
      <c r="S316" s="108">
        <v>2000</v>
      </c>
      <c r="U316" s="40">
        <f t="shared" si="8"/>
        <v>4105336</v>
      </c>
      <c r="Y316" s="65"/>
      <c r="Z316" s="35"/>
      <c r="AA316" s="34"/>
    </row>
    <row r="317" spans="1:27" ht="15.75" customHeight="1" x14ac:dyDescent="0.25">
      <c r="A317" s="6" t="s">
        <v>504</v>
      </c>
      <c r="B317" s="6" t="s">
        <v>505</v>
      </c>
      <c r="C317" s="6" t="s">
        <v>506</v>
      </c>
      <c r="D317" s="21">
        <v>43682</v>
      </c>
      <c r="E317" s="7" t="s">
        <v>27</v>
      </c>
      <c r="F317" s="7">
        <v>11744</v>
      </c>
      <c r="G317" s="7">
        <v>274</v>
      </c>
      <c r="H317" s="14">
        <v>12</v>
      </c>
      <c r="I317" s="10" t="s">
        <v>38</v>
      </c>
      <c r="J317" s="9">
        <v>2000</v>
      </c>
      <c r="K317" s="43"/>
      <c r="L317" s="44"/>
      <c r="M317" s="18"/>
      <c r="N317" s="45"/>
      <c r="O317" s="45"/>
      <c r="P317" s="45"/>
      <c r="Q317" s="23">
        <v>44067</v>
      </c>
      <c r="R317" s="9">
        <v>1272</v>
      </c>
      <c r="S317" s="108">
        <v>2000</v>
      </c>
      <c r="U317" s="40">
        <f t="shared" si="8"/>
        <v>4107336</v>
      </c>
      <c r="Y317" s="65"/>
      <c r="Z317" s="35"/>
      <c r="AA317" s="34"/>
    </row>
    <row r="318" spans="1:27" ht="15.75" customHeight="1" x14ac:dyDescent="0.25">
      <c r="A318" s="6" t="s">
        <v>507</v>
      </c>
      <c r="B318" s="6" t="s">
        <v>508</v>
      </c>
      <c r="C318" s="6" t="s">
        <v>509</v>
      </c>
      <c r="D318" s="21">
        <v>43684</v>
      </c>
      <c r="E318" s="7" t="s">
        <v>27</v>
      </c>
      <c r="F318" s="7">
        <v>11762</v>
      </c>
      <c r="G318" s="7">
        <v>275</v>
      </c>
      <c r="H318" s="14">
        <v>12</v>
      </c>
      <c r="I318" s="10" t="s">
        <v>38</v>
      </c>
      <c r="J318" s="9">
        <v>20000</v>
      </c>
      <c r="K318" s="43"/>
      <c r="L318" s="44"/>
      <c r="M318" s="18"/>
      <c r="N318" s="45"/>
      <c r="O318" s="45"/>
      <c r="P318" s="45"/>
      <c r="Q318" s="23">
        <v>44088</v>
      </c>
      <c r="R318" s="9">
        <v>1507</v>
      </c>
      <c r="S318" s="108">
        <v>20000</v>
      </c>
      <c r="U318" s="40">
        <f t="shared" si="8"/>
        <v>4127336</v>
      </c>
      <c r="Y318" s="65"/>
      <c r="Z318" s="35"/>
      <c r="AA318" s="34"/>
    </row>
    <row r="319" spans="1:27" ht="15.75" customHeight="1" x14ac:dyDescent="0.25">
      <c r="A319" s="6" t="s">
        <v>510</v>
      </c>
      <c r="B319" s="6" t="s">
        <v>511</v>
      </c>
      <c r="C319" s="6" t="s">
        <v>512</v>
      </c>
      <c r="D319" s="21">
        <v>43684</v>
      </c>
      <c r="E319" s="7" t="s">
        <v>27</v>
      </c>
      <c r="F319" s="7">
        <v>11768</v>
      </c>
      <c r="G319" s="7">
        <v>276</v>
      </c>
      <c r="H319" s="14">
        <v>12</v>
      </c>
      <c r="I319" s="10" t="s">
        <v>38</v>
      </c>
      <c r="J319" s="9">
        <v>80000</v>
      </c>
      <c r="K319" s="43"/>
      <c r="L319" s="44"/>
      <c r="M319" s="18"/>
      <c r="N319" s="45"/>
      <c r="O319" s="45"/>
      <c r="P319" s="45"/>
      <c r="Q319" s="23">
        <v>44050</v>
      </c>
      <c r="R319" s="9">
        <v>1068</v>
      </c>
      <c r="S319" s="108">
        <v>80000</v>
      </c>
      <c r="U319" s="40">
        <f t="shared" si="8"/>
        <v>4207336</v>
      </c>
      <c r="Y319" s="65"/>
      <c r="Z319" s="35"/>
      <c r="AA319" s="34"/>
    </row>
    <row r="320" spans="1:27" ht="15.75" customHeight="1" x14ac:dyDescent="0.25">
      <c r="A320" s="6" t="s">
        <v>513</v>
      </c>
      <c r="B320" s="6" t="s">
        <v>514</v>
      </c>
      <c r="C320" s="6" t="s">
        <v>515</v>
      </c>
      <c r="D320" s="21">
        <v>43684</v>
      </c>
      <c r="E320" s="7" t="s">
        <v>27</v>
      </c>
      <c r="F320" s="7">
        <v>11775</v>
      </c>
      <c r="G320" s="7">
        <v>277</v>
      </c>
      <c r="H320" s="14">
        <v>12</v>
      </c>
      <c r="I320" s="10" t="s">
        <v>38</v>
      </c>
      <c r="J320" s="9">
        <v>5000</v>
      </c>
      <c r="K320" s="43"/>
      <c r="L320" s="44"/>
      <c r="M320" s="18"/>
      <c r="N320" s="45"/>
      <c r="O320" s="45"/>
      <c r="P320" s="45"/>
      <c r="Q320" s="23">
        <v>44170</v>
      </c>
      <c r="R320" s="9">
        <v>51</v>
      </c>
      <c r="S320" s="108">
        <v>5000</v>
      </c>
      <c r="U320" s="40">
        <f t="shared" si="8"/>
        <v>4212336</v>
      </c>
      <c r="Y320" s="65"/>
      <c r="Z320" s="35"/>
      <c r="AA320" s="34"/>
    </row>
    <row r="321" spans="1:27" ht="15.75" customHeight="1" x14ac:dyDescent="0.25">
      <c r="A321" s="6" t="s">
        <v>516</v>
      </c>
      <c r="B321" s="6" t="s">
        <v>517</v>
      </c>
      <c r="C321" s="6" t="s">
        <v>518</v>
      </c>
      <c r="D321" s="21">
        <v>43684</v>
      </c>
      <c r="E321" s="7" t="s">
        <v>27</v>
      </c>
      <c r="F321" s="7">
        <v>11781</v>
      </c>
      <c r="G321" s="7">
        <v>278</v>
      </c>
      <c r="H321" s="14">
        <v>12</v>
      </c>
      <c r="I321" s="10" t="s">
        <v>38</v>
      </c>
      <c r="J321" s="9">
        <v>22000</v>
      </c>
      <c r="K321" s="43"/>
      <c r="L321" s="44"/>
      <c r="M321" s="18"/>
      <c r="N321" s="45"/>
      <c r="O321" s="45"/>
      <c r="P321" s="45"/>
      <c r="Q321" s="23">
        <v>44053</v>
      </c>
      <c r="R321" s="9">
        <v>1099</v>
      </c>
      <c r="S321" s="108">
        <v>22000</v>
      </c>
      <c r="U321" s="40">
        <f t="shared" si="8"/>
        <v>4234336</v>
      </c>
      <c r="Y321" s="65"/>
      <c r="Z321" s="35"/>
      <c r="AA321" s="34"/>
    </row>
    <row r="322" spans="1:27" ht="15.75" customHeight="1" x14ac:dyDescent="0.25">
      <c r="A322" s="6" t="s">
        <v>519</v>
      </c>
      <c r="B322" s="6" t="s">
        <v>29</v>
      </c>
      <c r="D322" s="21">
        <v>43684</v>
      </c>
      <c r="E322" s="7" t="s">
        <v>27</v>
      </c>
      <c r="F322" s="7">
        <v>11783</v>
      </c>
      <c r="G322" s="7">
        <v>279</v>
      </c>
      <c r="H322" s="14">
        <v>12</v>
      </c>
      <c r="I322" s="10" t="s">
        <v>38</v>
      </c>
      <c r="J322" s="9">
        <v>100000</v>
      </c>
      <c r="K322" s="43"/>
      <c r="L322" s="44"/>
      <c r="M322" s="18"/>
      <c r="N322" s="45"/>
      <c r="O322" s="45"/>
      <c r="P322" s="45"/>
      <c r="Q322" s="23">
        <v>44050</v>
      </c>
      <c r="R322" s="9">
        <v>1065</v>
      </c>
      <c r="S322" s="108">
        <v>100000</v>
      </c>
      <c r="U322" s="40">
        <f t="shared" si="8"/>
        <v>4334336</v>
      </c>
      <c r="Y322" s="65"/>
      <c r="Z322" s="35"/>
      <c r="AA322" s="34"/>
    </row>
    <row r="323" spans="1:27" ht="15.75" customHeight="1" x14ac:dyDescent="0.25">
      <c r="A323" s="6" t="s">
        <v>520</v>
      </c>
      <c r="B323" s="6" t="s">
        <v>521</v>
      </c>
      <c r="C323" s="6" t="s">
        <v>522</v>
      </c>
      <c r="D323" s="21">
        <v>43685</v>
      </c>
      <c r="E323" s="7" t="s">
        <v>27</v>
      </c>
      <c r="F323" s="7">
        <v>44797</v>
      </c>
      <c r="G323" s="7">
        <v>280</v>
      </c>
      <c r="H323" s="14">
        <v>12</v>
      </c>
      <c r="I323" s="10" t="s">
        <v>38</v>
      </c>
      <c r="J323" s="9">
        <v>50000</v>
      </c>
      <c r="K323" s="43"/>
      <c r="L323" s="44"/>
      <c r="M323" s="18"/>
      <c r="N323" s="45"/>
      <c r="O323" s="45"/>
      <c r="P323" s="45"/>
      <c r="Q323" s="23">
        <v>44053</v>
      </c>
      <c r="R323" s="9">
        <v>1079</v>
      </c>
      <c r="S323" s="108">
        <v>50000</v>
      </c>
      <c r="U323" s="40">
        <f t="shared" si="8"/>
        <v>4384336</v>
      </c>
      <c r="Y323" s="65"/>
      <c r="Z323" s="35"/>
      <c r="AA323" s="34"/>
    </row>
    <row r="324" spans="1:27" ht="15.75" customHeight="1" x14ac:dyDescent="0.25">
      <c r="A324" s="6" t="s">
        <v>523</v>
      </c>
      <c r="B324" s="6" t="s">
        <v>524</v>
      </c>
      <c r="C324" s="6" t="s">
        <v>525</v>
      </c>
      <c r="D324" s="21">
        <v>43685</v>
      </c>
      <c r="E324" s="7" t="s">
        <v>27</v>
      </c>
      <c r="F324" s="7">
        <v>11805</v>
      </c>
      <c r="G324" s="7">
        <v>281</v>
      </c>
      <c r="H324" s="14">
        <v>6</v>
      </c>
      <c r="I324" s="10" t="s">
        <v>38</v>
      </c>
      <c r="J324" s="9">
        <v>40000</v>
      </c>
      <c r="K324" s="43"/>
      <c r="L324" s="44"/>
      <c r="M324" s="18"/>
      <c r="N324" s="45"/>
      <c r="O324" s="45"/>
      <c r="P324" s="45"/>
      <c r="Q324" s="23">
        <v>43880</v>
      </c>
      <c r="R324" s="9">
        <v>7097</v>
      </c>
      <c r="S324" s="108">
        <v>40000</v>
      </c>
      <c r="U324" s="40">
        <f t="shared" si="8"/>
        <v>4424336</v>
      </c>
      <c r="Y324" s="65"/>
      <c r="Z324" s="35"/>
      <c r="AA324" s="34"/>
    </row>
    <row r="325" spans="1:27" ht="15.75" customHeight="1" x14ac:dyDescent="0.25">
      <c r="A325" s="6" t="s">
        <v>526</v>
      </c>
      <c r="B325" s="6" t="s">
        <v>527</v>
      </c>
      <c r="C325" s="6" t="s">
        <v>528</v>
      </c>
      <c r="D325" s="21">
        <v>43686</v>
      </c>
      <c r="E325" s="7" t="s">
        <v>27</v>
      </c>
      <c r="F325" s="7">
        <v>11828</v>
      </c>
      <c r="G325" s="7">
        <v>282</v>
      </c>
      <c r="H325" s="14">
        <v>12</v>
      </c>
      <c r="I325" s="10" t="s">
        <v>38</v>
      </c>
      <c r="J325" s="9">
        <v>6000</v>
      </c>
      <c r="K325" s="43"/>
      <c r="L325" s="44"/>
      <c r="M325" s="18"/>
      <c r="N325" s="45"/>
      <c r="O325" s="45"/>
      <c r="P325" s="45"/>
      <c r="Q325" s="23">
        <v>44088</v>
      </c>
      <c r="R325" s="9">
        <v>1511</v>
      </c>
      <c r="S325" s="108">
        <v>6000</v>
      </c>
      <c r="U325" s="40">
        <f t="shared" si="8"/>
        <v>4430336</v>
      </c>
      <c r="Y325" s="65"/>
      <c r="Z325" s="35"/>
      <c r="AA325" s="34"/>
    </row>
    <row r="326" spans="1:27" ht="15.75" customHeight="1" x14ac:dyDescent="0.25">
      <c r="A326" s="6" t="s">
        <v>529</v>
      </c>
      <c r="B326" s="6" t="s">
        <v>530</v>
      </c>
      <c r="C326" s="6" t="s">
        <v>531</v>
      </c>
      <c r="D326" s="21">
        <v>43689</v>
      </c>
      <c r="E326" s="7" t="s">
        <v>27</v>
      </c>
      <c r="F326" s="7">
        <v>11856</v>
      </c>
      <c r="G326" s="7">
        <v>283</v>
      </c>
      <c r="H326" s="14">
        <v>6</v>
      </c>
      <c r="I326" s="10" t="s">
        <v>38</v>
      </c>
      <c r="J326" s="9">
        <v>10000</v>
      </c>
      <c r="K326" s="43"/>
      <c r="L326" s="44"/>
      <c r="M326" s="18"/>
      <c r="N326" s="45"/>
      <c r="O326" s="45"/>
      <c r="P326" s="45"/>
      <c r="Q326" s="23">
        <v>43873</v>
      </c>
      <c r="R326" s="9">
        <v>7034</v>
      </c>
      <c r="S326" s="108">
        <v>10000</v>
      </c>
      <c r="U326" s="40">
        <f t="shared" si="8"/>
        <v>4440336</v>
      </c>
      <c r="Y326" s="65"/>
      <c r="Z326" s="35"/>
      <c r="AA326" s="34"/>
    </row>
    <row r="327" spans="1:27" ht="15.75" customHeight="1" x14ac:dyDescent="0.25">
      <c r="A327" s="6" t="s">
        <v>28</v>
      </c>
      <c r="B327" s="6" t="s">
        <v>28</v>
      </c>
      <c r="C327" s="6" t="s">
        <v>28</v>
      </c>
      <c r="D327" s="21" t="s">
        <v>28</v>
      </c>
      <c r="H327" s="7"/>
      <c r="J327" s="9">
        <v>0</v>
      </c>
      <c r="K327" s="43"/>
      <c r="L327" s="44"/>
      <c r="M327" s="18"/>
      <c r="N327" s="45"/>
      <c r="O327" s="45"/>
      <c r="P327" s="45"/>
      <c r="S327" s="108">
        <v>0</v>
      </c>
      <c r="U327" s="40">
        <f t="shared" si="8"/>
        <v>4440336</v>
      </c>
      <c r="Y327" s="65"/>
      <c r="Z327" s="35"/>
      <c r="AA327" s="34"/>
    </row>
    <row r="328" spans="1:27" ht="15.75" customHeight="1" x14ac:dyDescent="0.25">
      <c r="A328" s="6">
        <v>651</v>
      </c>
      <c r="B328" s="6" t="s">
        <v>338</v>
      </c>
      <c r="C328" s="6" t="s">
        <v>233</v>
      </c>
      <c r="D328" s="21">
        <v>43691</v>
      </c>
      <c r="E328" s="7" t="s">
        <v>27</v>
      </c>
      <c r="F328" s="7">
        <v>11890</v>
      </c>
      <c r="G328" s="7">
        <v>285</v>
      </c>
      <c r="H328" s="14">
        <v>6</v>
      </c>
      <c r="I328" s="10" t="s">
        <v>38</v>
      </c>
      <c r="J328" s="9">
        <v>25000</v>
      </c>
      <c r="K328" s="43"/>
      <c r="L328" s="44"/>
      <c r="M328" s="18"/>
      <c r="N328" s="45"/>
      <c r="O328" s="45"/>
      <c r="P328" s="45"/>
      <c r="Q328" s="23">
        <v>43875</v>
      </c>
      <c r="R328" s="9">
        <v>7049</v>
      </c>
      <c r="S328" s="108">
        <v>25000</v>
      </c>
      <c r="U328" s="40">
        <f t="shared" si="8"/>
        <v>4465336</v>
      </c>
      <c r="Y328" s="65"/>
      <c r="Z328" s="35"/>
      <c r="AA328" s="34"/>
    </row>
    <row r="329" spans="1:27" ht="15.75" customHeight="1" x14ac:dyDescent="0.25">
      <c r="A329" s="6" t="s">
        <v>532</v>
      </c>
      <c r="B329" s="6" t="s">
        <v>533</v>
      </c>
      <c r="C329" s="6" t="s">
        <v>534</v>
      </c>
      <c r="D329" s="21">
        <v>43692</v>
      </c>
      <c r="E329" s="7" t="s">
        <v>27</v>
      </c>
      <c r="F329" s="7">
        <v>11904</v>
      </c>
      <c r="G329" s="7">
        <v>286</v>
      </c>
      <c r="H329" s="14">
        <v>6</v>
      </c>
      <c r="I329" s="10" t="s">
        <v>38</v>
      </c>
      <c r="J329" s="9">
        <v>100000</v>
      </c>
      <c r="K329" s="43"/>
      <c r="L329" s="44"/>
      <c r="M329" s="18"/>
      <c r="N329" s="45"/>
      <c r="O329" s="45"/>
      <c r="P329" s="45"/>
      <c r="Q329" s="23">
        <v>43878</v>
      </c>
      <c r="R329" s="9">
        <v>7073</v>
      </c>
      <c r="S329" s="108">
        <v>100000</v>
      </c>
      <c r="U329" s="40">
        <f t="shared" si="8"/>
        <v>4565336</v>
      </c>
      <c r="Y329" s="65"/>
      <c r="Z329" s="35"/>
      <c r="AA329" s="34"/>
    </row>
    <row r="330" spans="1:27" ht="15.75" customHeight="1" x14ac:dyDescent="0.25">
      <c r="A330" s="6" t="s">
        <v>435</v>
      </c>
      <c r="B330" s="6" t="s">
        <v>436</v>
      </c>
      <c r="C330" s="6" t="s">
        <v>477</v>
      </c>
      <c r="D330" s="21">
        <v>43697</v>
      </c>
      <c r="E330" s="7" t="s">
        <v>27</v>
      </c>
      <c r="F330" s="7">
        <v>11981</v>
      </c>
      <c r="G330" s="7">
        <v>287</v>
      </c>
      <c r="H330" s="7">
        <v>12</v>
      </c>
      <c r="I330" s="10" t="s">
        <v>38</v>
      </c>
      <c r="J330" s="9">
        <v>15000</v>
      </c>
      <c r="K330" s="43"/>
      <c r="L330" s="44"/>
      <c r="M330" s="18"/>
      <c r="N330" s="45"/>
      <c r="O330" s="45"/>
      <c r="P330" s="45"/>
      <c r="Q330" s="23">
        <v>44069</v>
      </c>
      <c r="R330" s="9">
        <v>1312</v>
      </c>
      <c r="S330" s="108">
        <v>15000</v>
      </c>
      <c r="U330" s="40">
        <f t="shared" si="8"/>
        <v>4580336</v>
      </c>
      <c r="Y330" s="65"/>
      <c r="Z330" s="35"/>
      <c r="AA330" s="34"/>
    </row>
    <row r="331" spans="1:27" ht="15.75" customHeight="1" x14ac:dyDescent="0.25">
      <c r="A331" s="6" t="s">
        <v>358</v>
      </c>
      <c r="B331" s="6" t="s">
        <v>325</v>
      </c>
      <c r="D331" s="21"/>
      <c r="E331" s="7" t="s">
        <v>27</v>
      </c>
      <c r="G331" s="7">
        <v>288</v>
      </c>
      <c r="H331" s="7"/>
      <c r="K331" s="43"/>
      <c r="L331" s="44"/>
      <c r="M331" s="18"/>
      <c r="N331" s="45"/>
      <c r="O331" s="45"/>
      <c r="P331" s="45"/>
      <c r="U331" s="40">
        <f t="shared" si="8"/>
        <v>4580336</v>
      </c>
      <c r="Y331" s="65"/>
      <c r="Z331" s="35"/>
      <c r="AA331" s="34"/>
    </row>
    <row r="332" spans="1:27" ht="15.75" customHeight="1" x14ac:dyDescent="0.25">
      <c r="A332" s="6" t="s">
        <v>535</v>
      </c>
      <c r="B332" s="6" t="s">
        <v>29</v>
      </c>
      <c r="C332" s="6" t="s">
        <v>536</v>
      </c>
      <c r="D332" s="21">
        <v>43700</v>
      </c>
      <c r="E332" s="7" t="s">
        <v>27</v>
      </c>
      <c r="F332" s="7">
        <v>12044</v>
      </c>
      <c r="G332" s="7">
        <v>289</v>
      </c>
      <c r="H332" s="7">
        <v>12</v>
      </c>
      <c r="I332" s="10" t="s">
        <v>38</v>
      </c>
      <c r="J332" s="9">
        <v>20000</v>
      </c>
      <c r="K332" s="43"/>
      <c r="L332" s="44"/>
      <c r="M332" s="18"/>
      <c r="N332" s="45"/>
      <c r="O332" s="45"/>
      <c r="P332" s="45"/>
      <c r="Q332" s="23">
        <v>44068</v>
      </c>
      <c r="R332" s="9">
        <v>1288</v>
      </c>
      <c r="S332" s="108">
        <v>20000</v>
      </c>
      <c r="U332" s="40">
        <f t="shared" si="8"/>
        <v>4600336</v>
      </c>
      <c r="Y332" s="65"/>
      <c r="Z332" s="35"/>
      <c r="AA332" s="34"/>
    </row>
    <row r="333" spans="1:27" ht="15.75" customHeight="1" x14ac:dyDescent="0.25">
      <c r="A333" s="6" t="s">
        <v>537</v>
      </c>
      <c r="B333" s="6" t="s">
        <v>538</v>
      </c>
      <c r="C333" s="6" t="s">
        <v>539</v>
      </c>
      <c r="D333" s="21">
        <v>43704</v>
      </c>
      <c r="E333" s="7" t="s">
        <v>27</v>
      </c>
      <c r="F333" s="7">
        <v>12094</v>
      </c>
      <c r="G333" s="7">
        <v>290</v>
      </c>
      <c r="H333" s="7">
        <v>6</v>
      </c>
      <c r="I333" s="10" t="s">
        <v>38</v>
      </c>
      <c r="J333" s="9">
        <v>3000</v>
      </c>
      <c r="K333" s="43"/>
      <c r="L333" s="44"/>
      <c r="M333" s="18"/>
      <c r="N333" s="45"/>
      <c r="O333" s="45"/>
      <c r="P333" s="45"/>
      <c r="Q333" s="23">
        <v>43888</v>
      </c>
      <c r="R333" s="9">
        <v>7190</v>
      </c>
      <c r="S333" s="108">
        <v>3000</v>
      </c>
      <c r="U333" s="40">
        <f t="shared" si="8"/>
        <v>4603336</v>
      </c>
      <c r="Y333" s="65"/>
      <c r="Z333" s="35"/>
      <c r="AA333" s="34"/>
    </row>
    <row r="334" spans="1:27" ht="15.75" customHeight="1" x14ac:dyDescent="0.25">
      <c r="A334" s="6" t="s">
        <v>540</v>
      </c>
      <c r="B334" s="6" t="s">
        <v>541</v>
      </c>
      <c r="C334" s="6" t="s">
        <v>542</v>
      </c>
      <c r="D334" s="21">
        <v>43704</v>
      </c>
      <c r="E334" s="7" t="s">
        <v>27</v>
      </c>
      <c r="F334" s="7">
        <v>12106</v>
      </c>
      <c r="G334" s="7">
        <v>291</v>
      </c>
      <c r="H334" s="7">
        <v>12</v>
      </c>
      <c r="I334" s="10" t="s">
        <v>38</v>
      </c>
      <c r="J334" s="9">
        <v>4000</v>
      </c>
      <c r="K334" s="43"/>
      <c r="L334" s="44"/>
      <c r="M334" s="18"/>
      <c r="N334" s="45"/>
      <c r="O334" s="45"/>
      <c r="P334" s="45"/>
      <c r="Q334" s="23">
        <v>44081</v>
      </c>
      <c r="R334" s="9">
        <v>1438</v>
      </c>
      <c r="S334" s="108">
        <v>4000</v>
      </c>
      <c r="U334" s="40">
        <f t="shared" si="8"/>
        <v>4607336</v>
      </c>
      <c r="Y334" s="65"/>
      <c r="Z334" s="35"/>
      <c r="AA334" s="34"/>
    </row>
    <row r="335" spans="1:27" ht="15.75" customHeight="1" x14ac:dyDescent="0.25">
      <c r="A335" s="6" t="s">
        <v>543</v>
      </c>
      <c r="B335" s="6" t="s">
        <v>544</v>
      </c>
      <c r="C335" s="6" t="s">
        <v>545</v>
      </c>
      <c r="D335" s="21">
        <v>43707</v>
      </c>
      <c r="E335" s="7" t="s">
        <v>27</v>
      </c>
      <c r="F335" s="7">
        <v>12143</v>
      </c>
      <c r="G335" s="7">
        <v>292</v>
      </c>
      <c r="H335" s="7">
        <v>12</v>
      </c>
      <c r="I335" s="10" t="s">
        <v>30</v>
      </c>
      <c r="J335" s="9">
        <v>5000</v>
      </c>
      <c r="K335" s="43"/>
      <c r="L335" s="44"/>
      <c r="M335" s="18"/>
      <c r="N335" s="45"/>
      <c r="O335" s="45"/>
      <c r="P335" s="45"/>
      <c r="Q335" s="23">
        <v>44082</v>
      </c>
      <c r="R335" s="9">
        <v>1450</v>
      </c>
      <c r="S335" s="108">
        <v>5000</v>
      </c>
      <c r="U335" s="40">
        <f t="shared" si="8"/>
        <v>4612336</v>
      </c>
      <c r="Y335" s="65"/>
      <c r="Z335" s="35"/>
      <c r="AA335" s="34"/>
    </row>
    <row r="336" spans="1:27" ht="15.75" customHeight="1" x14ac:dyDescent="0.25">
      <c r="A336" s="6" t="s">
        <v>546</v>
      </c>
      <c r="B336" s="6" t="s">
        <v>547</v>
      </c>
      <c r="C336" s="6" t="s">
        <v>548</v>
      </c>
      <c r="D336" s="21">
        <v>43710</v>
      </c>
      <c r="E336" s="7" t="s">
        <v>27</v>
      </c>
      <c r="F336" s="7">
        <v>12171</v>
      </c>
      <c r="G336" s="7">
        <v>293</v>
      </c>
      <c r="H336" s="7">
        <v>12</v>
      </c>
      <c r="I336" s="10" t="s">
        <v>38</v>
      </c>
      <c r="J336" s="9">
        <v>5000</v>
      </c>
      <c r="K336" s="43"/>
      <c r="L336" s="44"/>
      <c r="M336" s="18"/>
      <c r="N336" s="45"/>
      <c r="O336" s="45"/>
      <c r="P336" s="45"/>
      <c r="Q336" s="23">
        <v>44076</v>
      </c>
      <c r="R336" s="9">
        <v>1396</v>
      </c>
      <c r="S336" s="108">
        <v>5000</v>
      </c>
      <c r="U336" s="40">
        <f t="shared" si="8"/>
        <v>4617336</v>
      </c>
      <c r="Y336" s="65"/>
      <c r="Z336" s="35"/>
      <c r="AA336" s="34"/>
    </row>
    <row r="337" spans="1:27" ht="15.75" customHeight="1" x14ac:dyDescent="0.25">
      <c r="A337" s="6" t="s">
        <v>311</v>
      </c>
      <c r="B337" s="6" t="s">
        <v>549</v>
      </c>
      <c r="C337" s="6" t="s">
        <v>312</v>
      </c>
      <c r="D337" s="21">
        <v>43717</v>
      </c>
      <c r="E337" s="7" t="s">
        <v>27</v>
      </c>
      <c r="F337" s="7">
        <v>12294</v>
      </c>
      <c r="G337" s="7">
        <v>294</v>
      </c>
      <c r="H337" s="7">
        <v>12</v>
      </c>
      <c r="I337" s="10" t="s">
        <v>38</v>
      </c>
      <c r="J337" s="9">
        <v>50000</v>
      </c>
      <c r="K337" s="43"/>
      <c r="L337" s="44"/>
      <c r="M337" s="18"/>
      <c r="N337" s="45"/>
      <c r="O337" s="45"/>
      <c r="P337" s="45"/>
      <c r="Q337" s="23">
        <v>43899</v>
      </c>
      <c r="R337" s="9">
        <v>7314</v>
      </c>
      <c r="S337" s="108">
        <v>50000</v>
      </c>
      <c r="U337" s="40">
        <f t="shared" si="8"/>
        <v>4667336</v>
      </c>
      <c r="Y337" s="65"/>
      <c r="Z337" s="35"/>
      <c r="AA337" s="34"/>
    </row>
    <row r="338" spans="1:27" ht="15.75" customHeight="1" x14ac:dyDescent="0.25">
      <c r="A338" s="6" t="s">
        <v>550</v>
      </c>
      <c r="B338" s="6" t="s">
        <v>551</v>
      </c>
      <c r="C338" s="6" t="s">
        <v>552</v>
      </c>
      <c r="D338" s="21">
        <v>43687</v>
      </c>
      <c r="E338" s="7" t="s">
        <v>27</v>
      </c>
      <c r="F338" s="7">
        <v>12306</v>
      </c>
      <c r="G338" s="7">
        <v>295</v>
      </c>
      <c r="H338" s="7">
        <v>24</v>
      </c>
      <c r="I338" s="10" t="s">
        <v>38</v>
      </c>
      <c r="J338" s="9">
        <v>2100</v>
      </c>
      <c r="K338" s="43"/>
      <c r="L338" s="44"/>
      <c r="M338" s="18"/>
      <c r="N338" s="45"/>
      <c r="O338" s="45"/>
      <c r="P338" s="45"/>
      <c r="Q338" s="23">
        <v>44448</v>
      </c>
      <c r="R338" s="9">
        <v>3458</v>
      </c>
      <c r="S338" s="108">
        <v>2100</v>
      </c>
      <c r="U338" s="40">
        <f t="shared" si="8"/>
        <v>4669436</v>
      </c>
      <c r="Y338" s="65"/>
      <c r="Z338" s="35"/>
      <c r="AA338" s="34"/>
    </row>
    <row r="339" spans="1:27" ht="15.75" customHeight="1" x14ac:dyDescent="0.25">
      <c r="A339" s="6" t="s">
        <v>553</v>
      </c>
      <c r="B339" s="6" t="s">
        <v>554</v>
      </c>
      <c r="C339" s="6" t="s">
        <v>555</v>
      </c>
      <c r="D339" s="21">
        <v>43727</v>
      </c>
      <c r="E339" s="7" t="s">
        <v>27</v>
      </c>
      <c r="F339" s="7">
        <v>12426</v>
      </c>
      <c r="G339" s="7">
        <v>296</v>
      </c>
      <c r="H339" s="7">
        <v>12</v>
      </c>
      <c r="I339" s="10" t="s">
        <v>30</v>
      </c>
      <c r="J339" s="9">
        <v>20000</v>
      </c>
      <c r="K339" s="43"/>
      <c r="L339" s="44"/>
      <c r="M339" s="18"/>
      <c r="N339" s="45"/>
      <c r="O339" s="45"/>
      <c r="P339" s="45"/>
      <c r="Q339" s="23">
        <v>44102</v>
      </c>
      <c r="R339" s="9">
        <v>1692</v>
      </c>
      <c r="S339" s="108">
        <v>20000</v>
      </c>
      <c r="U339" s="40">
        <f t="shared" si="8"/>
        <v>4689436</v>
      </c>
      <c r="Y339" s="65"/>
      <c r="Z339" s="35"/>
      <c r="AA339" s="34"/>
    </row>
    <row r="340" spans="1:27" ht="15.75" customHeight="1" x14ac:dyDescent="0.25">
      <c r="A340" s="6" t="s">
        <v>556</v>
      </c>
      <c r="B340" s="6" t="s">
        <v>557</v>
      </c>
      <c r="C340" s="6" t="s">
        <v>558</v>
      </c>
      <c r="D340" s="21">
        <v>43729</v>
      </c>
      <c r="E340" s="7" t="s">
        <v>27</v>
      </c>
      <c r="F340" s="7">
        <v>12474</v>
      </c>
      <c r="G340" s="7">
        <v>297</v>
      </c>
      <c r="H340" s="7">
        <v>6</v>
      </c>
      <c r="I340" s="10" t="s">
        <v>30</v>
      </c>
      <c r="J340" s="9">
        <v>75000</v>
      </c>
      <c r="K340" s="43"/>
      <c r="L340" s="44"/>
      <c r="M340" s="18"/>
      <c r="N340" s="45"/>
      <c r="O340" s="45"/>
      <c r="P340" s="45"/>
      <c r="Q340" s="23">
        <v>43913</v>
      </c>
      <c r="R340" s="9">
        <v>7467</v>
      </c>
      <c r="S340" s="108">
        <v>75000</v>
      </c>
      <c r="U340" s="40">
        <f t="shared" si="8"/>
        <v>4764436</v>
      </c>
      <c r="Y340" s="65"/>
      <c r="Z340" s="35"/>
      <c r="AA340" s="34"/>
    </row>
    <row r="341" spans="1:27" ht="15.75" customHeight="1" x14ac:dyDescent="0.25">
      <c r="A341" s="6" t="s">
        <v>363</v>
      </c>
      <c r="B341" s="6" t="s">
        <v>559</v>
      </c>
      <c r="C341" s="6" t="s">
        <v>132</v>
      </c>
      <c r="D341" s="21">
        <v>43731</v>
      </c>
      <c r="E341" s="7" t="s">
        <v>27</v>
      </c>
      <c r="F341" s="7">
        <v>12502</v>
      </c>
      <c r="G341" s="7">
        <v>298</v>
      </c>
      <c r="H341" s="7">
        <v>6</v>
      </c>
      <c r="I341" s="10" t="s">
        <v>30</v>
      </c>
      <c r="J341" s="9">
        <v>42000</v>
      </c>
      <c r="K341" s="43"/>
      <c r="L341" s="44"/>
      <c r="M341" s="18"/>
      <c r="N341" s="45"/>
      <c r="O341" s="45"/>
      <c r="P341" s="45"/>
      <c r="Q341" s="23">
        <v>43913</v>
      </c>
      <c r="R341" s="9">
        <v>7457</v>
      </c>
      <c r="S341" s="108">
        <v>42000</v>
      </c>
      <c r="U341" s="40">
        <f t="shared" si="8"/>
        <v>4806436</v>
      </c>
      <c r="Y341" s="65"/>
      <c r="Z341" s="35"/>
      <c r="AA341" s="34"/>
    </row>
    <row r="342" spans="1:27" ht="15.75" customHeight="1" x14ac:dyDescent="0.25">
      <c r="A342" s="6" t="s">
        <v>360</v>
      </c>
      <c r="B342" s="6" t="s">
        <v>560</v>
      </c>
      <c r="C342" s="6" t="s">
        <v>561</v>
      </c>
      <c r="D342" s="21">
        <v>43732</v>
      </c>
      <c r="E342" s="7" t="s">
        <v>27</v>
      </c>
      <c r="F342" s="7">
        <v>12530</v>
      </c>
      <c r="G342" s="7">
        <v>299</v>
      </c>
      <c r="H342" s="7">
        <v>6</v>
      </c>
      <c r="I342" s="10" t="s">
        <v>30</v>
      </c>
      <c r="J342" s="9">
        <v>5000</v>
      </c>
      <c r="K342" s="43"/>
      <c r="L342" s="44"/>
      <c r="M342" s="18"/>
      <c r="N342" s="45"/>
      <c r="O342" s="45"/>
      <c r="P342" s="45"/>
      <c r="Q342" s="23">
        <v>43914</v>
      </c>
      <c r="R342" s="9">
        <v>7480</v>
      </c>
      <c r="S342" s="108">
        <v>5000</v>
      </c>
      <c r="U342" s="40">
        <f t="shared" si="8"/>
        <v>4811436</v>
      </c>
      <c r="Y342" s="65"/>
      <c r="Z342" s="35"/>
      <c r="AA342" s="34"/>
    </row>
    <row r="343" spans="1:27" ht="15.75" customHeight="1" x14ac:dyDescent="0.25">
      <c r="A343" s="6" t="s">
        <v>562</v>
      </c>
      <c r="B343" s="6" t="s">
        <v>563</v>
      </c>
      <c r="C343" s="6" t="s">
        <v>564</v>
      </c>
      <c r="D343" s="21">
        <v>43732</v>
      </c>
      <c r="E343" s="7" t="s">
        <v>27</v>
      </c>
      <c r="F343" s="7">
        <v>12567</v>
      </c>
      <c r="G343" s="7">
        <v>300</v>
      </c>
      <c r="H343" s="7">
        <v>12</v>
      </c>
      <c r="I343" s="10" t="s">
        <v>30</v>
      </c>
      <c r="J343" s="9">
        <v>4000</v>
      </c>
      <c r="K343" s="43"/>
      <c r="L343" s="44"/>
      <c r="M343" s="18"/>
      <c r="N343" s="45"/>
      <c r="O343" s="45"/>
      <c r="P343" s="45"/>
      <c r="Q343" s="23">
        <v>44098</v>
      </c>
      <c r="R343" s="9">
        <v>1641</v>
      </c>
      <c r="S343" s="108">
        <v>4000</v>
      </c>
      <c r="U343" s="40">
        <f t="shared" si="8"/>
        <v>4815436</v>
      </c>
      <c r="Y343" s="65"/>
      <c r="Z343" s="35"/>
      <c r="AA343" s="34"/>
    </row>
    <row r="344" spans="1:27" ht="15.75" customHeight="1" x14ac:dyDescent="0.25">
      <c r="A344" s="6" t="s">
        <v>246</v>
      </c>
      <c r="B344" s="6" t="s">
        <v>565</v>
      </c>
      <c r="C344" s="6" t="s">
        <v>248</v>
      </c>
      <c r="D344" s="21">
        <v>43733</v>
      </c>
      <c r="E344" s="7" t="s">
        <v>27</v>
      </c>
      <c r="F344" s="7">
        <v>12557</v>
      </c>
      <c r="G344" s="7">
        <v>301</v>
      </c>
      <c r="H344" s="7">
        <v>12</v>
      </c>
      <c r="I344" s="10" t="s">
        <v>30</v>
      </c>
      <c r="J344" s="9">
        <v>2570</v>
      </c>
      <c r="K344" s="43"/>
      <c r="L344" s="44"/>
      <c r="M344" s="18"/>
      <c r="N344" s="45"/>
      <c r="O344" s="45"/>
      <c r="P344" s="45"/>
      <c r="Q344" s="23">
        <v>44099</v>
      </c>
      <c r="R344" s="9">
        <v>1658</v>
      </c>
      <c r="S344" s="108">
        <v>2570</v>
      </c>
      <c r="U344" s="40">
        <f t="shared" si="8"/>
        <v>4818006</v>
      </c>
      <c r="Y344" s="65"/>
      <c r="Z344" s="35"/>
      <c r="AA344" s="34"/>
    </row>
    <row r="345" spans="1:27" ht="15.75" customHeight="1" x14ac:dyDescent="0.25">
      <c r="A345" s="6" t="s">
        <v>566</v>
      </c>
      <c r="B345" s="6" t="s">
        <v>567</v>
      </c>
      <c r="C345" s="6" t="s">
        <v>568</v>
      </c>
      <c r="D345" s="21">
        <v>43733</v>
      </c>
      <c r="E345" s="7" t="s">
        <v>27</v>
      </c>
      <c r="F345" s="7">
        <v>12562</v>
      </c>
      <c r="G345" s="7">
        <v>302</v>
      </c>
      <c r="H345" s="7">
        <v>12</v>
      </c>
      <c r="I345" s="10" t="s">
        <v>30</v>
      </c>
      <c r="J345" s="9">
        <v>13000</v>
      </c>
      <c r="K345" s="43"/>
      <c r="L345" s="44"/>
      <c r="M345" s="18"/>
      <c r="N345" s="45"/>
      <c r="O345" s="45"/>
      <c r="P345" s="45"/>
      <c r="Q345" s="23">
        <v>44102</v>
      </c>
      <c r="R345" s="9">
        <v>1688</v>
      </c>
      <c r="S345" s="108">
        <v>13000</v>
      </c>
      <c r="U345" s="40">
        <f t="shared" si="8"/>
        <v>4831006</v>
      </c>
      <c r="Y345" s="65"/>
      <c r="Z345" s="35"/>
      <c r="AA345" s="34"/>
    </row>
    <row r="346" spans="1:27" ht="15.75" customHeight="1" x14ac:dyDescent="0.25">
      <c r="A346" s="6" t="s">
        <v>569</v>
      </c>
      <c r="B346" s="6" t="s">
        <v>570</v>
      </c>
      <c r="C346" s="6" t="s">
        <v>571</v>
      </c>
      <c r="D346" s="21">
        <v>43733</v>
      </c>
      <c r="E346" s="7" t="s">
        <v>27</v>
      </c>
      <c r="F346" s="7">
        <v>12573</v>
      </c>
      <c r="G346" s="7">
        <v>303</v>
      </c>
      <c r="H346" s="7">
        <v>12</v>
      </c>
      <c r="I346" s="10" t="s">
        <v>30</v>
      </c>
      <c r="J346" s="9">
        <v>2000</v>
      </c>
      <c r="K346" s="43"/>
      <c r="L346" s="44"/>
      <c r="M346" s="18"/>
      <c r="N346" s="45"/>
      <c r="O346" s="45"/>
      <c r="P346" s="45"/>
      <c r="Q346" s="23">
        <v>44105</v>
      </c>
      <c r="R346" s="9">
        <v>1750</v>
      </c>
      <c r="S346" s="108">
        <v>2000</v>
      </c>
      <c r="U346" s="40">
        <f t="shared" si="8"/>
        <v>4833006</v>
      </c>
      <c r="Y346" s="65"/>
      <c r="Z346" s="35"/>
      <c r="AA346" s="34"/>
    </row>
    <row r="347" spans="1:27" ht="15.75" customHeight="1" x14ac:dyDescent="0.25">
      <c r="A347" s="6" t="s">
        <v>435</v>
      </c>
      <c r="B347" s="6" t="s">
        <v>572</v>
      </c>
      <c r="C347" s="6" t="s">
        <v>477</v>
      </c>
      <c r="D347" s="21">
        <v>43736</v>
      </c>
      <c r="E347" s="7" t="s">
        <v>27</v>
      </c>
      <c r="F347" s="7">
        <v>12609</v>
      </c>
      <c r="G347" s="7">
        <v>304</v>
      </c>
      <c r="H347" s="7">
        <v>12</v>
      </c>
      <c r="I347" s="10" t="s">
        <v>30</v>
      </c>
      <c r="J347" s="9">
        <v>6000</v>
      </c>
      <c r="K347" s="43"/>
      <c r="L347" s="44"/>
      <c r="M347" s="18"/>
      <c r="N347" s="45"/>
      <c r="O347" s="45"/>
      <c r="P347" s="45"/>
      <c r="Q347" s="23">
        <v>44106</v>
      </c>
      <c r="R347" s="9">
        <v>1768</v>
      </c>
      <c r="S347" s="108">
        <v>6000</v>
      </c>
      <c r="U347" s="40">
        <f t="shared" si="8"/>
        <v>4839006</v>
      </c>
      <c r="Y347" s="65"/>
      <c r="Z347" s="35"/>
      <c r="AA347" s="34"/>
    </row>
    <row r="348" spans="1:27" ht="15.75" customHeight="1" x14ac:dyDescent="0.25">
      <c r="A348" s="6" t="s">
        <v>28</v>
      </c>
      <c r="B348" s="6" t="s">
        <v>345</v>
      </c>
      <c r="D348" s="21"/>
      <c r="G348" s="7">
        <v>305</v>
      </c>
      <c r="H348" s="7"/>
      <c r="K348" s="43"/>
      <c r="L348" s="44"/>
      <c r="M348" s="18"/>
      <c r="N348" s="45"/>
      <c r="O348" s="45"/>
      <c r="P348" s="45"/>
      <c r="U348" s="40">
        <f t="shared" si="8"/>
        <v>4839006</v>
      </c>
      <c r="Y348" s="65"/>
      <c r="Z348" s="35"/>
      <c r="AA348" s="34"/>
    </row>
    <row r="349" spans="1:27" ht="15.75" customHeight="1" x14ac:dyDescent="0.25">
      <c r="A349" s="6" t="s">
        <v>239</v>
      </c>
      <c r="B349" s="6" t="s">
        <v>240</v>
      </c>
      <c r="C349" s="6" t="s">
        <v>573</v>
      </c>
      <c r="D349" s="21">
        <v>43738</v>
      </c>
      <c r="E349" s="7" t="s">
        <v>27</v>
      </c>
      <c r="F349" s="7">
        <v>12644</v>
      </c>
      <c r="G349" s="7">
        <v>306</v>
      </c>
      <c r="H349" s="7">
        <v>6</v>
      </c>
      <c r="I349" s="10" t="s">
        <v>30</v>
      </c>
      <c r="J349" s="9">
        <v>20000</v>
      </c>
      <c r="K349" s="43"/>
      <c r="L349" s="44"/>
      <c r="M349" s="18"/>
      <c r="N349" s="45"/>
      <c r="O349" s="45"/>
      <c r="P349" s="45"/>
      <c r="Q349" s="23">
        <v>43921</v>
      </c>
      <c r="R349" s="9">
        <v>7549</v>
      </c>
      <c r="S349" s="108">
        <v>20000</v>
      </c>
      <c r="U349" s="40">
        <f t="shared" si="8"/>
        <v>4859006</v>
      </c>
      <c r="Y349" s="65"/>
      <c r="Z349" s="35"/>
      <c r="AA349" s="34"/>
    </row>
    <row r="350" spans="1:27" ht="15.75" customHeight="1" x14ac:dyDescent="0.25">
      <c r="A350" s="6" t="s">
        <v>504</v>
      </c>
      <c r="B350" s="6" t="s">
        <v>505</v>
      </c>
      <c r="C350" s="6" t="s">
        <v>506</v>
      </c>
      <c r="D350" s="21">
        <v>43739</v>
      </c>
      <c r="E350" s="7" t="s">
        <v>27</v>
      </c>
      <c r="F350" s="7">
        <v>12675</v>
      </c>
      <c r="G350" s="7">
        <v>307</v>
      </c>
      <c r="H350" s="7">
        <v>12</v>
      </c>
      <c r="I350" s="10" t="s">
        <v>30</v>
      </c>
      <c r="J350" s="9">
        <v>2000</v>
      </c>
      <c r="K350" s="43"/>
      <c r="L350" s="44"/>
      <c r="M350" s="18"/>
      <c r="N350" s="45"/>
      <c r="O350" s="45"/>
      <c r="P350" s="45"/>
      <c r="Q350" s="23">
        <v>44112</v>
      </c>
      <c r="R350" s="9">
        <v>1867</v>
      </c>
      <c r="S350" s="108">
        <v>2000</v>
      </c>
      <c r="U350" s="40">
        <f t="shared" si="8"/>
        <v>4861006</v>
      </c>
      <c r="Y350" s="65"/>
      <c r="Z350" s="35"/>
      <c r="AA350" s="34"/>
    </row>
    <row r="351" spans="1:27" ht="15.75" customHeight="1" x14ac:dyDescent="0.25">
      <c r="A351" s="6" t="s">
        <v>191</v>
      </c>
      <c r="B351" s="6" t="s">
        <v>63</v>
      </c>
      <c r="C351" s="6" t="s">
        <v>64</v>
      </c>
      <c r="D351" s="21">
        <v>43742</v>
      </c>
      <c r="E351" s="7" t="s">
        <v>27</v>
      </c>
      <c r="F351" s="7">
        <v>12713</v>
      </c>
      <c r="G351" s="7">
        <v>308</v>
      </c>
      <c r="H351" s="7">
        <v>6</v>
      </c>
      <c r="I351" s="10" t="s">
        <v>30</v>
      </c>
      <c r="J351" s="9">
        <v>10000</v>
      </c>
      <c r="K351" s="43"/>
      <c r="L351" s="44"/>
      <c r="M351" s="18"/>
      <c r="N351" s="45"/>
      <c r="O351" s="45"/>
      <c r="P351" s="45"/>
      <c r="Q351" s="23">
        <v>43927</v>
      </c>
      <c r="R351" s="9">
        <v>7599</v>
      </c>
      <c r="S351" s="108">
        <v>10000</v>
      </c>
      <c r="U351" s="40">
        <f t="shared" si="8"/>
        <v>4871006</v>
      </c>
      <c r="Y351" s="65"/>
      <c r="Z351" s="35"/>
      <c r="AA351" s="34"/>
    </row>
    <row r="352" spans="1:27" ht="15.75" customHeight="1" x14ac:dyDescent="0.25">
      <c r="A352" s="6" t="s">
        <v>160</v>
      </c>
      <c r="B352" s="6" t="s">
        <v>161</v>
      </c>
      <c r="C352" s="6" t="s">
        <v>162</v>
      </c>
      <c r="D352" s="21">
        <v>43742</v>
      </c>
      <c r="E352" s="7" t="s">
        <v>27</v>
      </c>
      <c r="F352" s="7">
        <v>12717</v>
      </c>
      <c r="G352" s="7">
        <v>309</v>
      </c>
      <c r="H352" s="7">
        <v>6</v>
      </c>
      <c r="I352" s="10" t="s">
        <v>30</v>
      </c>
      <c r="J352" s="9">
        <v>25000</v>
      </c>
      <c r="K352" s="43"/>
      <c r="L352" s="44"/>
      <c r="M352" s="18"/>
      <c r="N352" s="45"/>
      <c r="O352" s="45"/>
      <c r="P352" s="45"/>
      <c r="Q352" s="23">
        <v>43927</v>
      </c>
      <c r="R352" s="9">
        <v>7587</v>
      </c>
      <c r="S352" s="108">
        <v>25000</v>
      </c>
      <c r="U352" s="40">
        <f t="shared" si="8"/>
        <v>4896006</v>
      </c>
      <c r="Y352" s="65"/>
      <c r="Z352" s="35"/>
      <c r="AA352" s="34"/>
    </row>
    <row r="353" spans="1:27" ht="15.75" customHeight="1" x14ac:dyDescent="0.25">
      <c r="A353" s="6" t="s">
        <v>574</v>
      </c>
      <c r="B353" s="6" t="s">
        <v>575</v>
      </c>
      <c r="C353" s="6" t="s">
        <v>576</v>
      </c>
      <c r="D353" s="21">
        <v>43742</v>
      </c>
      <c r="E353" s="7" t="s">
        <v>27</v>
      </c>
      <c r="F353" s="7">
        <v>12727</v>
      </c>
      <c r="G353" s="7">
        <v>310</v>
      </c>
      <c r="H353" s="7">
        <v>12</v>
      </c>
      <c r="I353" s="10" t="s">
        <v>30</v>
      </c>
      <c r="J353" s="9">
        <v>65000</v>
      </c>
      <c r="K353" s="43"/>
      <c r="L353" s="44"/>
      <c r="M353" s="18"/>
      <c r="N353" s="45"/>
      <c r="O353" s="45"/>
      <c r="P353" s="45"/>
      <c r="Q353" s="23">
        <v>44109</v>
      </c>
      <c r="R353" s="9">
        <v>1794</v>
      </c>
      <c r="S353" s="108">
        <v>65000</v>
      </c>
      <c r="U353" s="40">
        <f t="shared" si="8"/>
        <v>4961006</v>
      </c>
      <c r="Y353" s="65"/>
      <c r="Z353" s="35"/>
      <c r="AA353" s="34"/>
    </row>
    <row r="354" spans="1:27" ht="15.75" customHeight="1" x14ac:dyDescent="0.25">
      <c r="A354" s="6" t="s">
        <v>577</v>
      </c>
      <c r="B354" s="6" t="s">
        <v>578</v>
      </c>
      <c r="C354" s="6" t="s">
        <v>368</v>
      </c>
      <c r="D354" s="21">
        <v>43743</v>
      </c>
      <c r="E354" s="7" t="s">
        <v>27</v>
      </c>
      <c r="F354" s="7">
        <v>12741</v>
      </c>
      <c r="G354" s="7">
        <v>311</v>
      </c>
      <c r="H354" s="7">
        <v>6</v>
      </c>
      <c r="I354" s="10" t="s">
        <v>30</v>
      </c>
      <c r="J354" s="9">
        <v>75000</v>
      </c>
      <c r="K354" s="43"/>
      <c r="L354" s="44"/>
      <c r="M354" s="18"/>
      <c r="N354" s="45"/>
      <c r="O354" s="45"/>
      <c r="P354" s="45"/>
      <c r="Q354" s="23">
        <v>43929</v>
      </c>
      <c r="R354" s="9">
        <v>7626</v>
      </c>
      <c r="S354" s="108">
        <v>75000</v>
      </c>
      <c r="U354" s="40">
        <f t="shared" si="8"/>
        <v>5036006</v>
      </c>
      <c r="Y354" s="65"/>
      <c r="Z354" s="35"/>
      <c r="AA354" s="34"/>
    </row>
    <row r="355" spans="1:27" ht="15.75" customHeight="1" x14ac:dyDescent="0.25">
      <c r="A355" s="6" t="s">
        <v>40</v>
      </c>
      <c r="B355" s="6" t="s">
        <v>579</v>
      </c>
      <c r="C355" s="6" t="s">
        <v>580</v>
      </c>
      <c r="D355" s="21">
        <v>43745</v>
      </c>
      <c r="E355" s="7" t="s">
        <v>27</v>
      </c>
      <c r="F355" s="7">
        <v>12765</v>
      </c>
      <c r="G355" s="7">
        <v>312</v>
      </c>
      <c r="H355" s="7">
        <v>6</v>
      </c>
      <c r="I355" s="10" t="s">
        <v>30</v>
      </c>
      <c r="J355" s="9">
        <v>50000</v>
      </c>
      <c r="K355" s="43"/>
      <c r="L355" s="44"/>
      <c r="M355" s="18"/>
      <c r="N355" s="45"/>
      <c r="O355" s="45"/>
      <c r="P355" s="45"/>
      <c r="Q355" s="23">
        <v>43929</v>
      </c>
      <c r="R355" s="9">
        <v>7615</v>
      </c>
      <c r="S355" s="108">
        <v>50000</v>
      </c>
      <c r="U355" s="40">
        <f t="shared" si="8"/>
        <v>5086006</v>
      </c>
      <c r="Y355" s="65"/>
      <c r="Z355" s="35"/>
      <c r="AA355" s="34"/>
    </row>
    <row r="356" spans="1:27" ht="15.75" customHeight="1" x14ac:dyDescent="0.25">
      <c r="A356" s="6" t="s">
        <v>581</v>
      </c>
      <c r="B356" s="6" t="s">
        <v>345</v>
      </c>
      <c r="D356" s="21"/>
      <c r="G356" s="7">
        <v>313</v>
      </c>
      <c r="H356" s="7"/>
      <c r="K356" s="43"/>
      <c r="L356" s="44"/>
      <c r="M356" s="18"/>
      <c r="N356" s="45"/>
      <c r="O356" s="45"/>
      <c r="P356" s="45"/>
      <c r="U356" s="40">
        <f t="shared" si="8"/>
        <v>5086006</v>
      </c>
      <c r="Y356" s="65"/>
      <c r="Z356" s="35"/>
      <c r="AA356" s="34"/>
    </row>
    <row r="357" spans="1:27" ht="15.75" customHeight="1" x14ac:dyDescent="0.25">
      <c r="A357" s="6" t="s">
        <v>581</v>
      </c>
      <c r="B357" s="6" t="s">
        <v>582</v>
      </c>
      <c r="C357" s="6" t="s">
        <v>583</v>
      </c>
      <c r="D357" s="21">
        <v>43745</v>
      </c>
      <c r="E357" s="7" t="s">
        <v>27</v>
      </c>
      <c r="F357" s="7">
        <v>12776</v>
      </c>
      <c r="G357" s="7">
        <v>314</v>
      </c>
      <c r="H357" s="7">
        <v>12</v>
      </c>
      <c r="I357" s="10" t="s">
        <v>30</v>
      </c>
      <c r="J357" s="9">
        <v>3000</v>
      </c>
      <c r="K357" s="43"/>
      <c r="L357" s="44"/>
      <c r="M357" s="18"/>
      <c r="N357" s="45"/>
      <c r="O357" s="45"/>
      <c r="P357" s="45"/>
      <c r="Q357" s="23">
        <v>44112</v>
      </c>
      <c r="R357" s="9">
        <v>1861</v>
      </c>
      <c r="S357" s="108">
        <v>3000</v>
      </c>
      <c r="U357" s="40">
        <f t="shared" si="8"/>
        <v>5089006</v>
      </c>
      <c r="Y357" s="65"/>
      <c r="Z357" s="35"/>
      <c r="AA357" s="34"/>
    </row>
    <row r="358" spans="1:27" ht="15.75" customHeight="1" x14ac:dyDescent="0.25">
      <c r="A358" s="6" t="s">
        <v>584</v>
      </c>
      <c r="B358" s="6" t="s">
        <v>345</v>
      </c>
      <c r="D358" s="21"/>
      <c r="G358" s="7">
        <v>315</v>
      </c>
      <c r="H358" s="7"/>
      <c r="K358" s="43"/>
      <c r="L358" s="44"/>
      <c r="M358" s="18"/>
      <c r="N358" s="45"/>
      <c r="O358" s="45"/>
      <c r="P358" s="45"/>
      <c r="U358" s="40">
        <f t="shared" si="8"/>
        <v>5089006</v>
      </c>
      <c r="Y358" s="65"/>
      <c r="Z358" s="35"/>
      <c r="AA358" s="34"/>
    </row>
    <row r="359" spans="1:27" ht="15.75" customHeight="1" x14ac:dyDescent="0.25">
      <c r="A359" s="6" t="s">
        <v>584</v>
      </c>
      <c r="B359" s="6" t="s">
        <v>585</v>
      </c>
      <c r="C359" s="6" t="s">
        <v>586</v>
      </c>
      <c r="D359" s="21">
        <v>43745</v>
      </c>
      <c r="E359" s="7" t="s">
        <v>27</v>
      </c>
      <c r="F359" s="7">
        <v>12777</v>
      </c>
      <c r="G359" s="7">
        <v>316</v>
      </c>
      <c r="H359" s="7">
        <v>12</v>
      </c>
      <c r="I359" s="10" t="s">
        <v>30</v>
      </c>
      <c r="J359" s="9">
        <v>1000</v>
      </c>
      <c r="K359" s="43"/>
      <c r="L359" s="44"/>
      <c r="M359" s="18"/>
      <c r="N359" s="45"/>
      <c r="O359" s="45"/>
      <c r="P359" s="45"/>
      <c r="Q359" s="23">
        <v>44275</v>
      </c>
      <c r="R359" s="9">
        <v>1115</v>
      </c>
      <c r="S359" s="108">
        <v>1000</v>
      </c>
      <c r="U359" s="40">
        <f t="shared" ref="U359:U422" si="9">U358+S359-T359</f>
        <v>5090006</v>
      </c>
      <c r="Y359" s="65"/>
      <c r="Z359" s="35"/>
      <c r="AA359" s="34"/>
    </row>
    <row r="360" spans="1:27" ht="15.75" customHeight="1" x14ac:dyDescent="0.25">
      <c r="A360" s="6" t="s">
        <v>309</v>
      </c>
      <c r="B360" s="6" t="s">
        <v>587</v>
      </c>
      <c r="D360" s="21">
        <v>43745</v>
      </c>
      <c r="E360" s="7" t="s">
        <v>27</v>
      </c>
      <c r="F360" s="7">
        <v>12800</v>
      </c>
      <c r="G360" s="7">
        <v>317</v>
      </c>
      <c r="H360" s="7">
        <v>6</v>
      </c>
      <c r="I360" s="10" t="s">
        <v>38</v>
      </c>
      <c r="J360" s="9">
        <v>1300</v>
      </c>
      <c r="K360" s="43"/>
      <c r="L360" s="44"/>
      <c r="M360" s="18"/>
      <c r="N360" s="45"/>
      <c r="O360" s="45"/>
      <c r="P360" s="45"/>
      <c r="Q360" s="23">
        <v>43957</v>
      </c>
      <c r="R360" s="9">
        <v>53</v>
      </c>
      <c r="S360" s="108">
        <v>1300</v>
      </c>
      <c r="U360" s="40">
        <f t="shared" si="9"/>
        <v>5091306</v>
      </c>
      <c r="Y360" s="65"/>
      <c r="Z360" s="35"/>
      <c r="AA360" s="34"/>
    </row>
    <row r="361" spans="1:27" ht="15.75" customHeight="1" x14ac:dyDescent="0.25">
      <c r="A361" s="6" t="s">
        <v>588</v>
      </c>
      <c r="B361" s="6" t="s">
        <v>589</v>
      </c>
      <c r="C361" s="6" t="s">
        <v>590</v>
      </c>
      <c r="D361" s="21">
        <v>43749</v>
      </c>
      <c r="E361" s="7" t="s">
        <v>32</v>
      </c>
      <c r="F361" s="7">
        <v>12855</v>
      </c>
      <c r="G361" s="7">
        <v>318</v>
      </c>
      <c r="H361" s="7">
        <v>12</v>
      </c>
      <c r="I361" s="10" t="s">
        <v>30</v>
      </c>
      <c r="J361" s="9">
        <v>50000</v>
      </c>
      <c r="K361" s="43"/>
      <c r="L361" s="44"/>
      <c r="M361" s="18"/>
      <c r="N361" s="45"/>
      <c r="O361" s="45"/>
      <c r="P361" s="45"/>
      <c r="Q361" s="23">
        <v>44116</v>
      </c>
      <c r="R361" s="9">
        <v>1922</v>
      </c>
      <c r="S361" s="108">
        <v>50000</v>
      </c>
      <c r="U361" s="40">
        <f t="shared" si="9"/>
        <v>5141306</v>
      </c>
      <c r="Y361" s="65"/>
      <c r="Z361" s="35"/>
      <c r="AA361" s="34"/>
    </row>
    <row r="362" spans="1:27" ht="15.75" customHeight="1" x14ac:dyDescent="0.25">
      <c r="A362" s="6" t="s">
        <v>591</v>
      </c>
      <c r="B362" s="6" t="s">
        <v>31</v>
      </c>
      <c r="C362" s="6" t="s">
        <v>592</v>
      </c>
      <c r="D362" s="21">
        <v>43749</v>
      </c>
      <c r="E362" s="7" t="s">
        <v>27</v>
      </c>
      <c r="F362" s="7">
        <v>12859</v>
      </c>
      <c r="G362" s="7">
        <v>319</v>
      </c>
      <c r="H362" s="7">
        <v>12</v>
      </c>
      <c r="I362" s="10" t="s">
        <v>30</v>
      </c>
      <c r="J362" s="9">
        <v>9000</v>
      </c>
      <c r="K362" s="43"/>
      <c r="L362" s="44"/>
      <c r="M362" s="18"/>
      <c r="N362" s="45"/>
      <c r="O362" s="45"/>
      <c r="P362" s="45"/>
      <c r="Q362" s="23">
        <v>44116</v>
      </c>
      <c r="R362" s="9">
        <v>1919</v>
      </c>
      <c r="S362" s="108">
        <v>9000</v>
      </c>
      <c r="U362" s="40">
        <f t="shared" si="9"/>
        <v>5150306</v>
      </c>
      <c r="Y362" s="65"/>
      <c r="Z362" s="35"/>
      <c r="AA362" s="34"/>
    </row>
    <row r="363" spans="1:27" ht="15.75" customHeight="1" x14ac:dyDescent="0.25">
      <c r="A363" s="6" t="s">
        <v>593</v>
      </c>
      <c r="B363" s="6" t="s">
        <v>594</v>
      </c>
      <c r="C363" s="6" t="s">
        <v>595</v>
      </c>
      <c r="D363" s="21">
        <v>43750</v>
      </c>
      <c r="E363" s="7" t="s">
        <v>27</v>
      </c>
      <c r="F363" s="7">
        <v>12875</v>
      </c>
      <c r="G363" s="7">
        <v>320</v>
      </c>
      <c r="H363" s="7">
        <v>12</v>
      </c>
      <c r="I363" s="10" t="s">
        <v>30</v>
      </c>
      <c r="J363" s="9">
        <v>50000</v>
      </c>
      <c r="K363" s="43"/>
      <c r="L363" s="44"/>
      <c r="M363" s="18"/>
      <c r="N363" s="45"/>
      <c r="O363" s="45"/>
      <c r="P363" s="45"/>
      <c r="Q363" s="23">
        <v>44116</v>
      </c>
      <c r="R363" s="9">
        <v>1899</v>
      </c>
      <c r="S363" s="108">
        <v>50000</v>
      </c>
      <c r="U363" s="40">
        <f t="shared" si="9"/>
        <v>5200306</v>
      </c>
      <c r="Y363" s="65"/>
      <c r="Z363" s="35"/>
      <c r="AA363" s="34"/>
    </row>
    <row r="364" spans="1:27" ht="15.75" customHeight="1" x14ac:dyDescent="0.25">
      <c r="A364" s="6" t="s">
        <v>596</v>
      </c>
      <c r="B364" s="6" t="s">
        <v>597</v>
      </c>
      <c r="C364" s="6" t="s">
        <v>598</v>
      </c>
      <c r="D364" s="21">
        <v>43753</v>
      </c>
      <c r="E364" s="7" t="s">
        <v>32</v>
      </c>
      <c r="F364" s="7">
        <v>12919</v>
      </c>
      <c r="G364" s="7">
        <v>321</v>
      </c>
      <c r="H364" s="7">
        <v>12</v>
      </c>
      <c r="I364" s="10" t="s">
        <v>30</v>
      </c>
      <c r="J364" s="9">
        <v>5000</v>
      </c>
      <c r="K364" s="43"/>
      <c r="L364" s="44"/>
      <c r="M364" s="18"/>
      <c r="N364" s="45"/>
      <c r="O364" s="45"/>
      <c r="P364" s="45"/>
      <c r="Q364" s="23">
        <v>44130</v>
      </c>
      <c r="R364" s="9">
        <v>2160</v>
      </c>
      <c r="S364" s="108">
        <v>5000</v>
      </c>
      <c r="U364" s="40">
        <f t="shared" si="9"/>
        <v>5205306</v>
      </c>
      <c r="Y364" s="65"/>
      <c r="Z364" s="35"/>
      <c r="AA364" s="34"/>
    </row>
    <row r="365" spans="1:27" ht="15.75" customHeight="1" x14ac:dyDescent="0.25">
      <c r="A365" s="6" t="s">
        <v>599</v>
      </c>
      <c r="B365" s="6" t="s">
        <v>600</v>
      </c>
      <c r="C365" s="6" t="s">
        <v>145</v>
      </c>
      <c r="D365" s="21">
        <v>43754</v>
      </c>
      <c r="E365" s="7" t="s">
        <v>27</v>
      </c>
      <c r="F365" s="7">
        <v>12934</v>
      </c>
      <c r="G365" s="7">
        <v>322</v>
      </c>
      <c r="H365" s="7">
        <v>6</v>
      </c>
      <c r="I365" s="10" t="s">
        <v>30</v>
      </c>
      <c r="J365" s="9">
        <v>26000</v>
      </c>
      <c r="K365" s="43"/>
      <c r="L365" s="44"/>
      <c r="M365" s="18"/>
      <c r="N365" s="45"/>
      <c r="O365" s="45"/>
      <c r="P365" s="45"/>
      <c r="Q365" s="23">
        <v>43942</v>
      </c>
      <c r="R365" s="9">
        <v>7716</v>
      </c>
      <c r="S365" s="108">
        <v>26000</v>
      </c>
      <c r="U365" s="40">
        <f t="shared" si="9"/>
        <v>5231306</v>
      </c>
      <c r="Y365" s="65"/>
      <c r="Z365" s="35"/>
      <c r="AA365" s="34"/>
    </row>
    <row r="366" spans="1:27" ht="15.75" customHeight="1" x14ac:dyDescent="0.25">
      <c r="A366" s="6" t="s">
        <v>601</v>
      </c>
      <c r="B366" s="6" t="s">
        <v>602</v>
      </c>
      <c r="C366" s="6" t="s">
        <v>603</v>
      </c>
      <c r="D366" s="21">
        <v>43755</v>
      </c>
      <c r="E366" s="7" t="s">
        <v>27</v>
      </c>
      <c r="F366" s="7">
        <v>12959</v>
      </c>
      <c r="G366" s="7">
        <v>323</v>
      </c>
      <c r="H366" s="7">
        <v>12</v>
      </c>
      <c r="I366" s="10" t="s">
        <v>30</v>
      </c>
      <c r="J366" s="9">
        <v>11000</v>
      </c>
      <c r="K366" s="43"/>
      <c r="L366" s="44"/>
      <c r="M366" s="18"/>
      <c r="N366" s="45"/>
      <c r="O366" s="45"/>
      <c r="P366" s="45"/>
      <c r="Q366" s="23">
        <v>44123</v>
      </c>
      <c r="R366" s="9">
        <v>2036</v>
      </c>
      <c r="S366" s="108">
        <v>11000</v>
      </c>
      <c r="U366" s="40">
        <f t="shared" si="9"/>
        <v>5242306</v>
      </c>
      <c r="Y366" s="65"/>
      <c r="Z366" s="35"/>
      <c r="AA366" s="34"/>
    </row>
    <row r="367" spans="1:27" ht="15.75" customHeight="1" x14ac:dyDescent="0.25">
      <c r="A367" s="6" t="s">
        <v>604</v>
      </c>
      <c r="B367" s="6" t="s">
        <v>605</v>
      </c>
      <c r="C367" s="6" t="s">
        <v>606</v>
      </c>
      <c r="D367" s="21">
        <v>43760</v>
      </c>
      <c r="E367" s="7" t="s">
        <v>27</v>
      </c>
      <c r="F367" s="7">
        <v>13005</v>
      </c>
      <c r="G367" s="7">
        <v>324</v>
      </c>
      <c r="H367" s="7">
        <v>12</v>
      </c>
      <c r="I367" s="10" t="s">
        <v>30</v>
      </c>
      <c r="J367" s="9">
        <v>2000</v>
      </c>
      <c r="K367" s="43"/>
      <c r="L367" s="44"/>
      <c r="M367" s="18"/>
      <c r="N367" s="45"/>
      <c r="O367" s="45"/>
      <c r="P367" s="45"/>
      <c r="Q367" s="23">
        <v>44146</v>
      </c>
      <c r="R367" s="9">
        <v>2376</v>
      </c>
      <c r="S367" s="108">
        <v>2000</v>
      </c>
      <c r="U367" s="40">
        <f t="shared" si="9"/>
        <v>5244306</v>
      </c>
      <c r="Y367" s="65"/>
      <c r="Z367" s="35"/>
      <c r="AA367" s="34"/>
    </row>
    <row r="368" spans="1:27" ht="15.75" customHeight="1" x14ac:dyDescent="0.25">
      <c r="A368" s="6" t="s">
        <v>607</v>
      </c>
      <c r="B368" s="6" t="s">
        <v>608</v>
      </c>
      <c r="C368" s="6" t="s">
        <v>609</v>
      </c>
      <c r="D368" s="21">
        <v>43769</v>
      </c>
      <c r="E368" s="7" t="s">
        <v>27</v>
      </c>
      <c r="F368" s="7">
        <v>13200</v>
      </c>
      <c r="G368" s="7">
        <v>325</v>
      </c>
      <c r="H368" s="7">
        <v>12</v>
      </c>
      <c r="I368" s="10" t="s">
        <v>30</v>
      </c>
      <c r="J368" s="9">
        <v>60000</v>
      </c>
      <c r="K368" s="43"/>
      <c r="L368" s="44"/>
      <c r="M368" s="18"/>
      <c r="N368" s="45"/>
      <c r="O368" s="45"/>
      <c r="P368" s="45"/>
      <c r="Q368" s="23">
        <v>44144</v>
      </c>
      <c r="R368" s="9">
        <v>2342</v>
      </c>
      <c r="S368" s="108">
        <v>60000</v>
      </c>
      <c r="U368" s="40">
        <f t="shared" si="9"/>
        <v>5304306</v>
      </c>
      <c r="Y368" s="65"/>
      <c r="Z368" s="35"/>
      <c r="AA368" s="34"/>
    </row>
    <row r="369" spans="1:27" ht="15.75" customHeight="1" x14ac:dyDescent="0.25">
      <c r="A369" s="6" t="s">
        <v>610</v>
      </c>
      <c r="B369" s="6" t="s">
        <v>611</v>
      </c>
      <c r="C369" s="6" t="s">
        <v>612</v>
      </c>
      <c r="D369" s="21">
        <v>43775</v>
      </c>
      <c r="E369" s="7" t="s">
        <v>27</v>
      </c>
      <c r="F369" s="7">
        <v>13311</v>
      </c>
      <c r="G369" s="7">
        <v>326</v>
      </c>
      <c r="H369" s="7">
        <v>6</v>
      </c>
      <c r="I369" s="10" t="s">
        <v>30</v>
      </c>
      <c r="J369" s="9">
        <v>90000</v>
      </c>
      <c r="K369" s="43"/>
      <c r="L369" s="44"/>
      <c r="M369" s="18"/>
      <c r="N369" s="45"/>
      <c r="O369" s="45"/>
      <c r="P369" s="45"/>
      <c r="Q369" s="23">
        <v>43962</v>
      </c>
      <c r="R369" s="9">
        <v>85</v>
      </c>
      <c r="S369" s="108">
        <v>90000</v>
      </c>
      <c r="U369" s="40">
        <f t="shared" si="9"/>
        <v>5394306</v>
      </c>
      <c r="Y369" s="65"/>
      <c r="Z369" s="35"/>
      <c r="AA369" s="34"/>
    </row>
    <row r="370" spans="1:27" ht="15.75" customHeight="1" x14ac:dyDescent="0.25">
      <c r="A370" s="6" t="s">
        <v>613</v>
      </c>
      <c r="B370" s="6" t="s">
        <v>614</v>
      </c>
      <c r="C370" s="6" t="s">
        <v>615</v>
      </c>
      <c r="D370" s="21">
        <v>43777</v>
      </c>
      <c r="E370" s="7" t="s">
        <v>27</v>
      </c>
      <c r="F370" s="7">
        <v>13336</v>
      </c>
      <c r="G370" s="7">
        <v>327</v>
      </c>
      <c r="H370" s="7">
        <v>12</v>
      </c>
      <c r="I370" s="10" t="s">
        <v>30</v>
      </c>
      <c r="J370" s="9">
        <v>20000</v>
      </c>
      <c r="K370" s="43"/>
      <c r="L370" s="44"/>
      <c r="M370" s="18"/>
      <c r="N370" s="45"/>
      <c r="O370" s="45"/>
      <c r="P370" s="45"/>
      <c r="Q370" s="23">
        <v>44144</v>
      </c>
      <c r="R370" s="9">
        <v>2322</v>
      </c>
      <c r="S370" s="108">
        <v>20000</v>
      </c>
      <c r="U370" s="40">
        <f t="shared" si="9"/>
        <v>5414306</v>
      </c>
      <c r="Y370" s="65"/>
      <c r="Z370" s="35"/>
      <c r="AA370" s="34"/>
    </row>
    <row r="371" spans="1:27" ht="15.75" customHeight="1" x14ac:dyDescent="0.25">
      <c r="A371" s="6" t="s">
        <v>616</v>
      </c>
      <c r="B371" s="6" t="s">
        <v>617</v>
      </c>
      <c r="C371" s="6" t="s">
        <v>618</v>
      </c>
      <c r="D371" s="21">
        <v>43780</v>
      </c>
      <c r="E371" s="7" t="s">
        <v>27</v>
      </c>
      <c r="F371" s="7">
        <v>13383</v>
      </c>
      <c r="G371" s="7">
        <v>328</v>
      </c>
      <c r="H371" s="7">
        <v>12</v>
      </c>
      <c r="I371" s="10" t="s">
        <v>30</v>
      </c>
      <c r="J371" s="9">
        <v>50000</v>
      </c>
      <c r="K371" s="43"/>
      <c r="L371" s="44"/>
      <c r="M371" s="18"/>
      <c r="N371" s="45"/>
      <c r="O371" s="45"/>
      <c r="P371" s="45"/>
      <c r="Q371" s="23">
        <v>44147</v>
      </c>
      <c r="R371" s="9">
        <v>2389</v>
      </c>
      <c r="S371" s="108">
        <v>50000</v>
      </c>
      <c r="U371" s="40">
        <f t="shared" si="9"/>
        <v>5464306</v>
      </c>
      <c r="Y371" s="65"/>
      <c r="Z371" s="35"/>
      <c r="AA371" s="34"/>
    </row>
    <row r="372" spans="1:27" ht="15.75" customHeight="1" x14ac:dyDescent="0.25">
      <c r="A372" s="6" t="s">
        <v>537</v>
      </c>
      <c r="B372" s="6" t="s">
        <v>619</v>
      </c>
      <c r="C372" s="6" t="s">
        <v>620</v>
      </c>
      <c r="D372" s="21">
        <v>43781</v>
      </c>
      <c r="E372" s="7" t="s">
        <v>27</v>
      </c>
      <c r="F372" s="7">
        <v>13390</v>
      </c>
      <c r="G372" s="7">
        <v>329</v>
      </c>
      <c r="H372" s="7">
        <v>6</v>
      </c>
      <c r="I372" s="10" t="s">
        <v>30</v>
      </c>
      <c r="J372" s="9">
        <v>4000</v>
      </c>
      <c r="K372" s="43"/>
      <c r="L372" s="44"/>
      <c r="M372" s="18"/>
      <c r="N372" s="45"/>
      <c r="O372" s="45"/>
      <c r="P372" s="45"/>
      <c r="Q372" s="23">
        <v>43970</v>
      </c>
      <c r="R372" s="9">
        <v>164</v>
      </c>
      <c r="S372" s="108">
        <v>4000</v>
      </c>
      <c r="U372" s="40">
        <f t="shared" si="9"/>
        <v>5468306</v>
      </c>
      <c r="Y372" s="65"/>
      <c r="Z372" s="35"/>
      <c r="AA372" s="34"/>
    </row>
    <row r="373" spans="1:27" ht="15.75" customHeight="1" x14ac:dyDescent="0.25">
      <c r="A373" s="6" t="s">
        <v>621</v>
      </c>
      <c r="B373" s="6" t="s">
        <v>622</v>
      </c>
      <c r="C373" s="6" t="s">
        <v>623</v>
      </c>
      <c r="D373" s="21">
        <v>43781</v>
      </c>
      <c r="E373" s="7" t="s">
        <v>27</v>
      </c>
      <c r="F373" s="7">
        <v>13400</v>
      </c>
      <c r="G373" s="7">
        <v>330</v>
      </c>
      <c r="H373" s="7">
        <v>6</v>
      </c>
      <c r="I373" s="10" t="s">
        <v>30</v>
      </c>
      <c r="J373" s="9">
        <v>20000</v>
      </c>
      <c r="K373" s="43"/>
      <c r="L373" s="44"/>
      <c r="M373" s="18"/>
      <c r="N373" s="45"/>
      <c r="O373" s="45"/>
      <c r="P373" s="45"/>
      <c r="Q373" s="23">
        <v>43970</v>
      </c>
      <c r="R373" s="9">
        <v>159</v>
      </c>
      <c r="S373" s="108">
        <v>20000</v>
      </c>
      <c r="U373" s="40">
        <f t="shared" si="9"/>
        <v>5488306</v>
      </c>
      <c r="Y373" s="65"/>
      <c r="Z373" s="35"/>
      <c r="AA373" s="34"/>
    </row>
    <row r="374" spans="1:27" ht="15.75" customHeight="1" x14ac:dyDescent="0.25">
      <c r="A374" s="6" t="s">
        <v>624</v>
      </c>
      <c r="B374" s="6" t="s">
        <v>625</v>
      </c>
      <c r="C374" s="6" t="s">
        <v>626</v>
      </c>
      <c r="D374" s="21">
        <v>43781</v>
      </c>
      <c r="E374" s="7" t="s">
        <v>27</v>
      </c>
      <c r="F374" s="7">
        <v>13403</v>
      </c>
      <c r="G374" s="7">
        <v>331</v>
      </c>
      <c r="H374" s="7">
        <v>12</v>
      </c>
      <c r="I374" s="10" t="s">
        <v>30</v>
      </c>
      <c r="J374" s="9">
        <v>10000</v>
      </c>
      <c r="K374" s="43"/>
      <c r="L374" s="44"/>
      <c r="M374" s="18"/>
      <c r="N374" s="45"/>
      <c r="O374" s="45"/>
      <c r="P374" s="45"/>
      <c r="Q374" s="23">
        <v>44147</v>
      </c>
      <c r="R374" s="9">
        <v>2395</v>
      </c>
      <c r="S374" s="108">
        <v>10000</v>
      </c>
      <c r="U374" s="40">
        <f t="shared" si="9"/>
        <v>5498306</v>
      </c>
      <c r="Y374" s="65"/>
      <c r="Z374" s="35"/>
      <c r="AA374" s="34"/>
    </row>
    <row r="375" spans="1:27" ht="15.75" customHeight="1" x14ac:dyDescent="0.25">
      <c r="A375" s="6" t="s">
        <v>627</v>
      </c>
      <c r="B375" s="6" t="s">
        <v>628</v>
      </c>
      <c r="C375" s="6" t="s">
        <v>629</v>
      </c>
      <c r="D375" s="21">
        <v>43782</v>
      </c>
      <c r="E375" s="7" t="s">
        <v>27</v>
      </c>
      <c r="F375" s="7">
        <v>13414</v>
      </c>
      <c r="G375" s="7">
        <v>332</v>
      </c>
      <c r="H375" s="7">
        <v>6</v>
      </c>
      <c r="I375" s="10" t="s">
        <v>30</v>
      </c>
      <c r="J375" s="9">
        <v>19000</v>
      </c>
      <c r="K375" s="43"/>
      <c r="L375" s="44"/>
      <c r="M375" s="18"/>
      <c r="N375" s="45"/>
      <c r="O375" s="45"/>
      <c r="P375" s="45"/>
      <c r="Q375" s="23">
        <v>43964</v>
      </c>
      <c r="R375" s="9">
        <v>119</v>
      </c>
      <c r="S375" s="108">
        <v>19000</v>
      </c>
      <c r="U375" s="40">
        <f t="shared" si="9"/>
        <v>5517306</v>
      </c>
      <c r="Y375" s="65"/>
      <c r="Z375" s="35"/>
      <c r="AA375" s="34"/>
    </row>
    <row r="376" spans="1:27" ht="15.75" customHeight="1" x14ac:dyDescent="0.25">
      <c r="A376" s="6" t="s">
        <v>630</v>
      </c>
      <c r="B376" s="6" t="s">
        <v>631</v>
      </c>
      <c r="C376" s="6" t="s">
        <v>632</v>
      </c>
      <c r="D376" s="21">
        <v>43783</v>
      </c>
      <c r="E376" s="7" t="s">
        <v>27</v>
      </c>
      <c r="F376" s="7">
        <v>13429</v>
      </c>
      <c r="G376" s="7">
        <v>333</v>
      </c>
      <c r="H376" s="7">
        <v>12</v>
      </c>
      <c r="I376" s="10" t="s">
        <v>38</v>
      </c>
      <c r="J376" s="9">
        <v>10000</v>
      </c>
      <c r="K376" s="43"/>
      <c r="L376" s="44"/>
      <c r="M376" s="18"/>
      <c r="N376" s="45"/>
      <c r="O376" s="45"/>
      <c r="P376" s="45"/>
      <c r="Q376" s="23">
        <v>44173</v>
      </c>
      <c r="R376" s="9">
        <v>77</v>
      </c>
      <c r="S376" s="108">
        <v>10000</v>
      </c>
      <c r="U376" s="40">
        <f t="shared" si="9"/>
        <v>5527306</v>
      </c>
      <c r="Y376" s="65"/>
      <c r="Z376" s="35"/>
      <c r="AA376" s="34"/>
    </row>
    <row r="377" spans="1:27" ht="15.75" customHeight="1" x14ac:dyDescent="0.25">
      <c r="A377" s="6" t="s">
        <v>633</v>
      </c>
      <c r="B377" s="6" t="s">
        <v>634</v>
      </c>
      <c r="C377" s="6" t="s">
        <v>307</v>
      </c>
      <c r="D377" s="21">
        <v>43784</v>
      </c>
      <c r="E377" s="7" t="s">
        <v>27</v>
      </c>
      <c r="F377" s="7">
        <v>13453</v>
      </c>
      <c r="G377" s="7">
        <v>334</v>
      </c>
      <c r="H377" s="7">
        <v>12</v>
      </c>
      <c r="I377" s="10" t="s">
        <v>30</v>
      </c>
      <c r="J377" s="9">
        <v>5500</v>
      </c>
      <c r="K377" s="43"/>
      <c r="L377" s="44"/>
      <c r="M377" s="18"/>
      <c r="N377" s="45"/>
      <c r="O377" s="45"/>
      <c r="P377" s="45"/>
      <c r="Q377" s="23">
        <v>44151</v>
      </c>
      <c r="R377" s="9">
        <v>2471</v>
      </c>
      <c r="S377" s="108">
        <v>5500</v>
      </c>
      <c r="U377" s="40">
        <f t="shared" si="9"/>
        <v>5532806</v>
      </c>
      <c r="Y377" s="65"/>
      <c r="Z377" s="35"/>
      <c r="AA377" s="34"/>
    </row>
    <row r="378" spans="1:27" ht="15.75" customHeight="1" x14ac:dyDescent="0.25">
      <c r="A378" s="6" t="s">
        <v>635</v>
      </c>
      <c r="B378" s="6" t="s">
        <v>636</v>
      </c>
      <c r="C378" s="6" t="s">
        <v>637</v>
      </c>
      <c r="D378" s="21">
        <v>43784</v>
      </c>
      <c r="E378" s="7" t="s">
        <v>27</v>
      </c>
      <c r="F378" s="7">
        <v>13457</v>
      </c>
      <c r="G378" s="7">
        <v>335</v>
      </c>
      <c r="H378" s="7">
        <v>12</v>
      </c>
      <c r="I378" s="10" t="s">
        <v>30</v>
      </c>
      <c r="J378" s="9">
        <v>5000</v>
      </c>
      <c r="K378" s="43"/>
      <c r="L378" s="44"/>
      <c r="M378" s="18"/>
      <c r="N378" s="45"/>
      <c r="O378" s="45"/>
      <c r="P378" s="45"/>
      <c r="Q378" s="23">
        <v>44152</v>
      </c>
      <c r="R378" s="9">
        <v>2481</v>
      </c>
      <c r="S378" s="108">
        <v>5000</v>
      </c>
      <c r="U378" s="40">
        <f t="shared" si="9"/>
        <v>5537806</v>
      </c>
      <c r="Y378" s="65"/>
      <c r="Z378" s="35"/>
      <c r="AA378" s="34"/>
    </row>
    <row r="379" spans="1:27" ht="15.75" customHeight="1" x14ac:dyDescent="0.25">
      <c r="A379" s="6" t="s">
        <v>638</v>
      </c>
      <c r="B379" s="6" t="s">
        <v>639</v>
      </c>
      <c r="C379" s="6" t="s">
        <v>640</v>
      </c>
      <c r="D379" s="21">
        <v>43784</v>
      </c>
      <c r="E379" s="7" t="s">
        <v>32</v>
      </c>
      <c r="F379" s="7">
        <v>13459</v>
      </c>
      <c r="G379" s="7">
        <v>336</v>
      </c>
      <c r="H379" s="7">
        <v>12</v>
      </c>
      <c r="I379" s="10" t="s">
        <v>30</v>
      </c>
      <c r="J379" s="9">
        <v>50000</v>
      </c>
      <c r="K379" s="43"/>
      <c r="L379" s="44"/>
      <c r="M379" s="18"/>
      <c r="N379" s="45"/>
      <c r="O379" s="45"/>
      <c r="P379" s="45"/>
      <c r="Q379" s="23">
        <v>44151</v>
      </c>
      <c r="R379" s="9">
        <v>2460</v>
      </c>
      <c r="S379" s="108">
        <v>50000</v>
      </c>
      <c r="U379" s="40">
        <f t="shared" si="9"/>
        <v>5587806</v>
      </c>
      <c r="Y379" s="65"/>
      <c r="Z379" s="35"/>
      <c r="AA379" s="34"/>
    </row>
    <row r="380" spans="1:27" ht="15.75" customHeight="1" x14ac:dyDescent="0.25">
      <c r="A380" s="6" t="s">
        <v>393</v>
      </c>
      <c r="B380" s="6" t="s">
        <v>345</v>
      </c>
      <c r="D380" s="21"/>
      <c r="G380" s="7">
        <v>337</v>
      </c>
      <c r="H380" s="7"/>
      <c r="K380" s="43"/>
      <c r="L380" s="44"/>
      <c r="M380" s="18"/>
      <c r="N380" s="45"/>
      <c r="O380" s="45"/>
      <c r="P380" s="45"/>
      <c r="U380" s="40">
        <f t="shared" si="9"/>
        <v>5587806</v>
      </c>
      <c r="Y380" s="65"/>
      <c r="Z380" s="35"/>
      <c r="AA380" s="34"/>
    </row>
    <row r="381" spans="1:27" ht="15.75" customHeight="1" x14ac:dyDescent="0.25">
      <c r="A381" s="6" t="s">
        <v>641</v>
      </c>
      <c r="B381" s="6" t="s">
        <v>642</v>
      </c>
      <c r="C381" s="6" t="s">
        <v>59</v>
      </c>
      <c r="D381" s="21">
        <v>43784</v>
      </c>
      <c r="E381" s="7" t="s">
        <v>27</v>
      </c>
      <c r="F381" s="7">
        <v>13465</v>
      </c>
      <c r="G381" s="7">
        <v>338</v>
      </c>
      <c r="H381" s="7">
        <v>6</v>
      </c>
      <c r="I381" s="10" t="s">
        <v>30</v>
      </c>
      <c r="J381" s="9">
        <v>18000</v>
      </c>
      <c r="K381" s="43"/>
      <c r="L381" s="44"/>
      <c r="M381" s="18"/>
      <c r="N381" s="45"/>
      <c r="O381" s="45"/>
      <c r="P381" s="45"/>
      <c r="Q381" s="23">
        <v>43969</v>
      </c>
      <c r="R381" s="9">
        <v>147</v>
      </c>
      <c r="S381" s="108">
        <v>18000</v>
      </c>
      <c r="U381" s="40">
        <f t="shared" si="9"/>
        <v>5605806</v>
      </c>
      <c r="Y381" s="65"/>
      <c r="Z381" s="35"/>
      <c r="AA381" s="34"/>
    </row>
    <row r="382" spans="1:27" ht="15.75" customHeight="1" x14ac:dyDescent="0.25">
      <c r="A382" s="6" t="s">
        <v>414</v>
      </c>
      <c r="B382" s="6" t="s">
        <v>643</v>
      </c>
      <c r="C382" s="6" t="s">
        <v>644</v>
      </c>
      <c r="D382" s="21">
        <v>43786</v>
      </c>
      <c r="E382" s="7" t="s">
        <v>32</v>
      </c>
      <c r="F382" s="7">
        <v>13489</v>
      </c>
      <c r="G382" s="7">
        <v>339</v>
      </c>
      <c r="H382" s="7">
        <v>6</v>
      </c>
      <c r="I382" s="10" t="s">
        <v>30</v>
      </c>
      <c r="J382" s="9">
        <v>10000</v>
      </c>
      <c r="K382" s="43"/>
      <c r="L382" s="44"/>
      <c r="M382" s="18"/>
      <c r="N382" s="45"/>
      <c r="O382" s="45"/>
      <c r="P382" s="45"/>
      <c r="Q382" s="23">
        <v>43969</v>
      </c>
      <c r="R382" s="9">
        <v>143</v>
      </c>
      <c r="S382" s="108">
        <v>10000</v>
      </c>
      <c r="U382" s="40">
        <f t="shared" si="9"/>
        <v>5615806</v>
      </c>
      <c r="Y382" s="65"/>
      <c r="Z382" s="35"/>
      <c r="AA382" s="34"/>
    </row>
    <row r="383" spans="1:27" ht="15.75" customHeight="1" x14ac:dyDescent="0.25">
      <c r="A383" s="6" t="s">
        <v>358</v>
      </c>
      <c r="B383" s="6" t="s">
        <v>645</v>
      </c>
      <c r="C383" s="6" t="s">
        <v>28</v>
      </c>
      <c r="D383" s="21">
        <v>43788</v>
      </c>
      <c r="E383" s="7" t="s">
        <v>32</v>
      </c>
      <c r="F383" s="7">
        <v>13523</v>
      </c>
      <c r="G383" s="7">
        <v>340</v>
      </c>
      <c r="H383" s="7">
        <v>6</v>
      </c>
      <c r="I383" s="10" t="s">
        <v>30</v>
      </c>
      <c r="J383" s="9">
        <v>50000</v>
      </c>
      <c r="K383" s="43"/>
      <c r="L383" s="44"/>
      <c r="M383" s="18"/>
      <c r="N383" s="45"/>
      <c r="O383" s="45"/>
      <c r="P383" s="45"/>
      <c r="Q383" s="23">
        <v>43970</v>
      </c>
      <c r="R383" s="9">
        <v>169</v>
      </c>
      <c r="S383" s="108">
        <v>50000</v>
      </c>
      <c r="U383" s="40">
        <f t="shared" si="9"/>
        <v>5665806</v>
      </c>
      <c r="Y383" s="65"/>
      <c r="Z383" s="35"/>
      <c r="AA383" s="34"/>
    </row>
    <row r="384" spans="1:27" ht="15.75" customHeight="1" x14ac:dyDescent="0.25">
      <c r="A384" s="6" t="s">
        <v>646</v>
      </c>
      <c r="B384" s="6" t="s">
        <v>345</v>
      </c>
      <c r="D384" s="21"/>
      <c r="G384" s="7">
        <v>341</v>
      </c>
      <c r="H384" s="7"/>
      <c r="K384" s="43"/>
      <c r="L384" s="44"/>
      <c r="M384" s="18"/>
      <c r="N384" s="45"/>
      <c r="O384" s="45"/>
      <c r="P384" s="45"/>
      <c r="U384" s="40">
        <f t="shared" si="9"/>
        <v>5665806</v>
      </c>
      <c r="Y384" s="65"/>
      <c r="Z384" s="35"/>
      <c r="AA384" s="34"/>
    </row>
    <row r="385" spans="1:27" ht="15.75" customHeight="1" x14ac:dyDescent="0.25">
      <c r="A385" s="6" t="s">
        <v>646</v>
      </c>
      <c r="B385" s="6" t="s">
        <v>647</v>
      </c>
      <c r="C385" s="6" t="s">
        <v>648</v>
      </c>
      <c r="D385" s="21">
        <v>43788</v>
      </c>
      <c r="E385" s="7" t="s">
        <v>32</v>
      </c>
      <c r="F385" s="7">
        <v>13528</v>
      </c>
      <c r="G385" s="7">
        <v>342</v>
      </c>
      <c r="H385" s="7">
        <v>12</v>
      </c>
      <c r="I385" s="10" t="s">
        <v>30</v>
      </c>
      <c r="J385" s="9">
        <v>4000</v>
      </c>
      <c r="K385" s="43"/>
      <c r="L385" s="44"/>
      <c r="M385" s="18"/>
      <c r="N385" s="45"/>
      <c r="O385" s="45"/>
      <c r="P385" s="45"/>
      <c r="Q385" s="23">
        <v>44162</v>
      </c>
      <c r="R385" s="9">
        <v>2628</v>
      </c>
      <c r="S385" s="108">
        <v>4000</v>
      </c>
      <c r="U385" s="40">
        <f t="shared" si="9"/>
        <v>5669806</v>
      </c>
      <c r="Y385" s="65"/>
      <c r="Z385" s="35"/>
      <c r="AA385" s="34"/>
    </row>
    <row r="386" spans="1:27" ht="15.75" customHeight="1" x14ac:dyDescent="0.25">
      <c r="A386" s="6" t="s">
        <v>384</v>
      </c>
      <c r="B386" s="6" t="s">
        <v>385</v>
      </c>
      <c r="C386" s="6" t="s">
        <v>386</v>
      </c>
      <c r="D386" s="21">
        <v>43789</v>
      </c>
      <c r="E386" s="7" t="s">
        <v>32</v>
      </c>
      <c r="F386" s="7">
        <v>13547</v>
      </c>
      <c r="G386" s="7">
        <v>343</v>
      </c>
      <c r="H386" s="7">
        <v>6</v>
      </c>
      <c r="I386" s="10" t="s">
        <v>30</v>
      </c>
      <c r="J386" s="9">
        <v>8500</v>
      </c>
      <c r="K386" s="43"/>
      <c r="L386" s="44"/>
      <c r="M386" s="18"/>
      <c r="N386" s="45"/>
      <c r="O386" s="45"/>
      <c r="P386" s="45"/>
      <c r="Q386" s="23">
        <v>43986</v>
      </c>
      <c r="R386" s="9">
        <v>316</v>
      </c>
      <c r="S386" s="108">
        <v>8500</v>
      </c>
      <c r="U386" s="40">
        <f t="shared" si="9"/>
        <v>5678306</v>
      </c>
      <c r="Y386" s="65"/>
      <c r="Z386" s="35"/>
      <c r="AA386" s="34"/>
    </row>
    <row r="387" spans="1:27" ht="15.75" customHeight="1" x14ac:dyDescent="0.25">
      <c r="A387" s="6" t="s">
        <v>649</v>
      </c>
      <c r="B387" s="6" t="s">
        <v>650</v>
      </c>
      <c r="C387" s="6" t="s">
        <v>651</v>
      </c>
      <c r="D387" s="21">
        <v>43796</v>
      </c>
      <c r="E387" s="7" t="s">
        <v>32</v>
      </c>
      <c r="F387" s="7">
        <v>13567</v>
      </c>
      <c r="G387" s="7">
        <v>344</v>
      </c>
      <c r="H387" s="7">
        <v>12</v>
      </c>
      <c r="I387" s="10" t="s">
        <v>30</v>
      </c>
      <c r="J387" s="9">
        <v>2000</v>
      </c>
      <c r="K387" s="43"/>
      <c r="L387" s="44"/>
      <c r="M387" s="18"/>
      <c r="N387" s="45"/>
      <c r="O387" s="45"/>
      <c r="P387" s="45"/>
      <c r="Q387" s="23">
        <v>44158</v>
      </c>
      <c r="R387" s="9">
        <v>2555</v>
      </c>
      <c r="S387" s="108">
        <v>2000</v>
      </c>
      <c r="U387" s="40">
        <f t="shared" si="9"/>
        <v>5680306</v>
      </c>
      <c r="Y387" s="65"/>
      <c r="Z387" s="35"/>
      <c r="AA387" s="34"/>
    </row>
    <row r="388" spans="1:27" ht="15.75" customHeight="1" x14ac:dyDescent="0.25">
      <c r="A388" s="6" t="s">
        <v>652</v>
      </c>
      <c r="B388" s="6" t="s">
        <v>653</v>
      </c>
      <c r="C388" s="6" t="s">
        <v>28</v>
      </c>
      <c r="D388" s="21">
        <v>43791</v>
      </c>
      <c r="E388" s="7" t="s">
        <v>32</v>
      </c>
      <c r="F388" s="7">
        <v>13585</v>
      </c>
      <c r="G388" s="7">
        <v>345</v>
      </c>
      <c r="H388" s="7">
        <v>6</v>
      </c>
      <c r="I388" s="10" t="s">
        <v>30</v>
      </c>
      <c r="J388" s="9">
        <v>110000</v>
      </c>
      <c r="K388" s="43"/>
      <c r="L388" s="44"/>
      <c r="M388" s="18"/>
      <c r="N388" s="45"/>
      <c r="O388" s="45"/>
      <c r="P388" s="45"/>
      <c r="Q388" s="23">
        <v>43977</v>
      </c>
      <c r="R388" s="9">
        <v>234</v>
      </c>
      <c r="S388" s="108">
        <v>110000</v>
      </c>
      <c r="U388" s="40">
        <f t="shared" si="9"/>
        <v>5790306</v>
      </c>
      <c r="Y388" s="65"/>
      <c r="Z388" s="35"/>
      <c r="AA388" s="34"/>
    </row>
    <row r="389" spans="1:27" ht="15.75" customHeight="1" x14ac:dyDescent="0.25">
      <c r="A389" s="6" t="s">
        <v>654</v>
      </c>
      <c r="B389" s="6" t="s">
        <v>655</v>
      </c>
      <c r="C389" s="6" t="s">
        <v>598</v>
      </c>
      <c r="D389" s="21">
        <v>43794</v>
      </c>
      <c r="E389" s="7" t="s">
        <v>32</v>
      </c>
      <c r="F389" s="7">
        <v>13612</v>
      </c>
      <c r="G389" s="7">
        <v>346</v>
      </c>
      <c r="H389" s="7">
        <v>6</v>
      </c>
      <c r="I389" s="10" t="s">
        <v>30</v>
      </c>
      <c r="J389" s="9">
        <v>150000</v>
      </c>
      <c r="K389" s="43"/>
      <c r="L389" s="44"/>
      <c r="M389" s="18"/>
      <c r="N389" s="45"/>
      <c r="O389" s="45"/>
      <c r="P389" s="45"/>
      <c r="Q389" s="23">
        <v>43976</v>
      </c>
      <c r="R389" s="9">
        <v>218</v>
      </c>
      <c r="S389" s="108">
        <v>150000</v>
      </c>
      <c r="U389" s="40">
        <f t="shared" si="9"/>
        <v>5940306</v>
      </c>
      <c r="Y389" s="65"/>
      <c r="Z389" s="35"/>
      <c r="AA389" s="34"/>
    </row>
    <row r="390" spans="1:27" ht="15.75" customHeight="1" x14ac:dyDescent="0.25">
      <c r="A390" s="6" t="s">
        <v>254</v>
      </c>
      <c r="B390" s="6" t="s">
        <v>656</v>
      </c>
      <c r="C390" s="6" t="s">
        <v>657</v>
      </c>
      <c r="D390" s="21">
        <v>43795</v>
      </c>
      <c r="E390" s="7" t="s">
        <v>32</v>
      </c>
      <c r="F390" s="7">
        <v>13661</v>
      </c>
      <c r="G390" s="7">
        <v>347</v>
      </c>
      <c r="H390" s="7">
        <v>12</v>
      </c>
      <c r="I390" s="10" t="s">
        <v>30</v>
      </c>
      <c r="J390" s="9">
        <v>44000</v>
      </c>
      <c r="K390" s="43"/>
      <c r="L390" s="44"/>
      <c r="M390" s="18"/>
      <c r="N390" s="45"/>
      <c r="O390" s="45"/>
      <c r="P390" s="45"/>
      <c r="Q390" s="23">
        <v>44161</v>
      </c>
      <c r="R390" s="9">
        <v>2610</v>
      </c>
      <c r="S390" s="108">
        <v>44000</v>
      </c>
      <c r="U390" s="40">
        <f t="shared" si="9"/>
        <v>5984306</v>
      </c>
      <c r="Y390" s="65"/>
      <c r="Z390" s="35"/>
      <c r="AA390" s="34"/>
    </row>
    <row r="391" spans="1:27" ht="15.75" customHeight="1" x14ac:dyDescent="0.25">
      <c r="A391" s="6" t="s">
        <v>658</v>
      </c>
      <c r="B391" s="6" t="s">
        <v>659</v>
      </c>
      <c r="C391" s="6" t="s">
        <v>660</v>
      </c>
      <c r="D391" s="21">
        <v>43797</v>
      </c>
      <c r="E391" s="7" t="s">
        <v>32</v>
      </c>
      <c r="F391" s="7">
        <v>13689</v>
      </c>
      <c r="G391" s="7">
        <v>348</v>
      </c>
      <c r="H391" s="7">
        <v>24</v>
      </c>
      <c r="I391" s="10" t="s">
        <v>30</v>
      </c>
      <c r="J391" s="9">
        <v>10000</v>
      </c>
      <c r="K391" s="43"/>
      <c r="L391" s="44"/>
      <c r="M391" s="18"/>
      <c r="N391" s="45"/>
      <c r="O391" s="45"/>
      <c r="P391" s="45"/>
      <c r="Q391" s="23">
        <v>44538</v>
      </c>
      <c r="R391" s="9">
        <v>4614</v>
      </c>
      <c r="S391" s="108">
        <v>10000</v>
      </c>
      <c r="U391" s="40">
        <f t="shared" si="9"/>
        <v>5994306</v>
      </c>
      <c r="Y391" s="65"/>
      <c r="Z391" s="35"/>
      <c r="AA391" s="34"/>
    </row>
    <row r="392" spans="1:27" ht="15.75" customHeight="1" x14ac:dyDescent="0.25">
      <c r="A392" s="6" t="s">
        <v>661</v>
      </c>
      <c r="B392" s="6" t="s">
        <v>662</v>
      </c>
      <c r="C392" s="6" t="s">
        <v>663</v>
      </c>
      <c r="D392" s="21">
        <v>43800</v>
      </c>
      <c r="E392" s="7" t="s">
        <v>32</v>
      </c>
      <c r="F392" s="7">
        <v>13730</v>
      </c>
      <c r="G392" s="7">
        <v>349</v>
      </c>
      <c r="H392" s="7">
        <v>12</v>
      </c>
      <c r="I392" s="10" t="s">
        <v>30</v>
      </c>
      <c r="J392" s="9">
        <v>300000</v>
      </c>
      <c r="K392" s="43"/>
      <c r="L392" s="44"/>
      <c r="M392" s="18"/>
      <c r="N392" s="45"/>
      <c r="O392" s="45"/>
      <c r="P392" s="45"/>
      <c r="Q392" s="23">
        <v>44168</v>
      </c>
      <c r="R392" s="9">
        <v>2700</v>
      </c>
      <c r="S392" s="108">
        <v>300000</v>
      </c>
      <c r="U392" s="40">
        <f t="shared" si="9"/>
        <v>6294306</v>
      </c>
      <c r="Y392" s="65"/>
      <c r="Z392" s="35"/>
      <c r="AA392" s="34"/>
    </row>
    <row r="393" spans="1:27" ht="15.75" customHeight="1" x14ac:dyDescent="0.25">
      <c r="A393" s="6" t="s">
        <v>289</v>
      </c>
      <c r="B393" s="6" t="s">
        <v>664</v>
      </c>
      <c r="C393" s="6" t="s">
        <v>665</v>
      </c>
      <c r="D393" s="21">
        <v>43801</v>
      </c>
      <c r="E393" s="7" t="s">
        <v>32</v>
      </c>
      <c r="F393" s="7">
        <v>13755</v>
      </c>
      <c r="G393" s="7">
        <v>350</v>
      </c>
      <c r="H393" s="7">
        <v>12</v>
      </c>
      <c r="I393" s="10" t="s">
        <v>30</v>
      </c>
      <c r="J393" s="9">
        <v>2350</v>
      </c>
      <c r="K393" s="43"/>
      <c r="L393" s="44"/>
      <c r="M393" s="18"/>
      <c r="N393" s="45"/>
      <c r="O393" s="45"/>
      <c r="P393" s="45"/>
      <c r="Q393" s="23">
        <v>44235</v>
      </c>
      <c r="R393" s="9">
        <v>690</v>
      </c>
      <c r="S393" s="108">
        <v>2350</v>
      </c>
      <c r="U393" s="40">
        <f t="shared" si="9"/>
        <v>6296656</v>
      </c>
      <c r="Y393" s="65"/>
      <c r="Z393" s="35"/>
      <c r="AA393" s="34"/>
    </row>
    <row r="394" spans="1:27" ht="15.75" customHeight="1" x14ac:dyDescent="0.25">
      <c r="A394" s="6" t="s">
        <v>661</v>
      </c>
      <c r="B394" s="6" t="s">
        <v>662</v>
      </c>
      <c r="C394" s="6" t="s">
        <v>666</v>
      </c>
      <c r="D394" s="21">
        <v>43802</v>
      </c>
      <c r="E394" s="7" t="s">
        <v>32</v>
      </c>
      <c r="F394" s="7">
        <v>13790</v>
      </c>
      <c r="G394" s="7">
        <v>351</v>
      </c>
      <c r="H394" s="7">
        <v>12</v>
      </c>
      <c r="I394" s="10" t="s">
        <v>30</v>
      </c>
      <c r="J394" s="9">
        <v>50000</v>
      </c>
      <c r="K394" s="43"/>
      <c r="L394" s="44"/>
      <c r="M394" s="18"/>
      <c r="N394" s="45"/>
      <c r="O394" s="45"/>
      <c r="P394" s="45"/>
      <c r="Q394" s="23">
        <v>44168</v>
      </c>
      <c r="R394" s="9">
        <v>2701</v>
      </c>
      <c r="S394" s="108">
        <v>50000</v>
      </c>
      <c r="U394" s="40">
        <f t="shared" si="9"/>
        <v>6346656</v>
      </c>
      <c r="Y394" s="65"/>
      <c r="Z394" s="35"/>
      <c r="AA394" s="34"/>
    </row>
    <row r="395" spans="1:27" ht="15.75" customHeight="1" x14ac:dyDescent="0.25">
      <c r="A395" s="6" t="s">
        <v>286</v>
      </c>
      <c r="B395" s="6" t="s">
        <v>667</v>
      </c>
      <c r="C395" s="6" t="s">
        <v>288</v>
      </c>
      <c r="D395" s="21">
        <v>43804</v>
      </c>
      <c r="E395" s="7" t="s">
        <v>32</v>
      </c>
      <c r="F395" s="7">
        <v>13832</v>
      </c>
      <c r="G395" s="7">
        <v>352</v>
      </c>
      <c r="H395" s="7">
        <v>6</v>
      </c>
      <c r="I395" s="10" t="s">
        <v>30</v>
      </c>
      <c r="J395" s="9">
        <v>10000</v>
      </c>
      <c r="K395" s="43"/>
      <c r="L395" s="44"/>
      <c r="M395" s="18"/>
      <c r="N395" s="45"/>
      <c r="O395" s="45"/>
      <c r="P395" s="45"/>
      <c r="Q395" s="23">
        <v>43987</v>
      </c>
      <c r="R395" s="9">
        <v>324</v>
      </c>
      <c r="S395" s="108">
        <v>10000</v>
      </c>
      <c r="U395" s="40">
        <f t="shared" si="9"/>
        <v>6356656</v>
      </c>
      <c r="Y395" s="65"/>
      <c r="Z395" s="35"/>
      <c r="AA395" s="34"/>
    </row>
    <row r="396" spans="1:27" ht="15.75" customHeight="1" x14ac:dyDescent="0.25">
      <c r="A396" s="6" t="s">
        <v>668</v>
      </c>
      <c r="B396" s="6" t="s">
        <v>669</v>
      </c>
      <c r="C396" s="6" t="s">
        <v>670</v>
      </c>
      <c r="D396" s="21">
        <v>43805</v>
      </c>
      <c r="E396" s="7" t="s">
        <v>32</v>
      </c>
      <c r="F396" s="7">
        <v>13865</v>
      </c>
      <c r="G396" s="7">
        <v>353</v>
      </c>
      <c r="H396" s="7">
        <v>12</v>
      </c>
      <c r="I396" s="10" t="s">
        <v>30</v>
      </c>
      <c r="J396" s="9">
        <v>7000</v>
      </c>
      <c r="K396" s="43"/>
      <c r="L396" s="44"/>
      <c r="M396" s="18"/>
      <c r="N396" s="45"/>
      <c r="O396" s="45"/>
      <c r="P396" s="45"/>
      <c r="Q396" s="23">
        <v>44187</v>
      </c>
      <c r="R396" s="9">
        <v>192</v>
      </c>
      <c r="S396" s="108">
        <v>7000</v>
      </c>
      <c r="U396" s="40">
        <f t="shared" si="9"/>
        <v>6363656</v>
      </c>
      <c r="Y396" s="65"/>
      <c r="Z396" s="35"/>
      <c r="AA396" s="34"/>
    </row>
    <row r="397" spans="1:27" ht="15.75" customHeight="1" x14ac:dyDescent="0.25">
      <c r="A397" s="6" t="s">
        <v>671</v>
      </c>
      <c r="B397" s="6" t="s">
        <v>672</v>
      </c>
      <c r="C397" s="6" t="s">
        <v>673</v>
      </c>
      <c r="D397" s="21">
        <v>43808</v>
      </c>
      <c r="E397" s="7" t="s">
        <v>32</v>
      </c>
      <c r="F397" s="7">
        <v>13915</v>
      </c>
      <c r="G397" s="7">
        <v>354</v>
      </c>
      <c r="H397" s="7">
        <v>6</v>
      </c>
      <c r="I397" s="10" t="s">
        <v>30</v>
      </c>
      <c r="J397" s="9">
        <v>30850</v>
      </c>
      <c r="K397" s="43"/>
      <c r="L397" s="44"/>
      <c r="M397" s="18"/>
      <c r="N397" s="45"/>
      <c r="O397" s="45"/>
      <c r="P397" s="45"/>
      <c r="Q397" s="23">
        <v>43992</v>
      </c>
      <c r="R397" s="9">
        <v>372</v>
      </c>
      <c r="S397" s="108">
        <v>30850</v>
      </c>
      <c r="U397" s="40">
        <f t="shared" si="9"/>
        <v>6394506</v>
      </c>
      <c r="Y397" s="65"/>
      <c r="Z397" s="35"/>
      <c r="AA397" s="34"/>
    </row>
    <row r="398" spans="1:27" ht="15.75" customHeight="1" x14ac:dyDescent="0.25">
      <c r="A398" s="6" t="s">
        <v>674</v>
      </c>
      <c r="B398" s="6" t="s">
        <v>675</v>
      </c>
      <c r="C398" s="6" t="s">
        <v>676</v>
      </c>
      <c r="D398" s="21">
        <v>43808</v>
      </c>
      <c r="E398" s="7" t="s">
        <v>32</v>
      </c>
      <c r="F398" s="7">
        <v>13923</v>
      </c>
      <c r="G398" s="7">
        <v>355</v>
      </c>
      <c r="H398" s="7">
        <v>6</v>
      </c>
      <c r="I398" s="10" t="s">
        <v>30</v>
      </c>
      <c r="J398" s="9">
        <v>10000</v>
      </c>
      <c r="K398" s="43"/>
      <c r="L398" s="44"/>
      <c r="M398" s="18"/>
      <c r="N398" s="45"/>
      <c r="O398" s="45"/>
      <c r="P398" s="45"/>
      <c r="Q398" s="23">
        <v>43992</v>
      </c>
      <c r="R398" s="9">
        <v>375</v>
      </c>
      <c r="S398" s="108">
        <v>10000</v>
      </c>
      <c r="U398" s="40">
        <f t="shared" si="9"/>
        <v>6404506</v>
      </c>
      <c r="Y398" s="65"/>
      <c r="Z398" s="35"/>
      <c r="AA398" s="34"/>
    </row>
    <row r="399" spans="1:27" ht="15.75" customHeight="1" x14ac:dyDescent="0.25">
      <c r="A399" s="6" t="s">
        <v>677</v>
      </c>
      <c r="B399" s="6" t="s">
        <v>678</v>
      </c>
      <c r="C399" s="6" t="s">
        <v>679</v>
      </c>
      <c r="D399" s="21">
        <v>43809</v>
      </c>
      <c r="E399" s="7" t="s">
        <v>27</v>
      </c>
      <c r="F399" s="7">
        <v>13952</v>
      </c>
      <c r="G399" s="7">
        <v>356</v>
      </c>
      <c r="H399" s="7">
        <v>12</v>
      </c>
      <c r="I399" s="10" t="s">
        <v>30</v>
      </c>
      <c r="J399" s="9">
        <v>4000</v>
      </c>
      <c r="K399" s="43"/>
      <c r="L399" s="44"/>
      <c r="M399" s="18"/>
      <c r="N399" s="45"/>
      <c r="O399" s="45"/>
      <c r="P399" s="45"/>
      <c r="Q399" s="23">
        <v>44179</v>
      </c>
      <c r="R399" s="9">
        <v>2804</v>
      </c>
      <c r="S399" s="108">
        <v>4000</v>
      </c>
      <c r="U399" s="40">
        <f t="shared" si="9"/>
        <v>6408506</v>
      </c>
      <c r="Y399" s="65"/>
      <c r="Z399" s="35"/>
      <c r="AA399" s="34"/>
    </row>
    <row r="400" spans="1:27" ht="15.75" customHeight="1" x14ac:dyDescent="0.25">
      <c r="A400" s="6" t="s">
        <v>28</v>
      </c>
      <c r="B400" s="6" t="s">
        <v>345</v>
      </c>
      <c r="D400" s="21"/>
      <c r="G400" s="7">
        <v>357</v>
      </c>
      <c r="H400" s="7"/>
      <c r="K400" s="43"/>
      <c r="L400" s="44"/>
      <c r="M400" s="18"/>
      <c r="N400" s="45"/>
      <c r="O400" s="45"/>
      <c r="P400" s="45"/>
      <c r="U400" s="40">
        <f t="shared" si="9"/>
        <v>6408506</v>
      </c>
      <c r="Y400" s="65"/>
      <c r="Z400" s="35"/>
      <c r="AA400" s="34"/>
    </row>
    <row r="401" spans="1:27" ht="15.75" customHeight="1" x14ac:dyDescent="0.25">
      <c r="A401" s="6" t="s">
        <v>680</v>
      </c>
      <c r="B401" s="6" t="s">
        <v>681</v>
      </c>
      <c r="C401" s="6" t="s">
        <v>682</v>
      </c>
      <c r="D401" s="21">
        <v>43811</v>
      </c>
      <c r="E401" s="7" t="s">
        <v>27</v>
      </c>
      <c r="F401" s="7">
        <v>13975</v>
      </c>
      <c r="G401" s="7">
        <v>358</v>
      </c>
      <c r="H401" s="7">
        <v>12</v>
      </c>
      <c r="I401" s="10" t="s">
        <v>30</v>
      </c>
      <c r="J401" s="9">
        <v>25000</v>
      </c>
      <c r="K401" s="43"/>
      <c r="L401" s="44"/>
      <c r="M401" s="18"/>
      <c r="N401" s="45"/>
      <c r="O401" s="45"/>
      <c r="P401" s="45"/>
      <c r="Q401" s="23">
        <v>44179</v>
      </c>
      <c r="R401" s="9">
        <v>2800</v>
      </c>
      <c r="S401" s="108">
        <v>25000</v>
      </c>
      <c r="U401" s="40">
        <f t="shared" si="9"/>
        <v>6433506</v>
      </c>
      <c r="Y401" s="65"/>
      <c r="Z401" s="35"/>
      <c r="AA401" s="34"/>
    </row>
    <row r="402" spans="1:27" ht="15.75" customHeight="1" x14ac:dyDescent="0.25">
      <c r="A402" s="6" t="s">
        <v>683</v>
      </c>
      <c r="B402" s="6" t="s">
        <v>345</v>
      </c>
      <c r="D402" s="21"/>
      <c r="G402" s="7">
        <v>359</v>
      </c>
      <c r="H402" s="7"/>
      <c r="K402" s="43"/>
      <c r="L402" s="44"/>
      <c r="M402" s="18"/>
      <c r="N402" s="45"/>
      <c r="O402" s="45"/>
      <c r="P402" s="45"/>
      <c r="U402" s="40">
        <f t="shared" si="9"/>
        <v>6433506</v>
      </c>
      <c r="Y402" s="65"/>
      <c r="Z402" s="35"/>
      <c r="AA402" s="34"/>
    </row>
    <row r="403" spans="1:27" ht="15.75" customHeight="1" x14ac:dyDescent="0.25">
      <c r="A403" s="6" t="s">
        <v>684</v>
      </c>
      <c r="B403" s="6" t="s">
        <v>685</v>
      </c>
      <c r="C403" s="6" t="s">
        <v>686</v>
      </c>
      <c r="D403" s="21">
        <v>43816</v>
      </c>
      <c r="E403" s="7" t="s">
        <v>27</v>
      </c>
      <c r="F403" s="7">
        <v>14075</v>
      </c>
      <c r="G403" s="7">
        <v>360</v>
      </c>
      <c r="H403" s="7">
        <v>12</v>
      </c>
      <c r="I403" s="10" t="s">
        <v>30</v>
      </c>
      <c r="J403" s="9">
        <v>30000</v>
      </c>
      <c r="K403" s="43"/>
      <c r="L403" s="44"/>
      <c r="M403" s="18"/>
      <c r="N403" s="45"/>
      <c r="O403" s="45"/>
      <c r="P403" s="45"/>
      <c r="Q403" s="23">
        <v>44186</v>
      </c>
      <c r="R403" s="9">
        <v>2869</v>
      </c>
      <c r="S403" s="108">
        <v>30000</v>
      </c>
      <c r="U403" s="40">
        <f t="shared" si="9"/>
        <v>6463506</v>
      </c>
      <c r="Y403" s="65"/>
      <c r="Z403" s="35"/>
      <c r="AA403" s="34"/>
    </row>
    <row r="404" spans="1:27" ht="15.75" customHeight="1" x14ac:dyDescent="0.25">
      <c r="A404" s="6" t="s">
        <v>687</v>
      </c>
      <c r="B404" s="6" t="s">
        <v>688</v>
      </c>
      <c r="C404" s="6" t="s">
        <v>689</v>
      </c>
      <c r="D404" s="21">
        <v>43816</v>
      </c>
      <c r="E404" s="7" t="s">
        <v>27</v>
      </c>
      <c r="F404" s="7">
        <v>14060</v>
      </c>
      <c r="G404" s="7">
        <v>361</v>
      </c>
      <c r="H404" s="7">
        <v>6</v>
      </c>
      <c r="I404" s="10" t="s">
        <v>30</v>
      </c>
      <c r="J404" s="9">
        <v>10000</v>
      </c>
      <c r="K404" s="43"/>
      <c r="L404" s="44"/>
      <c r="M404" s="18"/>
      <c r="N404" s="45"/>
      <c r="O404" s="45"/>
      <c r="P404" s="45"/>
      <c r="Q404" s="23">
        <v>43999</v>
      </c>
      <c r="R404" s="9">
        <v>451</v>
      </c>
      <c r="S404" s="108">
        <v>10000</v>
      </c>
      <c r="U404" s="40">
        <f t="shared" si="9"/>
        <v>6473506</v>
      </c>
      <c r="Y404" s="65"/>
      <c r="Z404" s="35"/>
      <c r="AA404" s="34"/>
    </row>
    <row r="405" spans="1:27" ht="15.75" customHeight="1" x14ac:dyDescent="0.25">
      <c r="A405" s="6" t="s">
        <v>690</v>
      </c>
      <c r="B405" s="6" t="s">
        <v>345</v>
      </c>
      <c r="D405" s="21"/>
      <c r="G405" s="7">
        <v>362</v>
      </c>
      <c r="H405" s="7"/>
      <c r="K405" s="43"/>
      <c r="L405" s="44"/>
      <c r="M405" s="18"/>
      <c r="N405" s="45"/>
      <c r="O405" s="45"/>
      <c r="P405" s="45"/>
      <c r="U405" s="40">
        <f t="shared" si="9"/>
        <v>6473506</v>
      </c>
      <c r="Y405" s="65"/>
      <c r="Z405" s="35"/>
      <c r="AA405" s="34"/>
    </row>
    <row r="406" spans="1:27" ht="15.75" customHeight="1" x14ac:dyDescent="0.25">
      <c r="A406" s="6" t="s">
        <v>691</v>
      </c>
      <c r="B406" s="6" t="s">
        <v>692</v>
      </c>
      <c r="C406" s="6" t="s">
        <v>693</v>
      </c>
      <c r="D406" s="21">
        <v>43816</v>
      </c>
      <c r="E406" s="7" t="s">
        <v>32</v>
      </c>
      <c r="F406" s="7">
        <v>14061</v>
      </c>
      <c r="G406" s="7">
        <v>363</v>
      </c>
      <c r="H406" s="7">
        <v>6</v>
      </c>
      <c r="I406" s="10" t="s">
        <v>30</v>
      </c>
      <c r="J406" s="9">
        <v>77000</v>
      </c>
      <c r="K406" s="43"/>
      <c r="L406" s="44"/>
      <c r="M406" s="18"/>
      <c r="N406" s="45"/>
      <c r="O406" s="45"/>
      <c r="P406" s="45"/>
      <c r="Q406" s="23">
        <v>43999</v>
      </c>
      <c r="R406" s="9">
        <v>450</v>
      </c>
      <c r="S406" s="108">
        <v>77000</v>
      </c>
      <c r="U406" s="40">
        <f t="shared" si="9"/>
        <v>6550506</v>
      </c>
      <c r="Y406" s="65"/>
      <c r="Z406" s="35"/>
      <c r="AA406" s="34"/>
    </row>
    <row r="407" spans="1:27" ht="15.75" customHeight="1" x14ac:dyDescent="0.25">
      <c r="A407" s="6" t="s">
        <v>694</v>
      </c>
      <c r="B407" s="6" t="s">
        <v>695</v>
      </c>
      <c r="C407" s="6" t="s">
        <v>69</v>
      </c>
      <c r="D407" s="21">
        <v>43816</v>
      </c>
      <c r="E407" s="7" t="s">
        <v>32</v>
      </c>
      <c r="F407" s="7">
        <v>14083</v>
      </c>
      <c r="G407" s="7">
        <v>364</v>
      </c>
      <c r="H407" s="7">
        <v>12</v>
      </c>
      <c r="I407" s="10" t="s">
        <v>30</v>
      </c>
      <c r="J407" s="9">
        <v>5500</v>
      </c>
      <c r="K407" s="43"/>
      <c r="L407" s="44"/>
      <c r="M407" s="18"/>
      <c r="N407" s="45"/>
      <c r="O407" s="45"/>
      <c r="P407" s="45"/>
      <c r="Q407" s="23">
        <v>44182</v>
      </c>
      <c r="R407" s="9">
        <v>2835</v>
      </c>
      <c r="S407" s="108">
        <v>5500</v>
      </c>
      <c r="U407" s="40">
        <f t="shared" si="9"/>
        <v>6556006</v>
      </c>
      <c r="Y407" s="65"/>
      <c r="Z407" s="35"/>
      <c r="AA407" s="34"/>
    </row>
    <row r="408" spans="1:27" ht="15.75" customHeight="1" x14ac:dyDescent="0.25">
      <c r="A408" s="6" t="s">
        <v>67</v>
      </c>
      <c r="B408" s="6" t="s">
        <v>696</v>
      </c>
      <c r="C408" s="6" t="s">
        <v>69</v>
      </c>
      <c r="D408" s="21">
        <v>43816</v>
      </c>
      <c r="E408" s="7" t="s">
        <v>32</v>
      </c>
      <c r="F408" s="7">
        <v>14099</v>
      </c>
      <c r="G408" s="7">
        <v>365</v>
      </c>
      <c r="H408" s="7">
        <v>12</v>
      </c>
      <c r="I408" s="10" t="s">
        <v>30</v>
      </c>
      <c r="J408" s="9">
        <v>10800</v>
      </c>
      <c r="K408" s="43"/>
      <c r="L408" s="44"/>
      <c r="M408" s="18"/>
      <c r="N408" s="45"/>
      <c r="O408" s="45"/>
      <c r="P408" s="45"/>
      <c r="Q408" s="23">
        <v>44186</v>
      </c>
      <c r="R408" s="9">
        <v>2873</v>
      </c>
      <c r="S408" s="108">
        <v>10800</v>
      </c>
      <c r="U408" s="40">
        <f t="shared" si="9"/>
        <v>6566806</v>
      </c>
      <c r="Y408" s="65"/>
      <c r="Z408" s="35"/>
      <c r="AA408" s="34"/>
    </row>
    <row r="409" spans="1:27" ht="15.75" customHeight="1" x14ac:dyDescent="0.25">
      <c r="A409" s="6" t="s">
        <v>697</v>
      </c>
      <c r="B409" s="6" t="s">
        <v>698</v>
      </c>
      <c r="C409" s="6" t="s">
        <v>699</v>
      </c>
      <c r="D409" s="21">
        <v>43818</v>
      </c>
      <c r="E409" s="7" t="s">
        <v>27</v>
      </c>
      <c r="F409" s="7">
        <v>14036</v>
      </c>
      <c r="G409" s="7">
        <v>366</v>
      </c>
      <c r="H409" s="7">
        <v>12</v>
      </c>
      <c r="I409" s="10" t="s">
        <v>30</v>
      </c>
      <c r="J409" s="9">
        <v>1000</v>
      </c>
      <c r="K409" s="43"/>
      <c r="L409" s="44"/>
      <c r="M409" s="18"/>
      <c r="N409" s="45"/>
      <c r="O409" s="45"/>
      <c r="P409" s="45"/>
      <c r="Q409" s="23">
        <v>44188</v>
      </c>
      <c r="R409" s="9">
        <v>196</v>
      </c>
      <c r="S409" s="108">
        <v>1000</v>
      </c>
      <c r="U409" s="40">
        <f t="shared" si="9"/>
        <v>6567806</v>
      </c>
      <c r="Y409" s="65"/>
      <c r="Z409" s="35"/>
      <c r="AA409" s="34"/>
    </row>
    <row r="410" spans="1:27" ht="15.75" customHeight="1" x14ac:dyDescent="0.25">
      <c r="A410" s="6" t="s">
        <v>700</v>
      </c>
      <c r="B410" s="6" t="s">
        <v>701</v>
      </c>
      <c r="C410" s="6" t="s">
        <v>702</v>
      </c>
      <c r="D410" s="21">
        <v>43818</v>
      </c>
      <c r="E410" s="7" t="s">
        <v>27</v>
      </c>
      <c r="F410" s="7">
        <v>14141</v>
      </c>
      <c r="G410" s="7">
        <v>367</v>
      </c>
      <c r="H410" s="7">
        <v>12</v>
      </c>
      <c r="I410" s="10" t="s">
        <v>30</v>
      </c>
      <c r="J410" s="9">
        <v>5000</v>
      </c>
      <c r="K410" s="43"/>
      <c r="L410" s="44"/>
      <c r="M410" s="18"/>
      <c r="N410" s="45"/>
      <c r="O410" s="45"/>
      <c r="P410" s="45"/>
      <c r="Q410" s="23">
        <v>44186</v>
      </c>
      <c r="R410" s="9">
        <v>184</v>
      </c>
      <c r="S410" s="108">
        <v>5000</v>
      </c>
      <c r="U410" s="40">
        <f t="shared" si="9"/>
        <v>6572806</v>
      </c>
      <c r="Y410" s="65"/>
      <c r="Z410" s="35"/>
      <c r="AA410" s="34"/>
    </row>
    <row r="411" spans="1:27" ht="15.75" customHeight="1" x14ac:dyDescent="0.25">
      <c r="A411" s="6" t="s">
        <v>450</v>
      </c>
      <c r="B411" s="6" t="s">
        <v>451</v>
      </c>
      <c r="C411" s="6" t="s">
        <v>703</v>
      </c>
      <c r="D411" s="21">
        <v>43819</v>
      </c>
      <c r="E411" s="7" t="s">
        <v>27</v>
      </c>
      <c r="F411" s="7">
        <v>14144</v>
      </c>
      <c r="G411" s="7">
        <v>368</v>
      </c>
      <c r="H411" s="7">
        <v>12</v>
      </c>
      <c r="I411" s="10" t="s">
        <v>30</v>
      </c>
      <c r="J411" s="9">
        <v>2000</v>
      </c>
      <c r="K411" s="43"/>
      <c r="L411" s="44"/>
      <c r="M411" s="18"/>
      <c r="N411" s="45"/>
      <c r="O411" s="45"/>
      <c r="P411" s="45"/>
      <c r="Q411" s="23">
        <v>44611</v>
      </c>
      <c r="R411" s="9">
        <v>5341</v>
      </c>
      <c r="S411" s="108">
        <v>2000</v>
      </c>
      <c r="U411" s="40">
        <f t="shared" si="9"/>
        <v>6574806</v>
      </c>
      <c r="Y411" s="65"/>
      <c r="Z411" s="35"/>
      <c r="AA411" s="34"/>
    </row>
    <row r="412" spans="1:27" ht="15.75" customHeight="1" x14ac:dyDescent="0.25">
      <c r="A412" s="6" t="s">
        <v>704</v>
      </c>
      <c r="B412" s="6" t="s">
        <v>705</v>
      </c>
      <c r="C412" s="6" t="s">
        <v>706</v>
      </c>
      <c r="D412" s="21">
        <v>43823</v>
      </c>
      <c r="E412" s="7" t="s">
        <v>32</v>
      </c>
      <c r="F412" s="7">
        <v>14256</v>
      </c>
      <c r="G412" s="7">
        <v>369</v>
      </c>
      <c r="H412" s="7">
        <v>12</v>
      </c>
      <c r="I412" s="10" t="s">
        <v>30</v>
      </c>
      <c r="J412" s="9">
        <v>1000</v>
      </c>
      <c r="K412" s="43"/>
      <c r="L412" s="44"/>
      <c r="M412" s="18"/>
      <c r="N412" s="45"/>
      <c r="O412" s="45"/>
      <c r="P412" s="45"/>
      <c r="Q412" s="23">
        <v>44189</v>
      </c>
      <c r="R412" s="9">
        <v>2915</v>
      </c>
      <c r="S412" s="108">
        <v>1000</v>
      </c>
      <c r="U412" s="40">
        <f t="shared" si="9"/>
        <v>6575806</v>
      </c>
      <c r="Y412" s="65"/>
      <c r="Z412" s="35"/>
      <c r="AA412" s="34"/>
    </row>
    <row r="413" spans="1:27" ht="15.75" customHeight="1" x14ac:dyDescent="0.25">
      <c r="A413" s="6" t="s">
        <v>707</v>
      </c>
      <c r="B413" s="6" t="s">
        <v>708</v>
      </c>
      <c r="C413" s="6" t="s">
        <v>709</v>
      </c>
      <c r="D413" s="21">
        <v>43826</v>
      </c>
      <c r="E413" s="7" t="s">
        <v>32</v>
      </c>
      <c r="F413" s="7">
        <v>14298</v>
      </c>
      <c r="G413" s="7">
        <v>370</v>
      </c>
      <c r="H413" s="7">
        <v>12</v>
      </c>
      <c r="I413" s="10" t="s">
        <v>30</v>
      </c>
      <c r="J413" s="9">
        <v>8000</v>
      </c>
      <c r="K413" s="43"/>
      <c r="L413" s="44"/>
      <c r="M413" s="18"/>
      <c r="N413" s="45"/>
      <c r="O413" s="45"/>
      <c r="P413" s="45"/>
      <c r="Q413" s="23">
        <v>44195</v>
      </c>
      <c r="R413" s="9">
        <v>2957</v>
      </c>
      <c r="S413" s="108">
        <v>8000</v>
      </c>
      <c r="U413" s="40">
        <f t="shared" si="9"/>
        <v>6583806</v>
      </c>
      <c r="Y413" s="65"/>
      <c r="Z413" s="35"/>
      <c r="AA413" s="34"/>
    </row>
    <row r="414" spans="1:27" ht="15.75" customHeight="1" x14ac:dyDescent="0.25">
      <c r="A414" s="6" t="s">
        <v>710</v>
      </c>
      <c r="B414" s="6" t="s">
        <v>711</v>
      </c>
      <c r="C414" s="6" t="s">
        <v>712</v>
      </c>
      <c r="D414" s="21">
        <v>43826</v>
      </c>
      <c r="E414" s="7" t="s">
        <v>32</v>
      </c>
      <c r="F414" s="7">
        <v>14307</v>
      </c>
      <c r="G414" s="7">
        <v>371</v>
      </c>
      <c r="H414" s="7">
        <v>12</v>
      </c>
      <c r="I414" s="10" t="s">
        <v>30</v>
      </c>
      <c r="J414" s="9">
        <v>25000</v>
      </c>
      <c r="K414" s="43"/>
      <c r="L414" s="44"/>
      <c r="M414" s="18"/>
      <c r="N414" s="45"/>
      <c r="O414" s="45"/>
      <c r="P414" s="45"/>
      <c r="Q414" s="23">
        <v>44193</v>
      </c>
      <c r="R414" s="9">
        <v>2936</v>
      </c>
      <c r="S414" s="108">
        <v>25000</v>
      </c>
      <c r="U414" s="40">
        <f t="shared" si="9"/>
        <v>6608806</v>
      </c>
      <c r="Y414" s="65"/>
      <c r="Z414" s="35"/>
      <c r="AA414" s="34"/>
    </row>
    <row r="415" spans="1:27" ht="15.75" customHeight="1" x14ac:dyDescent="0.25">
      <c r="A415" s="6" t="s">
        <v>713</v>
      </c>
      <c r="B415" s="6" t="s">
        <v>714</v>
      </c>
      <c r="C415" s="6" t="s">
        <v>715</v>
      </c>
      <c r="D415" s="21">
        <v>43829</v>
      </c>
      <c r="E415" s="7" t="s">
        <v>27</v>
      </c>
      <c r="F415" s="7">
        <v>14346</v>
      </c>
      <c r="G415" s="7">
        <v>372</v>
      </c>
      <c r="H415" s="7">
        <v>3</v>
      </c>
      <c r="I415" s="10" t="s">
        <v>30</v>
      </c>
      <c r="J415" s="9">
        <v>20000</v>
      </c>
      <c r="K415" s="43"/>
      <c r="L415" s="44"/>
      <c r="M415" s="18"/>
      <c r="N415" s="45"/>
      <c r="O415" s="45"/>
      <c r="P415" s="45"/>
      <c r="Q415" s="23">
        <v>43924</v>
      </c>
      <c r="R415" s="9">
        <v>7572</v>
      </c>
      <c r="S415" s="108">
        <v>20000</v>
      </c>
      <c r="U415" s="40">
        <f t="shared" si="9"/>
        <v>6628806</v>
      </c>
      <c r="Y415" s="65"/>
      <c r="Z415" s="35"/>
      <c r="AA415" s="34"/>
    </row>
    <row r="416" spans="1:27" ht="15.75" customHeight="1" x14ac:dyDescent="0.25">
      <c r="A416" s="6" t="s">
        <v>716</v>
      </c>
      <c r="B416" s="6" t="s">
        <v>717</v>
      </c>
      <c r="C416" s="6" t="s">
        <v>718</v>
      </c>
      <c r="D416" s="21">
        <v>43829</v>
      </c>
      <c r="E416" s="7" t="s">
        <v>27</v>
      </c>
      <c r="F416" s="7">
        <v>14357</v>
      </c>
      <c r="G416" s="7">
        <v>373</v>
      </c>
      <c r="H416" s="7">
        <v>12</v>
      </c>
      <c r="I416" s="10" t="s">
        <v>30</v>
      </c>
      <c r="J416" s="9">
        <v>1027</v>
      </c>
      <c r="K416" s="43"/>
      <c r="L416" s="44"/>
      <c r="M416" s="18"/>
      <c r="N416" s="45"/>
      <c r="O416" s="45"/>
      <c r="P416" s="45"/>
      <c r="Q416" s="23">
        <v>44301</v>
      </c>
      <c r="R416" s="9">
        <v>1424</v>
      </c>
      <c r="S416" s="108">
        <v>1027</v>
      </c>
      <c r="U416" s="40">
        <f t="shared" si="9"/>
        <v>6629833</v>
      </c>
      <c r="Y416" s="65"/>
      <c r="Z416" s="35"/>
      <c r="AA416" s="34"/>
    </row>
    <row r="417" spans="1:27" ht="15.75" customHeight="1" x14ac:dyDescent="0.25">
      <c r="A417" s="6" t="s">
        <v>654</v>
      </c>
      <c r="B417" s="6" t="s">
        <v>719</v>
      </c>
      <c r="C417" s="6" t="s">
        <v>720</v>
      </c>
      <c r="D417" s="21">
        <v>43829</v>
      </c>
      <c r="E417" s="7" t="s">
        <v>32</v>
      </c>
      <c r="F417" s="7">
        <v>14363</v>
      </c>
      <c r="G417" s="7">
        <v>374</v>
      </c>
      <c r="H417" s="7">
        <v>12</v>
      </c>
      <c r="I417" s="10" t="s">
        <v>30</v>
      </c>
      <c r="J417" s="9">
        <v>50000</v>
      </c>
      <c r="K417" s="43"/>
      <c r="L417" s="44"/>
      <c r="M417" s="18"/>
      <c r="N417" s="45"/>
      <c r="O417" s="45"/>
      <c r="P417" s="45"/>
      <c r="Q417" s="23">
        <v>44204</v>
      </c>
      <c r="R417" s="9">
        <v>65</v>
      </c>
      <c r="S417" s="108">
        <v>50000</v>
      </c>
      <c r="U417" s="40">
        <f t="shared" si="9"/>
        <v>6679833</v>
      </c>
      <c r="Y417" s="65"/>
      <c r="Z417" s="35"/>
      <c r="AA417" s="34"/>
    </row>
    <row r="418" spans="1:27" ht="15.75" customHeight="1" x14ac:dyDescent="0.25">
      <c r="A418" s="6" t="s">
        <v>721</v>
      </c>
      <c r="B418" s="6" t="s">
        <v>63</v>
      </c>
      <c r="C418" s="6" t="s">
        <v>64</v>
      </c>
      <c r="D418" s="21">
        <v>43829</v>
      </c>
      <c r="E418" s="7" t="s">
        <v>32</v>
      </c>
      <c r="F418" s="7">
        <v>14368</v>
      </c>
      <c r="G418" s="7">
        <v>375</v>
      </c>
      <c r="H418" s="7">
        <v>6</v>
      </c>
      <c r="I418" s="10" t="s">
        <v>30</v>
      </c>
      <c r="J418" s="9">
        <v>15000</v>
      </c>
      <c r="K418" s="43"/>
      <c r="L418" s="44"/>
      <c r="M418" s="18"/>
      <c r="N418" s="45"/>
      <c r="O418" s="45"/>
      <c r="P418" s="45"/>
      <c r="Q418" s="23">
        <v>44013</v>
      </c>
      <c r="R418" s="9">
        <v>579</v>
      </c>
      <c r="S418" s="108">
        <v>15000</v>
      </c>
      <c r="U418" s="40">
        <f t="shared" si="9"/>
        <v>6694833</v>
      </c>
      <c r="Y418" s="65"/>
      <c r="Z418" s="35"/>
      <c r="AA418" s="34"/>
    </row>
    <row r="419" spans="1:27" ht="15.75" customHeight="1" x14ac:dyDescent="0.25">
      <c r="A419" s="6" t="s">
        <v>489</v>
      </c>
      <c r="B419" s="6" t="s">
        <v>490</v>
      </c>
      <c r="C419" s="6" t="s">
        <v>28</v>
      </c>
      <c r="D419" s="21">
        <v>43829</v>
      </c>
      <c r="E419" s="7" t="s">
        <v>32</v>
      </c>
      <c r="F419" s="7">
        <v>14371</v>
      </c>
      <c r="G419" s="7">
        <v>376</v>
      </c>
      <c r="H419" s="7">
        <v>6</v>
      </c>
      <c r="I419" s="10" t="s">
        <v>30</v>
      </c>
      <c r="J419" s="9">
        <v>30000</v>
      </c>
      <c r="K419" s="43"/>
      <c r="L419" s="44"/>
      <c r="M419" s="18"/>
      <c r="N419" s="45"/>
      <c r="O419" s="45"/>
      <c r="P419" s="45"/>
      <c r="Q419" s="23">
        <v>44013</v>
      </c>
      <c r="R419" s="9">
        <v>572</v>
      </c>
      <c r="S419" s="108">
        <v>30000</v>
      </c>
      <c r="U419" s="40">
        <f t="shared" si="9"/>
        <v>6724833</v>
      </c>
      <c r="Y419" s="65"/>
      <c r="Z419" s="35"/>
      <c r="AA419" s="34"/>
    </row>
    <row r="420" spans="1:27" ht="15.75" customHeight="1" x14ac:dyDescent="0.25">
      <c r="A420" s="6" t="s">
        <v>722</v>
      </c>
      <c r="B420" s="6" t="s">
        <v>723</v>
      </c>
      <c r="C420" s="6" t="s">
        <v>366</v>
      </c>
      <c r="D420" s="21">
        <v>43829</v>
      </c>
      <c r="E420" s="7" t="s">
        <v>32</v>
      </c>
      <c r="F420" s="7">
        <v>14372</v>
      </c>
      <c r="G420" s="7">
        <v>377</v>
      </c>
      <c r="H420" s="7">
        <v>6</v>
      </c>
      <c r="I420" s="10" t="s">
        <v>30</v>
      </c>
      <c r="J420" s="9">
        <v>2000</v>
      </c>
      <c r="K420" s="43"/>
      <c r="L420" s="44"/>
      <c r="M420" s="18"/>
      <c r="N420" s="45"/>
      <c r="O420" s="45"/>
      <c r="P420" s="45"/>
      <c r="Q420" s="23">
        <v>44018</v>
      </c>
      <c r="R420" s="9">
        <v>650</v>
      </c>
      <c r="S420" s="108">
        <v>2000</v>
      </c>
      <c r="U420" s="40">
        <f t="shared" si="9"/>
        <v>6726833</v>
      </c>
      <c r="Y420" s="65"/>
      <c r="Z420" s="35"/>
      <c r="AA420" s="34"/>
    </row>
    <row r="421" spans="1:27" ht="15.75" customHeight="1" x14ac:dyDescent="0.25">
      <c r="A421" s="6" t="s">
        <v>724</v>
      </c>
      <c r="B421" s="6" t="s">
        <v>725</v>
      </c>
      <c r="C421" s="6" t="s">
        <v>726</v>
      </c>
      <c r="D421" s="21">
        <v>43830</v>
      </c>
      <c r="E421" s="7" t="s">
        <v>32</v>
      </c>
      <c r="F421" s="7">
        <v>14380</v>
      </c>
      <c r="G421" s="7">
        <v>378</v>
      </c>
      <c r="H421" s="7">
        <v>12</v>
      </c>
      <c r="I421" s="10" t="s">
        <v>30</v>
      </c>
      <c r="J421" s="9">
        <v>160000</v>
      </c>
      <c r="K421" s="43"/>
      <c r="L421" s="44"/>
      <c r="M421" s="18"/>
      <c r="N421" s="45"/>
      <c r="O421" s="45"/>
      <c r="P421" s="45"/>
      <c r="Q421" s="23">
        <v>44195</v>
      </c>
      <c r="R421" s="9">
        <v>2965</v>
      </c>
      <c r="S421" s="108">
        <v>160000</v>
      </c>
      <c r="U421" s="40">
        <f t="shared" si="9"/>
        <v>6886833</v>
      </c>
      <c r="V421" s="11">
        <v>5224193</v>
      </c>
      <c r="W421" s="97">
        <v>43800</v>
      </c>
      <c r="Y421" s="65"/>
      <c r="Z421" s="35"/>
      <c r="AA421" s="34"/>
    </row>
    <row r="422" spans="1:27" ht="15.75" x14ac:dyDescent="0.25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6"/>
      <c r="L422" s="116"/>
      <c r="M422" s="116"/>
      <c r="N422" s="116"/>
      <c r="O422" s="116"/>
      <c r="P422" s="116"/>
      <c r="Q422" s="119"/>
      <c r="R422" s="119"/>
      <c r="S422" s="119"/>
      <c r="T422" s="119"/>
      <c r="U422" s="40">
        <f t="shared" si="9"/>
        <v>6886833</v>
      </c>
      <c r="Y422" s="65"/>
      <c r="Z422" s="35"/>
      <c r="AA422" s="34"/>
    </row>
    <row r="423" spans="1:27" ht="15.75" x14ac:dyDescent="0.25">
      <c r="A423" s="12" t="s">
        <v>203</v>
      </c>
      <c r="B423" s="12" t="s">
        <v>345</v>
      </c>
      <c r="C423" s="12"/>
      <c r="D423" s="13"/>
      <c r="E423" s="14"/>
      <c r="F423" s="14">
        <v>8653</v>
      </c>
      <c r="G423" s="14">
        <v>379</v>
      </c>
      <c r="H423" s="14"/>
      <c r="I423" s="14"/>
      <c r="J423" s="15"/>
      <c r="K423" s="43"/>
      <c r="L423" s="44"/>
      <c r="M423" s="18"/>
      <c r="N423" s="45"/>
      <c r="O423" s="45"/>
      <c r="P423" s="45"/>
      <c r="Q423" s="99"/>
      <c r="R423" s="19"/>
      <c r="S423" s="107">
        <f>P423</f>
        <v>0</v>
      </c>
      <c r="T423" s="26"/>
      <c r="U423" s="40">
        <f t="shared" ref="U423:U486" si="10">U422+S423-T423</f>
        <v>6886833</v>
      </c>
      <c r="Y423" s="65"/>
      <c r="Z423" s="35"/>
      <c r="AA423" s="34"/>
    </row>
    <row r="424" spans="1:27" ht="15.75" x14ac:dyDescent="0.25">
      <c r="A424" s="6" t="s">
        <v>727</v>
      </c>
      <c r="B424" s="6" t="s">
        <v>728</v>
      </c>
      <c r="C424" s="6" t="s">
        <v>729</v>
      </c>
      <c r="D424" s="21">
        <v>43832</v>
      </c>
      <c r="E424" s="7" t="s">
        <v>32</v>
      </c>
      <c r="F424" s="7">
        <v>14400</v>
      </c>
      <c r="G424" s="7">
        <v>380</v>
      </c>
      <c r="H424" s="14">
        <v>12</v>
      </c>
      <c r="I424" s="10" t="s">
        <v>30</v>
      </c>
      <c r="J424" s="15">
        <v>2000</v>
      </c>
      <c r="K424" s="43"/>
      <c r="L424" s="44"/>
      <c r="M424" s="18"/>
      <c r="N424" s="45"/>
      <c r="O424" s="45"/>
      <c r="P424" s="45"/>
      <c r="Q424" s="23">
        <v>44344</v>
      </c>
      <c r="R424" s="9">
        <v>2059</v>
      </c>
      <c r="S424" s="108">
        <v>2000</v>
      </c>
      <c r="T424" s="25"/>
      <c r="U424" s="40">
        <f t="shared" si="10"/>
        <v>6888833</v>
      </c>
      <c r="Y424" s="65"/>
      <c r="Z424" s="35"/>
      <c r="AA424" s="34"/>
    </row>
    <row r="425" spans="1:27" ht="15.75" x14ac:dyDescent="0.25">
      <c r="A425" s="6" t="s">
        <v>292</v>
      </c>
      <c r="B425" s="6" t="s">
        <v>730</v>
      </c>
      <c r="C425" s="6" t="s">
        <v>294</v>
      </c>
      <c r="D425" s="21">
        <v>43833</v>
      </c>
      <c r="E425" s="7" t="s">
        <v>32</v>
      </c>
      <c r="F425" s="7">
        <v>14424</v>
      </c>
      <c r="G425" s="7">
        <v>381</v>
      </c>
      <c r="H425" s="14">
        <v>6</v>
      </c>
      <c r="I425" s="10" t="s">
        <v>30</v>
      </c>
      <c r="J425" s="9">
        <v>3800</v>
      </c>
      <c r="K425" s="43"/>
      <c r="L425" s="44"/>
      <c r="M425" s="18"/>
      <c r="N425" s="45"/>
      <c r="O425" s="45"/>
      <c r="P425" s="45"/>
      <c r="Q425" s="23">
        <v>44015</v>
      </c>
      <c r="R425" s="9">
        <v>626</v>
      </c>
      <c r="S425" s="108">
        <v>3800</v>
      </c>
      <c r="U425" s="40">
        <f t="shared" si="10"/>
        <v>6892633</v>
      </c>
      <c r="Y425" s="65"/>
      <c r="Z425" s="35"/>
      <c r="AA425" s="34"/>
    </row>
    <row r="426" spans="1:27" ht="15.75" x14ac:dyDescent="0.25">
      <c r="A426" s="46" t="s">
        <v>442</v>
      </c>
      <c r="B426" s="6" t="s">
        <v>731</v>
      </c>
      <c r="C426" s="6" t="s">
        <v>732</v>
      </c>
      <c r="D426" s="21">
        <v>43833</v>
      </c>
      <c r="E426" s="7" t="s">
        <v>32</v>
      </c>
      <c r="F426" s="7">
        <v>14443</v>
      </c>
      <c r="G426" s="7">
        <v>382</v>
      </c>
      <c r="H426" s="14">
        <v>6</v>
      </c>
      <c r="I426" s="10" t="s">
        <v>30</v>
      </c>
      <c r="J426" s="9">
        <v>150000</v>
      </c>
      <c r="K426" s="43"/>
      <c r="L426" s="44"/>
      <c r="M426" s="18"/>
      <c r="N426" s="45"/>
      <c r="O426" s="45"/>
      <c r="P426" s="45"/>
      <c r="Q426" s="23">
        <v>44018</v>
      </c>
      <c r="R426" s="9">
        <v>647</v>
      </c>
      <c r="S426" s="108">
        <v>150000</v>
      </c>
      <c r="U426" s="40">
        <f t="shared" si="10"/>
        <v>7042633</v>
      </c>
      <c r="Y426" s="65"/>
      <c r="Z426" s="35"/>
      <c r="AA426" s="34"/>
    </row>
    <row r="427" spans="1:27" ht="15.75" x14ac:dyDescent="0.25">
      <c r="A427" s="6" t="s">
        <v>733</v>
      </c>
      <c r="B427" s="6" t="s">
        <v>734</v>
      </c>
      <c r="C427" s="6" t="s">
        <v>735</v>
      </c>
      <c r="D427" s="21">
        <v>43833</v>
      </c>
      <c r="E427" s="7" t="s">
        <v>32</v>
      </c>
      <c r="F427" s="7">
        <v>14448</v>
      </c>
      <c r="G427" s="7">
        <v>383</v>
      </c>
      <c r="H427" s="14">
        <v>12</v>
      </c>
      <c r="I427" s="10" t="s">
        <v>30</v>
      </c>
      <c r="J427" s="9">
        <v>5000</v>
      </c>
      <c r="K427" s="43"/>
      <c r="L427" s="44"/>
      <c r="M427" s="18"/>
      <c r="N427" s="45"/>
      <c r="O427" s="45"/>
      <c r="P427" s="45"/>
      <c r="Q427" s="23">
        <v>44200</v>
      </c>
      <c r="R427" s="9">
        <v>301</v>
      </c>
      <c r="S427" s="108">
        <v>5000</v>
      </c>
      <c r="T427" s="25"/>
      <c r="U427" s="40">
        <f t="shared" si="10"/>
        <v>7047633</v>
      </c>
      <c r="Y427" s="65"/>
      <c r="Z427" s="35"/>
      <c r="AA427" s="34"/>
    </row>
    <row r="428" spans="1:27" ht="15.75" x14ac:dyDescent="0.25">
      <c r="A428" s="66" t="s">
        <v>736</v>
      </c>
      <c r="B428" s="66" t="s">
        <v>737</v>
      </c>
      <c r="C428" s="66" t="s">
        <v>738</v>
      </c>
      <c r="D428" s="79">
        <v>43834</v>
      </c>
      <c r="E428" s="7" t="s">
        <v>32</v>
      </c>
      <c r="F428" s="80">
        <v>14461</v>
      </c>
      <c r="G428" s="80">
        <v>384</v>
      </c>
      <c r="H428" s="27">
        <v>12</v>
      </c>
      <c r="I428" s="10" t="s">
        <v>30</v>
      </c>
      <c r="J428" s="82">
        <v>55000</v>
      </c>
      <c r="K428" s="43"/>
      <c r="L428" s="44"/>
      <c r="M428" s="18"/>
      <c r="N428" s="45"/>
      <c r="O428" s="45"/>
      <c r="P428" s="45"/>
      <c r="Q428" s="91">
        <v>44201</v>
      </c>
      <c r="R428" s="82">
        <v>317</v>
      </c>
      <c r="S428" s="109">
        <v>55000</v>
      </c>
      <c r="T428" s="25"/>
      <c r="U428" s="40">
        <f t="shared" si="10"/>
        <v>7102633</v>
      </c>
      <c r="Y428" s="65"/>
      <c r="Z428" s="35"/>
      <c r="AA428" s="34"/>
    </row>
    <row r="429" spans="1:27" ht="15.75" x14ac:dyDescent="0.25">
      <c r="A429" s="6" t="s">
        <v>457</v>
      </c>
      <c r="B429" s="6" t="s">
        <v>458</v>
      </c>
      <c r="C429" s="6" t="s">
        <v>459</v>
      </c>
      <c r="D429" s="21">
        <v>43837</v>
      </c>
      <c r="E429" s="7" t="s">
        <v>32</v>
      </c>
      <c r="F429" s="7">
        <v>14483</v>
      </c>
      <c r="G429" s="7">
        <v>385</v>
      </c>
      <c r="H429" s="14">
        <v>12</v>
      </c>
      <c r="I429" s="10" t="s">
        <v>30</v>
      </c>
      <c r="J429" s="9">
        <v>6000</v>
      </c>
      <c r="K429" s="43"/>
      <c r="L429" s="44"/>
      <c r="M429" s="18"/>
      <c r="N429" s="45"/>
      <c r="O429" s="45"/>
      <c r="P429" s="45"/>
      <c r="Q429" s="23">
        <v>44204</v>
      </c>
      <c r="R429" s="9">
        <v>369</v>
      </c>
      <c r="S429" s="108">
        <v>6000</v>
      </c>
      <c r="T429" s="25"/>
      <c r="U429" s="40">
        <f t="shared" si="10"/>
        <v>7108633</v>
      </c>
      <c r="Y429" s="65"/>
      <c r="Z429" s="35"/>
      <c r="AA429" s="34"/>
    </row>
    <row r="430" spans="1:27" ht="15.75" x14ac:dyDescent="0.25">
      <c r="A430" s="6" t="s">
        <v>143</v>
      </c>
      <c r="B430" s="6" t="s">
        <v>600</v>
      </c>
      <c r="C430" s="6" t="s">
        <v>739</v>
      </c>
      <c r="D430" s="21">
        <v>43837</v>
      </c>
      <c r="E430" s="7" t="s">
        <v>32</v>
      </c>
      <c r="F430" s="55">
        <v>14485</v>
      </c>
      <c r="G430" s="7">
        <v>386</v>
      </c>
      <c r="H430" s="14">
        <v>6</v>
      </c>
      <c r="I430" s="10" t="s">
        <v>30</v>
      </c>
      <c r="J430" s="9">
        <v>41000</v>
      </c>
      <c r="K430" s="43"/>
      <c r="L430" s="44"/>
      <c r="M430" s="18"/>
      <c r="N430" s="45"/>
      <c r="O430" s="45"/>
      <c r="P430" s="45"/>
      <c r="Q430" s="23">
        <v>44019</v>
      </c>
      <c r="R430" s="9">
        <v>668</v>
      </c>
      <c r="S430" s="108">
        <v>41000</v>
      </c>
      <c r="U430" s="40">
        <f t="shared" si="10"/>
        <v>7149633</v>
      </c>
      <c r="Y430" s="121"/>
      <c r="Z430" s="35"/>
      <c r="AA430" s="34"/>
    </row>
    <row r="431" spans="1:27" ht="15.75" x14ac:dyDescent="0.25">
      <c r="A431" s="6" t="s">
        <v>740</v>
      </c>
      <c r="B431" s="6" t="s">
        <v>741</v>
      </c>
      <c r="C431" s="6" t="s">
        <v>433</v>
      </c>
      <c r="D431" s="21">
        <v>43837</v>
      </c>
      <c r="E431" s="7" t="s">
        <v>32</v>
      </c>
      <c r="F431" s="7">
        <v>14508</v>
      </c>
      <c r="G431" s="7">
        <v>387</v>
      </c>
      <c r="H431" s="14">
        <v>12</v>
      </c>
      <c r="I431" s="10" t="s">
        <v>30</v>
      </c>
      <c r="J431" s="9">
        <v>1208</v>
      </c>
      <c r="K431" s="43"/>
      <c r="L431" s="44"/>
      <c r="M431" s="18"/>
      <c r="N431" s="45"/>
      <c r="O431" s="45"/>
      <c r="P431" s="45"/>
      <c r="Q431" s="23">
        <v>44203</v>
      </c>
      <c r="R431" s="9">
        <v>352</v>
      </c>
      <c r="S431" s="108">
        <v>1208</v>
      </c>
      <c r="U431" s="40">
        <f t="shared" si="10"/>
        <v>7150841</v>
      </c>
      <c r="Y431" s="121"/>
      <c r="Z431" s="35"/>
      <c r="AA431" s="34"/>
    </row>
    <row r="432" spans="1:27" ht="15.75" x14ac:dyDescent="0.25">
      <c r="A432" s="6" t="s">
        <v>280</v>
      </c>
      <c r="B432" s="6" t="s">
        <v>742</v>
      </c>
      <c r="C432" s="6" t="s">
        <v>282</v>
      </c>
      <c r="D432" s="21">
        <v>43837</v>
      </c>
      <c r="E432" s="7" t="s">
        <v>32</v>
      </c>
      <c r="F432" s="7">
        <v>14511</v>
      </c>
      <c r="G432" s="7">
        <v>388</v>
      </c>
      <c r="H432" s="14">
        <v>6</v>
      </c>
      <c r="I432" s="10" t="s">
        <v>30</v>
      </c>
      <c r="J432" s="9">
        <v>55000</v>
      </c>
      <c r="K432" s="43"/>
      <c r="L432" s="44"/>
      <c r="M432" s="18"/>
      <c r="N432" s="45"/>
      <c r="O432" s="45"/>
      <c r="P432" s="45"/>
      <c r="Q432" s="23">
        <v>44019</v>
      </c>
      <c r="R432" s="9">
        <v>665</v>
      </c>
      <c r="S432" s="108">
        <v>55000</v>
      </c>
      <c r="U432" s="40">
        <f t="shared" si="10"/>
        <v>7205841</v>
      </c>
      <c r="Y432" s="65"/>
      <c r="Z432" s="35"/>
      <c r="AA432" s="34"/>
    </row>
    <row r="433" spans="1:27" ht="15.75" x14ac:dyDescent="0.25">
      <c r="A433" s="6" t="s">
        <v>537</v>
      </c>
      <c r="B433" s="6" t="s">
        <v>619</v>
      </c>
      <c r="C433" s="6" t="s">
        <v>743</v>
      </c>
      <c r="D433" s="21">
        <v>43837</v>
      </c>
      <c r="E433" s="7" t="s">
        <v>32</v>
      </c>
      <c r="F433" s="7">
        <v>14512</v>
      </c>
      <c r="G433" s="7">
        <v>389</v>
      </c>
      <c r="H433" s="14">
        <v>6</v>
      </c>
      <c r="I433" s="10" t="s">
        <v>30</v>
      </c>
      <c r="J433" s="9">
        <v>5000</v>
      </c>
      <c r="K433" s="43"/>
      <c r="L433" s="44"/>
      <c r="M433" s="18"/>
      <c r="N433" s="45"/>
      <c r="O433" s="45"/>
      <c r="P433" s="45"/>
      <c r="Q433" s="23">
        <v>44019</v>
      </c>
      <c r="R433" s="9">
        <v>663</v>
      </c>
      <c r="S433" s="108">
        <v>5000</v>
      </c>
      <c r="T433" s="25"/>
      <c r="U433" s="40">
        <f t="shared" si="10"/>
        <v>7210841</v>
      </c>
      <c r="Y433" s="65"/>
      <c r="Z433" s="35"/>
      <c r="AA433" s="34"/>
    </row>
    <row r="434" spans="1:27" ht="15.75" x14ac:dyDescent="0.25">
      <c r="A434" s="6" t="s">
        <v>744</v>
      </c>
      <c r="B434" s="6" t="s">
        <v>745</v>
      </c>
      <c r="C434" s="6" t="s">
        <v>746</v>
      </c>
      <c r="D434" s="21">
        <v>43838</v>
      </c>
      <c r="E434" s="7" t="s">
        <v>32</v>
      </c>
      <c r="F434" s="7">
        <v>14520</v>
      </c>
      <c r="G434" s="7">
        <v>390</v>
      </c>
      <c r="H434" s="14">
        <v>12</v>
      </c>
      <c r="I434" s="10" t="s">
        <v>30</v>
      </c>
      <c r="J434" s="9">
        <v>11000</v>
      </c>
      <c r="K434" s="43"/>
      <c r="L434" s="44"/>
      <c r="M434" s="18"/>
      <c r="N434" s="45"/>
      <c r="O434" s="45"/>
      <c r="P434" s="45"/>
      <c r="Q434" s="23">
        <v>44267</v>
      </c>
      <c r="R434" s="9">
        <v>1035</v>
      </c>
      <c r="S434" s="108">
        <v>11000</v>
      </c>
      <c r="T434" s="25"/>
      <c r="U434" s="40">
        <f t="shared" si="10"/>
        <v>7221841</v>
      </c>
      <c r="Y434" s="65"/>
      <c r="Z434" s="35"/>
      <c r="AA434" s="34"/>
    </row>
    <row r="435" spans="1:27" ht="15.75" x14ac:dyDescent="0.25">
      <c r="A435" s="6" t="s">
        <v>581</v>
      </c>
      <c r="B435" s="6" t="s">
        <v>582</v>
      </c>
      <c r="C435" s="6" t="s">
        <v>583</v>
      </c>
      <c r="D435" s="21">
        <v>43839</v>
      </c>
      <c r="E435" s="7" t="s">
        <v>32</v>
      </c>
      <c r="F435" s="7">
        <v>14550</v>
      </c>
      <c r="G435" s="7">
        <v>391</v>
      </c>
      <c r="H435" s="7">
        <v>12</v>
      </c>
      <c r="I435" s="10" t="s">
        <v>30</v>
      </c>
      <c r="J435" s="9">
        <v>6000</v>
      </c>
      <c r="K435" s="43"/>
      <c r="L435" s="44"/>
      <c r="M435" s="18"/>
      <c r="N435" s="45"/>
      <c r="O435" s="45"/>
      <c r="P435" s="45"/>
      <c r="Q435" s="23">
        <v>44207</v>
      </c>
      <c r="R435" s="9">
        <v>386</v>
      </c>
      <c r="S435" s="108">
        <v>6000</v>
      </c>
      <c r="U435" s="40">
        <f t="shared" si="10"/>
        <v>7227841</v>
      </c>
      <c r="Y435" s="65"/>
      <c r="Z435" s="35"/>
      <c r="AA435" s="34"/>
    </row>
    <row r="436" spans="1:27" ht="15.75" x14ac:dyDescent="0.25">
      <c r="A436" s="6" t="s">
        <v>308</v>
      </c>
      <c r="B436" s="6" t="s">
        <v>747</v>
      </c>
      <c r="D436" s="21">
        <v>43843</v>
      </c>
      <c r="E436" s="7" t="s">
        <v>32</v>
      </c>
      <c r="F436" s="7">
        <v>14604</v>
      </c>
      <c r="G436" s="7">
        <v>392</v>
      </c>
      <c r="H436" s="14">
        <v>12</v>
      </c>
      <c r="I436" s="10" t="s">
        <v>30</v>
      </c>
      <c r="J436" s="9">
        <v>3000</v>
      </c>
      <c r="K436" s="43"/>
      <c r="L436" s="44"/>
      <c r="M436" s="18"/>
      <c r="N436" s="45"/>
      <c r="O436" s="45"/>
      <c r="P436" s="45"/>
      <c r="Q436" s="23">
        <v>44242</v>
      </c>
      <c r="R436" s="9">
        <v>766</v>
      </c>
      <c r="S436" s="108">
        <v>3000</v>
      </c>
      <c r="U436" s="40">
        <f t="shared" si="10"/>
        <v>7230841</v>
      </c>
      <c r="Y436" s="65"/>
      <c r="Z436" s="35"/>
      <c r="AA436" s="34"/>
    </row>
    <row r="437" spans="1:27" ht="15.75" x14ac:dyDescent="0.25">
      <c r="A437" s="6" t="s">
        <v>39</v>
      </c>
      <c r="B437" s="6" t="s">
        <v>748</v>
      </c>
      <c r="C437" s="6" t="s">
        <v>749</v>
      </c>
      <c r="D437" s="21">
        <v>43843</v>
      </c>
      <c r="E437" s="7" t="s">
        <v>32</v>
      </c>
      <c r="F437" s="7">
        <v>14608</v>
      </c>
      <c r="G437" s="7">
        <v>393</v>
      </c>
      <c r="H437" s="14">
        <v>12</v>
      </c>
      <c r="I437" s="10" t="s">
        <v>30</v>
      </c>
      <c r="J437" s="9">
        <v>20000</v>
      </c>
      <c r="K437" s="43"/>
      <c r="L437" s="44"/>
      <c r="M437" s="18"/>
      <c r="N437" s="45"/>
      <c r="O437" s="45"/>
      <c r="P437" s="45"/>
      <c r="Q437" s="23">
        <v>44209</v>
      </c>
      <c r="R437" s="9">
        <v>102</v>
      </c>
      <c r="S437" s="108">
        <v>20000</v>
      </c>
      <c r="T437" s="25"/>
      <c r="U437" s="40">
        <f t="shared" si="10"/>
        <v>7250841</v>
      </c>
      <c r="Y437" s="65"/>
      <c r="Z437" s="35"/>
      <c r="AA437" s="34"/>
    </row>
    <row r="438" spans="1:27" ht="15.75" x14ac:dyDescent="0.25">
      <c r="A438" s="6" t="s">
        <v>537</v>
      </c>
      <c r="B438" s="6" t="s">
        <v>619</v>
      </c>
      <c r="C438" s="6" t="s">
        <v>743</v>
      </c>
      <c r="D438" s="21">
        <v>43843</v>
      </c>
      <c r="E438" s="7" t="s">
        <v>32</v>
      </c>
      <c r="F438" s="7">
        <v>14618</v>
      </c>
      <c r="G438" s="7">
        <v>394</v>
      </c>
      <c r="H438" s="14">
        <v>6</v>
      </c>
      <c r="I438" s="10" t="s">
        <v>30</v>
      </c>
      <c r="J438" s="9">
        <v>8000</v>
      </c>
      <c r="K438" s="43"/>
      <c r="L438" s="44"/>
      <c r="M438" s="18"/>
      <c r="N438" s="45"/>
      <c r="O438" s="45"/>
      <c r="P438" s="45"/>
      <c r="Q438" s="23">
        <v>44025</v>
      </c>
      <c r="R438" s="9">
        <v>728</v>
      </c>
      <c r="S438" s="108">
        <v>8000</v>
      </c>
      <c r="T438" s="64"/>
      <c r="U438" s="40">
        <f t="shared" si="10"/>
        <v>7258841</v>
      </c>
      <c r="Y438" s="65"/>
      <c r="Z438" s="35"/>
      <c r="AA438" s="34"/>
    </row>
    <row r="439" spans="1:27" ht="15.75" x14ac:dyDescent="0.25">
      <c r="A439" s="6" t="s">
        <v>305</v>
      </c>
      <c r="B439" s="6" t="s">
        <v>306</v>
      </c>
      <c r="C439" s="6" t="s">
        <v>307</v>
      </c>
      <c r="D439" s="21">
        <v>43843</v>
      </c>
      <c r="E439" s="7" t="s">
        <v>32</v>
      </c>
      <c r="F439" s="7">
        <v>14620</v>
      </c>
      <c r="G439" s="7">
        <v>395</v>
      </c>
      <c r="H439" s="14">
        <v>12</v>
      </c>
      <c r="I439" s="10" t="s">
        <v>30</v>
      </c>
      <c r="J439" s="9">
        <v>32300</v>
      </c>
      <c r="K439" s="43"/>
      <c r="L439" s="44"/>
      <c r="M439" s="18"/>
      <c r="N439" s="45"/>
      <c r="O439" s="45"/>
      <c r="P439" s="45"/>
      <c r="Q439" s="23">
        <v>44209</v>
      </c>
      <c r="R439" s="9">
        <v>402</v>
      </c>
      <c r="S439" s="108">
        <v>32300</v>
      </c>
      <c r="U439" s="40">
        <f t="shared" si="10"/>
        <v>7291141</v>
      </c>
      <c r="Y439" s="65"/>
      <c r="Z439" s="35"/>
      <c r="AA439" s="34"/>
    </row>
    <row r="440" spans="1:27" ht="15.75" x14ac:dyDescent="0.25">
      <c r="A440" s="6" t="s">
        <v>750</v>
      </c>
      <c r="B440" s="6" t="s">
        <v>751</v>
      </c>
      <c r="C440" s="6" t="s">
        <v>752</v>
      </c>
      <c r="D440" s="21">
        <v>43844</v>
      </c>
      <c r="E440" s="7" t="s">
        <v>32</v>
      </c>
      <c r="F440" s="7">
        <v>14643</v>
      </c>
      <c r="G440" s="7">
        <v>396</v>
      </c>
      <c r="H440" s="14">
        <v>12</v>
      </c>
      <c r="I440" s="10" t="s">
        <v>30</v>
      </c>
      <c r="J440" s="9">
        <v>1200</v>
      </c>
      <c r="K440" s="43"/>
      <c r="L440" s="44"/>
      <c r="M440" s="18"/>
      <c r="N440" s="45"/>
      <c r="O440" s="45"/>
      <c r="P440" s="45"/>
      <c r="Q440" s="23">
        <v>44211</v>
      </c>
      <c r="R440" s="9">
        <v>433</v>
      </c>
      <c r="S440" s="108">
        <v>1200</v>
      </c>
      <c r="U440" s="40">
        <f t="shared" si="10"/>
        <v>7292341</v>
      </c>
      <c r="Y440" s="65"/>
      <c r="Z440" s="35"/>
      <c r="AA440" s="34"/>
    </row>
    <row r="441" spans="1:27" ht="15.75" x14ac:dyDescent="0.25">
      <c r="A441" s="6" t="s">
        <v>753</v>
      </c>
      <c r="B441" s="6" t="s">
        <v>754</v>
      </c>
      <c r="C441" s="6" t="s">
        <v>66</v>
      </c>
      <c r="D441" s="21">
        <v>43846</v>
      </c>
      <c r="E441" s="7" t="s">
        <v>32</v>
      </c>
      <c r="F441" s="7">
        <v>14681</v>
      </c>
      <c r="G441" s="7">
        <v>397</v>
      </c>
      <c r="H441" s="14">
        <v>12</v>
      </c>
      <c r="I441" s="10" t="s">
        <v>30</v>
      </c>
      <c r="J441" s="9">
        <v>40000</v>
      </c>
      <c r="K441" s="43"/>
      <c r="L441" s="44"/>
      <c r="M441" s="18"/>
      <c r="N441" s="45"/>
      <c r="O441" s="45"/>
      <c r="P441" s="45"/>
      <c r="Q441" s="23">
        <v>44214</v>
      </c>
      <c r="R441" s="9">
        <v>456</v>
      </c>
      <c r="S441" s="108">
        <v>40000</v>
      </c>
      <c r="T441" s="95"/>
      <c r="U441" s="40">
        <f t="shared" si="10"/>
        <v>7332341</v>
      </c>
      <c r="Y441" s="65"/>
      <c r="Z441" s="35"/>
      <c r="AA441" s="34"/>
    </row>
    <row r="442" spans="1:27" ht="15.75" x14ac:dyDescent="0.25">
      <c r="A442" s="6" t="s">
        <v>755</v>
      </c>
      <c r="B442" s="6" t="s">
        <v>756</v>
      </c>
      <c r="D442" s="21">
        <v>43847</v>
      </c>
      <c r="E442" s="7" t="s">
        <v>32</v>
      </c>
      <c r="F442" s="7">
        <v>14693</v>
      </c>
      <c r="G442" s="7">
        <v>398</v>
      </c>
      <c r="H442" s="14">
        <v>6</v>
      </c>
      <c r="I442" s="10" t="s">
        <v>30</v>
      </c>
      <c r="J442" s="9">
        <v>50000</v>
      </c>
      <c r="K442" s="43"/>
      <c r="L442" s="44"/>
      <c r="M442" s="18"/>
      <c r="N442" s="45"/>
      <c r="O442" s="45"/>
      <c r="P442" s="45"/>
      <c r="Q442" s="23">
        <v>44032</v>
      </c>
      <c r="R442" s="9">
        <v>797</v>
      </c>
      <c r="S442" s="108">
        <v>50000</v>
      </c>
      <c r="U442" s="40">
        <f t="shared" si="10"/>
        <v>7382341</v>
      </c>
      <c r="Y442" s="65"/>
      <c r="Z442" s="35"/>
      <c r="AA442" s="34"/>
    </row>
    <row r="443" spans="1:27" ht="15.75" x14ac:dyDescent="0.25">
      <c r="A443" s="6" t="s">
        <v>757</v>
      </c>
      <c r="B443" s="6" t="s">
        <v>758</v>
      </c>
      <c r="C443" s="6" t="s">
        <v>759</v>
      </c>
      <c r="D443" s="21">
        <v>43847</v>
      </c>
      <c r="E443" s="7" t="s">
        <v>32</v>
      </c>
      <c r="F443" s="7">
        <v>14716</v>
      </c>
      <c r="G443" s="7">
        <v>399</v>
      </c>
      <c r="H443" s="14">
        <v>12</v>
      </c>
      <c r="I443" s="10" t="s">
        <v>30</v>
      </c>
      <c r="J443" s="9">
        <v>5000</v>
      </c>
      <c r="K443" s="43"/>
      <c r="L443" s="44"/>
      <c r="M443" s="18"/>
      <c r="N443" s="45"/>
      <c r="O443" s="45"/>
      <c r="P443" s="45"/>
      <c r="Q443" s="23">
        <v>44215</v>
      </c>
      <c r="R443" s="9">
        <v>466</v>
      </c>
      <c r="S443" s="108">
        <v>5000</v>
      </c>
      <c r="U443" s="40">
        <f t="shared" si="10"/>
        <v>7387341</v>
      </c>
      <c r="Y443" s="65"/>
      <c r="Z443" s="35"/>
      <c r="AA443" s="34"/>
    </row>
    <row r="444" spans="1:27" ht="15.75" x14ac:dyDescent="0.25">
      <c r="A444" s="6" t="s">
        <v>760</v>
      </c>
      <c r="B444" s="6" t="s">
        <v>761</v>
      </c>
      <c r="D444" s="21">
        <v>43850</v>
      </c>
      <c r="E444" s="7" t="s">
        <v>32</v>
      </c>
      <c r="F444" s="7">
        <v>14744</v>
      </c>
      <c r="G444" s="7">
        <v>400</v>
      </c>
      <c r="H444" s="7">
        <v>12</v>
      </c>
      <c r="I444" s="10" t="s">
        <v>30</v>
      </c>
      <c r="J444" s="9">
        <v>9000</v>
      </c>
      <c r="K444" s="43"/>
      <c r="L444" s="44"/>
      <c r="M444" s="18"/>
      <c r="N444" s="45"/>
      <c r="O444" s="45"/>
      <c r="P444" s="45"/>
      <c r="Q444" s="23">
        <v>44217</v>
      </c>
      <c r="R444" s="9">
        <v>489</v>
      </c>
      <c r="S444" s="108">
        <v>9000</v>
      </c>
      <c r="U444" s="40">
        <f t="shared" si="10"/>
        <v>7396341</v>
      </c>
      <c r="Y444" s="65"/>
      <c r="Z444" s="35"/>
      <c r="AA444" s="34"/>
    </row>
    <row r="445" spans="1:27" ht="15.75" x14ac:dyDescent="0.25">
      <c r="A445" s="6" t="s">
        <v>762</v>
      </c>
      <c r="B445" s="6" t="s">
        <v>763</v>
      </c>
      <c r="C445" s="6" t="s">
        <v>764</v>
      </c>
      <c r="D445" s="21">
        <v>43851</v>
      </c>
      <c r="E445" s="7" t="s">
        <v>32</v>
      </c>
      <c r="F445" s="7">
        <v>14777</v>
      </c>
      <c r="G445" s="7">
        <v>401</v>
      </c>
      <c r="H445" s="14">
        <v>12</v>
      </c>
      <c r="I445" s="10" t="s">
        <v>30</v>
      </c>
      <c r="J445" s="9">
        <v>1000</v>
      </c>
      <c r="K445" s="43"/>
      <c r="L445" s="44"/>
      <c r="M445" s="18"/>
      <c r="N445" s="45"/>
      <c r="O445" s="45"/>
      <c r="P445" s="45"/>
      <c r="Q445" s="23">
        <v>44236</v>
      </c>
      <c r="R445" s="9">
        <v>698</v>
      </c>
      <c r="S445" s="108">
        <v>1000</v>
      </c>
      <c r="T445" s="95"/>
      <c r="U445" s="40">
        <f t="shared" si="10"/>
        <v>7397341</v>
      </c>
      <c r="Y445" s="65"/>
      <c r="Z445" s="35"/>
      <c r="AA445" s="34"/>
    </row>
    <row r="446" spans="1:27" ht="15.75" x14ac:dyDescent="0.25">
      <c r="A446" s="6" t="s">
        <v>765</v>
      </c>
      <c r="B446" s="6" t="s">
        <v>766</v>
      </c>
      <c r="C446" s="6" t="s">
        <v>767</v>
      </c>
      <c r="D446" s="21">
        <v>43851</v>
      </c>
      <c r="E446" s="7" t="s">
        <v>32</v>
      </c>
      <c r="F446" s="22">
        <v>14787</v>
      </c>
      <c r="G446" s="7">
        <v>402</v>
      </c>
      <c r="H446" s="14">
        <v>24</v>
      </c>
      <c r="I446" s="10" t="s">
        <v>30</v>
      </c>
      <c r="J446" s="9">
        <v>2000</v>
      </c>
      <c r="K446" s="43"/>
      <c r="L446" s="44"/>
      <c r="M446" s="18"/>
      <c r="N446" s="45"/>
      <c r="O446" s="45"/>
      <c r="P446" s="45"/>
      <c r="Q446" s="23">
        <v>44601</v>
      </c>
      <c r="R446" s="9">
        <v>5332</v>
      </c>
      <c r="S446" s="110">
        <v>2000</v>
      </c>
      <c r="U446" s="40">
        <f t="shared" si="10"/>
        <v>7399341</v>
      </c>
      <c r="Y446" s="65"/>
      <c r="Z446" s="35"/>
      <c r="AA446" s="34"/>
    </row>
    <row r="447" spans="1:27" ht="15.75" x14ac:dyDescent="0.25">
      <c r="A447" s="6" t="s">
        <v>768</v>
      </c>
      <c r="B447" s="6" t="s">
        <v>769</v>
      </c>
      <c r="C447" s="6" t="s">
        <v>129</v>
      </c>
      <c r="D447" s="21">
        <v>43851</v>
      </c>
      <c r="E447" s="7" t="s">
        <v>32</v>
      </c>
      <c r="F447" s="7">
        <v>14794</v>
      </c>
      <c r="G447" s="7">
        <v>403</v>
      </c>
      <c r="H447" s="14">
        <v>12</v>
      </c>
      <c r="I447" s="10" t="s">
        <v>30</v>
      </c>
      <c r="J447" s="9">
        <v>20000</v>
      </c>
      <c r="K447" s="43"/>
      <c r="L447" s="44"/>
      <c r="M447" s="18"/>
      <c r="N447" s="45"/>
      <c r="O447" s="45"/>
      <c r="P447" s="45"/>
      <c r="Q447" s="23">
        <v>44219</v>
      </c>
      <c r="R447" s="9">
        <v>536</v>
      </c>
      <c r="S447" s="108">
        <v>20000</v>
      </c>
      <c r="U447" s="40">
        <f t="shared" si="10"/>
        <v>7419341</v>
      </c>
      <c r="Y447" s="65"/>
      <c r="Z447" s="35"/>
      <c r="AA447" s="34"/>
    </row>
    <row r="448" spans="1:27" ht="15.75" x14ac:dyDescent="0.25">
      <c r="A448" s="6" t="s">
        <v>768</v>
      </c>
      <c r="B448" s="6" t="s">
        <v>769</v>
      </c>
      <c r="C448" s="6" t="s">
        <v>129</v>
      </c>
      <c r="D448" s="21">
        <v>43852</v>
      </c>
      <c r="E448" s="7" t="s">
        <v>32</v>
      </c>
      <c r="F448" s="7">
        <v>14811</v>
      </c>
      <c r="G448" s="7">
        <v>404</v>
      </c>
      <c r="H448" s="14">
        <v>12</v>
      </c>
      <c r="I448" s="10" t="s">
        <v>30</v>
      </c>
      <c r="J448" s="9">
        <v>100000</v>
      </c>
      <c r="K448" s="43"/>
      <c r="L448" s="44"/>
      <c r="M448" s="18"/>
      <c r="N448" s="45"/>
      <c r="O448" s="45"/>
      <c r="P448" s="45"/>
      <c r="Q448" s="23">
        <v>44219</v>
      </c>
      <c r="R448" s="9">
        <v>537</v>
      </c>
      <c r="S448" s="108">
        <v>100000</v>
      </c>
      <c r="U448" s="40">
        <f t="shared" si="10"/>
        <v>7519341</v>
      </c>
      <c r="Y448" s="65"/>
      <c r="Z448" s="35"/>
      <c r="AA448" s="34"/>
    </row>
    <row r="449" spans="1:27" ht="15.75" x14ac:dyDescent="0.25">
      <c r="A449" s="66" t="s">
        <v>358</v>
      </c>
      <c r="B449" s="67" t="s">
        <v>29</v>
      </c>
      <c r="C449" s="67"/>
      <c r="D449" s="68">
        <v>43853</v>
      </c>
      <c r="E449" s="55" t="s">
        <v>32</v>
      </c>
      <c r="F449" s="55">
        <v>14826</v>
      </c>
      <c r="G449" s="55">
        <v>405</v>
      </c>
      <c r="H449" s="69">
        <v>12</v>
      </c>
      <c r="I449" s="89" t="s">
        <v>30</v>
      </c>
      <c r="J449" s="70">
        <v>15000</v>
      </c>
      <c r="K449" s="43"/>
      <c r="L449" s="44"/>
      <c r="M449" s="18"/>
      <c r="N449" s="45"/>
      <c r="O449" s="45"/>
      <c r="P449" s="45"/>
      <c r="Q449" s="71">
        <v>44236</v>
      </c>
      <c r="R449" s="70">
        <v>697</v>
      </c>
      <c r="S449" s="110">
        <v>15000</v>
      </c>
      <c r="T449" s="64"/>
      <c r="U449" s="40">
        <f t="shared" si="10"/>
        <v>7534341</v>
      </c>
      <c r="Y449" s="65"/>
      <c r="Z449" s="35"/>
      <c r="AA449" s="34"/>
    </row>
    <row r="450" spans="1:27" ht="15.75" x14ac:dyDescent="0.25">
      <c r="A450" s="6" t="s">
        <v>770</v>
      </c>
      <c r="B450" s="6" t="s">
        <v>345</v>
      </c>
      <c r="D450" s="21"/>
      <c r="G450" s="7">
        <v>406</v>
      </c>
      <c r="H450" s="14"/>
      <c r="K450" s="43"/>
      <c r="L450" s="44"/>
      <c r="M450" s="18"/>
      <c r="N450" s="45"/>
      <c r="O450" s="45"/>
      <c r="P450" s="45"/>
      <c r="U450" s="40">
        <f t="shared" si="10"/>
        <v>7534341</v>
      </c>
      <c r="Y450" s="65"/>
      <c r="Z450" s="35"/>
      <c r="AA450" s="34"/>
    </row>
    <row r="451" spans="1:27" ht="15.75" x14ac:dyDescent="0.25">
      <c r="A451" s="6" t="s">
        <v>770</v>
      </c>
      <c r="B451" s="6" t="s">
        <v>771</v>
      </c>
      <c r="C451" s="6" t="s">
        <v>772</v>
      </c>
      <c r="D451" s="21">
        <v>43858</v>
      </c>
      <c r="E451" s="7" t="s">
        <v>32</v>
      </c>
      <c r="F451" s="7">
        <v>14898</v>
      </c>
      <c r="G451" s="7">
        <v>407</v>
      </c>
      <c r="H451" s="14">
        <v>12</v>
      </c>
      <c r="I451" s="10" t="s">
        <v>30</v>
      </c>
      <c r="J451" s="9">
        <v>1300</v>
      </c>
      <c r="K451" s="43"/>
      <c r="L451" s="44"/>
      <c r="M451" s="18"/>
      <c r="N451" s="45"/>
      <c r="O451" s="45"/>
      <c r="P451" s="45"/>
      <c r="Q451" s="23">
        <v>44224</v>
      </c>
      <c r="R451" s="9">
        <v>264</v>
      </c>
      <c r="S451" s="108">
        <v>1300</v>
      </c>
      <c r="U451" s="40">
        <f t="shared" si="10"/>
        <v>7535641</v>
      </c>
      <c r="Y451" s="65"/>
      <c r="Z451" s="35"/>
      <c r="AA451" s="34"/>
    </row>
    <row r="452" spans="1:27" ht="15.75" x14ac:dyDescent="0.25">
      <c r="A452" s="6" t="s">
        <v>773</v>
      </c>
      <c r="B452" s="6" t="s">
        <v>774</v>
      </c>
      <c r="C452" s="6" t="s">
        <v>775</v>
      </c>
      <c r="D452" s="21">
        <v>43859</v>
      </c>
      <c r="E452" s="7" t="s">
        <v>32</v>
      </c>
      <c r="F452" s="7">
        <v>14918</v>
      </c>
      <c r="G452" s="7">
        <v>408</v>
      </c>
      <c r="H452" s="14">
        <v>12</v>
      </c>
      <c r="I452" s="10" t="s">
        <v>30</v>
      </c>
      <c r="J452" s="9">
        <v>3000</v>
      </c>
      <c r="K452" s="43"/>
      <c r="L452" s="44"/>
      <c r="M452" s="18"/>
      <c r="N452" s="45"/>
      <c r="O452" s="45"/>
      <c r="P452" s="45"/>
      <c r="Q452" s="23">
        <v>44225</v>
      </c>
      <c r="R452" s="9">
        <v>280</v>
      </c>
      <c r="S452" s="108">
        <v>3000</v>
      </c>
      <c r="U452" s="40">
        <f t="shared" si="10"/>
        <v>7538641</v>
      </c>
      <c r="Y452" s="65"/>
      <c r="Z452" s="35"/>
      <c r="AA452" s="34"/>
    </row>
    <row r="453" spans="1:27" ht="15.75" x14ac:dyDescent="0.25">
      <c r="A453" s="6" t="s">
        <v>776</v>
      </c>
      <c r="B453" s="6" t="s">
        <v>1000</v>
      </c>
      <c r="C453" s="6" t="s">
        <v>777</v>
      </c>
      <c r="D453" s="21">
        <v>43859</v>
      </c>
      <c r="E453" s="7" t="s">
        <v>32</v>
      </c>
      <c r="F453" s="7">
        <v>14929</v>
      </c>
      <c r="G453" s="7">
        <v>409</v>
      </c>
      <c r="H453" s="14">
        <v>6</v>
      </c>
      <c r="I453" s="10" t="s">
        <v>30</v>
      </c>
      <c r="J453" s="9">
        <v>5000</v>
      </c>
      <c r="K453" s="43"/>
      <c r="L453" s="44"/>
      <c r="M453" s="18"/>
      <c r="N453" s="45"/>
      <c r="O453" s="45"/>
      <c r="P453" s="45"/>
      <c r="Q453" s="23">
        <v>44041</v>
      </c>
      <c r="R453" s="9">
        <v>945</v>
      </c>
      <c r="S453" s="108">
        <v>5000</v>
      </c>
      <c r="U453" s="40">
        <f t="shared" si="10"/>
        <v>7543641</v>
      </c>
      <c r="Y453" s="65"/>
      <c r="Z453" s="35"/>
      <c r="AA453" s="34"/>
    </row>
    <row r="454" spans="1:27" ht="15.75" x14ac:dyDescent="0.25">
      <c r="A454" s="6" t="s">
        <v>239</v>
      </c>
      <c r="B454" s="6" t="s">
        <v>240</v>
      </c>
      <c r="C454" s="6" t="s">
        <v>573</v>
      </c>
      <c r="D454" s="21">
        <v>43850</v>
      </c>
      <c r="E454" s="7" t="s">
        <v>32</v>
      </c>
      <c r="F454" s="7">
        <v>14954</v>
      </c>
      <c r="G454" s="7">
        <v>410</v>
      </c>
      <c r="H454" s="14">
        <v>6</v>
      </c>
      <c r="I454" s="10" t="s">
        <v>30</v>
      </c>
      <c r="J454" s="9">
        <v>21000</v>
      </c>
      <c r="K454" s="43"/>
      <c r="L454" s="44"/>
      <c r="M454" s="18"/>
      <c r="N454" s="45"/>
      <c r="O454" s="45"/>
      <c r="P454" s="45"/>
      <c r="Q454" s="23">
        <v>44046</v>
      </c>
      <c r="R454" s="9">
        <v>1001</v>
      </c>
      <c r="S454" s="108">
        <v>21000</v>
      </c>
      <c r="U454" s="40">
        <f t="shared" si="10"/>
        <v>7564641</v>
      </c>
      <c r="Y454" s="65"/>
      <c r="Z454" s="35"/>
      <c r="AA454" s="34"/>
    </row>
    <row r="455" spans="1:27" ht="15.75" x14ac:dyDescent="0.25">
      <c r="A455" s="6" t="s">
        <v>778</v>
      </c>
      <c r="B455" s="6" t="s">
        <v>779</v>
      </c>
      <c r="C455" s="6" t="s">
        <v>78</v>
      </c>
      <c r="D455" s="21">
        <v>43865</v>
      </c>
      <c r="E455" s="7" t="s">
        <v>32</v>
      </c>
      <c r="F455" s="7">
        <v>15019</v>
      </c>
      <c r="G455" s="7">
        <v>411</v>
      </c>
      <c r="H455" s="14">
        <v>6</v>
      </c>
      <c r="I455" s="10" t="s">
        <v>30</v>
      </c>
      <c r="J455" s="9">
        <v>50000</v>
      </c>
      <c r="K455" s="43"/>
      <c r="L455" s="44"/>
      <c r="M455" s="18"/>
      <c r="N455" s="45"/>
      <c r="O455" s="45"/>
      <c r="P455" s="45"/>
      <c r="Q455" s="23">
        <v>44018</v>
      </c>
      <c r="R455" s="9">
        <v>639</v>
      </c>
      <c r="S455" s="108">
        <v>50000</v>
      </c>
      <c r="U455" s="40">
        <f t="shared" si="10"/>
        <v>7614641</v>
      </c>
      <c r="Y455" s="65"/>
      <c r="Z455" s="35"/>
      <c r="AA455" s="34"/>
    </row>
    <row r="456" spans="1:27" ht="15.75" x14ac:dyDescent="0.25">
      <c r="A456" s="6" t="s">
        <v>780</v>
      </c>
      <c r="B456" s="6" t="s">
        <v>781</v>
      </c>
      <c r="C456" s="6" t="s">
        <v>782</v>
      </c>
      <c r="D456" s="21">
        <v>43872</v>
      </c>
      <c r="E456" s="7" t="s">
        <v>32</v>
      </c>
      <c r="F456" s="7">
        <v>15155</v>
      </c>
      <c r="G456" s="7">
        <v>412</v>
      </c>
      <c r="H456" s="14">
        <v>12</v>
      </c>
      <c r="I456" s="10" t="s">
        <v>30</v>
      </c>
      <c r="J456" s="9">
        <v>25000</v>
      </c>
      <c r="K456" s="43"/>
      <c r="L456" s="44"/>
      <c r="M456" s="18"/>
      <c r="N456" s="45"/>
      <c r="O456" s="45"/>
      <c r="P456" s="45"/>
      <c r="Q456" s="23">
        <v>44238</v>
      </c>
      <c r="R456" s="9">
        <v>721</v>
      </c>
      <c r="S456" s="108">
        <v>25000</v>
      </c>
      <c r="U456" s="40">
        <f t="shared" si="10"/>
        <v>7639641</v>
      </c>
      <c r="Y456" s="65"/>
      <c r="Z456" s="35"/>
      <c r="AA456" s="34"/>
    </row>
    <row r="457" spans="1:27" ht="15.75" x14ac:dyDescent="0.25">
      <c r="A457" s="6" t="s">
        <v>529</v>
      </c>
      <c r="B457" s="6" t="s">
        <v>783</v>
      </c>
      <c r="C457" s="6" t="s">
        <v>531</v>
      </c>
      <c r="D457" s="21">
        <v>43873</v>
      </c>
      <c r="E457" s="7" t="s">
        <v>32</v>
      </c>
      <c r="F457" s="7">
        <v>14175</v>
      </c>
      <c r="G457" s="7">
        <v>413</v>
      </c>
      <c r="H457" s="7">
        <v>6</v>
      </c>
      <c r="I457" s="10" t="s">
        <v>30</v>
      </c>
      <c r="J457" s="9">
        <v>10000</v>
      </c>
      <c r="K457" s="43"/>
      <c r="L457" s="44"/>
      <c r="M457" s="18"/>
      <c r="N457" s="45"/>
      <c r="O457" s="45"/>
      <c r="P457" s="45"/>
      <c r="Q457" s="23">
        <v>44055</v>
      </c>
      <c r="R457" s="9">
        <v>1122</v>
      </c>
      <c r="S457" s="108">
        <v>10000</v>
      </c>
      <c r="U457" s="40">
        <f t="shared" si="10"/>
        <v>7649641</v>
      </c>
      <c r="Y457" s="65"/>
      <c r="Z457" s="35"/>
      <c r="AA457" s="34"/>
    </row>
    <row r="458" spans="1:27" ht="15.75" x14ac:dyDescent="0.25">
      <c r="A458" s="6" t="s">
        <v>358</v>
      </c>
      <c r="B458" s="6" t="s">
        <v>345</v>
      </c>
      <c r="D458" s="21"/>
      <c r="G458" s="7">
        <v>414</v>
      </c>
      <c r="H458" s="14"/>
      <c r="K458" s="43"/>
      <c r="L458" s="44"/>
      <c r="M458" s="18"/>
      <c r="N458" s="45"/>
      <c r="O458" s="45"/>
      <c r="P458" s="45"/>
      <c r="Q458" s="23"/>
      <c r="U458" s="40">
        <f t="shared" si="10"/>
        <v>7649641</v>
      </c>
      <c r="Y458" s="65"/>
      <c r="Z458" s="35"/>
      <c r="AA458" s="34"/>
    </row>
    <row r="459" spans="1:27" ht="15.75" x14ac:dyDescent="0.25">
      <c r="A459" s="6" t="s">
        <v>358</v>
      </c>
      <c r="B459" s="6" t="s">
        <v>29</v>
      </c>
      <c r="C459" s="6" t="s">
        <v>28</v>
      </c>
      <c r="D459" s="21">
        <v>43875</v>
      </c>
      <c r="E459" s="7" t="s">
        <v>32</v>
      </c>
      <c r="F459" s="7">
        <v>15214</v>
      </c>
      <c r="G459" s="7">
        <v>415</v>
      </c>
      <c r="H459" s="14">
        <v>12</v>
      </c>
      <c r="I459" s="10" t="s">
        <v>30</v>
      </c>
      <c r="J459" s="9">
        <v>6000</v>
      </c>
      <c r="K459" s="43"/>
      <c r="L459" s="44"/>
      <c r="M459" s="18"/>
      <c r="N459" s="45"/>
      <c r="O459" s="45"/>
      <c r="P459" s="45"/>
      <c r="Q459" s="52">
        <v>44242</v>
      </c>
      <c r="R459" s="9">
        <v>6</v>
      </c>
      <c r="S459" s="108">
        <v>6000</v>
      </c>
      <c r="T459" s="93"/>
      <c r="U459" s="40">
        <f t="shared" si="10"/>
        <v>7655641</v>
      </c>
      <c r="Y459" s="65"/>
      <c r="Z459" s="35"/>
      <c r="AA459" s="34"/>
    </row>
    <row r="460" spans="1:27" ht="15.75" x14ac:dyDescent="0.25">
      <c r="A460" s="6" t="s">
        <v>784</v>
      </c>
      <c r="B460" s="6" t="s">
        <v>785</v>
      </c>
      <c r="C460" s="6" t="s">
        <v>94</v>
      </c>
      <c r="D460" s="21">
        <v>43877</v>
      </c>
      <c r="E460" s="7" t="s">
        <v>32</v>
      </c>
      <c r="F460" s="7">
        <v>15229</v>
      </c>
      <c r="G460" s="7">
        <v>416</v>
      </c>
      <c r="H460" s="14">
        <v>12</v>
      </c>
      <c r="I460" s="10" t="s">
        <v>30</v>
      </c>
      <c r="J460" s="9">
        <v>20000</v>
      </c>
      <c r="K460" s="43"/>
      <c r="L460" s="44"/>
      <c r="M460" s="18"/>
      <c r="N460" s="45"/>
      <c r="O460" s="45"/>
      <c r="P460" s="45"/>
      <c r="Q460" s="23">
        <v>44243</v>
      </c>
      <c r="R460" s="9">
        <v>496</v>
      </c>
      <c r="S460" s="108">
        <v>20000</v>
      </c>
      <c r="U460" s="40">
        <f t="shared" si="10"/>
        <v>7675641</v>
      </c>
      <c r="Y460" s="65"/>
      <c r="Z460" s="35"/>
      <c r="AA460" s="34"/>
    </row>
    <row r="461" spans="1:27" ht="15.75" x14ac:dyDescent="0.25">
      <c r="A461" s="6" t="s">
        <v>786</v>
      </c>
      <c r="B461" s="6" t="s">
        <v>787</v>
      </c>
      <c r="C461" s="6" t="s">
        <v>788</v>
      </c>
      <c r="D461" s="21">
        <v>43878</v>
      </c>
      <c r="E461" s="7" t="s">
        <v>32</v>
      </c>
      <c r="F461" s="7">
        <v>15236</v>
      </c>
      <c r="G461" s="7">
        <v>417</v>
      </c>
      <c r="H461" s="14">
        <v>6</v>
      </c>
      <c r="I461" s="10" t="s">
        <v>30</v>
      </c>
      <c r="J461" s="9">
        <v>100000</v>
      </c>
      <c r="K461" s="43"/>
      <c r="L461" s="44"/>
      <c r="M461" s="18"/>
      <c r="N461" s="45"/>
      <c r="O461" s="45"/>
      <c r="P461" s="45"/>
      <c r="Q461" s="23">
        <v>44060</v>
      </c>
      <c r="R461" s="9">
        <v>1185</v>
      </c>
      <c r="S461" s="108">
        <v>100000</v>
      </c>
      <c r="U461" s="40">
        <f t="shared" si="10"/>
        <v>7775641</v>
      </c>
      <c r="Y461" s="65"/>
      <c r="Z461" s="35"/>
      <c r="AA461" s="34"/>
    </row>
    <row r="462" spans="1:27" ht="15.75" x14ac:dyDescent="0.25">
      <c r="A462" s="100" t="s">
        <v>789</v>
      </c>
      <c r="B462" s="100" t="s">
        <v>790</v>
      </c>
      <c r="C462" s="100" t="s">
        <v>791</v>
      </c>
      <c r="D462" s="101">
        <v>43885</v>
      </c>
      <c r="E462" s="102" t="s">
        <v>32</v>
      </c>
      <c r="F462" s="102">
        <v>14399</v>
      </c>
      <c r="G462" s="102">
        <v>418</v>
      </c>
      <c r="H462" s="103">
        <v>12</v>
      </c>
      <c r="I462" s="104" t="s">
        <v>30</v>
      </c>
      <c r="J462" s="1">
        <v>20000</v>
      </c>
      <c r="K462" s="131"/>
      <c r="L462" s="132"/>
      <c r="M462" s="133"/>
      <c r="N462" s="134"/>
      <c r="O462" s="134"/>
      <c r="P462" s="134"/>
      <c r="Q462" s="105">
        <v>45049</v>
      </c>
      <c r="R462" s="1">
        <v>10174</v>
      </c>
      <c r="S462" s="72">
        <v>20000</v>
      </c>
      <c r="T462" s="72"/>
      <c r="U462" s="40">
        <f t="shared" si="10"/>
        <v>7795641</v>
      </c>
      <c r="Y462" s="65"/>
      <c r="Z462" s="35"/>
      <c r="AA462" s="34"/>
    </row>
    <row r="463" spans="1:27" ht="15.75" x14ac:dyDescent="0.25">
      <c r="A463" s="6" t="s">
        <v>792</v>
      </c>
      <c r="B463" s="6" t="s">
        <v>793</v>
      </c>
      <c r="C463" s="6" t="s">
        <v>794</v>
      </c>
      <c r="D463" s="21">
        <v>43886</v>
      </c>
      <c r="E463" s="7" t="s">
        <v>32</v>
      </c>
      <c r="F463" s="7">
        <v>15425</v>
      </c>
      <c r="G463" s="7">
        <v>419</v>
      </c>
      <c r="H463" s="7">
        <v>12</v>
      </c>
      <c r="I463" s="10" t="s">
        <v>30</v>
      </c>
      <c r="J463" s="9">
        <v>250000</v>
      </c>
      <c r="K463" s="43"/>
      <c r="L463" s="44"/>
      <c r="M463" s="18"/>
      <c r="N463" s="45"/>
      <c r="O463" s="45"/>
      <c r="P463" s="45"/>
      <c r="Q463" s="23">
        <v>44256</v>
      </c>
      <c r="R463" s="9">
        <v>627</v>
      </c>
      <c r="S463" s="108">
        <v>250000</v>
      </c>
      <c r="U463" s="40">
        <f t="shared" si="10"/>
        <v>8045641</v>
      </c>
      <c r="Y463" s="65"/>
      <c r="Z463" s="35"/>
      <c r="AA463" s="34"/>
    </row>
    <row r="464" spans="1:27" ht="15.75" x14ac:dyDescent="0.25">
      <c r="A464" s="6" t="s">
        <v>358</v>
      </c>
      <c r="B464" s="6" t="s">
        <v>29</v>
      </c>
      <c r="C464" s="6" t="s">
        <v>536</v>
      </c>
      <c r="D464" s="21">
        <v>43887</v>
      </c>
      <c r="E464" s="7" t="s">
        <v>32</v>
      </c>
      <c r="F464" s="7">
        <v>15452</v>
      </c>
      <c r="G464" s="7">
        <v>420</v>
      </c>
      <c r="H464" s="14">
        <v>12</v>
      </c>
      <c r="I464" s="10" t="s">
        <v>30</v>
      </c>
      <c r="J464" s="9">
        <v>68500</v>
      </c>
      <c r="K464" s="43"/>
      <c r="L464" s="44"/>
      <c r="M464" s="18"/>
      <c r="N464" s="45"/>
      <c r="O464" s="45"/>
      <c r="P464" s="45"/>
      <c r="Q464" s="23">
        <v>44257</v>
      </c>
      <c r="R464" s="9">
        <v>645</v>
      </c>
      <c r="S464" s="108">
        <v>68500</v>
      </c>
      <c r="U464" s="40">
        <f t="shared" si="10"/>
        <v>8114141</v>
      </c>
      <c r="Y464" s="65"/>
      <c r="Z464" s="35"/>
      <c r="AA464" s="34"/>
    </row>
    <row r="465" spans="1:27" ht="15.75" x14ac:dyDescent="0.25">
      <c r="A465" s="6" t="s">
        <v>101</v>
      </c>
      <c r="B465" s="6" t="s">
        <v>795</v>
      </c>
      <c r="C465" s="6" t="s">
        <v>103</v>
      </c>
      <c r="D465" s="21">
        <v>43888</v>
      </c>
      <c r="E465" s="7" t="s">
        <v>32</v>
      </c>
      <c r="F465" s="7">
        <v>15460</v>
      </c>
      <c r="G465" s="7">
        <v>421</v>
      </c>
      <c r="H465" s="14">
        <v>12</v>
      </c>
      <c r="I465" s="10" t="s">
        <v>30</v>
      </c>
      <c r="J465" s="9">
        <v>47000</v>
      </c>
      <c r="K465" s="43"/>
      <c r="L465" s="44"/>
      <c r="M465" s="18"/>
      <c r="N465" s="45"/>
      <c r="O465" s="45"/>
      <c r="P465" s="45"/>
      <c r="Q465" s="23">
        <v>44256</v>
      </c>
      <c r="R465" s="9">
        <v>907</v>
      </c>
      <c r="S465" s="108">
        <v>47000</v>
      </c>
      <c r="U465" s="40">
        <f t="shared" si="10"/>
        <v>8161141</v>
      </c>
      <c r="Y465" s="65"/>
      <c r="Z465" s="35"/>
      <c r="AA465" s="34"/>
    </row>
    <row r="466" spans="1:27" ht="15.75" x14ac:dyDescent="0.25">
      <c r="A466" s="6" t="s">
        <v>537</v>
      </c>
      <c r="B466" s="6" t="s">
        <v>619</v>
      </c>
      <c r="C466" s="6" t="s">
        <v>796</v>
      </c>
      <c r="D466" s="21">
        <v>43888</v>
      </c>
      <c r="E466" s="7" t="s">
        <v>32</v>
      </c>
      <c r="F466" s="7">
        <v>15468</v>
      </c>
      <c r="G466" s="7">
        <v>422</v>
      </c>
      <c r="H466" s="14">
        <v>6</v>
      </c>
      <c r="I466" s="10" t="s">
        <v>30</v>
      </c>
      <c r="J466" s="9">
        <v>6000</v>
      </c>
      <c r="K466" s="43"/>
      <c r="L466" s="44"/>
      <c r="M466" s="18"/>
      <c r="N466" s="45"/>
      <c r="O466" s="45"/>
      <c r="P466" s="45"/>
      <c r="Q466" s="23">
        <v>44070</v>
      </c>
      <c r="R466" s="9">
        <v>1321</v>
      </c>
      <c r="S466" s="108">
        <v>6000</v>
      </c>
      <c r="U466" s="40">
        <f t="shared" si="10"/>
        <v>8167141</v>
      </c>
      <c r="Y466" s="65"/>
      <c r="Z466" s="35"/>
      <c r="AA466" s="34"/>
    </row>
    <row r="467" spans="1:27" ht="15.75" x14ac:dyDescent="0.25">
      <c r="A467" s="6" t="s">
        <v>797</v>
      </c>
      <c r="B467" s="6" t="s">
        <v>798</v>
      </c>
      <c r="C467" s="6" t="s">
        <v>799</v>
      </c>
      <c r="D467" s="21">
        <v>43889</v>
      </c>
      <c r="E467" s="7" t="s">
        <v>32</v>
      </c>
      <c r="F467" s="7">
        <v>15482</v>
      </c>
      <c r="G467" s="7">
        <v>423</v>
      </c>
      <c r="H467" s="14">
        <v>24</v>
      </c>
      <c r="I467" s="10" t="s">
        <v>30</v>
      </c>
      <c r="J467" s="9">
        <v>10000</v>
      </c>
      <c r="K467" s="43"/>
      <c r="L467" s="44"/>
      <c r="M467" s="18"/>
      <c r="N467" s="45"/>
      <c r="O467" s="45"/>
      <c r="P467" s="45"/>
      <c r="Q467" s="23">
        <v>44908</v>
      </c>
      <c r="R467" s="9">
        <v>3907</v>
      </c>
      <c r="S467" s="108">
        <v>10000</v>
      </c>
      <c r="U467" s="40">
        <f t="shared" si="10"/>
        <v>8177141</v>
      </c>
      <c r="Y467" s="65"/>
      <c r="Z467" s="35"/>
      <c r="AA467" s="34"/>
    </row>
    <row r="468" spans="1:27" ht="15.75" x14ac:dyDescent="0.25">
      <c r="A468" s="6" t="s">
        <v>800</v>
      </c>
      <c r="B468" s="6" t="s">
        <v>801</v>
      </c>
      <c r="C468" s="6" t="s">
        <v>94</v>
      </c>
      <c r="D468" s="21">
        <v>43889</v>
      </c>
      <c r="E468" s="7" t="s">
        <v>32</v>
      </c>
      <c r="F468" s="7">
        <v>15485</v>
      </c>
      <c r="G468" s="7">
        <v>424</v>
      </c>
      <c r="H468" s="14">
        <v>12</v>
      </c>
      <c r="I468" s="10" t="s">
        <v>30</v>
      </c>
      <c r="J468" s="9">
        <v>100000</v>
      </c>
      <c r="K468" s="43"/>
      <c r="L468" s="44"/>
      <c r="M468" s="18"/>
      <c r="N468" s="45"/>
      <c r="O468" s="45"/>
      <c r="P468" s="45"/>
      <c r="Q468" s="23">
        <v>44258</v>
      </c>
      <c r="R468" s="9">
        <v>916</v>
      </c>
      <c r="S468" s="108">
        <v>100000</v>
      </c>
      <c r="U468" s="40">
        <f t="shared" si="10"/>
        <v>8277141</v>
      </c>
      <c r="Y468" s="65"/>
      <c r="Z468" s="35"/>
      <c r="AA468" s="34"/>
    </row>
    <row r="469" spans="1:27" ht="15.75" x14ac:dyDescent="0.25">
      <c r="A469" s="6" t="s">
        <v>802</v>
      </c>
      <c r="B469" s="6" t="s">
        <v>803</v>
      </c>
      <c r="C469" s="6" t="s">
        <v>804</v>
      </c>
      <c r="D469" s="21">
        <v>43889</v>
      </c>
      <c r="E469" s="7" t="s">
        <v>32</v>
      </c>
      <c r="F469" s="7">
        <v>15493</v>
      </c>
      <c r="G469" s="7">
        <v>425</v>
      </c>
      <c r="H469" s="14">
        <v>12</v>
      </c>
      <c r="I469" s="10" t="s">
        <v>30</v>
      </c>
      <c r="J469" s="9">
        <v>15000</v>
      </c>
      <c r="K469" s="43"/>
      <c r="L469" s="44"/>
      <c r="M469" s="18"/>
      <c r="N469" s="45"/>
      <c r="O469" s="45"/>
      <c r="P469" s="45"/>
      <c r="Q469" s="23">
        <v>44257</v>
      </c>
      <c r="R469" s="9">
        <v>639</v>
      </c>
      <c r="S469" s="108">
        <v>15000</v>
      </c>
      <c r="U469" s="40">
        <f t="shared" si="10"/>
        <v>8292141</v>
      </c>
      <c r="Y469" s="65"/>
      <c r="Z469" s="35"/>
      <c r="AA469" s="34"/>
    </row>
    <row r="470" spans="1:27" ht="15.75" x14ac:dyDescent="0.25">
      <c r="A470" s="6" t="s">
        <v>494</v>
      </c>
      <c r="B470" s="6" t="s">
        <v>345</v>
      </c>
      <c r="D470" s="21"/>
      <c r="G470" s="7">
        <v>426</v>
      </c>
      <c r="H470" s="14"/>
      <c r="K470" s="43"/>
      <c r="L470" s="44"/>
      <c r="M470" s="18"/>
      <c r="N470" s="45"/>
      <c r="O470" s="45"/>
      <c r="P470" s="45"/>
      <c r="Q470" s="23"/>
      <c r="U470" s="40">
        <f t="shared" si="10"/>
        <v>8292141</v>
      </c>
      <c r="Y470" s="65"/>
      <c r="Z470" s="35"/>
      <c r="AA470" s="34"/>
    </row>
    <row r="471" spans="1:27" ht="15.75" x14ac:dyDescent="0.25">
      <c r="A471" s="6" t="s">
        <v>494</v>
      </c>
      <c r="B471" s="6" t="s">
        <v>805</v>
      </c>
      <c r="C471" s="6" t="s">
        <v>496</v>
      </c>
      <c r="D471" s="21">
        <v>43892</v>
      </c>
      <c r="E471" s="7" t="s">
        <v>32</v>
      </c>
      <c r="F471" s="7">
        <v>15538</v>
      </c>
      <c r="G471" s="7">
        <v>427</v>
      </c>
      <c r="H471" s="14">
        <v>12</v>
      </c>
      <c r="I471" s="10" t="s">
        <v>30</v>
      </c>
      <c r="J471" s="9">
        <v>13400</v>
      </c>
      <c r="K471" s="43"/>
      <c r="L471" s="44"/>
      <c r="M471" s="18"/>
      <c r="N471" s="45"/>
      <c r="O471" s="45"/>
      <c r="P471" s="45"/>
      <c r="Q471" s="23">
        <v>44261</v>
      </c>
      <c r="R471" s="9">
        <v>683</v>
      </c>
      <c r="S471" s="108">
        <v>13400</v>
      </c>
      <c r="U471" s="40">
        <f t="shared" si="10"/>
        <v>8305541</v>
      </c>
      <c r="Y471" s="65"/>
      <c r="Z471" s="35"/>
      <c r="AA471" s="34"/>
    </row>
    <row r="472" spans="1:27" ht="15.75" x14ac:dyDescent="0.25">
      <c r="A472" s="6" t="s">
        <v>806</v>
      </c>
      <c r="B472" s="6" t="s">
        <v>807</v>
      </c>
      <c r="C472" s="6" t="s">
        <v>808</v>
      </c>
      <c r="D472" s="21">
        <v>43892</v>
      </c>
      <c r="E472" s="7" t="s">
        <v>32</v>
      </c>
      <c r="F472" s="7">
        <v>15540</v>
      </c>
      <c r="G472" s="7">
        <v>428</v>
      </c>
      <c r="H472" s="14">
        <v>12</v>
      </c>
      <c r="I472" s="10" t="s">
        <v>30</v>
      </c>
      <c r="J472" s="9">
        <v>18000</v>
      </c>
      <c r="K472" s="43"/>
      <c r="L472" s="44"/>
      <c r="M472" s="18"/>
      <c r="N472" s="45"/>
      <c r="O472" s="45"/>
      <c r="P472" s="45"/>
      <c r="Q472" s="23">
        <v>44257</v>
      </c>
      <c r="R472" s="9">
        <v>644</v>
      </c>
      <c r="S472" s="108">
        <v>18000</v>
      </c>
      <c r="U472" s="40">
        <f t="shared" si="10"/>
        <v>8323541</v>
      </c>
      <c r="Y472" s="65"/>
      <c r="Z472" s="35"/>
      <c r="AA472" s="34"/>
    </row>
    <row r="473" spans="1:27" ht="15.75" x14ac:dyDescent="0.25">
      <c r="A473" s="6" t="s">
        <v>126</v>
      </c>
      <c r="B473" s="6" t="s">
        <v>345</v>
      </c>
      <c r="D473" s="21"/>
      <c r="G473" s="7">
        <v>429</v>
      </c>
      <c r="H473" s="14"/>
      <c r="K473" s="43"/>
      <c r="L473" s="44"/>
      <c r="M473" s="18"/>
      <c r="N473" s="45"/>
      <c r="O473" s="45"/>
      <c r="P473" s="45"/>
      <c r="Q473" s="23"/>
      <c r="U473" s="40">
        <f t="shared" si="10"/>
        <v>8323541</v>
      </c>
      <c r="Y473" s="65"/>
      <c r="Z473" s="35"/>
      <c r="AA473" s="34"/>
    </row>
    <row r="474" spans="1:27" ht="15.75" x14ac:dyDescent="0.25">
      <c r="A474" s="6" t="s">
        <v>126</v>
      </c>
      <c r="B474" s="6" t="s">
        <v>1254</v>
      </c>
      <c r="C474" s="6" t="s">
        <v>354</v>
      </c>
      <c r="D474" s="21">
        <v>43899</v>
      </c>
      <c r="E474" s="7" t="s">
        <v>32</v>
      </c>
      <c r="F474" s="7">
        <v>15673</v>
      </c>
      <c r="G474" s="7">
        <v>430</v>
      </c>
      <c r="H474" s="14">
        <v>12</v>
      </c>
      <c r="I474" s="10" t="s">
        <v>30</v>
      </c>
      <c r="J474" s="9">
        <v>150000</v>
      </c>
      <c r="K474" s="43"/>
      <c r="L474" s="44"/>
      <c r="M474" s="18"/>
      <c r="N474" s="45"/>
      <c r="O474" s="45"/>
      <c r="P474" s="45"/>
      <c r="Q474" s="23">
        <v>44265</v>
      </c>
      <c r="R474" s="9">
        <v>729</v>
      </c>
      <c r="S474" s="108">
        <v>150000</v>
      </c>
      <c r="U474" s="40">
        <f t="shared" si="10"/>
        <v>8473541</v>
      </c>
      <c r="Y474" s="65"/>
      <c r="Z474" s="35"/>
      <c r="AA474" s="34"/>
    </row>
    <row r="475" spans="1:27" ht="15.75" x14ac:dyDescent="0.25">
      <c r="A475" s="6" t="s">
        <v>809</v>
      </c>
      <c r="B475" s="6" t="s">
        <v>810</v>
      </c>
      <c r="C475" s="6" t="s">
        <v>811</v>
      </c>
      <c r="D475" s="21">
        <v>43899</v>
      </c>
      <c r="E475" s="7" t="s">
        <v>32</v>
      </c>
      <c r="F475" s="7">
        <v>15675</v>
      </c>
      <c r="G475" s="7">
        <v>431</v>
      </c>
      <c r="H475" s="14">
        <v>12</v>
      </c>
      <c r="I475" s="10" t="s">
        <v>30</v>
      </c>
      <c r="J475" s="9">
        <v>70000</v>
      </c>
      <c r="K475" s="43"/>
      <c r="L475" s="44"/>
      <c r="M475" s="18"/>
      <c r="N475" s="45"/>
      <c r="O475" s="45"/>
      <c r="P475" s="45"/>
      <c r="Q475" s="23">
        <v>44265</v>
      </c>
      <c r="R475" s="9">
        <v>725</v>
      </c>
      <c r="S475" s="108">
        <v>70000</v>
      </c>
      <c r="U475" s="40">
        <f t="shared" si="10"/>
        <v>8543541</v>
      </c>
      <c r="Y475" s="65"/>
      <c r="Z475" s="35"/>
      <c r="AA475" s="34"/>
    </row>
    <row r="476" spans="1:27" ht="15.75" x14ac:dyDescent="0.25">
      <c r="A476" s="6" t="s">
        <v>812</v>
      </c>
      <c r="B476" s="6" t="s">
        <v>813</v>
      </c>
      <c r="C476" s="6" t="s">
        <v>814</v>
      </c>
      <c r="D476" s="21">
        <v>43902</v>
      </c>
      <c r="E476" s="7" t="s">
        <v>32</v>
      </c>
      <c r="F476" s="7">
        <v>15735</v>
      </c>
      <c r="G476" s="7">
        <v>432</v>
      </c>
      <c r="H476" s="14">
        <v>6</v>
      </c>
      <c r="I476" s="10" t="s">
        <v>30</v>
      </c>
      <c r="J476" s="9">
        <v>35000</v>
      </c>
      <c r="K476" s="43"/>
      <c r="L476" s="44"/>
      <c r="M476" s="18"/>
      <c r="N476" s="45"/>
      <c r="O476" s="45"/>
      <c r="P476" s="45"/>
      <c r="Q476" s="23">
        <v>44088</v>
      </c>
      <c r="R476" s="9">
        <v>1513</v>
      </c>
      <c r="S476" s="108">
        <v>35000</v>
      </c>
      <c r="U476" s="40">
        <f t="shared" si="10"/>
        <v>8578541</v>
      </c>
      <c r="Y476" s="65"/>
      <c r="Z476" s="35"/>
      <c r="AA476" s="34"/>
    </row>
    <row r="477" spans="1:27" ht="15.75" x14ac:dyDescent="0.25">
      <c r="A477" s="6" t="s">
        <v>330</v>
      </c>
      <c r="B477" s="6" t="s">
        <v>815</v>
      </c>
      <c r="C477" s="6" t="s">
        <v>332</v>
      </c>
      <c r="D477" s="21">
        <v>43902</v>
      </c>
      <c r="E477" s="7" t="s">
        <v>32</v>
      </c>
      <c r="F477" s="7">
        <v>15745</v>
      </c>
      <c r="G477" s="7">
        <v>433</v>
      </c>
      <c r="H477" s="14">
        <v>6</v>
      </c>
      <c r="I477" s="10" t="s">
        <v>30</v>
      </c>
      <c r="J477" s="9">
        <v>11000</v>
      </c>
      <c r="K477" s="43"/>
      <c r="L477" s="44"/>
      <c r="M477" s="18"/>
      <c r="N477" s="45"/>
      <c r="O477" s="45"/>
      <c r="P477" s="45"/>
      <c r="Q477" s="23">
        <v>44088</v>
      </c>
      <c r="R477" s="9">
        <v>1515</v>
      </c>
      <c r="S477" s="108">
        <v>11000</v>
      </c>
      <c r="U477" s="40">
        <f t="shared" si="10"/>
        <v>8589541</v>
      </c>
      <c r="Y477" s="65"/>
      <c r="Z477" s="35"/>
      <c r="AA477" s="34"/>
    </row>
    <row r="478" spans="1:27" ht="15.75" x14ac:dyDescent="0.25">
      <c r="A478" s="6" t="s">
        <v>816</v>
      </c>
      <c r="B478" s="6" t="s">
        <v>817</v>
      </c>
      <c r="C478" s="6" t="s">
        <v>818</v>
      </c>
      <c r="D478" s="21">
        <v>43903</v>
      </c>
      <c r="E478" s="7" t="s">
        <v>32</v>
      </c>
      <c r="F478" s="7">
        <v>15793</v>
      </c>
      <c r="G478" s="7">
        <v>434</v>
      </c>
      <c r="H478" s="7">
        <v>12</v>
      </c>
      <c r="I478" s="10" t="s">
        <v>30</v>
      </c>
      <c r="J478" s="9">
        <v>5000</v>
      </c>
      <c r="K478" s="43"/>
      <c r="L478" s="44"/>
      <c r="M478" s="18"/>
      <c r="N478" s="45"/>
      <c r="O478" s="45"/>
      <c r="P478" s="45"/>
      <c r="Q478" s="23">
        <v>44270</v>
      </c>
      <c r="R478" s="9">
        <v>1051</v>
      </c>
      <c r="S478" s="108">
        <v>5000</v>
      </c>
      <c r="U478" s="40">
        <f t="shared" si="10"/>
        <v>8594541</v>
      </c>
      <c r="Y478" s="65"/>
      <c r="Z478" s="35"/>
      <c r="AA478" s="34"/>
    </row>
    <row r="479" spans="1:27" ht="15.75" x14ac:dyDescent="0.25">
      <c r="A479" s="6" t="s">
        <v>819</v>
      </c>
      <c r="B479" s="6" t="s">
        <v>820</v>
      </c>
      <c r="C479" s="6" t="s">
        <v>821</v>
      </c>
      <c r="D479" s="21">
        <v>43903</v>
      </c>
      <c r="E479" s="7" t="s">
        <v>32</v>
      </c>
      <c r="F479" s="7">
        <v>15796</v>
      </c>
      <c r="G479" s="7">
        <v>435</v>
      </c>
      <c r="H479" s="14">
        <v>6</v>
      </c>
      <c r="I479" s="10" t="s">
        <v>30</v>
      </c>
      <c r="J479" s="9">
        <v>8000</v>
      </c>
      <c r="K479" s="43"/>
      <c r="L479" s="44"/>
      <c r="M479" s="18"/>
      <c r="N479" s="45"/>
      <c r="O479" s="45"/>
      <c r="P479" s="45"/>
      <c r="Q479" s="23">
        <v>44095</v>
      </c>
      <c r="R479" s="9">
        <v>1591</v>
      </c>
      <c r="S479" s="108">
        <v>8000</v>
      </c>
      <c r="U479" s="40">
        <f t="shared" si="10"/>
        <v>8602541</v>
      </c>
      <c r="Y479" s="65"/>
      <c r="Z479" s="35"/>
      <c r="AA479" s="34"/>
    </row>
    <row r="480" spans="1:27" ht="15.75" x14ac:dyDescent="0.25">
      <c r="A480" s="6" t="s">
        <v>822</v>
      </c>
      <c r="B480" s="6" t="s">
        <v>1079</v>
      </c>
      <c r="D480" s="21">
        <v>43903</v>
      </c>
      <c r="E480" s="7" t="s">
        <v>32</v>
      </c>
      <c r="F480" s="7">
        <v>15800</v>
      </c>
      <c r="G480" s="7">
        <v>436</v>
      </c>
      <c r="H480" s="14">
        <v>12</v>
      </c>
      <c r="I480" s="10" t="s">
        <v>30</v>
      </c>
      <c r="J480" s="9">
        <v>12000</v>
      </c>
      <c r="K480" s="43"/>
      <c r="L480" s="44"/>
      <c r="M480" s="18"/>
      <c r="N480" s="45"/>
      <c r="O480" s="45"/>
      <c r="P480" s="45"/>
      <c r="Q480" s="23">
        <v>44278</v>
      </c>
      <c r="R480" s="9">
        <v>1154</v>
      </c>
      <c r="S480" s="108">
        <v>12000</v>
      </c>
      <c r="U480" s="40">
        <f t="shared" si="10"/>
        <v>8614541</v>
      </c>
      <c r="Y480" s="65"/>
      <c r="Z480" s="35"/>
      <c r="AA480" s="34"/>
    </row>
    <row r="481" spans="1:27" ht="15.75" x14ac:dyDescent="0.25">
      <c r="A481" s="6" t="s">
        <v>358</v>
      </c>
      <c r="B481" s="6" t="s">
        <v>29</v>
      </c>
      <c r="C481" s="6" t="s">
        <v>28</v>
      </c>
      <c r="D481" s="21">
        <v>43906</v>
      </c>
      <c r="E481" s="7" t="s">
        <v>32</v>
      </c>
      <c r="F481" s="7">
        <v>15831</v>
      </c>
      <c r="G481" s="7">
        <v>437</v>
      </c>
      <c r="H481" s="14">
        <v>12</v>
      </c>
      <c r="I481" s="10" t="s">
        <v>30</v>
      </c>
      <c r="J481" s="9">
        <v>39000</v>
      </c>
      <c r="K481" s="43"/>
      <c r="L481" s="44"/>
      <c r="M481" s="18"/>
      <c r="N481" s="45"/>
      <c r="O481" s="45"/>
      <c r="P481" s="45"/>
      <c r="Q481" s="23">
        <v>44271</v>
      </c>
      <c r="R481" s="9">
        <v>48</v>
      </c>
      <c r="S481" s="108">
        <v>39000</v>
      </c>
      <c r="U481" s="40">
        <f t="shared" si="10"/>
        <v>8653541</v>
      </c>
      <c r="Y481" s="65"/>
      <c r="Z481" s="35"/>
      <c r="AA481" s="34"/>
    </row>
    <row r="482" spans="1:27" ht="15.75" x14ac:dyDescent="0.25">
      <c r="A482" s="6" t="s">
        <v>823</v>
      </c>
      <c r="B482" s="6" t="s">
        <v>345</v>
      </c>
      <c r="D482" s="21"/>
      <c r="G482" s="7">
        <v>438</v>
      </c>
      <c r="H482" s="7"/>
      <c r="K482" s="43"/>
      <c r="L482" s="44"/>
      <c r="M482" s="18"/>
      <c r="N482" s="45"/>
      <c r="O482" s="45"/>
      <c r="P482" s="45"/>
      <c r="U482" s="40">
        <f t="shared" si="10"/>
        <v>8653541</v>
      </c>
      <c r="Y482" s="65"/>
      <c r="Z482" s="35"/>
      <c r="AA482" s="34"/>
    </row>
    <row r="483" spans="1:27" ht="15.75" x14ac:dyDescent="0.25">
      <c r="A483" s="6" t="s">
        <v>824</v>
      </c>
      <c r="B483" s="6" t="s">
        <v>825</v>
      </c>
      <c r="C483" s="6" t="s">
        <v>826</v>
      </c>
      <c r="D483" s="21">
        <v>43909</v>
      </c>
      <c r="E483" s="7" t="s">
        <v>32</v>
      </c>
      <c r="F483" s="7">
        <v>15893</v>
      </c>
      <c r="G483" s="7">
        <v>439</v>
      </c>
      <c r="H483" s="14">
        <v>12</v>
      </c>
      <c r="I483" s="10" t="s">
        <v>30</v>
      </c>
      <c r="J483" s="9">
        <v>82000</v>
      </c>
      <c r="K483" s="43"/>
      <c r="L483" s="44"/>
      <c r="M483" s="18"/>
      <c r="N483" s="45"/>
      <c r="O483" s="45"/>
      <c r="P483" s="45"/>
      <c r="Q483" s="23">
        <v>44277</v>
      </c>
      <c r="R483" s="9">
        <v>844</v>
      </c>
      <c r="S483" s="108">
        <v>82000</v>
      </c>
      <c r="U483" s="40">
        <f t="shared" si="10"/>
        <v>8735541</v>
      </c>
      <c r="Y483" s="65"/>
      <c r="Z483" s="35"/>
      <c r="AA483" s="34"/>
    </row>
    <row r="484" spans="1:27" ht="15.75" x14ac:dyDescent="0.25">
      <c r="A484" s="6" t="s">
        <v>823</v>
      </c>
      <c r="B484" s="6" t="s">
        <v>827</v>
      </c>
      <c r="C484" s="6" t="s">
        <v>828</v>
      </c>
      <c r="D484" s="21">
        <v>43909</v>
      </c>
      <c r="E484" s="7" t="s">
        <v>32</v>
      </c>
      <c r="F484" s="7">
        <v>15901</v>
      </c>
      <c r="G484" s="7">
        <v>440</v>
      </c>
      <c r="H484" s="14">
        <v>12</v>
      </c>
      <c r="I484" s="10" t="s">
        <v>30</v>
      </c>
      <c r="J484" s="9">
        <v>70000</v>
      </c>
      <c r="K484" s="43"/>
      <c r="L484" s="44"/>
      <c r="M484" s="18"/>
      <c r="N484" s="45"/>
      <c r="O484" s="45"/>
      <c r="P484" s="45"/>
      <c r="Q484" s="23">
        <v>44285</v>
      </c>
      <c r="R484" s="9">
        <v>1247</v>
      </c>
      <c r="S484" s="108">
        <v>70000</v>
      </c>
      <c r="U484" s="40">
        <f t="shared" si="10"/>
        <v>8805541</v>
      </c>
      <c r="Y484" s="65"/>
      <c r="Z484" s="35"/>
      <c r="AA484" s="34"/>
    </row>
    <row r="485" spans="1:27" ht="15.75" x14ac:dyDescent="0.25">
      <c r="A485" s="6" t="s">
        <v>363</v>
      </c>
      <c r="B485" s="6" t="s">
        <v>559</v>
      </c>
      <c r="C485" s="6" t="s">
        <v>132</v>
      </c>
      <c r="D485" s="21">
        <v>43913</v>
      </c>
      <c r="E485" s="7" t="s">
        <v>32</v>
      </c>
      <c r="F485" s="7">
        <v>15937</v>
      </c>
      <c r="G485" s="7">
        <v>441</v>
      </c>
      <c r="H485" s="14">
        <v>6</v>
      </c>
      <c r="I485" s="10" t="s">
        <v>30</v>
      </c>
      <c r="J485" s="9">
        <v>43000</v>
      </c>
      <c r="K485" s="43"/>
      <c r="L485" s="44"/>
      <c r="M485" s="18"/>
      <c r="N485" s="45"/>
      <c r="O485" s="45"/>
      <c r="P485" s="45"/>
      <c r="Q485" s="23">
        <v>44097</v>
      </c>
      <c r="R485" s="9">
        <v>1628</v>
      </c>
      <c r="S485" s="108">
        <v>43000</v>
      </c>
      <c r="U485" s="40">
        <f t="shared" si="10"/>
        <v>8848541</v>
      </c>
      <c r="Y485" s="65"/>
      <c r="Z485" s="35"/>
      <c r="AA485" s="34"/>
    </row>
    <row r="486" spans="1:27" ht="15.75" x14ac:dyDescent="0.25">
      <c r="A486" s="6" t="s">
        <v>829</v>
      </c>
      <c r="B486" s="6" t="s">
        <v>345</v>
      </c>
      <c r="D486" s="21"/>
      <c r="G486" s="7">
        <v>442</v>
      </c>
      <c r="H486" s="14"/>
      <c r="K486" s="43"/>
      <c r="L486" s="44"/>
      <c r="M486" s="18"/>
      <c r="N486" s="45"/>
      <c r="O486" s="45"/>
      <c r="P486" s="45"/>
      <c r="U486" s="40">
        <f t="shared" si="10"/>
        <v>8848541</v>
      </c>
      <c r="Y486" s="65"/>
      <c r="Z486" s="35"/>
      <c r="AA486" s="34"/>
    </row>
    <row r="487" spans="1:27" ht="15.75" x14ac:dyDescent="0.25">
      <c r="A487" s="6" t="s">
        <v>829</v>
      </c>
      <c r="B487" s="6" t="s">
        <v>345</v>
      </c>
      <c r="D487" s="21"/>
      <c r="G487" s="7">
        <v>443</v>
      </c>
      <c r="H487" s="14"/>
      <c r="K487" s="43"/>
      <c r="L487" s="44"/>
      <c r="M487" s="18"/>
      <c r="N487" s="45"/>
      <c r="O487" s="45"/>
      <c r="P487" s="45"/>
      <c r="U487" s="40">
        <f t="shared" ref="U487:U550" si="11">U486+S487-T487</f>
        <v>8848541</v>
      </c>
      <c r="Y487" s="65"/>
      <c r="Z487" s="35"/>
      <c r="AA487" s="34"/>
    </row>
    <row r="488" spans="1:27" ht="15.75" x14ac:dyDescent="0.25">
      <c r="A488" s="6" t="s">
        <v>829</v>
      </c>
      <c r="B488" s="6" t="s">
        <v>830</v>
      </c>
      <c r="C488" s="6" t="s">
        <v>831</v>
      </c>
      <c r="D488" s="21">
        <v>43903</v>
      </c>
      <c r="E488" s="7" t="s">
        <v>32</v>
      </c>
      <c r="F488" s="7">
        <v>15995</v>
      </c>
      <c r="G488" s="7">
        <v>444</v>
      </c>
      <c r="H488" s="14">
        <v>6</v>
      </c>
      <c r="I488" s="10" t="s">
        <v>30</v>
      </c>
      <c r="J488" s="9">
        <v>60000</v>
      </c>
      <c r="K488" s="43"/>
      <c r="L488" s="44"/>
      <c r="M488" s="18"/>
      <c r="N488" s="45"/>
      <c r="O488" s="45"/>
      <c r="P488" s="45"/>
      <c r="Q488" s="23">
        <v>44099</v>
      </c>
      <c r="R488" s="9">
        <v>1669</v>
      </c>
      <c r="S488" s="108">
        <v>60000</v>
      </c>
      <c r="U488" s="40">
        <f t="shared" si="11"/>
        <v>8908541</v>
      </c>
      <c r="Y488" s="65"/>
      <c r="Z488" s="35"/>
      <c r="AA488" s="34"/>
    </row>
    <row r="489" spans="1:27" ht="15.75" x14ac:dyDescent="0.25">
      <c r="A489" s="6" t="s">
        <v>832</v>
      </c>
      <c r="B489" s="6" t="s">
        <v>833</v>
      </c>
      <c r="C489" s="6" t="s">
        <v>28</v>
      </c>
      <c r="D489" s="21">
        <v>43913</v>
      </c>
      <c r="E489" s="7" t="s">
        <v>32</v>
      </c>
      <c r="F489" s="7">
        <v>15957</v>
      </c>
      <c r="G489" s="7">
        <v>445</v>
      </c>
      <c r="H489" s="14">
        <v>12</v>
      </c>
      <c r="I489" s="10" t="s">
        <v>30</v>
      </c>
      <c r="J489" s="9">
        <v>25000</v>
      </c>
      <c r="K489" s="43"/>
      <c r="L489" s="44"/>
      <c r="M489" s="18"/>
      <c r="N489" s="45"/>
      <c r="O489" s="45"/>
      <c r="P489" s="45"/>
      <c r="Q489" s="23">
        <v>44278</v>
      </c>
      <c r="R489" s="9">
        <v>1139</v>
      </c>
      <c r="S489" s="108">
        <v>25000</v>
      </c>
      <c r="U489" s="40">
        <f t="shared" si="11"/>
        <v>8933541</v>
      </c>
      <c r="Y489" s="65"/>
      <c r="Z489" s="35"/>
      <c r="AA489" s="34"/>
    </row>
    <row r="490" spans="1:27" ht="15.75" x14ac:dyDescent="0.25">
      <c r="A490" s="6" t="s">
        <v>360</v>
      </c>
      <c r="B490" s="6" t="s">
        <v>560</v>
      </c>
      <c r="C490" s="6" t="s">
        <v>561</v>
      </c>
      <c r="D490" s="21">
        <v>43914</v>
      </c>
      <c r="E490" s="130" t="s">
        <v>32</v>
      </c>
      <c r="F490" s="7">
        <v>15968</v>
      </c>
      <c r="G490" s="7">
        <v>446</v>
      </c>
      <c r="H490" s="14">
        <v>6</v>
      </c>
      <c r="I490" s="10" t="s">
        <v>30</v>
      </c>
      <c r="J490" s="9">
        <v>8000</v>
      </c>
      <c r="K490" s="43"/>
      <c r="L490" s="44"/>
      <c r="M490" s="18"/>
      <c r="N490" s="45"/>
      <c r="O490" s="45"/>
      <c r="P490" s="45"/>
      <c r="Q490" s="23">
        <v>44099</v>
      </c>
      <c r="R490" s="9">
        <v>1675</v>
      </c>
      <c r="S490" s="108">
        <v>8000</v>
      </c>
      <c r="U490" s="40">
        <f t="shared" si="11"/>
        <v>8941541</v>
      </c>
      <c r="Y490" s="65"/>
      <c r="Z490" s="35"/>
      <c r="AA490" s="34"/>
    </row>
    <row r="491" spans="1:27" ht="15.75" x14ac:dyDescent="0.25">
      <c r="A491" s="6" t="s">
        <v>834</v>
      </c>
      <c r="B491" s="6" t="s">
        <v>835</v>
      </c>
      <c r="C491" s="6" t="s">
        <v>836</v>
      </c>
      <c r="D491" s="21">
        <v>43918</v>
      </c>
      <c r="E491" s="7" t="s">
        <v>32</v>
      </c>
      <c r="F491" s="7">
        <v>15992</v>
      </c>
      <c r="G491" s="7">
        <v>447</v>
      </c>
      <c r="H491" s="14">
        <v>12</v>
      </c>
      <c r="I491" s="10" t="s">
        <v>30</v>
      </c>
      <c r="J491" s="9">
        <v>20000</v>
      </c>
      <c r="K491" s="43"/>
      <c r="L491" s="44"/>
      <c r="M491" s="18"/>
      <c r="N491" s="45"/>
      <c r="O491" s="45"/>
      <c r="P491" s="45"/>
      <c r="Q491" s="23">
        <v>44348</v>
      </c>
      <c r="R491" s="9">
        <v>2098</v>
      </c>
      <c r="S491" s="108">
        <v>20000</v>
      </c>
      <c r="U491" s="40">
        <f t="shared" si="11"/>
        <v>8961541</v>
      </c>
      <c r="Y491" s="65"/>
      <c r="Z491" s="35"/>
      <c r="AA491" s="34"/>
    </row>
    <row r="492" spans="1:27" ht="15.75" x14ac:dyDescent="0.25">
      <c r="A492" s="6" t="s">
        <v>239</v>
      </c>
      <c r="B492" s="6" t="s">
        <v>490</v>
      </c>
      <c r="C492" s="6" t="s">
        <v>573</v>
      </c>
      <c r="D492" s="21">
        <v>43920</v>
      </c>
      <c r="E492" s="7" t="s">
        <v>32</v>
      </c>
      <c r="F492" s="7">
        <v>16052</v>
      </c>
      <c r="G492" s="7">
        <v>448</v>
      </c>
      <c r="H492" s="14">
        <v>6</v>
      </c>
      <c r="I492" s="10" t="s">
        <v>30</v>
      </c>
      <c r="J492" s="9">
        <v>30000</v>
      </c>
      <c r="K492" s="43"/>
      <c r="L492" s="44"/>
      <c r="M492" s="18"/>
      <c r="N492" s="45"/>
      <c r="O492" s="45"/>
      <c r="P492" s="45"/>
      <c r="Q492" s="23">
        <v>44104</v>
      </c>
      <c r="R492" s="9">
        <v>1721</v>
      </c>
      <c r="S492" s="108">
        <v>30000</v>
      </c>
      <c r="U492" s="40">
        <f t="shared" si="11"/>
        <v>8991541</v>
      </c>
      <c r="Y492" s="65"/>
      <c r="Z492" s="35"/>
      <c r="AA492" s="34"/>
    </row>
    <row r="493" spans="1:27" ht="15.75" x14ac:dyDescent="0.25">
      <c r="A493" s="6" t="s">
        <v>837</v>
      </c>
      <c r="B493" s="6" t="s">
        <v>838</v>
      </c>
      <c r="C493" s="6" t="s">
        <v>839</v>
      </c>
      <c r="D493" s="21">
        <v>43922</v>
      </c>
      <c r="E493" s="7" t="s">
        <v>32</v>
      </c>
      <c r="F493" s="7">
        <v>16115</v>
      </c>
      <c r="G493" s="7">
        <v>449</v>
      </c>
      <c r="H493" s="14">
        <v>12</v>
      </c>
      <c r="I493" s="10" t="s">
        <v>30</v>
      </c>
      <c r="J493" s="9">
        <v>3000</v>
      </c>
      <c r="K493" s="43"/>
      <c r="L493" s="44"/>
      <c r="M493" s="18"/>
      <c r="N493" s="45"/>
      <c r="O493" s="45"/>
      <c r="P493" s="45"/>
      <c r="Q493" s="23">
        <v>44293</v>
      </c>
      <c r="R493" s="9">
        <v>1008</v>
      </c>
      <c r="S493" s="108">
        <v>3000</v>
      </c>
      <c r="U493" s="40">
        <f t="shared" si="11"/>
        <v>8994541</v>
      </c>
      <c r="Y493" s="65"/>
      <c r="Z493" s="35"/>
      <c r="AA493" s="34"/>
    </row>
    <row r="494" spans="1:27" ht="15.75" x14ac:dyDescent="0.25">
      <c r="A494" s="6" t="s">
        <v>840</v>
      </c>
      <c r="B494" s="6" t="s">
        <v>841</v>
      </c>
      <c r="C494" s="6" t="s">
        <v>842</v>
      </c>
      <c r="D494" s="21">
        <v>43922</v>
      </c>
      <c r="E494" s="7" t="s">
        <v>32</v>
      </c>
      <c r="F494" s="7">
        <v>16118</v>
      </c>
      <c r="G494" s="7">
        <v>450</v>
      </c>
      <c r="H494" s="14">
        <v>12</v>
      </c>
      <c r="I494" s="10" t="s">
        <v>30</v>
      </c>
      <c r="J494" s="9">
        <v>1100</v>
      </c>
      <c r="K494" s="43"/>
      <c r="L494" s="44"/>
      <c r="M494" s="18"/>
      <c r="N494" s="45"/>
      <c r="O494" s="45"/>
      <c r="P494" s="45"/>
      <c r="Q494" s="23">
        <v>44291</v>
      </c>
      <c r="R494" s="9">
        <v>985</v>
      </c>
      <c r="S494" s="108">
        <v>1100</v>
      </c>
      <c r="U494" s="40">
        <f t="shared" si="11"/>
        <v>8995641</v>
      </c>
      <c r="Y494" s="65"/>
      <c r="Z494" s="35"/>
      <c r="AA494" s="34"/>
    </row>
    <row r="495" spans="1:27" ht="15.75" x14ac:dyDescent="0.25">
      <c r="A495" s="6" t="s">
        <v>289</v>
      </c>
      <c r="B495" s="6" t="s">
        <v>843</v>
      </c>
      <c r="C495" s="6" t="s">
        <v>64</v>
      </c>
      <c r="D495" s="21">
        <v>43927</v>
      </c>
      <c r="E495" s="7" t="s">
        <v>32</v>
      </c>
      <c r="F495" s="7">
        <v>16200</v>
      </c>
      <c r="G495" s="7">
        <v>451</v>
      </c>
      <c r="H495" s="14">
        <v>6</v>
      </c>
      <c r="I495" s="10" t="s">
        <v>30</v>
      </c>
      <c r="J495" s="9">
        <v>10585</v>
      </c>
      <c r="K495" s="43"/>
      <c r="L495" s="44"/>
      <c r="M495" s="18"/>
      <c r="N495" s="45"/>
      <c r="O495" s="45"/>
      <c r="P495" s="45"/>
      <c r="Q495" s="23">
        <v>44111</v>
      </c>
      <c r="R495" s="9">
        <v>1848</v>
      </c>
      <c r="S495" s="108">
        <v>10585</v>
      </c>
      <c r="U495" s="40">
        <f t="shared" si="11"/>
        <v>9006226</v>
      </c>
      <c r="Y495" s="65"/>
      <c r="Z495" s="35"/>
      <c r="AA495" s="34"/>
    </row>
    <row r="496" spans="1:27" ht="15.75" x14ac:dyDescent="0.25">
      <c r="A496" s="6" t="s">
        <v>844</v>
      </c>
      <c r="B496" s="6" t="s">
        <v>845</v>
      </c>
      <c r="C496" s="6" t="s">
        <v>846</v>
      </c>
      <c r="D496" s="21">
        <v>43928</v>
      </c>
      <c r="E496" s="7" t="s">
        <v>32</v>
      </c>
      <c r="F496" s="7">
        <v>16220</v>
      </c>
      <c r="G496" s="7">
        <v>452</v>
      </c>
      <c r="H496" s="14">
        <v>12</v>
      </c>
      <c r="I496" s="10" t="s">
        <v>30</v>
      </c>
      <c r="J496" s="9">
        <v>70000</v>
      </c>
      <c r="K496" s="43"/>
      <c r="L496" s="44"/>
      <c r="M496" s="18"/>
      <c r="N496" s="45"/>
      <c r="O496" s="45"/>
      <c r="P496" s="45"/>
      <c r="Q496" s="23">
        <v>44293</v>
      </c>
      <c r="R496" s="9">
        <v>1001</v>
      </c>
      <c r="S496" s="108">
        <v>70000</v>
      </c>
      <c r="U496" s="40">
        <f t="shared" si="11"/>
        <v>9076226</v>
      </c>
      <c r="Y496" s="65"/>
      <c r="Z496" s="35"/>
      <c r="AA496" s="34"/>
    </row>
    <row r="497" spans="1:27" ht="15.75" x14ac:dyDescent="0.25">
      <c r="A497" s="6" t="s">
        <v>847</v>
      </c>
      <c r="B497" s="6" t="s">
        <v>848</v>
      </c>
      <c r="C497" s="6" t="s">
        <v>849</v>
      </c>
      <c r="D497" s="21">
        <v>43928</v>
      </c>
      <c r="E497" s="7" t="s">
        <v>32</v>
      </c>
      <c r="F497" s="7">
        <v>16222</v>
      </c>
      <c r="G497" s="7">
        <v>453</v>
      </c>
      <c r="H497" s="14">
        <v>6</v>
      </c>
      <c r="I497" s="10" t="s">
        <v>30</v>
      </c>
      <c r="J497" s="9">
        <v>17000</v>
      </c>
      <c r="K497" s="43"/>
      <c r="L497" s="44"/>
      <c r="M497" s="18"/>
      <c r="N497" s="45"/>
      <c r="O497" s="45"/>
      <c r="P497" s="45"/>
      <c r="Q497" s="23">
        <v>44120</v>
      </c>
      <c r="R497" s="9">
        <v>2142</v>
      </c>
      <c r="S497" s="108">
        <v>17000</v>
      </c>
      <c r="U497" s="40">
        <f t="shared" si="11"/>
        <v>9093226</v>
      </c>
      <c r="Y497" s="65"/>
      <c r="Z497" s="35"/>
      <c r="AA497" s="34"/>
    </row>
    <row r="498" spans="1:27" ht="15.75" x14ac:dyDescent="0.25">
      <c r="A498" s="6" t="s">
        <v>850</v>
      </c>
      <c r="B498" s="6" t="s">
        <v>579</v>
      </c>
      <c r="C498" s="6" t="s">
        <v>580</v>
      </c>
      <c r="D498" s="21">
        <v>43928</v>
      </c>
      <c r="E498" s="7" t="s">
        <v>32</v>
      </c>
      <c r="F498" s="7">
        <v>16242</v>
      </c>
      <c r="G498" s="7">
        <v>454</v>
      </c>
      <c r="H498" s="14">
        <v>6</v>
      </c>
      <c r="I498" s="10" t="s">
        <v>30</v>
      </c>
      <c r="J498" s="9">
        <v>52925</v>
      </c>
      <c r="K498" s="43"/>
      <c r="L498" s="44"/>
      <c r="M498" s="18"/>
      <c r="N498" s="45"/>
      <c r="O498" s="45"/>
      <c r="P498" s="45"/>
      <c r="Q498" s="23">
        <v>44168</v>
      </c>
      <c r="R498" s="9">
        <v>2706</v>
      </c>
      <c r="S498" s="108">
        <v>52925</v>
      </c>
      <c r="U498" s="40">
        <f t="shared" si="11"/>
        <v>9146151</v>
      </c>
      <c r="Y498" s="65"/>
      <c r="Z498" s="35"/>
      <c r="AA498" s="34"/>
    </row>
    <row r="499" spans="1:27" ht="15.75" x14ac:dyDescent="0.25">
      <c r="A499" s="6" t="s">
        <v>851</v>
      </c>
      <c r="B499" s="6" t="s">
        <v>852</v>
      </c>
      <c r="C499" s="6" t="s">
        <v>853</v>
      </c>
      <c r="D499" s="21">
        <v>43929</v>
      </c>
      <c r="E499" s="7" t="s">
        <v>32</v>
      </c>
      <c r="F499" s="7">
        <v>16249</v>
      </c>
      <c r="G499" s="7">
        <v>455</v>
      </c>
      <c r="H499" s="14">
        <v>12</v>
      </c>
      <c r="I499" s="10" t="s">
        <v>30</v>
      </c>
      <c r="J499" s="9">
        <v>70000</v>
      </c>
      <c r="K499" s="43"/>
      <c r="L499" s="44"/>
      <c r="M499" s="18"/>
      <c r="N499" s="45"/>
      <c r="O499" s="45"/>
      <c r="P499" s="45"/>
      <c r="Q499" s="23">
        <v>44294</v>
      </c>
      <c r="R499" s="9">
        <v>1319</v>
      </c>
      <c r="S499" s="108">
        <v>70000</v>
      </c>
      <c r="U499" s="40">
        <f t="shared" si="11"/>
        <v>9216151</v>
      </c>
      <c r="Y499" s="65"/>
      <c r="Z499" s="35"/>
      <c r="AA499" s="34"/>
    </row>
    <row r="500" spans="1:27" ht="15.75" x14ac:dyDescent="0.25">
      <c r="A500" s="6">
        <v>433</v>
      </c>
      <c r="B500" s="6" t="s">
        <v>854</v>
      </c>
      <c r="C500" s="6" t="s">
        <v>368</v>
      </c>
      <c r="D500" s="21">
        <v>43929</v>
      </c>
      <c r="E500" s="7" t="s">
        <v>32</v>
      </c>
      <c r="F500" s="7">
        <v>16260</v>
      </c>
      <c r="G500" s="7">
        <v>456</v>
      </c>
      <c r="H500" s="14">
        <v>12</v>
      </c>
      <c r="I500" s="10" t="s">
        <v>30</v>
      </c>
      <c r="J500" s="9">
        <v>86000</v>
      </c>
      <c r="K500" s="43"/>
      <c r="L500" s="44"/>
      <c r="M500" s="18"/>
      <c r="N500" s="45"/>
      <c r="O500" s="45"/>
      <c r="P500" s="45"/>
      <c r="Q500" s="23">
        <v>44116</v>
      </c>
      <c r="R500" s="9">
        <v>1914</v>
      </c>
      <c r="S500" s="108">
        <v>86000</v>
      </c>
      <c r="U500" s="40">
        <f t="shared" si="11"/>
        <v>9302151</v>
      </c>
      <c r="Y500" s="65"/>
      <c r="Z500" s="35"/>
      <c r="AA500" s="34"/>
    </row>
    <row r="501" spans="1:27" ht="15.75" x14ac:dyDescent="0.25">
      <c r="A501" s="6" t="s">
        <v>369</v>
      </c>
      <c r="B501" s="6" t="s">
        <v>855</v>
      </c>
      <c r="C501" s="6" t="s">
        <v>371</v>
      </c>
      <c r="D501" s="21">
        <v>44087</v>
      </c>
      <c r="E501" s="7" t="s">
        <v>32</v>
      </c>
      <c r="F501" s="7">
        <v>16275</v>
      </c>
      <c r="G501" s="7">
        <v>457</v>
      </c>
      <c r="H501" s="14">
        <v>12</v>
      </c>
      <c r="I501" s="10" t="s">
        <v>30</v>
      </c>
      <c r="J501" s="9">
        <v>200000</v>
      </c>
      <c r="K501" s="43"/>
      <c r="L501" s="44"/>
      <c r="M501" s="18"/>
      <c r="N501" s="45"/>
      <c r="O501" s="45"/>
      <c r="P501" s="45"/>
      <c r="Q501" s="23">
        <v>44299</v>
      </c>
      <c r="R501" s="9">
        <v>1046</v>
      </c>
      <c r="S501" s="108">
        <v>200000</v>
      </c>
      <c r="U501" s="40">
        <f t="shared" si="11"/>
        <v>9502151</v>
      </c>
      <c r="Y501" s="65"/>
      <c r="Z501" s="35"/>
      <c r="AA501" s="34"/>
    </row>
    <row r="502" spans="1:27" ht="15.75" x14ac:dyDescent="0.25">
      <c r="A502" s="6" t="s">
        <v>856</v>
      </c>
      <c r="B502" s="6" t="s">
        <v>857</v>
      </c>
      <c r="C502" s="6" t="s">
        <v>858</v>
      </c>
      <c r="D502" s="21">
        <v>43937</v>
      </c>
      <c r="E502" s="7" t="s">
        <v>32</v>
      </c>
      <c r="F502" s="7">
        <v>16370</v>
      </c>
      <c r="G502" s="7">
        <v>458</v>
      </c>
      <c r="H502" s="7">
        <v>12</v>
      </c>
      <c r="I502" s="10" t="s">
        <v>30</v>
      </c>
      <c r="J502" s="70">
        <v>69000</v>
      </c>
      <c r="K502" s="43"/>
      <c r="L502" s="44"/>
      <c r="M502" s="18"/>
      <c r="N502" s="45"/>
      <c r="O502" s="45"/>
      <c r="P502" s="45"/>
      <c r="Q502" s="23">
        <v>44302</v>
      </c>
      <c r="R502" s="9">
        <v>1442</v>
      </c>
      <c r="S502" s="108">
        <v>69000</v>
      </c>
      <c r="U502" s="40">
        <f t="shared" si="11"/>
        <v>9571151</v>
      </c>
      <c r="Y502" s="65"/>
      <c r="Z502" s="35"/>
      <c r="AA502" s="34"/>
    </row>
    <row r="503" spans="1:27" ht="15.75" x14ac:dyDescent="0.25">
      <c r="A503" s="6" t="s">
        <v>143</v>
      </c>
      <c r="B503" s="6" t="s">
        <v>600</v>
      </c>
      <c r="C503" s="6" t="s">
        <v>739</v>
      </c>
      <c r="D503" s="21">
        <v>43942</v>
      </c>
      <c r="E503" s="7" t="s">
        <v>32</v>
      </c>
      <c r="F503" s="7">
        <v>16418</v>
      </c>
      <c r="G503" s="7">
        <v>459</v>
      </c>
      <c r="H503" s="14">
        <v>6</v>
      </c>
      <c r="I503" s="10" t="s">
        <v>30</v>
      </c>
      <c r="J503" s="70">
        <v>27000</v>
      </c>
      <c r="K503" s="43"/>
      <c r="L503" s="44"/>
      <c r="M503" s="18"/>
      <c r="N503" s="45"/>
      <c r="O503" s="45"/>
      <c r="P503" s="45"/>
      <c r="Q503" s="23">
        <v>44126</v>
      </c>
      <c r="R503" s="9">
        <v>2083</v>
      </c>
      <c r="S503" s="108">
        <v>27000</v>
      </c>
      <c r="U503" s="40">
        <f t="shared" si="11"/>
        <v>9598151</v>
      </c>
      <c r="Y503" s="65"/>
      <c r="Z503" s="35"/>
      <c r="AA503" s="34"/>
    </row>
    <row r="504" spans="1:27" ht="15.75" x14ac:dyDescent="0.25">
      <c r="A504" s="6" t="s">
        <v>859</v>
      </c>
      <c r="B504" s="6" t="s">
        <v>860</v>
      </c>
      <c r="C504" s="6" t="s">
        <v>861</v>
      </c>
      <c r="D504" s="21">
        <v>43945</v>
      </c>
      <c r="E504" s="7" t="s">
        <v>32</v>
      </c>
      <c r="F504" s="7">
        <v>16481</v>
      </c>
      <c r="G504" s="7">
        <v>460</v>
      </c>
      <c r="H504" s="14">
        <v>6</v>
      </c>
      <c r="I504" s="10" t="s">
        <v>30</v>
      </c>
      <c r="J504" s="9">
        <v>100000</v>
      </c>
      <c r="K504" s="43"/>
      <c r="L504" s="44"/>
      <c r="M504" s="18"/>
      <c r="N504" s="45"/>
      <c r="O504" s="45"/>
      <c r="P504" s="45"/>
      <c r="Q504" s="23">
        <v>44132</v>
      </c>
      <c r="R504" s="9">
        <v>2201</v>
      </c>
      <c r="S504" s="108">
        <v>100000</v>
      </c>
      <c r="U504" s="40">
        <f t="shared" si="11"/>
        <v>9698151</v>
      </c>
      <c r="Y504" s="65"/>
      <c r="Z504" s="35"/>
      <c r="AA504" s="34"/>
    </row>
    <row r="505" spans="1:27" ht="15.75" x14ac:dyDescent="0.25">
      <c r="A505" s="6" t="s">
        <v>862</v>
      </c>
      <c r="B505" s="6" t="s">
        <v>863</v>
      </c>
      <c r="C505" s="6" t="s">
        <v>864</v>
      </c>
      <c r="D505" s="21">
        <v>43945</v>
      </c>
      <c r="E505" s="7" t="s">
        <v>32</v>
      </c>
      <c r="F505" s="7">
        <v>16484</v>
      </c>
      <c r="G505" s="7">
        <v>461</v>
      </c>
      <c r="H505" s="14">
        <v>12</v>
      </c>
      <c r="I505" s="10" t="s">
        <v>30</v>
      </c>
      <c r="J505" s="9">
        <v>6000</v>
      </c>
      <c r="K505" s="43"/>
      <c r="L505" s="44"/>
      <c r="M505" s="18"/>
      <c r="N505" s="45"/>
      <c r="O505" s="45"/>
      <c r="P505" s="45"/>
      <c r="Q505" s="23">
        <v>44312</v>
      </c>
      <c r="R505" s="9">
        <v>1119</v>
      </c>
      <c r="S505" s="108">
        <v>6000</v>
      </c>
      <c r="U505" s="40">
        <f t="shared" si="11"/>
        <v>9704151</v>
      </c>
      <c r="Y505" s="65"/>
      <c r="Z505" s="35"/>
      <c r="AA505" s="34"/>
    </row>
    <row r="506" spans="1:27" ht="15.75" x14ac:dyDescent="0.25">
      <c r="A506" s="6" t="s">
        <v>46</v>
      </c>
      <c r="B506" s="6" t="s">
        <v>865</v>
      </c>
      <c r="C506" s="6" t="s">
        <v>48</v>
      </c>
      <c r="D506" s="21">
        <v>43948</v>
      </c>
      <c r="E506" s="7" t="s">
        <v>32</v>
      </c>
      <c r="F506" s="7">
        <v>16495</v>
      </c>
      <c r="G506" s="7">
        <v>462</v>
      </c>
      <c r="H506" s="14">
        <v>6</v>
      </c>
      <c r="I506" s="10" t="s">
        <v>30</v>
      </c>
      <c r="J506" s="9">
        <v>80000</v>
      </c>
      <c r="K506" s="43"/>
      <c r="L506" s="44"/>
      <c r="M506" s="18"/>
      <c r="N506" s="45"/>
      <c r="O506" s="45"/>
      <c r="P506" s="45"/>
      <c r="Q506" s="23">
        <v>44155</v>
      </c>
      <c r="R506" s="9">
        <v>2538</v>
      </c>
      <c r="S506" s="108">
        <v>80000</v>
      </c>
      <c r="U506" s="40">
        <f t="shared" si="11"/>
        <v>9784151</v>
      </c>
      <c r="Y506" s="65"/>
      <c r="Z506" s="35"/>
      <c r="AA506" s="34"/>
    </row>
    <row r="507" spans="1:27" ht="15.75" x14ac:dyDescent="0.25">
      <c r="A507" s="6" t="s">
        <v>866</v>
      </c>
      <c r="B507" s="6" t="s">
        <v>867</v>
      </c>
      <c r="C507" s="6" t="s">
        <v>868</v>
      </c>
      <c r="D507" s="21">
        <v>43949</v>
      </c>
      <c r="E507" s="7" t="s">
        <v>32</v>
      </c>
      <c r="F507" s="7">
        <v>16523</v>
      </c>
      <c r="G507" s="7">
        <v>463</v>
      </c>
      <c r="H507" s="14">
        <v>6</v>
      </c>
      <c r="I507" s="10" t="s">
        <v>30</v>
      </c>
      <c r="J507" s="9">
        <v>20000</v>
      </c>
      <c r="K507" s="43"/>
      <c r="L507" s="44"/>
      <c r="M507" s="18"/>
      <c r="N507" s="45"/>
      <c r="O507" s="45"/>
      <c r="P507" s="45"/>
      <c r="Q507" s="23">
        <v>44132</v>
      </c>
      <c r="R507" s="9">
        <v>2190</v>
      </c>
      <c r="S507" s="108">
        <v>20000</v>
      </c>
      <c r="U507" s="40">
        <f t="shared" si="11"/>
        <v>9804151</v>
      </c>
      <c r="Y507" s="65"/>
      <c r="Z507" s="35"/>
      <c r="AA507" s="34"/>
    </row>
    <row r="508" spans="1:27" ht="15.75" x14ac:dyDescent="0.25">
      <c r="A508" s="6" t="s">
        <v>869</v>
      </c>
      <c r="B508" s="6" t="s">
        <v>870</v>
      </c>
      <c r="C508" s="6" t="s">
        <v>871</v>
      </c>
      <c r="D508" s="21">
        <v>43950</v>
      </c>
      <c r="E508" s="7" t="s">
        <v>32</v>
      </c>
      <c r="F508" s="7">
        <v>16551</v>
      </c>
      <c r="G508" s="7">
        <v>464</v>
      </c>
      <c r="H508" s="14">
        <v>6</v>
      </c>
      <c r="I508" s="10" t="s">
        <v>30</v>
      </c>
      <c r="J508" s="9">
        <v>50000</v>
      </c>
      <c r="K508" s="43"/>
      <c r="L508" s="44"/>
      <c r="M508" s="18"/>
      <c r="N508" s="45"/>
      <c r="O508" s="45"/>
      <c r="P508" s="45"/>
      <c r="Q508" s="23">
        <v>44133</v>
      </c>
      <c r="R508" s="9">
        <v>2217</v>
      </c>
      <c r="S508" s="108">
        <v>50000</v>
      </c>
      <c r="U508" s="40">
        <f t="shared" si="11"/>
        <v>9854151</v>
      </c>
      <c r="Y508" s="65"/>
      <c r="Z508" s="35"/>
      <c r="AA508" s="34"/>
    </row>
    <row r="509" spans="1:27" ht="15.75" x14ac:dyDescent="0.25">
      <c r="A509" s="6" t="s">
        <v>562</v>
      </c>
      <c r="B509" s="6" t="s">
        <v>563</v>
      </c>
      <c r="C509" s="6" t="s">
        <v>564</v>
      </c>
      <c r="D509" s="21">
        <v>44103</v>
      </c>
      <c r="E509" s="7" t="s">
        <v>32</v>
      </c>
      <c r="F509" s="7">
        <v>8</v>
      </c>
      <c r="G509" s="7">
        <v>465</v>
      </c>
      <c r="H509" s="14">
        <v>12</v>
      </c>
      <c r="I509" s="10" t="s">
        <v>30</v>
      </c>
      <c r="J509" s="9">
        <v>2000</v>
      </c>
      <c r="K509" s="43"/>
      <c r="L509" s="44"/>
      <c r="M509" s="18"/>
      <c r="N509" s="45"/>
      <c r="O509" s="45"/>
      <c r="P509" s="45"/>
      <c r="Q509" s="23">
        <v>44378</v>
      </c>
      <c r="R509" s="9">
        <v>1568</v>
      </c>
      <c r="S509" s="108">
        <v>2000</v>
      </c>
      <c r="U509" s="40">
        <f t="shared" si="11"/>
        <v>9856151</v>
      </c>
      <c r="Y509" s="65"/>
      <c r="Z509" s="35"/>
      <c r="AA509" s="34"/>
    </row>
    <row r="510" spans="1:27" ht="15.75" x14ac:dyDescent="0.25">
      <c r="A510" s="6">
        <v>414</v>
      </c>
      <c r="B510" s="6" t="s">
        <v>350</v>
      </c>
      <c r="C510" s="6" t="s">
        <v>872</v>
      </c>
      <c r="D510" s="21">
        <v>43950</v>
      </c>
      <c r="E510" s="7" t="s">
        <v>32</v>
      </c>
      <c r="F510" s="7">
        <v>10</v>
      </c>
      <c r="G510" s="7">
        <v>466</v>
      </c>
      <c r="H510" s="14">
        <v>12</v>
      </c>
      <c r="I510" s="10" t="s">
        <v>30</v>
      </c>
      <c r="J510" s="9">
        <v>4468</v>
      </c>
      <c r="K510" s="43"/>
      <c r="L510" s="44"/>
      <c r="M510" s="18"/>
      <c r="N510" s="45"/>
      <c r="O510" s="45"/>
      <c r="P510" s="45"/>
      <c r="Q510" s="23">
        <v>44612</v>
      </c>
      <c r="R510" s="9">
        <v>3798</v>
      </c>
      <c r="S510" s="108">
        <v>4468</v>
      </c>
      <c r="U510" s="40">
        <f>U509+S510-T510</f>
        <v>9860619</v>
      </c>
      <c r="Y510" s="65"/>
      <c r="Z510" s="35"/>
      <c r="AA510" s="34"/>
    </row>
    <row r="511" spans="1:27" ht="15.75" x14ac:dyDescent="0.25">
      <c r="A511" s="6" t="s">
        <v>873</v>
      </c>
      <c r="B511" s="6" t="s">
        <v>874</v>
      </c>
      <c r="C511" s="6" t="s">
        <v>875</v>
      </c>
      <c r="D511" s="21">
        <v>43952</v>
      </c>
      <c r="E511" s="7" t="s">
        <v>32</v>
      </c>
      <c r="F511" s="7">
        <v>25</v>
      </c>
      <c r="G511" s="7">
        <v>467</v>
      </c>
      <c r="H511" s="14">
        <v>12</v>
      </c>
      <c r="I511" s="10" t="s">
        <v>30</v>
      </c>
      <c r="J511" s="9">
        <v>3000</v>
      </c>
      <c r="K511" s="43"/>
      <c r="L511" s="44"/>
      <c r="M511" s="18"/>
      <c r="N511" s="45"/>
      <c r="O511" s="45"/>
      <c r="P511" s="45"/>
      <c r="Q511" s="23">
        <v>44327</v>
      </c>
      <c r="R511" s="9">
        <v>1798</v>
      </c>
      <c r="S511" s="108">
        <v>3000</v>
      </c>
      <c r="U511" s="40">
        <f t="shared" si="11"/>
        <v>9863619</v>
      </c>
      <c r="Y511" s="65"/>
      <c r="Z511" s="35"/>
      <c r="AA511" s="34"/>
    </row>
    <row r="512" spans="1:27" ht="15.75" x14ac:dyDescent="0.25">
      <c r="A512" s="6" t="s">
        <v>876</v>
      </c>
      <c r="B512" s="6" t="s">
        <v>877</v>
      </c>
      <c r="C512" s="6">
        <v>30751585</v>
      </c>
      <c r="D512" s="21">
        <v>43955</v>
      </c>
      <c r="E512" s="7" t="s">
        <v>32</v>
      </c>
      <c r="F512" s="7">
        <v>73</v>
      </c>
      <c r="G512" s="7">
        <v>468</v>
      </c>
      <c r="H512" s="14">
        <v>12</v>
      </c>
      <c r="I512" s="10" t="s">
        <v>30</v>
      </c>
      <c r="J512" s="9">
        <v>100000</v>
      </c>
      <c r="K512" s="43"/>
      <c r="L512" s="44"/>
      <c r="M512" s="18"/>
      <c r="N512" s="45"/>
      <c r="O512" s="45"/>
      <c r="P512" s="45"/>
      <c r="Q512" s="23">
        <v>44327</v>
      </c>
      <c r="R512" s="9">
        <v>1802</v>
      </c>
      <c r="S512" s="108">
        <v>100000</v>
      </c>
      <c r="U512" s="40">
        <f t="shared" si="11"/>
        <v>9963619</v>
      </c>
      <c r="Y512" s="65"/>
      <c r="Z512" s="35"/>
      <c r="AA512" s="34"/>
    </row>
    <row r="513" spans="1:27" ht="15.75" x14ac:dyDescent="0.25">
      <c r="A513" s="6" t="s">
        <v>878</v>
      </c>
      <c r="B513" s="6" t="s">
        <v>879</v>
      </c>
      <c r="C513" s="6" t="s">
        <v>880</v>
      </c>
      <c r="D513" s="21">
        <v>43955</v>
      </c>
      <c r="E513" s="7" t="s">
        <v>32</v>
      </c>
      <c r="F513" s="7">
        <v>79</v>
      </c>
      <c r="G513" s="7">
        <v>469</v>
      </c>
      <c r="H513" s="7">
        <v>12</v>
      </c>
      <c r="I513" s="10" t="s">
        <v>30</v>
      </c>
      <c r="J513" s="9">
        <v>15000</v>
      </c>
      <c r="K513" s="43"/>
      <c r="L513" s="44"/>
      <c r="M513" s="18"/>
      <c r="N513" s="45"/>
      <c r="O513" s="45"/>
      <c r="P513" s="45"/>
      <c r="Q513" s="23">
        <v>44326</v>
      </c>
      <c r="R513" s="9">
        <v>1783</v>
      </c>
      <c r="S513" s="108">
        <v>15000</v>
      </c>
      <c r="U513" s="40">
        <f t="shared" si="11"/>
        <v>9978619</v>
      </c>
      <c r="Y513" s="65"/>
      <c r="Z513" s="35"/>
      <c r="AA513" s="34"/>
    </row>
    <row r="514" spans="1:27" ht="15.75" x14ac:dyDescent="0.25">
      <c r="A514" s="6" t="s">
        <v>881</v>
      </c>
      <c r="B514" s="6" t="s">
        <v>882</v>
      </c>
      <c r="C514" s="6" t="s">
        <v>883</v>
      </c>
      <c r="D514" s="21">
        <v>43957</v>
      </c>
      <c r="E514" s="7" t="s">
        <v>32</v>
      </c>
      <c r="F514" s="7">
        <v>122</v>
      </c>
      <c r="G514" s="7">
        <v>470</v>
      </c>
      <c r="H514" s="14">
        <v>12</v>
      </c>
      <c r="I514" s="10" t="s">
        <v>30</v>
      </c>
      <c r="J514" s="9">
        <v>2000</v>
      </c>
      <c r="K514" s="43"/>
      <c r="L514" s="44"/>
      <c r="M514" s="18"/>
      <c r="N514" s="45"/>
      <c r="O514" s="45"/>
      <c r="P514" s="45"/>
      <c r="Q514" s="23">
        <v>44323</v>
      </c>
      <c r="R514" s="9">
        <v>1741</v>
      </c>
      <c r="S514" s="108">
        <v>2000</v>
      </c>
      <c r="U514" s="40">
        <f t="shared" si="11"/>
        <v>9980619</v>
      </c>
      <c r="Y514" s="65"/>
      <c r="Z514" s="35"/>
      <c r="AA514" s="34"/>
    </row>
    <row r="515" spans="1:27" ht="15.75" x14ac:dyDescent="0.25">
      <c r="A515" s="6" t="s">
        <v>884</v>
      </c>
      <c r="B515" s="6" t="s">
        <v>885</v>
      </c>
      <c r="C515" s="6" t="s">
        <v>886</v>
      </c>
      <c r="D515" s="21">
        <v>43957</v>
      </c>
      <c r="E515" s="7" t="s">
        <v>32</v>
      </c>
      <c r="F515" s="7">
        <v>130</v>
      </c>
      <c r="G515" s="7">
        <v>471</v>
      </c>
      <c r="H515" s="14">
        <v>12</v>
      </c>
      <c r="I515" s="10" t="s">
        <v>30</v>
      </c>
      <c r="J515" s="9">
        <v>20000</v>
      </c>
      <c r="K515" s="43"/>
      <c r="L515" s="44"/>
      <c r="M515" s="18"/>
      <c r="N515" s="45"/>
      <c r="O515" s="45"/>
      <c r="P515" s="45"/>
      <c r="Q515" s="23">
        <v>44326</v>
      </c>
      <c r="R515" s="9">
        <v>1778</v>
      </c>
      <c r="S515" s="108">
        <v>20000</v>
      </c>
      <c r="U515" s="40">
        <f t="shared" si="11"/>
        <v>10000619</v>
      </c>
      <c r="Y515" s="65"/>
      <c r="Z515" s="35"/>
      <c r="AA515" s="34"/>
    </row>
    <row r="516" spans="1:27" ht="15.75" x14ac:dyDescent="0.25">
      <c r="A516" s="6">
        <v>339</v>
      </c>
      <c r="B516" s="6" t="s">
        <v>310</v>
      </c>
      <c r="D516" s="21">
        <v>43957</v>
      </c>
      <c r="E516" s="7" t="s">
        <v>32</v>
      </c>
      <c r="F516" s="7">
        <v>139</v>
      </c>
      <c r="G516" s="7">
        <v>472</v>
      </c>
      <c r="H516" s="14">
        <v>6</v>
      </c>
      <c r="I516" s="10" t="s">
        <v>30</v>
      </c>
      <c r="J516" s="9">
        <v>1400</v>
      </c>
      <c r="K516" s="43"/>
      <c r="L516" s="44"/>
      <c r="M516" s="18"/>
      <c r="N516" s="45"/>
      <c r="O516" s="45"/>
      <c r="P516" s="45"/>
      <c r="Q516" s="23">
        <v>44144</v>
      </c>
      <c r="R516" s="9">
        <v>2325</v>
      </c>
      <c r="S516" s="108">
        <v>1400</v>
      </c>
      <c r="U516" s="40">
        <f t="shared" si="11"/>
        <v>10002019</v>
      </c>
      <c r="Y516" s="65"/>
      <c r="Z516" s="35"/>
      <c r="AA516" s="34"/>
    </row>
    <row r="517" spans="1:27" ht="15.75" x14ac:dyDescent="0.25">
      <c r="A517" s="6">
        <v>545</v>
      </c>
      <c r="B517" s="6" t="s">
        <v>887</v>
      </c>
      <c r="C517" s="6" t="s">
        <v>888</v>
      </c>
      <c r="D517" s="21">
        <v>43958</v>
      </c>
      <c r="E517" s="7" t="s">
        <v>32</v>
      </c>
      <c r="F517" s="7">
        <v>157</v>
      </c>
      <c r="G517" s="7">
        <v>473</v>
      </c>
      <c r="H517" s="14">
        <v>12</v>
      </c>
      <c r="I517" s="10" t="s">
        <v>30</v>
      </c>
      <c r="J517" s="9">
        <v>100000</v>
      </c>
      <c r="K517" s="43"/>
      <c r="L517" s="44"/>
      <c r="M517" s="18"/>
      <c r="N517" s="45"/>
      <c r="O517" s="45"/>
      <c r="P517" s="45"/>
      <c r="Q517" s="23">
        <v>44324</v>
      </c>
      <c r="R517" s="9">
        <v>1761</v>
      </c>
      <c r="S517" s="108">
        <v>100000</v>
      </c>
      <c r="U517" s="40">
        <f t="shared" si="11"/>
        <v>10102019</v>
      </c>
      <c r="Y517" s="65"/>
      <c r="Z517" s="35"/>
      <c r="AA517" s="34"/>
    </row>
    <row r="518" spans="1:27" ht="15.75" x14ac:dyDescent="0.25">
      <c r="A518" s="6">
        <v>858</v>
      </c>
      <c r="B518" s="6" t="s">
        <v>645</v>
      </c>
      <c r="C518" s="6" t="s">
        <v>28</v>
      </c>
      <c r="D518" s="21">
        <v>43959</v>
      </c>
      <c r="E518" s="7" t="s">
        <v>32</v>
      </c>
      <c r="F518" s="7">
        <v>177</v>
      </c>
      <c r="G518" s="7">
        <v>474</v>
      </c>
      <c r="H518" s="14">
        <v>6</v>
      </c>
      <c r="I518" s="10" t="s">
        <v>30</v>
      </c>
      <c r="J518" s="9">
        <v>4000</v>
      </c>
      <c r="K518" s="43"/>
      <c r="L518" s="44"/>
      <c r="M518" s="18"/>
      <c r="N518" s="45"/>
      <c r="O518" s="45"/>
      <c r="P518" s="45"/>
      <c r="Q518" s="23">
        <v>44137</v>
      </c>
      <c r="R518" s="9">
        <v>2621</v>
      </c>
      <c r="S518" s="108">
        <v>4000</v>
      </c>
      <c r="U518" s="40">
        <f t="shared" si="11"/>
        <v>10106019</v>
      </c>
      <c r="Y518" s="65"/>
      <c r="Z518" s="35"/>
      <c r="AA518" s="34"/>
    </row>
    <row r="519" spans="1:27" ht="15.75" x14ac:dyDescent="0.25">
      <c r="A519" s="6">
        <v>651</v>
      </c>
      <c r="B519" s="6" t="s">
        <v>688</v>
      </c>
      <c r="C519" s="6" t="s">
        <v>233</v>
      </c>
      <c r="D519" s="21">
        <v>43959</v>
      </c>
      <c r="E519" s="7" t="s">
        <v>32</v>
      </c>
      <c r="F519" s="7">
        <v>183</v>
      </c>
      <c r="G519" s="7">
        <v>475</v>
      </c>
      <c r="H519" s="14">
        <v>6</v>
      </c>
      <c r="I519" s="10" t="s">
        <v>30</v>
      </c>
      <c r="J519" s="9">
        <v>63000</v>
      </c>
      <c r="K519" s="43"/>
      <c r="L519" s="44"/>
      <c r="M519" s="18"/>
      <c r="N519" s="45"/>
      <c r="O519" s="45"/>
      <c r="P519" s="45"/>
      <c r="Q519" s="23">
        <v>44144</v>
      </c>
      <c r="R519" s="9">
        <v>2327</v>
      </c>
      <c r="S519" s="108">
        <v>63000</v>
      </c>
      <c r="U519" s="40">
        <f t="shared" si="11"/>
        <v>10169019</v>
      </c>
      <c r="Y519" s="65"/>
      <c r="Z519" s="35"/>
      <c r="AA519" s="34"/>
    </row>
    <row r="520" spans="1:27" ht="15.75" x14ac:dyDescent="0.25">
      <c r="A520" s="6">
        <v>1351</v>
      </c>
      <c r="B520" s="6" t="s">
        <v>889</v>
      </c>
      <c r="C520" s="6" t="s">
        <v>890</v>
      </c>
      <c r="D520" s="21">
        <v>43959</v>
      </c>
      <c r="E520" s="7" t="s">
        <v>32</v>
      </c>
      <c r="F520" s="7">
        <v>199</v>
      </c>
      <c r="G520" s="7">
        <v>476</v>
      </c>
      <c r="H520" s="14">
        <v>6</v>
      </c>
      <c r="I520" s="10" t="s">
        <v>30</v>
      </c>
      <c r="J520" s="9">
        <v>20000</v>
      </c>
      <c r="K520" s="43"/>
      <c r="L520" s="44"/>
      <c r="M520" s="18"/>
      <c r="N520" s="45"/>
      <c r="O520" s="45"/>
      <c r="P520" s="45"/>
      <c r="Q520" s="23">
        <v>44144</v>
      </c>
      <c r="R520" s="9">
        <v>2329</v>
      </c>
      <c r="S520" s="108">
        <v>20000</v>
      </c>
      <c r="U520" s="40">
        <f t="shared" si="11"/>
        <v>10189019</v>
      </c>
      <c r="Y520" s="65"/>
      <c r="Z520" s="35"/>
      <c r="AA520" s="34"/>
    </row>
    <row r="521" spans="1:27" ht="15.75" x14ac:dyDescent="0.25">
      <c r="A521" s="6">
        <v>418</v>
      </c>
      <c r="B521" s="6" t="s">
        <v>611</v>
      </c>
      <c r="C521" s="6" t="s">
        <v>612</v>
      </c>
      <c r="D521" s="21">
        <v>43962</v>
      </c>
      <c r="E521" s="7" t="s">
        <v>32</v>
      </c>
      <c r="F521" s="7">
        <v>219</v>
      </c>
      <c r="G521" s="7">
        <v>477</v>
      </c>
      <c r="H521" s="14">
        <v>6</v>
      </c>
      <c r="I521" s="10" t="s">
        <v>30</v>
      </c>
      <c r="J521" s="9">
        <v>91000</v>
      </c>
      <c r="K521" s="43"/>
      <c r="L521" s="44"/>
      <c r="M521" s="18"/>
      <c r="N521" s="45"/>
      <c r="O521" s="45"/>
      <c r="P521" s="45"/>
      <c r="Q521" s="23">
        <v>44168</v>
      </c>
      <c r="R521" s="9">
        <v>2693</v>
      </c>
      <c r="S521" s="108">
        <v>91000</v>
      </c>
      <c r="U521" s="40">
        <f t="shared" si="11"/>
        <v>10280019</v>
      </c>
      <c r="Y521" s="65"/>
      <c r="Z521" s="35"/>
      <c r="AA521" s="34"/>
    </row>
    <row r="522" spans="1:27" ht="15.75" x14ac:dyDescent="0.25">
      <c r="A522" s="6">
        <v>534</v>
      </c>
      <c r="B522" s="6" t="s">
        <v>891</v>
      </c>
      <c r="C522" s="6" t="s">
        <v>154</v>
      </c>
      <c r="D522" s="21">
        <v>43962</v>
      </c>
      <c r="E522" s="7" t="s">
        <v>32</v>
      </c>
      <c r="F522" s="7">
        <v>244</v>
      </c>
      <c r="G522" s="7">
        <v>478</v>
      </c>
      <c r="H522" s="14">
        <v>12</v>
      </c>
      <c r="I522" s="10" t="s">
        <v>30</v>
      </c>
      <c r="J522" s="9">
        <v>13000</v>
      </c>
      <c r="K522" s="43"/>
      <c r="L522" s="44"/>
      <c r="M522" s="18"/>
      <c r="N522" s="45"/>
      <c r="O522" s="45"/>
      <c r="P522" s="45"/>
      <c r="Q522" s="23">
        <v>44327</v>
      </c>
      <c r="R522" s="9">
        <v>1218</v>
      </c>
      <c r="S522" s="108">
        <v>13000</v>
      </c>
      <c r="U522" s="40">
        <f t="shared" si="11"/>
        <v>10293019</v>
      </c>
      <c r="Y522" s="65"/>
      <c r="Z522" s="35"/>
      <c r="AA522" s="34"/>
    </row>
    <row r="523" spans="1:27" ht="15.75" x14ac:dyDescent="0.25">
      <c r="A523" s="6">
        <v>909</v>
      </c>
      <c r="B523" s="6" t="s">
        <v>892</v>
      </c>
      <c r="C523" s="6" t="s">
        <v>893</v>
      </c>
      <c r="D523" s="21">
        <v>43963</v>
      </c>
      <c r="E523" s="7" t="s">
        <v>32</v>
      </c>
      <c r="F523" s="7">
        <v>272</v>
      </c>
      <c r="G523" s="7">
        <v>479</v>
      </c>
      <c r="H523" s="14">
        <v>12</v>
      </c>
      <c r="I523" s="10" t="s">
        <v>30</v>
      </c>
      <c r="J523" s="9">
        <v>28500</v>
      </c>
      <c r="K523" s="43"/>
      <c r="L523" s="44"/>
      <c r="M523" s="18"/>
      <c r="N523" s="45"/>
      <c r="O523" s="45"/>
      <c r="P523" s="45"/>
      <c r="Q523" s="23">
        <v>44328</v>
      </c>
      <c r="R523" s="9">
        <v>1826</v>
      </c>
      <c r="S523" s="108">
        <v>28500</v>
      </c>
      <c r="U523" s="40">
        <f t="shared" si="11"/>
        <v>10321519</v>
      </c>
      <c r="Y523" s="65"/>
      <c r="Z523" s="35"/>
      <c r="AA523" s="34"/>
    </row>
    <row r="524" spans="1:27" ht="15.75" x14ac:dyDescent="0.25">
      <c r="A524" s="6">
        <v>1358</v>
      </c>
      <c r="B524" s="6" t="s">
        <v>894</v>
      </c>
      <c r="C524" s="6" t="s">
        <v>895</v>
      </c>
      <c r="D524" s="21">
        <v>43963</v>
      </c>
      <c r="E524" s="7" t="s">
        <v>32</v>
      </c>
      <c r="F524" s="7">
        <v>287</v>
      </c>
      <c r="G524" s="7">
        <v>480</v>
      </c>
      <c r="H524" s="14">
        <v>6</v>
      </c>
      <c r="I524" s="10" t="s">
        <v>30</v>
      </c>
      <c r="J524" s="9">
        <v>30000</v>
      </c>
      <c r="K524" s="43"/>
      <c r="L524" s="44"/>
      <c r="M524" s="18"/>
      <c r="N524" s="45"/>
      <c r="O524" s="45"/>
      <c r="P524" s="45"/>
      <c r="Q524" s="23">
        <v>44147</v>
      </c>
      <c r="R524" s="9">
        <v>2387</v>
      </c>
      <c r="S524" s="108">
        <v>30000</v>
      </c>
      <c r="U524" s="40">
        <f t="shared" si="11"/>
        <v>10351519</v>
      </c>
      <c r="Y524" s="65"/>
      <c r="Z524" s="35"/>
      <c r="AA524" s="34"/>
    </row>
    <row r="525" spans="1:27" ht="15.75" x14ac:dyDescent="0.25">
      <c r="A525" s="6">
        <v>919</v>
      </c>
      <c r="B525" s="6" t="s">
        <v>896</v>
      </c>
      <c r="C525" s="6" t="s">
        <v>28</v>
      </c>
      <c r="D525" s="21">
        <v>43965</v>
      </c>
      <c r="E525" s="7" t="s">
        <v>32</v>
      </c>
      <c r="F525" s="7">
        <v>320</v>
      </c>
      <c r="G525" s="7">
        <v>481</v>
      </c>
      <c r="H525" s="14">
        <v>12</v>
      </c>
      <c r="I525" s="10" t="s">
        <v>30</v>
      </c>
      <c r="J525" s="9">
        <v>1300</v>
      </c>
      <c r="K525" s="43"/>
      <c r="L525" s="44"/>
      <c r="M525" s="18"/>
      <c r="N525" s="45"/>
      <c r="O525" s="45"/>
      <c r="P525" s="45"/>
      <c r="Q525" s="23">
        <v>44342</v>
      </c>
      <c r="R525" s="9">
        <v>2023</v>
      </c>
      <c r="S525" s="108">
        <v>1300</v>
      </c>
      <c r="U525" s="40">
        <f t="shared" si="11"/>
        <v>10352819</v>
      </c>
      <c r="Y525" s="65"/>
      <c r="Z525" s="35"/>
      <c r="AA525" s="34"/>
    </row>
    <row r="526" spans="1:27" ht="15.75" x14ac:dyDescent="0.25">
      <c r="A526" s="6">
        <v>559</v>
      </c>
      <c r="B526" s="6" t="s">
        <v>897</v>
      </c>
      <c r="C526" s="6" t="s">
        <v>434</v>
      </c>
      <c r="D526" s="21">
        <v>43965</v>
      </c>
      <c r="E526" s="7" t="s">
        <v>32</v>
      </c>
      <c r="F526" s="7">
        <v>337</v>
      </c>
      <c r="G526" s="7">
        <v>482</v>
      </c>
      <c r="H526" s="14">
        <v>12</v>
      </c>
      <c r="I526" s="10" t="s">
        <v>30</v>
      </c>
      <c r="J526" s="9">
        <v>2680.8</v>
      </c>
      <c r="K526" s="43"/>
      <c r="L526" s="44"/>
      <c r="M526" s="18"/>
      <c r="N526" s="45"/>
      <c r="O526" s="45"/>
      <c r="P526" s="45"/>
      <c r="Q526" s="23">
        <v>44330</v>
      </c>
      <c r="R526" s="9">
        <v>1856</v>
      </c>
      <c r="S526" s="108">
        <v>2680.8</v>
      </c>
      <c r="U526" s="40">
        <f t="shared" si="11"/>
        <v>10355499.800000001</v>
      </c>
      <c r="Y526" s="65"/>
      <c r="Z526" s="35"/>
      <c r="AA526" s="34"/>
    </row>
    <row r="527" spans="1:27" ht="15.75" x14ac:dyDescent="0.25">
      <c r="A527" s="6">
        <v>437</v>
      </c>
      <c r="B527" s="6" t="s">
        <v>761</v>
      </c>
      <c r="D527" s="21">
        <v>43969</v>
      </c>
      <c r="E527" s="7" t="s">
        <v>32</v>
      </c>
      <c r="F527" s="7">
        <v>349</v>
      </c>
      <c r="G527" s="7">
        <v>483</v>
      </c>
      <c r="H527" s="14">
        <v>12</v>
      </c>
      <c r="I527" s="10" t="s">
        <v>30</v>
      </c>
      <c r="J527" s="9">
        <v>60000</v>
      </c>
      <c r="K527" s="43"/>
      <c r="L527" s="44"/>
      <c r="M527" s="18"/>
      <c r="N527" s="45"/>
      <c r="O527" s="45"/>
      <c r="P527" s="45"/>
      <c r="Q527" s="23">
        <v>44156</v>
      </c>
      <c r="R527" s="9">
        <v>2567</v>
      </c>
      <c r="S527" s="108">
        <v>60000</v>
      </c>
      <c r="U527" s="40">
        <f t="shared" si="11"/>
        <v>10415499.800000001</v>
      </c>
      <c r="Y527" s="65"/>
      <c r="Z527" s="35"/>
      <c r="AA527" s="34"/>
    </row>
    <row r="528" spans="1:27" ht="15.75" x14ac:dyDescent="0.25">
      <c r="A528" s="6">
        <v>927</v>
      </c>
      <c r="B528" s="6" t="s">
        <v>643</v>
      </c>
      <c r="C528" s="6" t="s">
        <v>898</v>
      </c>
      <c r="D528" s="21">
        <v>43969</v>
      </c>
      <c r="E528" s="7" t="s">
        <v>32</v>
      </c>
      <c r="F528" s="7">
        <v>353</v>
      </c>
      <c r="G528" s="7">
        <v>484</v>
      </c>
      <c r="H528" s="14">
        <v>6</v>
      </c>
      <c r="I528" s="10" t="s">
        <v>30</v>
      </c>
      <c r="J528" s="9">
        <v>10000</v>
      </c>
      <c r="K528" s="43"/>
      <c r="L528" s="44"/>
      <c r="M528" s="18"/>
      <c r="N528" s="45"/>
      <c r="O528" s="45"/>
      <c r="P528" s="45"/>
      <c r="Q528" s="23">
        <v>44151</v>
      </c>
      <c r="R528" s="9">
        <v>2445</v>
      </c>
      <c r="S528" s="108">
        <v>10000</v>
      </c>
      <c r="U528" s="40">
        <f t="shared" si="11"/>
        <v>10425499.800000001</v>
      </c>
      <c r="Y528" s="65"/>
      <c r="Z528" s="35"/>
      <c r="AA528" s="34"/>
    </row>
    <row r="529" spans="1:27" ht="15.75" x14ac:dyDescent="0.25">
      <c r="A529" s="6">
        <v>226</v>
      </c>
      <c r="B529" s="6" t="s">
        <v>899</v>
      </c>
      <c r="C529" s="6" t="s">
        <v>900</v>
      </c>
      <c r="D529" s="21">
        <v>43969</v>
      </c>
      <c r="E529" s="7" t="s">
        <v>32</v>
      </c>
      <c r="F529" s="7">
        <v>365</v>
      </c>
      <c r="G529" s="7">
        <v>485</v>
      </c>
      <c r="H529" s="14">
        <v>12</v>
      </c>
      <c r="I529" s="10" t="s">
        <v>30</v>
      </c>
      <c r="J529" s="9">
        <v>25000</v>
      </c>
      <c r="K529" s="43"/>
      <c r="L529" s="44"/>
      <c r="M529" s="18"/>
      <c r="N529" s="45"/>
      <c r="O529" s="45"/>
      <c r="P529" s="45"/>
      <c r="Q529" s="23">
        <v>44355</v>
      </c>
      <c r="R529" s="9">
        <v>2194</v>
      </c>
      <c r="S529" s="108">
        <v>25000</v>
      </c>
      <c r="U529" s="40">
        <f t="shared" si="11"/>
        <v>10450499.800000001</v>
      </c>
      <c r="Y529" s="65"/>
      <c r="Z529" s="35"/>
      <c r="AA529" s="34"/>
    </row>
    <row r="530" spans="1:27" ht="15.75" x14ac:dyDescent="0.25">
      <c r="A530" s="6">
        <v>1104</v>
      </c>
      <c r="B530" s="6" t="s">
        <v>901</v>
      </c>
      <c r="C530" s="6" t="s">
        <v>623</v>
      </c>
      <c r="D530" s="21">
        <v>43970</v>
      </c>
      <c r="E530" s="7" t="s">
        <v>32</v>
      </c>
      <c r="F530" s="7">
        <v>375</v>
      </c>
      <c r="G530" s="7">
        <v>486</v>
      </c>
      <c r="H530" s="14">
        <v>6</v>
      </c>
      <c r="I530" s="10" t="s">
        <v>30</v>
      </c>
      <c r="J530" s="9">
        <v>20000</v>
      </c>
      <c r="K530" s="43"/>
      <c r="L530" s="44"/>
      <c r="M530" s="18"/>
      <c r="N530" s="45"/>
      <c r="O530" s="45"/>
      <c r="P530" s="45"/>
      <c r="Q530" s="23">
        <v>44154</v>
      </c>
      <c r="R530" s="9">
        <v>2511</v>
      </c>
      <c r="S530" s="108">
        <v>20000</v>
      </c>
      <c r="U530" s="40">
        <f t="shared" si="11"/>
        <v>10470499.800000001</v>
      </c>
      <c r="Y530" s="65"/>
      <c r="Z530" s="35"/>
      <c r="AA530" s="34"/>
    </row>
    <row r="531" spans="1:27" ht="15.75" x14ac:dyDescent="0.25">
      <c r="A531" s="6">
        <v>1034</v>
      </c>
      <c r="B531" s="6" t="s">
        <v>619</v>
      </c>
      <c r="C531" s="6" t="s">
        <v>743</v>
      </c>
      <c r="D531" s="21">
        <v>43970</v>
      </c>
      <c r="E531" s="7" t="s">
        <v>32</v>
      </c>
      <c r="F531" s="7">
        <v>387</v>
      </c>
      <c r="G531" s="7">
        <v>487</v>
      </c>
      <c r="H531" s="14">
        <v>12</v>
      </c>
      <c r="I531" s="10" t="s">
        <v>30</v>
      </c>
      <c r="J531" s="9">
        <v>4000</v>
      </c>
      <c r="K531" s="43"/>
      <c r="L531" s="44"/>
      <c r="M531" s="18"/>
      <c r="N531" s="45"/>
      <c r="O531" s="45"/>
      <c r="P531" s="45"/>
      <c r="Q531" s="23">
        <v>44335</v>
      </c>
      <c r="R531" s="9">
        <v>1923</v>
      </c>
      <c r="S531" s="108">
        <v>4000</v>
      </c>
      <c r="U531" s="40">
        <f t="shared" si="11"/>
        <v>10474499.800000001</v>
      </c>
      <c r="Y531" s="65"/>
      <c r="Z531" s="35"/>
      <c r="AA531" s="34"/>
    </row>
    <row r="532" spans="1:27" ht="15.75" x14ac:dyDescent="0.25">
      <c r="A532" s="6">
        <v>928</v>
      </c>
      <c r="B532" s="6" t="s">
        <v>902</v>
      </c>
      <c r="C532" s="6" t="s">
        <v>903</v>
      </c>
      <c r="D532" s="21">
        <v>43970</v>
      </c>
      <c r="E532" s="7" t="s">
        <v>32</v>
      </c>
      <c r="F532" s="7">
        <v>391</v>
      </c>
      <c r="G532" s="7">
        <v>488</v>
      </c>
      <c r="H532" s="7">
        <v>12</v>
      </c>
      <c r="I532" s="10" t="s">
        <v>30</v>
      </c>
      <c r="J532" s="9">
        <v>2569.1</v>
      </c>
      <c r="K532" s="43"/>
      <c r="L532" s="44"/>
      <c r="M532" s="18"/>
      <c r="N532" s="45"/>
      <c r="O532" s="45"/>
      <c r="P532" s="45"/>
      <c r="Q532" s="23">
        <v>44335</v>
      </c>
      <c r="R532" s="9">
        <v>1927</v>
      </c>
      <c r="S532" s="108">
        <v>2569.1</v>
      </c>
      <c r="U532" s="40">
        <f t="shared" si="11"/>
        <v>10477068.9</v>
      </c>
      <c r="Y532" s="65"/>
      <c r="Z532" s="35"/>
      <c r="AA532" s="34"/>
    </row>
    <row r="533" spans="1:27" ht="15.75" x14ac:dyDescent="0.25">
      <c r="A533" s="6">
        <v>858</v>
      </c>
      <c r="B533" s="6" t="s">
        <v>29</v>
      </c>
      <c r="C533" s="6" t="s">
        <v>28</v>
      </c>
      <c r="D533" s="21">
        <v>43970</v>
      </c>
      <c r="E533" s="7" t="s">
        <v>32</v>
      </c>
      <c r="F533" s="7">
        <v>402</v>
      </c>
      <c r="G533" s="7">
        <v>489</v>
      </c>
      <c r="H533" s="14">
        <v>12</v>
      </c>
      <c r="I533" s="10" t="s">
        <v>30</v>
      </c>
      <c r="J533" s="9">
        <v>50000</v>
      </c>
      <c r="K533" s="43"/>
      <c r="L533" s="44"/>
      <c r="M533" s="18"/>
      <c r="N533" s="45"/>
      <c r="O533" s="45"/>
      <c r="P533" s="45"/>
      <c r="Q533" s="23">
        <v>44335</v>
      </c>
      <c r="R533" s="9">
        <v>118</v>
      </c>
      <c r="S533" s="108">
        <v>50000</v>
      </c>
      <c r="U533" s="40">
        <f t="shared" si="11"/>
        <v>10527068.9</v>
      </c>
      <c r="Y533" s="65"/>
      <c r="Z533" s="35"/>
      <c r="AA533" s="34"/>
    </row>
    <row r="534" spans="1:27" ht="15.75" x14ac:dyDescent="0.25">
      <c r="A534" s="6">
        <v>268</v>
      </c>
      <c r="B534" s="6" t="s">
        <v>904</v>
      </c>
      <c r="C534" s="1" t="s">
        <v>423</v>
      </c>
      <c r="D534" s="21">
        <v>43973</v>
      </c>
      <c r="E534" s="7" t="s">
        <v>32</v>
      </c>
      <c r="F534" s="7">
        <v>464</v>
      </c>
      <c r="G534" s="7">
        <v>490</v>
      </c>
      <c r="H534" s="14">
        <v>12</v>
      </c>
      <c r="I534" s="10" t="s">
        <v>30</v>
      </c>
      <c r="J534" s="9">
        <v>11500</v>
      </c>
      <c r="K534" s="43"/>
      <c r="L534" s="44"/>
      <c r="M534" s="18"/>
      <c r="N534" s="45"/>
      <c r="O534" s="45"/>
      <c r="P534" s="45"/>
      <c r="Q534" s="23">
        <v>44338</v>
      </c>
      <c r="R534" s="9">
        <v>1985</v>
      </c>
      <c r="S534" s="108">
        <v>11500</v>
      </c>
      <c r="U534" s="40">
        <f t="shared" si="11"/>
        <v>10538568.9</v>
      </c>
      <c r="Y534" s="65"/>
      <c r="Z534" s="35"/>
      <c r="AA534" s="34"/>
    </row>
    <row r="535" spans="1:27" ht="15.75" x14ac:dyDescent="0.25">
      <c r="A535" s="6">
        <v>909</v>
      </c>
      <c r="B535" s="6" t="s">
        <v>892</v>
      </c>
      <c r="C535" s="1" t="s">
        <v>400</v>
      </c>
      <c r="D535" s="21">
        <v>43976</v>
      </c>
      <c r="E535" s="7" t="s">
        <v>32</v>
      </c>
      <c r="F535" s="7">
        <v>471</v>
      </c>
      <c r="G535" s="7">
        <v>491</v>
      </c>
      <c r="H535" s="14">
        <v>12</v>
      </c>
      <c r="I535" s="10" t="s">
        <v>30</v>
      </c>
      <c r="J535" s="9">
        <v>54500</v>
      </c>
      <c r="K535" s="43"/>
      <c r="L535" s="44"/>
      <c r="M535" s="18"/>
      <c r="N535" s="45"/>
      <c r="O535" s="45"/>
      <c r="P535" s="45"/>
      <c r="Q535" s="23">
        <v>44341</v>
      </c>
      <c r="R535" s="9">
        <v>2009</v>
      </c>
      <c r="S535" s="108">
        <v>54500</v>
      </c>
      <c r="U535" s="40">
        <f t="shared" si="11"/>
        <v>10593068.9</v>
      </c>
      <c r="Y535" s="65"/>
      <c r="Z535" s="35"/>
      <c r="AA535" s="34"/>
    </row>
    <row r="536" spans="1:27" ht="15.75" x14ac:dyDescent="0.25">
      <c r="A536" s="6">
        <v>1085</v>
      </c>
      <c r="B536" s="6" t="s">
        <v>655</v>
      </c>
      <c r="C536" s="6" t="s">
        <v>905</v>
      </c>
      <c r="D536" s="21">
        <v>43976</v>
      </c>
      <c r="E536" s="7" t="s">
        <v>32</v>
      </c>
      <c r="F536" s="7">
        <v>476</v>
      </c>
      <c r="G536" s="7">
        <v>492</v>
      </c>
      <c r="H536" s="14">
        <v>6</v>
      </c>
      <c r="I536" s="10" t="s">
        <v>30</v>
      </c>
      <c r="J536" s="9">
        <v>59000</v>
      </c>
      <c r="K536" s="43"/>
      <c r="L536" s="44"/>
      <c r="M536" s="18"/>
      <c r="N536" s="45"/>
      <c r="O536" s="45"/>
      <c r="P536" s="45"/>
      <c r="Q536" s="23">
        <v>44172</v>
      </c>
      <c r="R536" s="9">
        <v>2734</v>
      </c>
      <c r="S536" s="108">
        <v>59000</v>
      </c>
      <c r="U536" s="40">
        <f t="shared" si="11"/>
        <v>10652068.9</v>
      </c>
      <c r="Y536" s="65"/>
      <c r="Z536" s="35"/>
      <c r="AA536" s="34"/>
    </row>
    <row r="537" spans="1:27" ht="15.75" x14ac:dyDescent="0.25">
      <c r="A537" s="6">
        <v>181</v>
      </c>
      <c r="B537" s="6" t="s">
        <v>653</v>
      </c>
      <c r="C537" s="6" t="s">
        <v>906</v>
      </c>
      <c r="D537" s="21">
        <v>43977</v>
      </c>
      <c r="E537" s="7" t="s">
        <v>32</v>
      </c>
      <c r="F537" s="7">
        <v>490</v>
      </c>
      <c r="G537" s="7">
        <v>493</v>
      </c>
      <c r="H537" s="14">
        <v>12</v>
      </c>
      <c r="I537" s="10" t="s">
        <v>30</v>
      </c>
      <c r="J537" s="9">
        <v>125000</v>
      </c>
      <c r="K537" s="43"/>
      <c r="L537" s="44"/>
      <c r="M537" s="18"/>
      <c r="N537" s="45"/>
      <c r="O537" s="45"/>
      <c r="P537" s="45"/>
      <c r="Q537" s="23">
        <v>44342</v>
      </c>
      <c r="R537" s="9">
        <v>2019</v>
      </c>
      <c r="S537" s="108">
        <v>125000</v>
      </c>
      <c r="U537" s="40">
        <f t="shared" si="11"/>
        <v>10777068.9</v>
      </c>
      <c r="Y537" s="65"/>
      <c r="Z537" s="35"/>
      <c r="AA537" s="34"/>
    </row>
    <row r="538" spans="1:27" ht="15.75" x14ac:dyDescent="0.25">
      <c r="A538" s="6">
        <v>851</v>
      </c>
      <c r="B538" s="6" t="s">
        <v>907</v>
      </c>
      <c r="C538" s="6" t="s">
        <v>908</v>
      </c>
      <c r="D538" s="21">
        <v>43977</v>
      </c>
      <c r="E538" s="7" t="s">
        <v>32</v>
      </c>
      <c r="F538" s="7">
        <v>492</v>
      </c>
      <c r="G538" s="7">
        <v>494</v>
      </c>
      <c r="H538" s="14">
        <v>12</v>
      </c>
      <c r="I538" s="10" t="s">
        <v>30</v>
      </c>
      <c r="J538" s="9">
        <v>21000</v>
      </c>
      <c r="K538" s="43"/>
      <c r="L538" s="44"/>
      <c r="M538" s="18"/>
      <c r="N538" s="45"/>
      <c r="O538" s="45"/>
      <c r="P538" s="45"/>
      <c r="Q538" s="23">
        <v>44159</v>
      </c>
      <c r="R538" s="9">
        <v>2578</v>
      </c>
      <c r="S538" s="108">
        <v>21000</v>
      </c>
      <c r="U538" s="40">
        <f t="shared" si="11"/>
        <v>10798068.9</v>
      </c>
      <c r="Y538" s="65"/>
      <c r="Z538" s="35"/>
      <c r="AA538" s="34"/>
    </row>
    <row r="539" spans="1:27" ht="15.75" x14ac:dyDescent="0.25">
      <c r="A539" s="6">
        <v>280</v>
      </c>
      <c r="B539" s="6" t="s">
        <v>642</v>
      </c>
      <c r="C539" s="6" t="s">
        <v>28</v>
      </c>
      <c r="D539" s="21">
        <v>43978</v>
      </c>
      <c r="E539" s="7" t="s">
        <v>32</v>
      </c>
      <c r="F539" s="7">
        <v>507</v>
      </c>
      <c r="G539" s="7">
        <v>495</v>
      </c>
      <c r="H539" s="14">
        <v>6</v>
      </c>
      <c r="I539" s="10" t="s">
        <v>30</v>
      </c>
      <c r="J539" s="9">
        <v>11113.95</v>
      </c>
      <c r="K539" s="43"/>
      <c r="L539" s="44"/>
      <c r="M539" s="18"/>
      <c r="N539" s="45"/>
      <c r="O539" s="45"/>
      <c r="P539" s="45"/>
      <c r="Q539" s="23">
        <v>44173</v>
      </c>
      <c r="R539" s="9">
        <v>84</v>
      </c>
      <c r="S539" s="108">
        <v>11113.95</v>
      </c>
      <c r="U539" s="40">
        <f t="shared" si="11"/>
        <v>10809182.85</v>
      </c>
      <c r="Y539" s="65"/>
      <c r="Z539" s="35"/>
      <c r="AA539" s="34"/>
    </row>
    <row r="540" spans="1:27" ht="15.75" x14ac:dyDescent="0.25">
      <c r="A540" s="6">
        <v>259</v>
      </c>
      <c r="B540" s="6" t="s">
        <v>909</v>
      </c>
      <c r="C540" s="6" t="s">
        <v>187</v>
      </c>
      <c r="D540" s="21">
        <v>43978</v>
      </c>
      <c r="E540" s="7" t="s">
        <v>32</v>
      </c>
      <c r="F540" s="7">
        <v>521</v>
      </c>
      <c r="G540" s="7">
        <v>496</v>
      </c>
      <c r="H540" s="14">
        <v>12</v>
      </c>
      <c r="I540" s="10" t="s">
        <v>30</v>
      </c>
      <c r="J540" s="9">
        <v>50000</v>
      </c>
      <c r="K540" s="43"/>
      <c r="L540" s="44"/>
      <c r="M540" s="18"/>
      <c r="N540" s="45"/>
      <c r="O540" s="45"/>
      <c r="P540" s="45"/>
      <c r="Q540" s="23">
        <v>44344</v>
      </c>
      <c r="R540" s="9">
        <v>2067</v>
      </c>
      <c r="S540" s="108">
        <v>50000</v>
      </c>
      <c r="U540" s="40">
        <f t="shared" si="11"/>
        <v>10859182.85</v>
      </c>
      <c r="Y540" s="65"/>
      <c r="Z540" s="35"/>
      <c r="AA540" s="34"/>
    </row>
    <row r="541" spans="1:27" ht="15.75" x14ac:dyDescent="0.25">
      <c r="A541" s="6">
        <v>1549</v>
      </c>
      <c r="B541" s="6" t="s">
        <v>910</v>
      </c>
      <c r="C541" s="6" t="s">
        <v>911</v>
      </c>
      <c r="D541" s="21">
        <v>43979</v>
      </c>
      <c r="E541" s="7" t="s">
        <v>32</v>
      </c>
      <c r="F541" s="7">
        <v>541</v>
      </c>
      <c r="G541" s="7">
        <v>497</v>
      </c>
      <c r="H541" s="14">
        <v>12</v>
      </c>
      <c r="I541" s="10" t="s">
        <v>30</v>
      </c>
      <c r="J541" s="9">
        <v>1000</v>
      </c>
      <c r="K541" s="43"/>
      <c r="L541" s="44"/>
      <c r="M541" s="18"/>
      <c r="N541" s="45"/>
      <c r="O541" s="45"/>
      <c r="P541" s="45"/>
      <c r="Q541" s="23">
        <v>44345</v>
      </c>
      <c r="R541" s="9">
        <v>1316</v>
      </c>
      <c r="S541" s="108">
        <v>1000</v>
      </c>
      <c r="U541" s="40">
        <f t="shared" si="11"/>
        <v>10860182.85</v>
      </c>
      <c r="Y541" s="65"/>
      <c r="Z541" s="35"/>
      <c r="AA541" s="34"/>
    </row>
    <row r="542" spans="1:27" ht="15.75" x14ac:dyDescent="0.25">
      <c r="A542" s="6">
        <v>585</v>
      </c>
      <c r="B542" s="6" t="s">
        <v>912</v>
      </c>
      <c r="C542" s="6" t="s">
        <v>913</v>
      </c>
      <c r="D542" s="21">
        <v>43983</v>
      </c>
      <c r="E542" s="7" t="s">
        <v>32</v>
      </c>
      <c r="F542" s="7">
        <v>592</v>
      </c>
      <c r="G542" s="7">
        <v>498</v>
      </c>
      <c r="H542" s="14">
        <v>12</v>
      </c>
      <c r="I542" s="10" t="s">
        <v>30</v>
      </c>
      <c r="J542" s="9">
        <v>1234.32</v>
      </c>
      <c r="K542" s="43"/>
      <c r="L542" s="44"/>
      <c r="M542" s="18"/>
      <c r="N542" s="45"/>
      <c r="O542" s="45"/>
      <c r="P542" s="45"/>
      <c r="Q542" s="23">
        <v>44348</v>
      </c>
      <c r="R542" s="9">
        <v>2096</v>
      </c>
      <c r="S542" s="108">
        <v>1234.32</v>
      </c>
      <c r="U542" s="40">
        <f t="shared" si="11"/>
        <v>10861417.17</v>
      </c>
      <c r="Y542" s="65"/>
      <c r="Z542" s="35"/>
      <c r="AA542" s="34"/>
    </row>
    <row r="543" spans="1:27" ht="15.75" x14ac:dyDescent="0.25">
      <c r="A543" s="6">
        <v>487</v>
      </c>
      <c r="B543" s="6" t="s">
        <v>914</v>
      </c>
      <c r="C543" s="6" t="s">
        <v>129</v>
      </c>
      <c r="D543" s="21">
        <v>43984</v>
      </c>
      <c r="E543" s="7" t="s">
        <v>32</v>
      </c>
      <c r="F543" s="7">
        <v>616</v>
      </c>
      <c r="G543" s="7">
        <v>499</v>
      </c>
      <c r="H543" s="14">
        <v>12</v>
      </c>
      <c r="I543" s="10" t="s">
        <v>30</v>
      </c>
      <c r="J543" s="9">
        <v>22340</v>
      </c>
      <c r="K543" s="43"/>
      <c r="L543" s="44"/>
      <c r="M543" s="18"/>
      <c r="N543" s="45"/>
      <c r="O543" s="45"/>
      <c r="P543" s="45"/>
      <c r="Q543" s="23">
        <v>44399</v>
      </c>
      <c r="R543" s="9">
        <v>2793</v>
      </c>
      <c r="S543" s="108">
        <v>22340</v>
      </c>
      <c r="U543" s="40">
        <f t="shared" si="11"/>
        <v>10883757.17</v>
      </c>
      <c r="Y543" s="65"/>
      <c r="Z543" s="35"/>
      <c r="AA543" s="34"/>
    </row>
    <row r="544" spans="1:27" ht="15.75" x14ac:dyDescent="0.25">
      <c r="A544" s="6">
        <v>1553</v>
      </c>
      <c r="B544" s="6" t="s">
        <v>915</v>
      </c>
      <c r="C544" s="6" t="s">
        <v>916</v>
      </c>
      <c r="D544" s="21">
        <v>43984</v>
      </c>
      <c r="E544" s="7" t="s">
        <v>32</v>
      </c>
      <c r="F544" s="7">
        <v>626</v>
      </c>
      <c r="G544" s="7">
        <v>500</v>
      </c>
      <c r="H544" s="14">
        <v>12</v>
      </c>
      <c r="I544" s="10" t="s">
        <v>30</v>
      </c>
      <c r="J544" s="9">
        <v>12000</v>
      </c>
      <c r="K544" s="43"/>
      <c r="L544" s="44"/>
      <c r="M544" s="18"/>
      <c r="N544" s="45"/>
      <c r="O544" s="45"/>
      <c r="P544" s="45"/>
      <c r="Q544" s="23">
        <v>44357</v>
      </c>
      <c r="R544" s="9">
        <v>2209</v>
      </c>
      <c r="S544" s="108">
        <v>12000</v>
      </c>
      <c r="U544" s="40">
        <f t="shared" si="11"/>
        <v>10895757.17</v>
      </c>
      <c r="Y544" s="65"/>
      <c r="Z544" s="35"/>
      <c r="AA544" s="34"/>
    </row>
    <row r="545" spans="1:27" ht="15.75" x14ac:dyDescent="0.25">
      <c r="A545" s="6">
        <v>729</v>
      </c>
      <c r="B545" s="6" t="s">
        <v>917</v>
      </c>
      <c r="C545" s="6" t="s">
        <v>386</v>
      </c>
      <c r="D545" s="21">
        <v>43986</v>
      </c>
      <c r="E545" s="7" t="s">
        <v>32</v>
      </c>
      <c r="F545" s="7">
        <v>680</v>
      </c>
      <c r="G545" s="7">
        <v>501</v>
      </c>
      <c r="H545" s="14">
        <v>6</v>
      </c>
      <c r="I545" s="10" t="s">
        <v>30</v>
      </c>
      <c r="J545" s="9">
        <v>21000</v>
      </c>
      <c r="K545" s="43"/>
      <c r="L545" s="44"/>
      <c r="M545" s="18"/>
      <c r="N545" s="45"/>
      <c r="O545" s="45"/>
      <c r="P545" s="45"/>
      <c r="Q545" s="23">
        <v>44172</v>
      </c>
      <c r="R545" s="9">
        <v>64</v>
      </c>
      <c r="S545" s="108">
        <v>21000</v>
      </c>
      <c r="U545" s="40">
        <f t="shared" si="11"/>
        <v>10916757.17</v>
      </c>
      <c r="Y545" s="65"/>
      <c r="Z545" s="35"/>
      <c r="AA545" s="34"/>
    </row>
    <row r="546" spans="1:27" ht="15.75" x14ac:dyDescent="0.25">
      <c r="A546" s="6">
        <v>756</v>
      </c>
      <c r="B546" s="6" t="s">
        <v>730</v>
      </c>
      <c r="C546" s="6" t="s">
        <v>294</v>
      </c>
      <c r="D546" s="21">
        <v>43986</v>
      </c>
      <c r="E546" s="7" t="s">
        <v>32</v>
      </c>
      <c r="F546" s="7">
        <v>684</v>
      </c>
      <c r="G546" s="7">
        <v>502</v>
      </c>
      <c r="H546" s="14">
        <v>6</v>
      </c>
      <c r="I546" s="10" t="s">
        <v>30</v>
      </c>
      <c r="J546" s="9">
        <v>20000</v>
      </c>
      <c r="K546" s="43"/>
      <c r="L546" s="44"/>
      <c r="M546" s="18"/>
      <c r="N546" s="45"/>
      <c r="O546" s="45"/>
      <c r="P546" s="45"/>
      <c r="Q546" s="23">
        <v>44169</v>
      </c>
      <c r="R546" s="9">
        <v>37</v>
      </c>
      <c r="S546" s="108">
        <v>20000</v>
      </c>
      <c r="U546" s="40">
        <f t="shared" si="11"/>
        <v>10936757.17</v>
      </c>
      <c r="Y546" s="65"/>
      <c r="Z546" s="35"/>
      <c r="AA546" s="34"/>
    </row>
    <row r="547" spans="1:27" ht="15.75" x14ac:dyDescent="0.25">
      <c r="A547" s="6">
        <v>1317</v>
      </c>
      <c r="B547" s="56" t="s">
        <v>918</v>
      </c>
      <c r="C547" s="6" t="s">
        <v>919</v>
      </c>
      <c r="D547" s="21">
        <v>43986</v>
      </c>
      <c r="E547" s="7" t="s">
        <v>32</v>
      </c>
      <c r="F547" s="7">
        <v>686</v>
      </c>
      <c r="G547" s="7">
        <v>503</v>
      </c>
      <c r="H547" s="14">
        <v>12</v>
      </c>
      <c r="I547" s="10" t="s">
        <v>30</v>
      </c>
      <c r="J547" s="9">
        <v>3000</v>
      </c>
      <c r="K547" s="43"/>
      <c r="L547" s="44"/>
      <c r="M547" s="18"/>
      <c r="N547" s="45"/>
      <c r="O547" s="45"/>
      <c r="P547" s="45"/>
      <c r="Q547" s="23">
        <v>44365</v>
      </c>
      <c r="R547" s="9">
        <v>1460</v>
      </c>
      <c r="S547" s="108">
        <v>3000</v>
      </c>
      <c r="U547" s="40">
        <f t="shared" si="11"/>
        <v>10939757.17</v>
      </c>
      <c r="Y547" s="65"/>
      <c r="Z547" s="35"/>
      <c r="AA547" s="34"/>
    </row>
    <row r="548" spans="1:27" ht="15.75" x14ac:dyDescent="0.25">
      <c r="A548" s="6">
        <v>662</v>
      </c>
      <c r="B548" s="6" t="s">
        <v>667</v>
      </c>
      <c r="C548" s="6" t="s">
        <v>920</v>
      </c>
      <c r="D548" s="21">
        <v>43987</v>
      </c>
      <c r="E548" s="7" t="s">
        <v>32</v>
      </c>
      <c r="F548" s="7">
        <v>694</v>
      </c>
      <c r="G548" s="7">
        <v>504</v>
      </c>
      <c r="H548" s="14">
        <v>6</v>
      </c>
      <c r="I548" s="10" t="s">
        <v>30</v>
      </c>
      <c r="J548" s="9">
        <v>40000</v>
      </c>
      <c r="K548" s="43"/>
      <c r="L548" s="44"/>
      <c r="M548" s="18"/>
      <c r="N548" s="45"/>
      <c r="O548" s="45"/>
      <c r="P548" s="45"/>
      <c r="Q548" s="23">
        <v>44172</v>
      </c>
      <c r="R548" s="9">
        <v>2731</v>
      </c>
      <c r="S548" s="108">
        <v>40000</v>
      </c>
      <c r="U548" s="40">
        <f t="shared" si="11"/>
        <v>10979757.17</v>
      </c>
      <c r="Y548" s="65"/>
      <c r="Z548" s="35"/>
      <c r="AA548" s="34"/>
    </row>
    <row r="549" spans="1:27" ht="15.75" x14ac:dyDescent="0.25">
      <c r="A549" s="6">
        <v>263</v>
      </c>
      <c r="B549" s="6" t="s">
        <v>921</v>
      </c>
      <c r="C549" s="6" t="s">
        <v>52</v>
      </c>
      <c r="D549" s="21">
        <v>43993</v>
      </c>
      <c r="E549" s="7" t="s">
        <v>32</v>
      </c>
      <c r="F549" s="7">
        <v>818</v>
      </c>
      <c r="G549" s="7">
        <v>505</v>
      </c>
      <c r="H549" s="14">
        <v>12</v>
      </c>
      <c r="I549" s="10" t="s">
        <v>30</v>
      </c>
      <c r="J549" s="9">
        <v>18000</v>
      </c>
      <c r="K549" s="43"/>
      <c r="L549" s="44"/>
      <c r="M549" s="18"/>
      <c r="N549" s="45"/>
      <c r="O549" s="45"/>
      <c r="P549" s="45"/>
      <c r="Q549" s="23">
        <v>44358</v>
      </c>
      <c r="R549" s="9">
        <v>2246</v>
      </c>
      <c r="S549" s="108">
        <v>18000</v>
      </c>
      <c r="U549" s="40">
        <f t="shared" si="11"/>
        <v>10997757.17</v>
      </c>
      <c r="Y549" s="65"/>
      <c r="Z549" s="35"/>
      <c r="AA549" s="34"/>
    </row>
    <row r="550" spans="1:27" ht="15.75" x14ac:dyDescent="0.25">
      <c r="A550" s="6">
        <v>98</v>
      </c>
      <c r="B550" s="6" t="s">
        <v>36</v>
      </c>
      <c r="C550" s="6" t="s">
        <v>922</v>
      </c>
      <c r="D550" s="21">
        <v>43993</v>
      </c>
      <c r="E550" s="7" t="s">
        <v>32</v>
      </c>
      <c r="F550" s="7">
        <v>827</v>
      </c>
      <c r="G550" s="7">
        <v>506</v>
      </c>
      <c r="H550" s="14">
        <v>12</v>
      </c>
      <c r="I550" s="10" t="s">
        <v>30</v>
      </c>
      <c r="J550" s="9">
        <v>3000</v>
      </c>
      <c r="K550" s="43"/>
      <c r="L550" s="44"/>
      <c r="M550" s="18"/>
      <c r="N550" s="45"/>
      <c r="O550" s="45"/>
      <c r="P550" s="45"/>
      <c r="Q550" s="23">
        <v>44670</v>
      </c>
      <c r="R550" s="9">
        <v>506</v>
      </c>
      <c r="S550" s="108">
        <v>3000</v>
      </c>
      <c r="U550" s="40">
        <f t="shared" si="11"/>
        <v>11000757.17</v>
      </c>
      <c r="Y550" s="65"/>
      <c r="Z550" s="35"/>
      <c r="AA550" s="34"/>
    </row>
    <row r="551" spans="1:27" ht="15.75" x14ac:dyDescent="0.25">
      <c r="A551" s="6">
        <v>281</v>
      </c>
      <c r="B551" s="6" t="s">
        <v>923</v>
      </c>
      <c r="C551" s="6" t="s">
        <v>61</v>
      </c>
      <c r="D551" s="21">
        <v>43993</v>
      </c>
      <c r="E551" s="7" t="s">
        <v>32</v>
      </c>
      <c r="F551" s="7">
        <v>828</v>
      </c>
      <c r="G551" s="7">
        <v>507</v>
      </c>
      <c r="H551" s="14">
        <v>12</v>
      </c>
      <c r="I551" s="10" t="s">
        <v>30</v>
      </c>
      <c r="J551" s="9">
        <v>3000</v>
      </c>
      <c r="K551" s="43"/>
      <c r="L551" s="44"/>
      <c r="M551" s="18"/>
      <c r="N551" s="45"/>
      <c r="O551" s="45"/>
      <c r="P551" s="45"/>
      <c r="Q551" s="23">
        <v>44524</v>
      </c>
      <c r="R551" s="9">
        <v>4403</v>
      </c>
      <c r="S551" s="108">
        <v>3000</v>
      </c>
      <c r="U551" s="40">
        <f t="shared" ref="U551:U614" si="12">U550+S551-T551</f>
        <v>11003757.17</v>
      </c>
      <c r="Y551" s="65"/>
      <c r="Z551" s="35"/>
      <c r="AA551" s="34"/>
    </row>
    <row r="552" spans="1:27" ht="15.75" x14ac:dyDescent="0.25">
      <c r="A552" s="6">
        <v>1546</v>
      </c>
      <c r="B552" s="6" t="s">
        <v>924</v>
      </c>
      <c r="C552" s="21" t="s">
        <v>925</v>
      </c>
      <c r="D552" s="21">
        <v>43994</v>
      </c>
      <c r="E552" s="7" t="s">
        <v>32</v>
      </c>
      <c r="F552" s="7">
        <v>855</v>
      </c>
      <c r="G552" s="7">
        <v>508</v>
      </c>
      <c r="H552" s="7">
        <v>6</v>
      </c>
      <c r="I552" s="10" t="s">
        <v>30</v>
      </c>
      <c r="J552" s="9">
        <v>80000</v>
      </c>
      <c r="K552" s="43"/>
      <c r="L552" s="44"/>
      <c r="M552" s="18"/>
      <c r="N552" s="45"/>
      <c r="O552" s="45"/>
      <c r="P552" s="45"/>
      <c r="Q552" s="23">
        <v>44180</v>
      </c>
      <c r="R552" s="9">
        <v>130</v>
      </c>
      <c r="S552" s="108">
        <v>80000</v>
      </c>
      <c r="U552" s="40">
        <f t="shared" si="12"/>
        <v>11083757.17</v>
      </c>
      <c r="Y552" s="65"/>
      <c r="Z552" s="35"/>
      <c r="AA552" s="34"/>
    </row>
    <row r="553" spans="1:27" ht="15.75" x14ac:dyDescent="0.25">
      <c r="A553" s="6">
        <v>537</v>
      </c>
      <c r="B553" s="6" t="s">
        <v>926</v>
      </c>
      <c r="C553" s="6" t="s">
        <v>927</v>
      </c>
      <c r="D553" s="21">
        <v>43998</v>
      </c>
      <c r="E553" s="7" t="s">
        <v>32</v>
      </c>
      <c r="F553" s="7">
        <v>924</v>
      </c>
      <c r="G553" s="7">
        <v>509</v>
      </c>
      <c r="H553" s="14">
        <v>6</v>
      </c>
      <c r="I553" s="10" t="s">
        <v>30</v>
      </c>
      <c r="J553" s="9">
        <v>4000</v>
      </c>
      <c r="K553" s="43"/>
      <c r="L553" s="44"/>
      <c r="M553" s="18"/>
      <c r="N553" s="45"/>
      <c r="O553" s="45"/>
      <c r="P553" s="45"/>
      <c r="Q553" s="23">
        <v>44181</v>
      </c>
      <c r="R553" s="9">
        <v>2829</v>
      </c>
      <c r="S553" s="108">
        <v>4000</v>
      </c>
      <c r="U553" s="40">
        <f t="shared" si="12"/>
        <v>11087757.17</v>
      </c>
      <c r="Y553" s="65"/>
      <c r="Z553" s="35"/>
      <c r="AA553" s="34"/>
    </row>
    <row r="554" spans="1:27" ht="15.75" x14ac:dyDescent="0.25">
      <c r="A554" s="6">
        <v>546</v>
      </c>
      <c r="B554" s="6" t="s">
        <v>928</v>
      </c>
      <c r="C554" s="6" t="s">
        <v>929</v>
      </c>
      <c r="D554" s="21">
        <v>43999</v>
      </c>
      <c r="E554" s="7" t="s">
        <v>32</v>
      </c>
      <c r="F554" s="7">
        <v>943</v>
      </c>
      <c r="G554" s="7">
        <v>510</v>
      </c>
      <c r="H554" s="14">
        <v>6</v>
      </c>
      <c r="I554" s="10" t="s">
        <v>30</v>
      </c>
      <c r="J554" s="9">
        <v>5000</v>
      </c>
      <c r="K554" s="43"/>
      <c r="L554" s="44"/>
      <c r="M554" s="18"/>
      <c r="N554" s="45"/>
      <c r="O554" s="45"/>
      <c r="P554" s="45"/>
      <c r="Q554" s="23">
        <v>44182</v>
      </c>
      <c r="R554" s="9">
        <v>155</v>
      </c>
      <c r="S554" s="108">
        <v>5000</v>
      </c>
      <c r="U554" s="40">
        <f t="shared" si="12"/>
        <v>11092757.17</v>
      </c>
      <c r="Y554" s="65"/>
      <c r="Z554" s="35"/>
      <c r="AA554" s="34"/>
    </row>
    <row r="555" spans="1:27" ht="15.75" x14ac:dyDescent="0.25">
      <c r="A555" s="6">
        <v>719</v>
      </c>
      <c r="B555" s="6" t="s">
        <v>272</v>
      </c>
      <c r="C555" s="6" t="s">
        <v>397</v>
      </c>
      <c r="D555" s="21">
        <v>43999</v>
      </c>
      <c r="E555" s="7" t="s">
        <v>32</v>
      </c>
      <c r="F555" s="7">
        <v>948</v>
      </c>
      <c r="G555" s="7">
        <v>511</v>
      </c>
      <c r="H555" s="7">
        <v>12</v>
      </c>
      <c r="I555" s="10" t="s">
        <v>30</v>
      </c>
      <c r="J555" s="9">
        <v>26000</v>
      </c>
      <c r="K555" s="43"/>
      <c r="L555" s="44"/>
      <c r="M555" s="18"/>
      <c r="N555" s="45"/>
      <c r="O555" s="45"/>
      <c r="P555" s="45"/>
      <c r="Q555" s="23">
        <v>44364</v>
      </c>
      <c r="R555" s="9">
        <v>2321</v>
      </c>
      <c r="S555" s="108">
        <v>26000</v>
      </c>
      <c r="U555" s="40">
        <f t="shared" si="12"/>
        <v>11118757.17</v>
      </c>
      <c r="Y555" s="65"/>
      <c r="Z555" s="35"/>
      <c r="AA555" s="34"/>
    </row>
    <row r="556" spans="1:27" ht="15.75" x14ac:dyDescent="0.25">
      <c r="A556" s="6">
        <v>189</v>
      </c>
      <c r="B556" s="6" t="s">
        <v>688</v>
      </c>
      <c r="C556" s="6" t="s">
        <v>344</v>
      </c>
      <c r="D556" s="21">
        <v>43999</v>
      </c>
      <c r="E556" s="7" t="s">
        <v>32</v>
      </c>
      <c r="F556" s="7">
        <v>952</v>
      </c>
      <c r="G556" s="7">
        <v>512</v>
      </c>
      <c r="H556" s="7">
        <v>6</v>
      </c>
      <c r="I556" s="10" t="s">
        <v>30</v>
      </c>
      <c r="J556" s="9">
        <v>10000</v>
      </c>
      <c r="K556" s="43"/>
      <c r="L556" s="44"/>
      <c r="M556" s="18"/>
      <c r="N556" s="45"/>
      <c r="O556" s="45"/>
      <c r="P556" s="45"/>
      <c r="Q556" s="23">
        <v>44182</v>
      </c>
      <c r="R556" s="9">
        <v>2836</v>
      </c>
      <c r="S556" s="108">
        <v>10000</v>
      </c>
      <c r="U556" s="40">
        <f t="shared" si="12"/>
        <v>11128757.17</v>
      </c>
      <c r="Y556" s="65"/>
      <c r="Z556" s="35"/>
      <c r="AA556" s="34"/>
    </row>
    <row r="557" spans="1:27" ht="15.75" x14ac:dyDescent="0.25">
      <c r="A557" s="6">
        <v>1573</v>
      </c>
      <c r="B557" s="6" t="s">
        <v>930</v>
      </c>
      <c r="C557" s="6" t="s">
        <v>931</v>
      </c>
      <c r="D557" s="21">
        <v>44000</v>
      </c>
      <c r="E557" s="7" t="s">
        <v>32</v>
      </c>
      <c r="F557" s="7">
        <v>987</v>
      </c>
      <c r="G557" s="7">
        <v>513</v>
      </c>
      <c r="H557" s="7">
        <v>12</v>
      </c>
      <c r="I557" s="10" t="s">
        <v>30</v>
      </c>
      <c r="J557" s="9">
        <v>4000</v>
      </c>
      <c r="K557" s="43"/>
      <c r="L557" s="44"/>
      <c r="M557" s="18"/>
      <c r="N557" s="45"/>
      <c r="O557" s="45"/>
      <c r="P557" s="45"/>
      <c r="Q557" s="23">
        <v>44376</v>
      </c>
      <c r="R557" s="9">
        <v>2497</v>
      </c>
      <c r="S557" s="108">
        <v>4000</v>
      </c>
      <c r="U557" s="40">
        <f t="shared" si="12"/>
        <v>11132757.17</v>
      </c>
      <c r="Y557" s="65"/>
      <c r="Z557" s="35"/>
      <c r="AA557" s="34"/>
    </row>
    <row r="558" spans="1:27" ht="15.75" x14ac:dyDescent="0.25">
      <c r="A558" s="6">
        <v>457</v>
      </c>
      <c r="B558" s="6" t="s">
        <v>932</v>
      </c>
      <c r="C558" s="6" t="s">
        <v>693</v>
      </c>
      <c r="D558" s="21">
        <v>44001</v>
      </c>
      <c r="E558" s="7" t="s">
        <v>32</v>
      </c>
      <c r="F558" s="7">
        <v>1005</v>
      </c>
      <c r="G558" s="7">
        <v>514</v>
      </c>
      <c r="H558" s="7">
        <v>6</v>
      </c>
      <c r="I558" s="10" t="s">
        <v>30</v>
      </c>
      <c r="J558" s="9">
        <v>29000</v>
      </c>
      <c r="K558" s="43"/>
      <c r="L558" s="44"/>
      <c r="M558" s="18"/>
      <c r="N558" s="45"/>
      <c r="O558" s="45"/>
      <c r="P558" s="45"/>
      <c r="Q558" s="23">
        <v>44186</v>
      </c>
      <c r="R558" s="9">
        <v>2856</v>
      </c>
      <c r="S558" s="108">
        <v>29000</v>
      </c>
      <c r="U558" s="40">
        <f t="shared" si="12"/>
        <v>11161757.17</v>
      </c>
      <c r="Y558" s="65"/>
      <c r="Z558" s="35"/>
      <c r="AA558" s="34"/>
    </row>
    <row r="559" spans="1:27" ht="15.75" x14ac:dyDescent="0.25">
      <c r="A559" s="6">
        <v>909</v>
      </c>
      <c r="B559" s="6" t="s">
        <v>892</v>
      </c>
      <c r="C559" s="6" t="s">
        <v>400</v>
      </c>
      <c r="D559" s="21">
        <v>44004</v>
      </c>
      <c r="E559" s="7" t="s">
        <v>32</v>
      </c>
      <c r="F559" s="7">
        <v>1025</v>
      </c>
      <c r="G559" s="7">
        <v>515</v>
      </c>
      <c r="H559" s="7">
        <v>12</v>
      </c>
      <c r="I559" s="10" t="s">
        <v>30</v>
      </c>
      <c r="J559" s="9">
        <v>25000</v>
      </c>
      <c r="K559" s="43"/>
      <c r="L559" s="44"/>
      <c r="M559" s="18"/>
      <c r="N559" s="45"/>
      <c r="O559" s="45"/>
      <c r="P559" s="45"/>
      <c r="Q559" s="23">
        <v>44369</v>
      </c>
      <c r="R559" s="9">
        <v>2407</v>
      </c>
      <c r="S559" s="108">
        <v>25000</v>
      </c>
      <c r="U559" s="40">
        <f t="shared" si="12"/>
        <v>11186757.17</v>
      </c>
      <c r="Y559" s="65"/>
      <c r="Z559" s="35"/>
      <c r="AA559" s="34"/>
    </row>
    <row r="560" spans="1:27" ht="15.75" x14ac:dyDescent="0.25">
      <c r="A560" s="6">
        <v>369</v>
      </c>
      <c r="B560" s="6" t="s">
        <v>781</v>
      </c>
      <c r="C560" s="6" t="s">
        <v>933</v>
      </c>
      <c r="D560" s="21">
        <v>44002</v>
      </c>
      <c r="E560" s="7" t="s">
        <v>32</v>
      </c>
      <c r="F560" s="7">
        <v>1047</v>
      </c>
      <c r="G560" s="7">
        <v>516</v>
      </c>
      <c r="H560" s="7">
        <v>6</v>
      </c>
      <c r="I560" s="10" t="s">
        <v>30</v>
      </c>
      <c r="J560" s="9">
        <v>20000</v>
      </c>
      <c r="K560" s="43"/>
      <c r="L560" s="44"/>
      <c r="M560" s="18"/>
      <c r="N560" s="45"/>
      <c r="O560" s="45"/>
      <c r="P560" s="45"/>
      <c r="Q560" s="23">
        <v>44188</v>
      </c>
      <c r="R560" s="9">
        <v>2896</v>
      </c>
      <c r="S560" s="108">
        <v>20000</v>
      </c>
      <c r="U560" s="40">
        <f t="shared" si="12"/>
        <v>11206757.17</v>
      </c>
      <c r="Y560" s="65"/>
      <c r="Z560" s="35"/>
      <c r="AA560" s="34"/>
    </row>
    <row r="561" spans="1:27" ht="15.75" x14ac:dyDescent="0.25">
      <c r="A561" s="6">
        <v>197</v>
      </c>
      <c r="B561" s="6" t="s">
        <v>934</v>
      </c>
      <c r="C561" s="6" t="s">
        <v>434</v>
      </c>
      <c r="D561" s="21">
        <v>44006</v>
      </c>
      <c r="E561" s="7" t="s">
        <v>32</v>
      </c>
      <c r="F561" s="7">
        <v>1084</v>
      </c>
      <c r="G561" s="7">
        <v>517</v>
      </c>
      <c r="H561" s="7">
        <v>12</v>
      </c>
      <c r="I561" s="10" t="s">
        <v>30</v>
      </c>
      <c r="J561" s="9">
        <v>10000</v>
      </c>
      <c r="K561" s="43"/>
      <c r="L561" s="44"/>
      <c r="M561" s="18"/>
      <c r="N561" s="45"/>
      <c r="O561" s="45"/>
      <c r="P561" s="45"/>
      <c r="Q561" s="23">
        <v>44371</v>
      </c>
      <c r="R561" s="9">
        <v>1487</v>
      </c>
      <c r="S561" s="108">
        <v>10000</v>
      </c>
      <c r="U561" s="40">
        <f t="shared" si="12"/>
        <v>11216757.17</v>
      </c>
      <c r="Y561" s="65"/>
      <c r="Z561" s="35"/>
      <c r="AA561" s="34"/>
    </row>
    <row r="562" spans="1:27" ht="15.75" x14ac:dyDescent="0.25">
      <c r="A562" s="6">
        <v>557</v>
      </c>
      <c r="B562" s="6" t="s">
        <v>935</v>
      </c>
      <c r="C562" s="6" t="s">
        <v>434</v>
      </c>
      <c r="D562" s="21">
        <v>44006</v>
      </c>
      <c r="E562" s="7" t="s">
        <v>32</v>
      </c>
      <c r="F562" s="7">
        <v>1087</v>
      </c>
      <c r="G562" s="7">
        <v>518</v>
      </c>
      <c r="H562" s="7">
        <v>12</v>
      </c>
      <c r="I562" s="10" t="s">
        <v>30</v>
      </c>
      <c r="J562" s="9">
        <v>11000</v>
      </c>
      <c r="K562" s="43"/>
      <c r="L562" s="44"/>
      <c r="M562" s="18"/>
      <c r="N562" s="45"/>
      <c r="O562" s="45"/>
      <c r="P562" s="45"/>
      <c r="Q562" s="23">
        <v>44371</v>
      </c>
      <c r="R562" s="9">
        <v>1488</v>
      </c>
      <c r="S562" s="108">
        <v>11000</v>
      </c>
      <c r="U562" s="40">
        <f t="shared" si="12"/>
        <v>11227757.17</v>
      </c>
      <c r="Y562" s="65"/>
      <c r="Z562" s="35"/>
      <c r="AA562" s="34"/>
    </row>
    <row r="563" spans="1:27" ht="15.75" x14ac:dyDescent="0.25">
      <c r="A563" s="6">
        <v>1565</v>
      </c>
      <c r="B563" s="6" t="s">
        <v>936</v>
      </c>
      <c r="C563" s="6" t="s">
        <v>937</v>
      </c>
      <c r="D563" s="21">
        <v>44007</v>
      </c>
      <c r="E563" s="7" t="s">
        <v>32</v>
      </c>
      <c r="F563" s="7">
        <v>1097</v>
      </c>
      <c r="G563" s="7">
        <v>519</v>
      </c>
      <c r="H563" s="7">
        <v>12</v>
      </c>
      <c r="I563" s="10" t="s">
        <v>30</v>
      </c>
      <c r="J563" s="9">
        <v>2000</v>
      </c>
      <c r="K563" s="43"/>
      <c r="L563" s="44"/>
      <c r="M563" s="18"/>
      <c r="N563" s="45"/>
      <c r="O563" s="45"/>
      <c r="P563" s="45"/>
      <c r="Q563" s="23">
        <v>44378</v>
      </c>
      <c r="R563" s="9">
        <v>1567</v>
      </c>
      <c r="S563" s="108">
        <v>2000</v>
      </c>
      <c r="U563" s="40">
        <f t="shared" si="12"/>
        <v>11229757.17</v>
      </c>
      <c r="Y563" s="65"/>
      <c r="Z563" s="35"/>
      <c r="AA563" s="34"/>
    </row>
    <row r="564" spans="1:27" ht="15.75" x14ac:dyDescent="0.25">
      <c r="A564" s="6">
        <v>1584</v>
      </c>
      <c r="B564" s="6" t="s">
        <v>938</v>
      </c>
      <c r="C564" s="6" t="s">
        <v>939</v>
      </c>
      <c r="D564" s="21">
        <v>44007</v>
      </c>
      <c r="E564" s="7" t="s">
        <v>32</v>
      </c>
      <c r="F564" s="7">
        <v>1107</v>
      </c>
      <c r="G564" s="7">
        <v>520</v>
      </c>
      <c r="H564" s="7">
        <v>12</v>
      </c>
      <c r="I564" s="10" t="s">
        <v>30</v>
      </c>
      <c r="J564" s="9">
        <v>10000</v>
      </c>
      <c r="K564" s="43"/>
      <c r="L564" s="44"/>
      <c r="M564" s="18"/>
      <c r="N564" s="45"/>
      <c r="O564" s="45"/>
      <c r="P564" s="45"/>
      <c r="Q564" s="23">
        <v>44378</v>
      </c>
      <c r="R564" s="9">
        <v>1555</v>
      </c>
      <c r="S564" s="108">
        <v>10000</v>
      </c>
      <c r="U564" s="40">
        <f t="shared" si="12"/>
        <v>11239757.17</v>
      </c>
      <c r="Y564" s="65"/>
      <c r="Z564" s="35"/>
      <c r="AA564" s="34"/>
    </row>
    <row r="565" spans="1:27" ht="15.75" x14ac:dyDescent="0.25">
      <c r="A565" s="6">
        <v>8339</v>
      </c>
      <c r="B565" s="6" t="s">
        <v>940</v>
      </c>
      <c r="C565" s="6" t="s">
        <v>941</v>
      </c>
      <c r="D565" s="21">
        <v>44007</v>
      </c>
      <c r="E565" s="7" t="s">
        <v>32</v>
      </c>
      <c r="F565" s="7">
        <v>1109</v>
      </c>
      <c r="G565" s="7">
        <v>521</v>
      </c>
      <c r="H565" s="7">
        <v>12</v>
      </c>
      <c r="I565" s="10" t="s">
        <v>30</v>
      </c>
      <c r="J565" s="9">
        <v>1000</v>
      </c>
      <c r="K565" s="43"/>
      <c r="L565" s="44"/>
      <c r="M565" s="18"/>
      <c r="N565" s="45"/>
      <c r="O565" s="45"/>
      <c r="P565" s="45"/>
      <c r="Q565" s="23">
        <v>44376</v>
      </c>
      <c r="R565" s="9">
        <v>2501</v>
      </c>
      <c r="S565" s="108">
        <v>1000</v>
      </c>
      <c r="U565" s="40">
        <f t="shared" si="12"/>
        <v>11240757.17</v>
      </c>
      <c r="Y565" s="65"/>
      <c r="Z565" s="35"/>
      <c r="AA565" s="34"/>
    </row>
    <row r="566" spans="1:27" ht="15.75" x14ac:dyDescent="0.25">
      <c r="A566" s="6">
        <v>1587</v>
      </c>
      <c r="B566" s="6" t="s">
        <v>942</v>
      </c>
      <c r="C566" s="6" t="s">
        <v>943</v>
      </c>
      <c r="D566" s="21">
        <v>44007</v>
      </c>
      <c r="E566" s="7" t="s">
        <v>32</v>
      </c>
      <c r="F566" s="7">
        <v>1112</v>
      </c>
      <c r="G566" s="7">
        <v>522</v>
      </c>
      <c r="H566" s="7">
        <v>6</v>
      </c>
      <c r="I566" s="10" t="s">
        <v>30</v>
      </c>
      <c r="J566" s="9">
        <v>5000</v>
      </c>
      <c r="K566" s="43"/>
      <c r="L566" s="44"/>
      <c r="M566" s="18"/>
      <c r="N566" s="45"/>
      <c r="O566" s="45"/>
      <c r="P566" s="45"/>
      <c r="Q566" s="23">
        <v>44193</v>
      </c>
      <c r="R566" s="9">
        <v>2944</v>
      </c>
      <c r="S566" s="108">
        <v>5000</v>
      </c>
      <c r="U566" s="40">
        <f t="shared" si="12"/>
        <v>11245757.17</v>
      </c>
      <c r="Y566" s="65"/>
      <c r="Z566" s="35"/>
      <c r="AA566" s="34"/>
    </row>
    <row r="567" spans="1:27" ht="15.75" x14ac:dyDescent="0.25">
      <c r="A567" s="6">
        <v>1588</v>
      </c>
      <c r="B567" s="6" t="s">
        <v>944</v>
      </c>
      <c r="C567" s="6" t="s">
        <v>945</v>
      </c>
      <c r="D567" s="21">
        <v>44008</v>
      </c>
      <c r="E567" s="7" t="s">
        <v>32</v>
      </c>
      <c r="F567" s="7">
        <v>1118</v>
      </c>
      <c r="G567" s="7">
        <v>523</v>
      </c>
      <c r="H567" s="7">
        <v>12</v>
      </c>
      <c r="I567" s="10" t="s">
        <v>30</v>
      </c>
      <c r="J567" s="9">
        <v>5000</v>
      </c>
      <c r="K567" s="43"/>
      <c r="L567" s="44"/>
      <c r="M567" s="18"/>
      <c r="N567" s="45"/>
      <c r="O567" s="45"/>
      <c r="P567" s="45"/>
      <c r="Q567" s="23">
        <v>44373</v>
      </c>
      <c r="R567" s="9">
        <v>1514</v>
      </c>
      <c r="S567" s="108">
        <v>5000</v>
      </c>
      <c r="U567" s="40">
        <f t="shared" si="12"/>
        <v>11250757.17</v>
      </c>
      <c r="Y567" s="65"/>
      <c r="Z567" s="35"/>
      <c r="AA567" s="34"/>
    </row>
    <row r="568" spans="1:27" ht="15.75" x14ac:dyDescent="0.25">
      <c r="A568" s="6">
        <v>12</v>
      </c>
      <c r="B568" s="6" t="s">
        <v>946</v>
      </c>
      <c r="C568" s="6" t="s">
        <v>947</v>
      </c>
      <c r="D568" s="21">
        <v>44008</v>
      </c>
      <c r="E568" s="7" t="s">
        <v>32</v>
      </c>
      <c r="F568" s="7">
        <v>1121</v>
      </c>
      <c r="G568" s="7">
        <v>524</v>
      </c>
      <c r="H568" s="7">
        <v>12</v>
      </c>
      <c r="I568" s="10" t="s">
        <v>30</v>
      </c>
      <c r="J568" s="9">
        <v>100000</v>
      </c>
      <c r="K568" s="43"/>
      <c r="L568" s="44"/>
      <c r="M568" s="18"/>
      <c r="N568" s="45"/>
      <c r="O568" s="45"/>
      <c r="P568" s="45"/>
      <c r="Q568" s="23">
        <v>44191</v>
      </c>
      <c r="R568" s="9">
        <v>2928</v>
      </c>
      <c r="S568" s="108">
        <v>100000</v>
      </c>
      <c r="U568" s="40">
        <f t="shared" si="12"/>
        <v>11350757.17</v>
      </c>
      <c r="Y568" s="65"/>
      <c r="Z568" s="35"/>
      <c r="AA568" s="34"/>
    </row>
    <row r="569" spans="1:27" ht="15.75" x14ac:dyDescent="0.25">
      <c r="A569" s="6" t="s">
        <v>28</v>
      </c>
      <c r="B569" s="6" t="s">
        <v>948</v>
      </c>
      <c r="C569" s="6" t="s">
        <v>949</v>
      </c>
      <c r="D569" s="21">
        <v>44011</v>
      </c>
      <c r="E569" s="7" t="s">
        <v>32</v>
      </c>
      <c r="F569" s="7">
        <v>1158</v>
      </c>
      <c r="G569" s="7">
        <v>525</v>
      </c>
      <c r="H569" s="7">
        <v>12</v>
      </c>
      <c r="I569" s="10" t="s">
        <v>30</v>
      </c>
      <c r="J569" s="9">
        <v>90000</v>
      </c>
      <c r="K569" s="43"/>
      <c r="L569" s="44"/>
      <c r="M569" s="18"/>
      <c r="N569" s="45"/>
      <c r="O569" s="45"/>
      <c r="P569" s="45"/>
      <c r="Q569" s="23">
        <v>44378</v>
      </c>
      <c r="R569" s="9">
        <v>2513</v>
      </c>
      <c r="S569" s="108">
        <v>90000</v>
      </c>
      <c r="U569" s="40">
        <f t="shared" si="12"/>
        <v>11440757.17</v>
      </c>
      <c r="Y569" s="65"/>
      <c r="Z569" s="35"/>
      <c r="AA569" s="34"/>
    </row>
    <row r="570" spans="1:27" ht="15.75" x14ac:dyDescent="0.25">
      <c r="A570" s="6" t="s">
        <v>28</v>
      </c>
      <c r="B570" s="6" t="s">
        <v>345</v>
      </c>
      <c r="D570" s="21"/>
      <c r="G570" s="7">
        <v>526</v>
      </c>
      <c r="H570" s="7"/>
      <c r="K570" s="43"/>
      <c r="L570" s="44"/>
      <c r="M570" s="18"/>
      <c r="N570" s="45"/>
      <c r="O570" s="45"/>
      <c r="P570" s="45"/>
      <c r="U570" s="40">
        <f t="shared" si="12"/>
        <v>11440757.17</v>
      </c>
      <c r="Y570" s="65"/>
      <c r="Z570" s="35"/>
      <c r="AA570" s="34"/>
    </row>
    <row r="571" spans="1:27" ht="15.75" x14ac:dyDescent="0.25">
      <c r="A571" s="6">
        <v>395</v>
      </c>
      <c r="B571" s="6" t="s">
        <v>843</v>
      </c>
      <c r="C571" s="6" t="s">
        <v>64</v>
      </c>
      <c r="D571" s="21">
        <v>44013</v>
      </c>
      <c r="E571" s="7" t="s">
        <v>32</v>
      </c>
      <c r="F571" s="7">
        <v>1183</v>
      </c>
      <c r="G571" s="7">
        <v>527</v>
      </c>
      <c r="H571" s="7">
        <v>6</v>
      </c>
      <c r="I571" s="10" t="s">
        <v>30</v>
      </c>
      <c r="J571" s="9">
        <v>15875.1</v>
      </c>
      <c r="K571" s="43"/>
      <c r="L571" s="44"/>
      <c r="M571" s="18"/>
      <c r="N571" s="45"/>
      <c r="O571" s="45"/>
      <c r="P571" s="45"/>
      <c r="Q571" s="23">
        <v>44207</v>
      </c>
      <c r="R571" s="9">
        <v>378</v>
      </c>
      <c r="S571" s="108">
        <v>15875.1</v>
      </c>
      <c r="U571" s="40">
        <f t="shared" si="12"/>
        <v>11456632.27</v>
      </c>
      <c r="Y571" s="65"/>
      <c r="Z571" s="35"/>
      <c r="AA571" s="34"/>
    </row>
    <row r="572" spans="1:27" ht="15.75" x14ac:dyDescent="0.25">
      <c r="A572" s="6">
        <v>564</v>
      </c>
      <c r="B572" s="6" t="s">
        <v>950</v>
      </c>
      <c r="C572" s="6" t="s">
        <v>951</v>
      </c>
      <c r="D572" s="21">
        <v>44014</v>
      </c>
      <c r="E572" s="7" t="s">
        <v>32</v>
      </c>
      <c r="F572" s="7">
        <v>1218</v>
      </c>
      <c r="G572" s="7">
        <v>528</v>
      </c>
      <c r="H572" s="7">
        <v>6</v>
      </c>
      <c r="I572" s="10" t="s">
        <v>30</v>
      </c>
      <c r="J572" s="9">
        <v>60000</v>
      </c>
      <c r="K572" s="43"/>
      <c r="L572" s="44"/>
      <c r="M572" s="18"/>
      <c r="N572" s="45"/>
      <c r="O572" s="45"/>
      <c r="P572" s="45"/>
      <c r="Q572" s="23">
        <v>44200</v>
      </c>
      <c r="R572" s="9">
        <v>1</v>
      </c>
      <c r="S572" s="108">
        <v>60000</v>
      </c>
      <c r="U572" s="40">
        <f t="shared" si="12"/>
        <v>11516632.27</v>
      </c>
      <c r="Y572" s="65"/>
      <c r="Z572" s="35"/>
      <c r="AA572" s="34"/>
    </row>
    <row r="573" spans="1:27" ht="15.75" x14ac:dyDescent="0.25">
      <c r="A573" s="6">
        <v>663</v>
      </c>
      <c r="B573" s="6" t="s">
        <v>345</v>
      </c>
      <c r="D573" s="21"/>
      <c r="G573" s="7">
        <v>529</v>
      </c>
      <c r="H573" s="7"/>
      <c r="K573" s="43"/>
      <c r="L573" s="44"/>
      <c r="M573" s="18"/>
      <c r="N573" s="45"/>
      <c r="O573" s="45"/>
      <c r="P573" s="45"/>
      <c r="U573" s="40">
        <f t="shared" si="12"/>
        <v>11516632.27</v>
      </c>
      <c r="Y573" s="65"/>
      <c r="Z573" s="35"/>
      <c r="AA573" s="34"/>
    </row>
    <row r="574" spans="1:27" ht="15.75" x14ac:dyDescent="0.25">
      <c r="A574" s="6">
        <v>663</v>
      </c>
      <c r="B574" s="6" t="s">
        <v>490</v>
      </c>
      <c r="C574" s="6" t="s">
        <v>573</v>
      </c>
      <c r="D574" s="21">
        <v>44013</v>
      </c>
      <c r="E574" s="7" t="s">
        <v>32</v>
      </c>
      <c r="F574" s="7">
        <v>1177</v>
      </c>
      <c r="G574" s="7">
        <v>530</v>
      </c>
      <c r="H574" s="7">
        <v>6</v>
      </c>
      <c r="I574" s="10" t="s">
        <v>30</v>
      </c>
      <c r="J574" s="9">
        <v>31000</v>
      </c>
      <c r="K574" s="43"/>
      <c r="L574" s="44"/>
      <c r="M574" s="18"/>
      <c r="N574" s="45"/>
      <c r="O574" s="45"/>
      <c r="P574" s="45"/>
      <c r="Q574" s="23">
        <v>44198</v>
      </c>
      <c r="R574" s="9">
        <v>266</v>
      </c>
      <c r="S574" s="108">
        <v>31000</v>
      </c>
      <c r="U574" s="40">
        <f t="shared" si="12"/>
        <v>11547632.27</v>
      </c>
      <c r="Y574" s="65"/>
      <c r="Z574" s="35"/>
      <c r="AA574" s="34"/>
    </row>
    <row r="575" spans="1:27" ht="15.75" x14ac:dyDescent="0.25">
      <c r="A575" s="6">
        <v>577</v>
      </c>
      <c r="B575" s="6" t="s">
        <v>428</v>
      </c>
      <c r="C575" s="6" t="s">
        <v>28</v>
      </c>
      <c r="D575" s="21">
        <v>44015</v>
      </c>
      <c r="E575" s="7" t="s">
        <v>32</v>
      </c>
      <c r="F575" s="7">
        <v>1274</v>
      </c>
      <c r="G575" s="7">
        <v>531</v>
      </c>
      <c r="H575" s="7">
        <v>12</v>
      </c>
      <c r="I575" s="10" t="s">
        <v>30</v>
      </c>
      <c r="J575" s="9">
        <v>2354.58</v>
      </c>
      <c r="K575" s="43"/>
      <c r="L575" s="44"/>
      <c r="M575" s="18"/>
      <c r="N575" s="45"/>
      <c r="O575" s="45"/>
      <c r="P575" s="45"/>
      <c r="Q575" s="23">
        <v>44435</v>
      </c>
      <c r="R575" s="9">
        <v>3265</v>
      </c>
      <c r="S575" s="108">
        <v>2354.58</v>
      </c>
      <c r="U575" s="40">
        <f t="shared" si="12"/>
        <v>11549986.85</v>
      </c>
      <c r="Y575" s="65"/>
      <c r="Z575" s="35"/>
      <c r="AA575" s="34"/>
    </row>
    <row r="576" spans="1:27" ht="15.75" x14ac:dyDescent="0.25">
      <c r="A576" s="6">
        <v>191</v>
      </c>
      <c r="B576" s="6" t="s">
        <v>731</v>
      </c>
      <c r="C576" s="6" t="s">
        <v>732</v>
      </c>
      <c r="D576" s="21">
        <v>44018</v>
      </c>
      <c r="E576" s="7" t="s">
        <v>32</v>
      </c>
      <c r="F576" s="7">
        <v>1310</v>
      </c>
      <c r="G576" s="7">
        <v>532</v>
      </c>
      <c r="H576" s="7">
        <v>6</v>
      </c>
      <c r="I576" s="10" t="s">
        <v>30</v>
      </c>
      <c r="J576" s="9">
        <v>8775</v>
      </c>
      <c r="K576" s="43"/>
      <c r="L576" s="44"/>
      <c r="M576" s="18"/>
      <c r="N576" s="45"/>
      <c r="O576" s="45"/>
      <c r="P576" s="45"/>
      <c r="Q576" s="23">
        <v>44246</v>
      </c>
      <c r="R576" s="9">
        <v>806</v>
      </c>
      <c r="S576" s="108">
        <v>8775</v>
      </c>
      <c r="U576" s="40">
        <f t="shared" si="12"/>
        <v>11558761.85</v>
      </c>
      <c r="Y576" s="65"/>
      <c r="Z576" s="35"/>
      <c r="AA576" s="34"/>
    </row>
    <row r="577" spans="1:27" ht="15.75" x14ac:dyDescent="0.25">
      <c r="A577" s="6">
        <v>275</v>
      </c>
      <c r="B577" s="6" t="s">
        <v>952</v>
      </c>
      <c r="C577" s="6" t="s">
        <v>55</v>
      </c>
      <c r="D577" s="21">
        <v>44019</v>
      </c>
      <c r="E577" s="7" t="s">
        <v>32</v>
      </c>
      <c r="F577" s="7">
        <v>1324</v>
      </c>
      <c r="G577" s="7">
        <v>533</v>
      </c>
      <c r="H577" s="7">
        <v>12</v>
      </c>
      <c r="I577" s="10" t="s">
        <v>30</v>
      </c>
      <c r="J577" s="9">
        <v>2234</v>
      </c>
      <c r="K577" s="43"/>
      <c r="L577" s="44"/>
      <c r="M577" s="18"/>
      <c r="N577" s="45"/>
      <c r="O577" s="45"/>
      <c r="P577" s="45"/>
      <c r="Q577" s="23">
        <v>44389</v>
      </c>
      <c r="R577" s="9">
        <v>2670</v>
      </c>
      <c r="S577" s="108">
        <v>2234</v>
      </c>
      <c r="U577" s="40">
        <f t="shared" si="12"/>
        <v>11560995.85</v>
      </c>
      <c r="Y577" s="65"/>
      <c r="Z577" s="35"/>
      <c r="AA577" s="34"/>
    </row>
    <row r="578" spans="1:27" ht="15.75" x14ac:dyDescent="0.25">
      <c r="A578" s="6">
        <v>276</v>
      </c>
      <c r="B578" s="6" t="s">
        <v>953</v>
      </c>
      <c r="C578" s="6" t="s">
        <v>55</v>
      </c>
      <c r="D578" s="21">
        <v>44019</v>
      </c>
      <c r="E578" s="7" t="s">
        <v>32</v>
      </c>
      <c r="F578" s="7">
        <v>1325</v>
      </c>
      <c r="G578" s="7">
        <v>534</v>
      </c>
      <c r="H578" s="7">
        <v>12</v>
      </c>
      <c r="I578" s="10" t="s">
        <v>30</v>
      </c>
      <c r="J578" s="9">
        <v>1711.24</v>
      </c>
      <c r="K578" s="43"/>
      <c r="L578" s="44"/>
      <c r="M578" s="18"/>
      <c r="N578" s="45"/>
      <c r="O578" s="45"/>
      <c r="P578" s="45"/>
      <c r="Q578" s="23">
        <v>44389</v>
      </c>
      <c r="R578" s="9">
        <v>2669</v>
      </c>
      <c r="S578" s="108">
        <v>1711.24</v>
      </c>
      <c r="U578" s="40">
        <f t="shared" si="12"/>
        <v>11562707.09</v>
      </c>
      <c r="Y578" s="65"/>
      <c r="Z578" s="35"/>
      <c r="AA578" s="34"/>
    </row>
    <row r="579" spans="1:27" ht="15.75" x14ac:dyDescent="0.25">
      <c r="A579" s="6">
        <v>1599</v>
      </c>
      <c r="B579" s="6" t="s">
        <v>954</v>
      </c>
      <c r="C579" s="6" t="s">
        <v>955</v>
      </c>
      <c r="D579" s="21">
        <v>44019</v>
      </c>
      <c r="E579" s="7" t="s">
        <v>32</v>
      </c>
      <c r="F579" s="7">
        <v>1332</v>
      </c>
      <c r="G579" s="7">
        <v>535</v>
      </c>
      <c r="H579" s="7">
        <v>6</v>
      </c>
      <c r="I579" s="10" t="s">
        <v>30</v>
      </c>
      <c r="J579" s="9">
        <v>20000</v>
      </c>
      <c r="K579" s="43"/>
      <c r="L579" s="44"/>
      <c r="M579" s="18"/>
      <c r="N579" s="45"/>
      <c r="O579" s="45"/>
      <c r="P579" s="45"/>
      <c r="Q579" s="23">
        <v>44203</v>
      </c>
      <c r="R579" s="9">
        <v>46</v>
      </c>
      <c r="S579" s="108">
        <v>20000</v>
      </c>
      <c r="U579" s="40">
        <f t="shared" si="12"/>
        <v>11582707.09</v>
      </c>
      <c r="Y579" s="65"/>
      <c r="Z579" s="35"/>
      <c r="AA579" s="34"/>
    </row>
    <row r="580" spans="1:27" ht="15.75" x14ac:dyDescent="0.25">
      <c r="A580" s="6">
        <v>1034</v>
      </c>
      <c r="B580" s="6" t="s">
        <v>619</v>
      </c>
      <c r="C580" s="6" t="s">
        <v>743</v>
      </c>
      <c r="D580" s="21">
        <v>44019</v>
      </c>
      <c r="E580" s="7" t="s">
        <v>32</v>
      </c>
      <c r="F580" s="7">
        <v>1336</v>
      </c>
      <c r="G580" s="7">
        <v>536</v>
      </c>
      <c r="H580" s="7">
        <v>6</v>
      </c>
      <c r="I580" s="10" t="s">
        <v>30</v>
      </c>
      <c r="J580" s="9">
        <v>5000</v>
      </c>
      <c r="K580" s="43"/>
      <c r="L580" s="44"/>
      <c r="M580" s="18"/>
      <c r="N580" s="45"/>
      <c r="O580" s="45"/>
      <c r="P580" s="45"/>
      <c r="Q580" s="23">
        <v>44203</v>
      </c>
      <c r="R580" s="9">
        <v>44</v>
      </c>
      <c r="S580" s="108">
        <v>5000</v>
      </c>
      <c r="U580" s="40">
        <f t="shared" si="12"/>
        <v>11587707.09</v>
      </c>
      <c r="Y580" s="65"/>
      <c r="Z580" s="35"/>
      <c r="AA580" s="34"/>
    </row>
    <row r="581" spans="1:27" ht="15.75" x14ac:dyDescent="0.25">
      <c r="A581" s="6">
        <v>739</v>
      </c>
      <c r="B581" s="6" t="s">
        <v>742</v>
      </c>
      <c r="C581" s="6" t="s">
        <v>956</v>
      </c>
      <c r="D581" s="21">
        <v>44019</v>
      </c>
      <c r="E581" s="7" t="s">
        <v>32</v>
      </c>
      <c r="F581" s="7">
        <v>1343</v>
      </c>
      <c r="G581" s="7">
        <v>537</v>
      </c>
      <c r="H581" s="7">
        <v>6</v>
      </c>
      <c r="I581" s="10" t="s">
        <v>30</v>
      </c>
      <c r="J581" s="9">
        <v>58000</v>
      </c>
      <c r="K581" s="43"/>
      <c r="L581" s="44"/>
      <c r="M581" s="18"/>
      <c r="N581" s="45"/>
      <c r="O581" s="45"/>
      <c r="P581" s="45"/>
      <c r="Q581" s="23">
        <v>44221</v>
      </c>
      <c r="R581" s="9">
        <v>554</v>
      </c>
      <c r="S581" s="108">
        <v>58000</v>
      </c>
      <c r="U581" s="40">
        <f t="shared" si="12"/>
        <v>11645707.09</v>
      </c>
      <c r="Y581" s="65"/>
      <c r="Z581" s="35"/>
      <c r="AA581" s="34"/>
    </row>
    <row r="582" spans="1:27" ht="15.75" x14ac:dyDescent="0.25">
      <c r="A582" s="6">
        <v>642</v>
      </c>
      <c r="B582" s="6" t="s">
        <v>455</v>
      </c>
      <c r="C582" s="6" t="s">
        <v>957</v>
      </c>
      <c r="D582" s="21">
        <v>44019</v>
      </c>
      <c r="E582" s="7" t="s">
        <v>32</v>
      </c>
      <c r="F582" s="7">
        <v>1345</v>
      </c>
      <c r="G582" s="7">
        <v>538</v>
      </c>
      <c r="H582" s="7">
        <v>6</v>
      </c>
      <c r="I582" s="10" t="s">
        <v>30</v>
      </c>
      <c r="J582" s="9">
        <v>100000</v>
      </c>
      <c r="K582" s="43"/>
      <c r="L582" s="44"/>
      <c r="M582" s="18"/>
      <c r="N582" s="45"/>
      <c r="O582" s="45"/>
      <c r="P582" s="45"/>
      <c r="Q582" s="23">
        <v>44203</v>
      </c>
      <c r="R582" s="9">
        <v>343</v>
      </c>
      <c r="S582" s="108">
        <v>100000</v>
      </c>
      <c r="U582" s="40">
        <f t="shared" si="12"/>
        <v>11745707.09</v>
      </c>
      <c r="Y582" s="65"/>
      <c r="Z582" s="35"/>
      <c r="AA582" s="34"/>
    </row>
    <row r="583" spans="1:27" ht="15.75" x14ac:dyDescent="0.25">
      <c r="A583" s="6">
        <v>522</v>
      </c>
      <c r="B583" s="6" t="s">
        <v>600</v>
      </c>
      <c r="C583" s="6" t="s">
        <v>739</v>
      </c>
      <c r="D583" s="21">
        <v>44019</v>
      </c>
      <c r="E583" s="7" t="s">
        <v>32</v>
      </c>
      <c r="F583" s="7">
        <v>1351</v>
      </c>
      <c r="G583" s="7">
        <v>539</v>
      </c>
      <c r="H583" s="7">
        <v>6</v>
      </c>
      <c r="I583" s="10" t="s">
        <v>30</v>
      </c>
      <c r="J583" s="9">
        <v>66000</v>
      </c>
      <c r="K583" s="43"/>
      <c r="L583" s="44"/>
      <c r="M583" s="18"/>
      <c r="N583" s="45"/>
      <c r="O583" s="45"/>
      <c r="P583" s="45"/>
      <c r="Q583" s="23">
        <v>44204</v>
      </c>
      <c r="R583" s="9">
        <v>356</v>
      </c>
      <c r="S583" s="108">
        <v>66000</v>
      </c>
      <c r="U583" s="40">
        <f t="shared" si="12"/>
        <v>11811707.09</v>
      </c>
      <c r="Y583" s="65"/>
      <c r="Z583" s="35"/>
      <c r="AA583" s="34"/>
    </row>
    <row r="584" spans="1:27" ht="15.75" x14ac:dyDescent="0.25">
      <c r="A584" s="6">
        <v>144</v>
      </c>
      <c r="B584" s="6" t="s">
        <v>958</v>
      </c>
      <c r="C584" s="6" t="s">
        <v>959</v>
      </c>
      <c r="D584" s="21">
        <v>44020</v>
      </c>
      <c r="E584" s="7" t="s">
        <v>32</v>
      </c>
      <c r="F584" s="7">
        <v>1366</v>
      </c>
      <c r="G584" s="7">
        <v>540</v>
      </c>
      <c r="H584" s="7">
        <v>12</v>
      </c>
      <c r="I584" s="10" t="s">
        <v>30</v>
      </c>
      <c r="J584" s="9">
        <v>5000</v>
      </c>
      <c r="K584" s="43"/>
      <c r="L584" s="44"/>
      <c r="M584" s="18"/>
      <c r="N584" s="45"/>
      <c r="O584" s="45"/>
      <c r="P584" s="45"/>
      <c r="Q584" s="23">
        <v>44385</v>
      </c>
      <c r="R584" s="9">
        <v>1622</v>
      </c>
      <c r="S584" s="108">
        <v>5000</v>
      </c>
      <c r="U584" s="40">
        <f t="shared" si="12"/>
        <v>11816707.09</v>
      </c>
      <c r="Y584" s="65"/>
      <c r="Z584" s="35"/>
      <c r="AA584" s="34"/>
    </row>
    <row r="585" spans="1:27" ht="15.75" x14ac:dyDescent="0.25">
      <c r="A585" s="6">
        <v>1105</v>
      </c>
      <c r="B585" s="6" t="s">
        <v>960</v>
      </c>
      <c r="C585" s="6" t="s">
        <v>629</v>
      </c>
      <c r="D585" s="21">
        <v>44020</v>
      </c>
      <c r="E585" s="7" t="s">
        <v>32</v>
      </c>
      <c r="F585" s="7">
        <v>1370</v>
      </c>
      <c r="G585" s="7">
        <v>541</v>
      </c>
      <c r="H585" s="7">
        <v>6</v>
      </c>
      <c r="I585" s="10" t="s">
        <v>30</v>
      </c>
      <c r="J585" s="9">
        <v>80000</v>
      </c>
      <c r="K585" s="43"/>
      <c r="L585" s="44"/>
      <c r="M585" s="18"/>
      <c r="N585" s="45"/>
      <c r="O585" s="45"/>
      <c r="P585" s="45"/>
      <c r="Q585" s="23">
        <v>44204</v>
      </c>
      <c r="R585" s="9">
        <v>358</v>
      </c>
      <c r="S585" s="108">
        <v>80000</v>
      </c>
      <c r="U585" s="40">
        <f t="shared" si="12"/>
        <v>11896707.09</v>
      </c>
      <c r="Y585" s="65"/>
      <c r="Z585" s="35"/>
      <c r="AA585" s="34"/>
    </row>
    <row r="586" spans="1:27" ht="15.75" x14ac:dyDescent="0.25">
      <c r="A586" s="6">
        <v>284</v>
      </c>
      <c r="B586" s="6" t="s">
        <v>961</v>
      </c>
      <c r="C586" s="6" t="s">
        <v>555</v>
      </c>
      <c r="D586" s="21">
        <v>44020</v>
      </c>
      <c r="E586" s="7" t="s">
        <v>32</v>
      </c>
      <c r="F586" s="7">
        <v>1375</v>
      </c>
      <c r="G586" s="7">
        <v>542</v>
      </c>
      <c r="H586" s="7">
        <v>12</v>
      </c>
      <c r="I586" s="10" t="s">
        <v>30</v>
      </c>
      <c r="J586" s="9">
        <v>20000</v>
      </c>
      <c r="K586" s="43"/>
      <c r="L586" s="44"/>
      <c r="M586" s="18"/>
      <c r="N586" s="45"/>
      <c r="O586" s="45"/>
      <c r="P586" s="45"/>
      <c r="Q586" s="23">
        <v>44389</v>
      </c>
      <c r="R586" s="9">
        <v>2672</v>
      </c>
      <c r="S586" s="108">
        <v>20000</v>
      </c>
      <c r="U586" s="40">
        <f t="shared" si="12"/>
        <v>11916707.09</v>
      </c>
      <c r="Y586" s="65"/>
      <c r="Z586" s="35"/>
      <c r="AA586" s="34"/>
    </row>
    <row r="587" spans="1:27" ht="15.75" x14ac:dyDescent="0.25">
      <c r="A587" s="6">
        <v>1603</v>
      </c>
      <c r="B587" s="6" t="s">
        <v>962</v>
      </c>
      <c r="C587" s="6" t="s">
        <v>963</v>
      </c>
      <c r="D587" s="21">
        <v>44020</v>
      </c>
      <c r="E587" s="7" t="s">
        <v>32</v>
      </c>
      <c r="F587" s="7">
        <v>1381</v>
      </c>
      <c r="G587" s="7">
        <v>543</v>
      </c>
      <c r="H587" s="7">
        <v>6</v>
      </c>
      <c r="I587" s="10" t="s">
        <v>30</v>
      </c>
      <c r="J587" s="9">
        <v>10000</v>
      </c>
      <c r="K587" s="43"/>
      <c r="L587" s="44"/>
      <c r="M587" s="18"/>
      <c r="N587" s="45"/>
      <c r="O587" s="45"/>
      <c r="P587" s="45"/>
      <c r="Q587" s="23">
        <v>44204</v>
      </c>
      <c r="R587" s="9">
        <v>357</v>
      </c>
      <c r="S587" s="108">
        <v>10000</v>
      </c>
      <c r="U587" s="40">
        <f t="shared" si="12"/>
        <v>11926707.09</v>
      </c>
      <c r="Y587" s="65"/>
      <c r="Z587" s="35"/>
      <c r="AA587" s="34"/>
    </row>
    <row r="588" spans="1:27" ht="15.75" x14ac:dyDescent="0.25">
      <c r="A588" s="6">
        <v>1147</v>
      </c>
      <c r="B588" s="6" t="s">
        <v>964</v>
      </c>
      <c r="C588" s="6" t="s">
        <v>509</v>
      </c>
      <c r="D588" s="21">
        <v>44020</v>
      </c>
      <c r="E588" s="7" t="s">
        <v>32</v>
      </c>
      <c r="F588" s="7">
        <v>1382</v>
      </c>
      <c r="G588" s="7">
        <v>544</v>
      </c>
      <c r="H588" s="7">
        <v>12</v>
      </c>
      <c r="I588" s="10" t="s">
        <v>30</v>
      </c>
      <c r="J588" s="9">
        <v>50000</v>
      </c>
      <c r="K588" s="43"/>
      <c r="L588" s="44"/>
      <c r="M588" s="18"/>
      <c r="N588" s="45"/>
      <c r="O588" s="45"/>
      <c r="P588" s="45"/>
      <c r="Q588" s="23">
        <v>44386</v>
      </c>
      <c r="R588" s="9">
        <v>1641</v>
      </c>
      <c r="S588" s="108">
        <v>50000</v>
      </c>
      <c r="U588" s="40">
        <f t="shared" si="12"/>
        <v>11976707.09</v>
      </c>
      <c r="Y588" s="65"/>
      <c r="Z588" s="35"/>
      <c r="AA588" s="34"/>
    </row>
    <row r="589" spans="1:27" ht="15.75" x14ac:dyDescent="0.25">
      <c r="A589" s="6">
        <v>287</v>
      </c>
      <c r="B589" s="6" t="s">
        <v>965</v>
      </c>
      <c r="C589" s="6" t="s">
        <v>966</v>
      </c>
      <c r="D589" s="21">
        <v>44021</v>
      </c>
      <c r="E589" s="7" t="s">
        <v>32</v>
      </c>
      <c r="F589" s="7">
        <v>1396</v>
      </c>
      <c r="G589" s="7">
        <v>545</v>
      </c>
      <c r="H589" s="7">
        <v>12</v>
      </c>
      <c r="I589" s="10" t="s">
        <v>30</v>
      </c>
      <c r="J589" s="9">
        <v>15000</v>
      </c>
      <c r="K589" s="43"/>
      <c r="L589" s="44"/>
      <c r="M589" s="18"/>
      <c r="N589" s="45"/>
      <c r="O589" s="45"/>
      <c r="P589" s="45"/>
      <c r="Q589" s="23">
        <v>44387</v>
      </c>
      <c r="R589" s="9">
        <v>2654</v>
      </c>
      <c r="S589" s="108">
        <v>15000</v>
      </c>
      <c r="U589" s="40">
        <f t="shared" si="12"/>
        <v>11991707.09</v>
      </c>
      <c r="Y589" s="65"/>
      <c r="Z589" s="35"/>
      <c r="AA589" s="34"/>
    </row>
    <row r="590" spans="1:27" ht="15.75" x14ac:dyDescent="0.25">
      <c r="A590" s="6">
        <v>288</v>
      </c>
      <c r="B590" s="6" t="s">
        <v>29</v>
      </c>
      <c r="C590" s="6" t="s">
        <v>28</v>
      </c>
      <c r="D590" s="21">
        <v>44022</v>
      </c>
      <c r="E590" s="7" t="s">
        <v>32</v>
      </c>
      <c r="F590" s="7">
        <v>1432</v>
      </c>
      <c r="G590" s="7">
        <v>546</v>
      </c>
      <c r="H590" s="7">
        <v>12</v>
      </c>
      <c r="I590" s="10" t="s">
        <v>30</v>
      </c>
      <c r="J590" s="9">
        <v>47500</v>
      </c>
      <c r="K590" s="43"/>
      <c r="L590" s="44"/>
      <c r="M590" s="18"/>
      <c r="N590" s="45"/>
      <c r="O590" s="45"/>
      <c r="P590" s="45"/>
      <c r="Q590" s="23">
        <v>44389</v>
      </c>
      <c r="R590" s="9">
        <v>2661</v>
      </c>
      <c r="S590" s="108">
        <v>47500</v>
      </c>
      <c r="U590" s="40">
        <f t="shared" si="12"/>
        <v>12039207.09</v>
      </c>
      <c r="Y590" s="65"/>
      <c r="Z590" s="35"/>
      <c r="AA590" s="34"/>
    </row>
    <row r="591" spans="1:27" ht="15.75" x14ac:dyDescent="0.25">
      <c r="A591" s="6">
        <v>1613</v>
      </c>
      <c r="B591" s="6" t="s">
        <v>345</v>
      </c>
      <c r="D591" s="21"/>
      <c r="E591" s="7" t="s">
        <v>32</v>
      </c>
      <c r="G591" s="7">
        <v>547</v>
      </c>
      <c r="H591" s="7"/>
      <c r="K591" s="43"/>
      <c r="L591" s="44"/>
      <c r="M591" s="18"/>
      <c r="N591" s="45"/>
      <c r="O591" s="45"/>
      <c r="P591" s="45"/>
      <c r="U591" s="40">
        <f t="shared" si="12"/>
        <v>12039207.09</v>
      </c>
      <c r="Y591" s="65"/>
      <c r="Z591" s="35"/>
      <c r="AA591" s="34"/>
    </row>
    <row r="592" spans="1:27" ht="15.75" x14ac:dyDescent="0.25">
      <c r="A592" s="6">
        <v>1613</v>
      </c>
      <c r="B592" s="6" t="s">
        <v>967</v>
      </c>
      <c r="C592" s="6" t="s">
        <v>968</v>
      </c>
      <c r="D592" s="21">
        <v>44022</v>
      </c>
      <c r="E592" s="7" t="s">
        <v>32</v>
      </c>
      <c r="F592" s="7">
        <v>1451</v>
      </c>
      <c r="G592" s="7">
        <v>548</v>
      </c>
      <c r="H592" s="7">
        <v>6</v>
      </c>
      <c r="I592" s="10" t="s">
        <v>30</v>
      </c>
      <c r="J592" s="9">
        <v>25000</v>
      </c>
      <c r="K592" s="43"/>
      <c r="L592" s="44"/>
      <c r="M592" s="18"/>
      <c r="N592" s="45"/>
      <c r="O592" s="45"/>
      <c r="P592" s="45"/>
      <c r="Q592" s="23">
        <v>44207</v>
      </c>
      <c r="R592" s="9">
        <v>380</v>
      </c>
      <c r="S592" s="108">
        <v>25000</v>
      </c>
      <c r="U592" s="40">
        <f t="shared" si="12"/>
        <v>12064207.09</v>
      </c>
      <c r="Y592" s="65"/>
      <c r="Z592" s="35"/>
      <c r="AA592" s="34"/>
    </row>
    <row r="593" spans="1:27" ht="15.75" x14ac:dyDescent="0.25">
      <c r="A593" s="6">
        <v>1034</v>
      </c>
      <c r="B593" s="6" t="s">
        <v>619</v>
      </c>
      <c r="C593" s="6" t="s">
        <v>743</v>
      </c>
      <c r="D593" s="21">
        <v>44025</v>
      </c>
      <c r="E593" s="7" t="s">
        <v>32</v>
      </c>
      <c r="F593" s="7">
        <v>1466</v>
      </c>
      <c r="G593" s="7">
        <v>549</v>
      </c>
      <c r="H593" s="7">
        <v>6</v>
      </c>
      <c r="I593" s="10" t="s">
        <v>30</v>
      </c>
      <c r="J593" s="9">
        <v>8000</v>
      </c>
      <c r="K593" s="43"/>
      <c r="L593" s="44"/>
      <c r="M593" s="18"/>
      <c r="N593" s="45"/>
      <c r="O593" s="45"/>
      <c r="P593" s="45"/>
      <c r="Q593" s="23">
        <v>44211</v>
      </c>
      <c r="R593" s="9">
        <v>428</v>
      </c>
      <c r="S593" s="108">
        <v>8000</v>
      </c>
      <c r="U593" s="40">
        <f t="shared" si="12"/>
        <v>12072207.09</v>
      </c>
      <c r="Y593" s="65"/>
      <c r="Z593" s="35"/>
      <c r="AA593" s="34"/>
    </row>
    <row r="594" spans="1:27" ht="15.75" x14ac:dyDescent="0.25">
      <c r="A594" s="6">
        <v>1617</v>
      </c>
      <c r="B594" s="6" t="s">
        <v>969</v>
      </c>
      <c r="C594" s="6" t="s">
        <v>970</v>
      </c>
      <c r="D594" s="21">
        <v>44025</v>
      </c>
      <c r="E594" s="7" t="s">
        <v>32</v>
      </c>
      <c r="F594" s="7">
        <v>1490</v>
      </c>
      <c r="G594" s="7">
        <v>550</v>
      </c>
      <c r="H594" s="7">
        <v>6</v>
      </c>
      <c r="I594" s="10" t="s">
        <v>30</v>
      </c>
      <c r="J594" s="9">
        <v>100000</v>
      </c>
      <c r="K594" s="43"/>
      <c r="L594" s="44"/>
      <c r="M594" s="18"/>
      <c r="N594" s="45"/>
      <c r="O594" s="45"/>
      <c r="P594" s="45"/>
      <c r="Q594" s="23">
        <v>44221</v>
      </c>
      <c r="R594" s="9">
        <v>211</v>
      </c>
      <c r="S594" s="108">
        <v>100000</v>
      </c>
      <c r="U594" s="40">
        <f t="shared" si="12"/>
        <v>12172207.09</v>
      </c>
      <c r="Y594" s="65"/>
      <c r="Z594" s="35"/>
      <c r="AA594" s="34"/>
    </row>
    <row r="595" spans="1:27" ht="15.75" x14ac:dyDescent="0.25">
      <c r="A595" s="6">
        <v>981</v>
      </c>
      <c r="B595" s="6" t="s">
        <v>971</v>
      </c>
      <c r="C595" s="6" t="s">
        <v>465</v>
      </c>
      <c r="D595" s="21">
        <v>44027</v>
      </c>
      <c r="E595" s="7" t="s">
        <v>32</v>
      </c>
      <c r="F595" s="7">
        <v>1534</v>
      </c>
      <c r="G595" s="7">
        <v>551</v>
      </c>
      <c r="H595" s="7">
        <v>12</v>
      </c>
      <c r="I595" s="10" t="s">
        <v>30</v>
      </c>
      <c r="J595" s="9">
        <v>10000</v>
      </c>
      <c r="K595" s="43"/>
      <c r="L595" s="44"/>
      <c r="M595" s="18"/>
      <c r="N595" s="45"/>
      <c r="O595" s="45"/>
      <c r="P595" s="45"/>
      <c r="Q595" s="23">
        <v>44392</v>
      </c>
      <c r="R595" s="9">
        <v>1711</v>
      </c>
      <c r="S595" s="108">
        <v>10000</v>
      </c>
      <c r="U595" s="40">
        <f t="shared" si="12"/>
        <v>12182207.09</v>
      </c>
      <c r="Y595" s="65"/>
      <c r="Z595" s="35"/>
      <c r="AA595" s="34"/>
    </row>
    <row r="596" spans="1:27" ht="15.75" x14ac:dyDescent="0.25">
      <c r="A596" s="6">
        <v>1626</v>
      </c>
      <c r="B596" s="6" t="s">
        <v>972</v>
      </c>
      <c r="C596" s="6" t="s">
        <v>973</v>
      </c>
      <c r="D596" s="21">
        <v>44028</v>
      </c>
      <c r="E596" s="7" t="s">
        <v>32</v>
      </c>
      <c r="F596" s="7">
        <v>1579</v>
      </c>
      <c r="G596" s="7">
        <v>552</v>
      </c>
      <c r="H596" s="7">
        <v>6</v>
      </c>
      <c r="I596" s="10" t="s">
        <v>30</v>
      </c>
      <c r="J596" s="9">
        <v>10000</v>
      </c>
      <c r="K596" s="43"/>
      <c r="L596" s="44"/>
      <c r="M596" s="18"/>
      <c r="N596" s="45"/>
      <c r="O596" s="45"/>
      <c r="P596" s="45"/>
      <c r="Q596" s="23">
        <v>44225</v>
      </c>
      <c r="R596" s="9">
        <v>306</v>
      </c>
      <c r="S596" s="108">
        <v>10000</v>
      </c>
      <c r="U596" s="40">
        <f t="shared" si="12"/>
        <v>12192207.09</v>
      </c>
      <c r="Y596" s="65"/>
      <c r="Z596" s="35"/>
      <c r="AA596" s="34"/>
    </row>
    <row r="597" spans="1:27" ht="15.75" x14ac:dyDescent="0.25">
      <c r="A597" s="6">
        <v>1630</v>
      </c>
      <c r="B597" s="6" t="s">
        <v>974</v>
      </c>
      <c r="C597" s="6" t="s">
        <v>975</v>
      </c>
      <c r="D597" s="21">
        <v>44026</v>
      </c>
      <c r="E597" s="7" t="s">
        <v>32</v>
      </c>
      <c r="F597" s="7">
        <v>1607</v>
      </c>
      <c r="G597" s="7">
        <v>553</v>
      </c>
      <c r="H597" s="7">
        <v>12</v>
      </c>
      <c r="I597" s="10" t="s">
        <v>30</v>
      </c>
      <c r="J597" s="9">
        <v>3000</v>
      </c>
      <c r="K597" s="43"/>
      <c r="L597" s="44"/>
      <c r="M597" s="18"/>
      <c r="N597" s="45"/>
      <c r="O597" s="45"/>
      <c r="P597" s="45"/>
      <c r="Q597" s="23">
        <v>45161</v>
      </c>
      <c r="R597" s="9">
        <v>11125</v>
      </c>
      <c r="S597" s="108">
        <v>3000</v>
      </c>
      <c r="U597" s="40">
        <f t="shared" si="12"/>
        <v>12195207.09</v>
      </c>
      <c r="Y597" s="65"/>
      <c r="Z597" s="35"/>
      <c r="AA597" s="34"/>
    </row>
    <row r="598" spans="1:27" ht="15.75" x14ac:dyDescent="0.25">
      <c r="A598" s="6">
        <v>1330</v>
      </c>
      <c r="B598" s="6" t="s">
        <v>976</v>
      </c>
      <c r="C598" s="6" t="s">
        <v>977</v>
      </c>
      <c r="D598" s="21">
        <v>44029</v>
      </c>
      <c r="E598" s="7" t="s">
        <v>32</v>
      </c>
      <c r="F598" s="7">
        <v>1613</v>
      </c>
      <c r="G598" s="7">
        <v>554</v>
      </c>
      <c r="H598" s="7">
        <v>6</v>
      </c>
      <c r="I598" s="10" t="s">
        <v>30</v>
      </c>
      <c r="J598" s="9">
        <v>5000</v>
      </c>
      <c r="K598" s="43"/>
      <c r="L598" s="44"/>
      <c r="M598" s="18"/>
      <c r="N598" s="45"/>
      <c r="O598" s="45"/>
      <c r="P598" s="45"/>
      <c r="Q598" s="23">
        <v>44214</v>
      </c>
      <c r="R598" s="9">
        <v>158</v>
      </c>
      <c r="S598" s="108">
        <v>5000</v>
      </c>
      <c r="U598" s="40">
        <f t="shared" si="12"/>
        <v>12200207.09</v>
      </c>
      <c r="Y598" s="65"/>
      <c r="Z598" s="35"/>
      <c r="AA598" s="34"/>
    </row>
    <row r="599" spans="1:27" ht="15.75" x14ac:dyDescent="0.25">
      <c r="A599" s="6">
        <v>996</v>
      </c>
      <c r="B599" s="6" t="s">
        <v>978</v>
      </c>
      <c r="C599" s="6" t="s">
        <v>979</v>
      </c>
      <c r="D599" s="21">
        <v>44032</v>
      </c>
      <c r="E599" s="7" t="s">
        <v>32</v>
      </c>
      <c r="F599" s="7">
        <v>1622</v>
      </c>
      <c r="G599" s="7">
        <v>555</v>
      </c>
      <c r="H599" s="7">
        <v>12</v>
      </c>
      <c r="I599" s="10" t="s">
        <v>30</v>
      </c>
      <c r="J599" s="9">
        <v>28762.75</v>
      </c>
      <c r="K599" s="43"/>
      <c r="L599" s="44"/>
      <c r="M599" s="18"/>
      <c r="N599" s="45"/>
      <c r="O599" s="45"/>
      <c r="P599" s="45"/>
      <c r="Q599" s="23">
        <v>44397</v>
      </c>
      <c r="R599" s="9">
        <v>1739</v>
      </c>
      <c r="S599" s="108">
        <v>28762.75</v>
      </c>
      <c r="U599" s="40">
        <f t="shared" si="12"/>
        <v>12228969.84</v>
      </c>
      <c r="Y599" s="65"/>
      <c r="Z599" s="35"/>
      <c r="AA599" s="34"/>
    </row>
    <row r="600" spans="1:27" ht="15.75" x14ac:dyDescent="0.25">
      <c r="A600" s="6">
        <v>815</v>
      </c>
      <c r="B600" s="6" t="s">
        <v>756</v>
      </c>
      <c r="C600" s="6" t="s">
        <v>28</v>
      </c>
      <c r="D600" s="21">
        <v>44032</v>
      </c>
      <c r="E600" s="7" t="s">
        <v>32</v>
      </c>
      <c r="F600" s="7">
        <v>1625</v>
      </c>
      <c r="G600" s="7">
        <v>556</v>
      </c>
      <c r="H600" s="7">
        <v>6</v>
      </c>
      <c r="I600" s="10" t="s">
        <v>30</v>
      </c>
      <c r="J600" s="9">
        <v>52925</v>
      </c>
      <c r="K600" s="43"/>
      <c r="L600" s="44"/>
      <c r="M600" s="18"/>
      <c r="N600" s="45"/>
      <c r="O600" s="45"/>
      <c r="P600" s="45"/>
      <c r="Q600" s="23">
        <v>44217</v>
      </c>
      <c r="R600" s="9">
        <v>498</v>
      </c>
      <c r="S600" s="108">
        <v>52925</v>
      </c>
      <c r="U600" s="40">
        <f t="shared" si="12"/>
        <v>12281894.84</v>
      </c>
      <c r="Y600" s="65"/>
      <c r="Z600" s="35"/>
      <c r="AA600" s="34"/>
    </row>
    <row r="601" spans="1:27" ht="15.75" x14ac:dyDescent="0.25">
      <c r="A601" s="6">
        <v>989</v>
      </c>
      <c r="B601" s="6" t="s">
        <v>980</v>
      </c>
      <c r="C601" s="6" t="s">
        <v>28</v>
      </c>
      <c r="D601" s="21">
        <v>44033</v>
      </c>
      <c r="E601" s="7" t="s">
        <v>32</v>
      </c>
      <c r="F601" s="7">
        <v>1666</v>
      </c>
      <c r="G601" s="7">
        <v>557</v>
      </c>
      <c r="H601" s="7">
        <v>12</v>
      </c>
      <c r="I601" s="10" t="s">
        <v>30</v>
      </c>
      <c r="J601" s="9">
        <v>62000</v>
      </c>
      <c r="K601" s="43"/>
      <c r="L601" s="44"/>
      <c r="M601" s="18"/>
      <c r="N601" s="45"/>
      <c r="O601" s="45"/>
      <c r="P601" s="45"/>
      <c r="Q601" s="23">
        <v>44398</v>
      </c>
      <c r="R601" s="9">
        <v>1753</v>
      </c>
      <c r="S601" s="108">
        <v>62000</v>
      </c>
      <c r="U601" s="40">
        <f t="shared" si="12"/>
        <v>12343894.84</v>
      </c>
      <c r="Y601" s="65"/>
      <c r="Z601" s="35"/>
      <c r="AA601" s="34"/>
    </row>
    <row r="602" spans="1:27" ht="15.75" x14ac:dyDescent="0.25">
      <c r="A602" s="6">
        <v>1635</v>
      </c>
      <c r="B602" s="6" t="s">
        <v>981</v>
      </c>
      <c r="C602" s="6" t="s">
        <v>982</v>
      </c>
      <c r="D602" s="21">
        <v>44033</v>
      </c>
      <c r="E602" s="7" t="s">
        <v>32</v>
      </c>
      <c r="F602" s="7">
        <v>1684</v>
      </c>
      <c r="G602" s="7">
        <v>558</v>
      </c>
      <c r="H602" s="7">
        <v>12</v>
      </c>
      <c r="I602" s="10" t="s">
        <v>30</v>
      </c>
      <c r="J602" s="9">
        <v>10000</v>
      </c>
      <c r="K602" s="43"/>
      <c r="L602" s="44"/>
      <c r="M602" s="18"/>
      <c r="N602" s="45"/>
      <c r="O602" s="45"/>
      <c r="P602" s="45"/>
      <c r="Q602" s="23">
        <v>44398</v>
      </c>
      <c r="R602" s="9">
        <v>2779</v>
      </c>
      <c r="S602" s="108">
        <v>10000</v>
      </c>
      <c r="U602" s="40">
        <f t="shared" si="12"/>
        <v>12353894.84</v>
      </c>
      <c r="Y602" s="65"/>
      <c r="Z602" s="35"/>
      <c r="AA602" s="34"/>
    </row>
    <row r="603" spans="1:27" ht="15.75" x14ac:dyDescent="0.25">
      <c r="A603" s="6">
        <v>1639</v>
      </c>
      <c r="B603" s="6" t="s">
        <v>983</v>
      </c>
      <c r="C603" s="6" t="s">
        <v>28</v>
      </c>
      <c r="D603" s="21">
        <v>44034</v>
      </c>
      <c r="E603" s="7" t="s">
        <v>32</v>
      </c>
      <c r="F603" s="7">
        <v>1710</v>
      </c>
      <c r="G603" s="7">
        <v>559</v>
      </c>
      <c r="H603" s="7">
        <v>12</v>
      </c>
      <c r="I603" s="10" t="s">
        <v>30</v>
      </c>
      <c r="J603" s="9">
        <v>20000</v>
      </c>
      <c r="K603" s="43"/>
      <c r="L603" s="44"/>
      <c r="M603" s="18"/>
      <c r="N603" s="45"/>
      <c r="O603" s="45"/>
      <c r="P603" s="45"/>
      <c r="Q603" s="23">
        <v>44399</v>
      </c>
      <c r="R603" s="9">
        <v>2784</v>
      </c>
      <c r="S603" s="108">
        <v>20000</v>
      </c>
      <c r="U603" s="40">
        <f t="shared" si="12"/>
        <v>12373894.84</v>
      </c>
      <c r="Y603" s="65"/>
      <c r="Z603" s="35"/>
      <c r="AA603" s="34"/>
    </row>
    <row r="604" spans="1:27" ht="15.75" x14ac:dyDescent="0.25">
      <c r="A604" s="6">
        <v>1577</v>
      </c>
      <c r="B604" s="6" t="s">
        <v>984</v>
      </c>
      <c r="C604" s="6" t="s">
        <v>985</v>
      </c>
      <c r="D604" s="21">
        <v>44035</v>
      </c>
      <c r="E604" s="7" t="s">
        <v>32</v>
      </c>
      <c r="F604" s="7">
        <v>1725</v>
      </c>
      <c r="G604" s="7">
        <v>560</v>
      </c>
      <c r="H604" s="7">
        <v>12</v>
      </c>
      <c r="I604" s="10" t="s">
        <v>30</v>
      </c>
      <c r="J604" s="9">
        <v>2100</v>
      </c>
      <c r="K604" s="43"/>
      <c r="L604" s="44"/>
      <c r="M604" s="18"/>
      <c r="N604" s="45"/>
      <c r="O604" s="45"/>
      <c r="P604" s="45"/>
      <c r="Q604" s="23">
        <v>44400</v>
      </c>
      <c r="R604" s="9">
        <v>2813</v>
      </c>
      <c r="S604" s="108">
        <v>2100</v>
      </c>
      <c r="U604" s="40">
        <f t="shared" si="12"/>
        <v>12375994.84</v>
      </c>
      <c r="Y604" s="65"/>
      <c r="Z604" s="35"/>
      <c r="AA604" s="34"/>
    </row>
    <row r="605" spans="1:27" ht="15.75" x14ac:dyDescent="0.25">
      <c r="A605" s="6">
        <v>302</v>
      </c>
      <c r="B605" s="6" t="s">
        <v>986</v>
      </c>
      <c r="C605" s="6" t="s">
        <v>987</v>
      </c>
      <c r="D605" s="21">
        <v>44035</v>
      </c>
      <c r="E605" s="7" t="s">
        <v>32</v>
      </c>
      <c r="F605" s="7">
        <v>1741</v>
      </c>
      <c r="G605" s="7">
        <v>561</v>
      </c>
      <c r="H605" s="7">
        <v>12</v>
      </c>
      <c r="I605" s="10" t="s">
        <v>30</v>
      </c>
      <c r="J605" s="9">
        <v>13000</v>
      </c>
      <c r="K605" s="43"/>
      <c r="L605" s="44"/>
      <c r="M605" s="18"/>
      <c r="N605" s="45"/>
      <c r="O605" s="45"/>
      <c r="P605" s="45"/>
      <c r="Q605" s="23">
        <v>44400</v>
      </c>
      <c r="R605" s="9">
        <v>2814</v>
      </c>
      <c r="S605" s="108">
        <v>13000</v>
      </c>
      <c r="U605" s="40">
        <f t="shared" si="12"/>
        <v>12388994.84</v>
      </c>
      <c r="Y605" s="65"/>
      <c r="Z605" s="35"/>
      <c r="AA605" s="34"/>
    </row>
    <row r="606" spans="1:27" ht="15.75" x14ac:dyDescent="0.25">
      <c r="A606" s="6">
        <v>997</v>
      </c>
      <c r="B606" s="6" t="s">
        <v>988</v>
      </c>
      <c r="C606" s="6" t="s">
        <v>989</v>
      </c>
      <c r="D606" s="21">
        <v>44036</v>
      </c>
      <c r="E606" s="7" t="s">
        <v>32</v>
      </c>
      <c r="F606" s="7">
        <v>1745</v>
      </c>
      <c r="G606" s="7">
        <v>562</v>
      </c>
      <c r="H606" s="7">
        <v>12</v>
      </c>
      <c r="I606" s="10" t="s">
        <v>30</v>
      </c>
      <c r="J606" s="9">
        <v>44600</v>
      </c>
      <c r="K606" s="43"/>
      <c r="L606" s="44"/>
      <c r="M606" s="18"/>
      <c r="N606" s="45"/>
      <c r="O606" s="45"/>
      <c r="P606" s="45"/>
      <c r="Q606" s="23">
        <v>44421</v>
      </c>
      <c r="R606" s="9">
        <v>1939</v>
      </c>
      <c r="S606" s="108">
        <v>44600</v>
      </c>
      <c r="U606" s="40">
        <f t="shared" si="12"/>
        <v>12433594.84</v>
      </c>
      <c r="Y606" s="65"/>
      <c r="Z606" s="35"/>
      <c r="AA606" s="34"/>
    </row>
    <row r="607" spans="1:27" ht="15.75" x14ac:dyDescent="0.25">
      <c r="A607" s="6">
        <v>1645</v>
      </c>
      <c r="B607" s="6" t="s">
        <v>990</v>
      </c>
      <c r="C607" s="6" t="s">
        <v>991</v>
      </c>
      <c r="D607" s="21">
        <v>44036</v>
      </c>
      <c r="E607" s="7" t="s">
        <v>32</v>
      </c>
      <c r="F607" s="7">
        <v>1757</v>
      </c>
      <c r="G607" s="7">
        <v>563</v>
      </c>
      <c r="H607" s="7">
        <v>6</v>
      </c>
      <c r="I607" s="10" t="s">
        <v>30</v>
      </c>
      <c r="J607" s="9">
        <v>6000</v>
      </c>
      <c r="K607" s="43"/>
      <c r="L607" s="44"/>
      <c r="M607" s="18"/>
      <c r="N607" s="45"/>
      <c r="O607" s="45"/>
      <c r="P607" s="45"/>
      <c r="Q607" s="23">
        <v>44221</v>
      </c>
      <c r="R607" s="9">
        <v>203</v>
      </c>
      <c r="S607" s="108">
        <v>6000</v>
      </c>
      <c r="U607" s="40">
        <f t="shared" si="12"/>
        <v>12439594.84</v>
      </c>
      <c r="Y607" s="65"/>
      <c r="Z607" s="35"/>
      <c r="AA607" s="34"/>
    </row>
    <row r="608" spans="1:27" ht="15.75" x14ac:dyDescent="0.25">
      <c r="A608" s="6">
        <v>1646</v>
      </c>
      <c r="B608" s="6" t="s">
        <v>992</v>
      </c>
      <c r="C608" s="6" t="s">
        <v>993</v>
      </c>
      <c r="D608" s="21">
        <v>44036</v>
      </c>
      <c r="E608" s="7" t="s">
        <v>32</v>
      </c>
      <c r="F608" s="7">
        <v>1768</v>
      </c>
      <c r="G608" s="7">
        <v>564</v>
      </c>
      <c r="H608" s="7">
        <v>6</v>
      </c>
      <c r="I608" s="10" t="s">
        <v>30</v>
      </c>
      <c r="J608" s="9">
        <v>50000</v>
      </c>
      <c r="K608" s="43"/>
      <c r="L608" s="44"/>
      <c r="M608" s="18"/>
      <c r="N608" s="45"/>
      <c r="O608" s="45"/>
      <c r="P608" s="45"/>
      <c r="Q608" s="23">
        <v>44221</v>
      </c>
      <c r="R608" s="9">
        <v>567</v>
      </c>
      <c r="S608" s="108">
        <v>50000</v>
      </c>
      <c r="U608" s="40">
        <f t="shared" si="12"/>
        <v>12489594.84</v>
      </c>
      <c r="Y608" s="65"/>
      <c r="Z608" s="35"/>
      <c r="AA608" s="34"/>
    </row>
    <row r="609" spans="1:27" ht="15.75" x14ac:dyDescent="0.25">
      <c r="A609" s="6">
        <v>881</v>
      </c>
      <c r="B609" s="6" t="s">
        <v>994</v>
      </c>
      <c r="C609" s="6" t="s">
        <v>995</v>
      </c>
      <c r="D609" s="21">
        <v>44036</v>
      </c>
      <c r="E609" s="7" t="s">
        <v>32</v>
      </c>
      <c r="F609" s="7">
        <v>1776</v>
      </c>
      <c r="G609" s="7">
        <v>565</v>
      </c>
      <c r="H609" s="7">
        <v>12</v>
      </c>
      <c r="I609" s="10" t="s">
        <v>30</v>
      </c>
      <c r="J609" s="9">
        <v>40000</v>
      </c>
      <c r="K609" s="43"/>
      <c r="L609" s="44"/>
      <c r="M609" s="18"/>
      <c r="N609" s="45"/>
      <c r="O609" s="45"/>
      <c r="P609" s="45"/>
      <c r="Q609" s="23">
        <v>44414</v>
      </c>
      <c r="R609" s="9">
        <v>2994</v>
      </c>
      <c r="S609" s="108">
        <v>40000</v>
      </c>
      <c r="U609" s="40">
        <f t="shared" si="12"/>
        <v>12529594.84</v>
      </c>
      <c r="Y609" s="65"/>
      <c r="Z609" s="35"/>
      <c r="AA609" s="34"/>
    </row>
    <row r="610" spans="1:27" ht="15.75" x14ac:dyDescent="0.25">
      <c r="A610" s="6">
        <v>880</v>
      </c>
      <c r="B610" s="6" t="s">
        <v>996</v>
      </c>
      <c r="C610" s="6" t="s">
        <v>995</v>
      </c>
      <c r="D610" s="21">
        <v>44036</v>
      </c>
      <c r="E610" s="7" t="s">
        <v>32</v>
      </c>
      <c r="F610" s="7">
        <v>1777</v>
      </c>
      <c r="G610" s="7">
        <v>566</v>
      </c>
      <c r="H610" s="7">
        <v>6</v>
      </c>
      <c r="I610" s="10" t="s">
        <v>30</v>
      </c>
      <c r="J610" s="9">
        <v>100000</v>
      </c>
      <c r="K610" s="43"/>
      <c r="L610" s="44"/>
      <c r="M610" s="18"/>
      <c r="N610" s="45"/>
      <c r="O610" s="45"/>
      <c r="P610" s="45"/>
      <c r="Q610" s="23">
        <v>44228</v>
      </c>
      <c r="R610" s="9">
        <v>615</v>
      </c>
      <c r="S610" s="108">
        <v>100000</v>
      </c>
      <c r="U610" s="40">
        <f t="shared" si="12"/>
        <v>12629594.84</v>
      </c>
      <c r="Y610" s="65"/>
      <c r="Z610" s="35"/>
      <c r="AA610" s="34"/>
    </row>
    <row r="611" spans="1:27" ht="15.75" x14ac:dyDescent="0.25">
      <c r="A611" s="6">
        <v>1648</v>
      </c>
      <c r="B611" s="6" t="s">
        <v>997</v>
      </c>
      <c r="C611" s="6" t="s">
        <v>998</v>
      </c>
      <c r="D611" s="21">
        <v>44039</v>
      </c>
      <c r="E611" s="7" t="s">
        <v>32</v>
      </c>
      <c r="F611" s="7">
        <v>1795</v>
      </c>
      <c r="G611" s="7">
        <v>567</v>
      </c>
      <c r="H611" s="7">
        <v>6</v>
      </c>
      <c r="I611" s="10" t="s">
        <v>30</v>
      </c>
      <c r="J611" s="9">
        <v>14000</v>
      </c>
      <c r="K611" s="43"/>
      <c r="L611" s="44"/>
      <c r="M611" s="18"/>
      <c r="N611" s="45"/>
      <c r="O611" s="45"/>
      <c r="P611" s="45"/>
      <c r="Q611" s="23">
        <v>44225</v>
      </c>
      <c r="R611" s="9">
        <v>275</v>
      </c>
      <c r="S611" s="108">
        <v>14000</v>
      </c>
      <c r="U611" s="40">
        <f t="shared" si="12"/>
        <v>12643594.84</v>
      </c>
      <c r="Y611" s="65"/>
      <c r="Z611" s="35"/>
      <c r="AA611" s="34"/>
    </row>
    <row r="612" spans="1:27" ht="15.75" x14ac:dyDescent="0.25">
      <c r="A612" s="6">
        <v>568</v>
      </c>
      <c r="B612" s="6" t="s">
        <v>999</v>
      </c>
      <c r="C612" s="6" t="s">
        <v>479</v>
      </c>
      <c r="D612" s="21">
        <v>44039</v>
      </c>
      <c r="E612" s="7" t="s">
        <v>32</v>
      </c>
      <c r="F612" s="7">
        <v>1797</v>
      </c>
      <c r="G612" s="7">
        <v>568</v>
      </c>
      <c r="H612" s="7">
        <v>12</v>
      </c>
      <c r="I612" s="10" t="s">
        <v>30</v>
      </c>
      <c r="J612" s="9">
        <v>22300</v>
      </c>
      <c r="K612" s="43"/>
      <c r="L612" s="44"/>
      <c r="M612" s="18"/>
      <c r="N612" s="45"/>
      <c r="O612" s="45"/>
      <c r="P612" s="45"/>
      <c r="Q612" s="23">
        <v>44405</v>
      </c>
      <c r="R612" s="9">
        <v>2875</v>
      </c>
      <c r="S612" s="108">
        <v>22300</v>
      </c>
      <c r="U612" s="40">
        <f t="shared" si="12"/>
        <v>12665894.84</v>
      </c>
      <c r="Y612" s="65"/>
      <c r="Z612" s="35"/>
      <c r="AA612" s="34"/>
    </row>
    <row r="613" spans="1:27" ht="15.75" x14ac:dyDescent="0.25">
      <c r="A613" s="6">
        <v>1217</v>
      </c>
      <c r="B613" s="6" t="s">
        <v>1000</v>
      </c>
      <c r="C613" s="6" t="s">
        <v>1001</v>
      </c>
      <c r="D613" s="21">
        <v>44041</v>
      </c>
      <c r="E613" s="7" t="s">
        <v>32</v>
      </c>
      <c r="F613" s="7">
        <v>1849</v>
      </c>
      <c r="G613" s="7">
        <v>569</v>
      </c>
      <c r="H613" s="7">
        <v>6</v>
      </c>
      <c r="I613" s="10" t="s">
        <v>30</v>
      </c>
      <c r="J613" s="9">
        <v>5000</v>
      </c>
      <c r="K613" s="43"/>
      <c r="L613" s="44"/>
      <c r="M613" s="18"/>
      <c r="N613" s="45"/>
      <c r="O613" s="45"/>
      <c r="P613" s="45"/>
      <c r="Q613" s="23">
        <v>44225</v>
      </c>
      <c r="R613" s="9">
        <v>296</v>
      </c>
      <c r="S613" s="108">
        <v>5000</v>
      </c>
      <c r="U613" s="40">
        <f t="shared" si="12"/>
        <v>12670894.84</v>
      </c>
      <c r="Y613" s="65"/>
      <c r="Z613" s="35"/>
      <c r="AA613" s="34"/>
    </row>
    <row r="614" spans="1:27" ht="15.75" x14ac:dyDescent="0.25">
      <c r="A614" s="6">
        <v>311</v>
      </c>
      <c r="B614" s="6" t="s">
        <v>1002</v>
      </c>
      <c r="C614" s="6" t="s">
        <v>1003</v>
      </c>
      <c r="D614" s="21">
        <v>44041</v>
      </c>
      <c r="E614" s="7" t="s">
        <v>32</v>
      </c>
      <c r="F614" s="7">
        <v>1852</v>
      </c>
      <c r="G614" s="7">
        <v>570</v>
      </c>
      <c r="H614" s="7">
        <v>12</v>
      </c>
      <c r="I614" s="10" t="s">
        <v>30</v>
      </c>
      <c r="J614" s="9">
        <v>200000</v>
      </c>
      <c r="K614" s="43"/>
      <c r="L614" s="44"/>
      <c r="M614" s="18"/>
      <c r="N614" s="45"/>
      <c r="O614" s="45"/>
      <c r="P614" s="45"/>
      <c r="Q614" s="23">
        <v>44411</v>
      </c>
      <c r="R614" s="9">
        <v>1876</v>
      </c>
      <c r="S614" s="108">
        <v>200000</v>
      </c>
      <c r="U614" s="40">
        <f t="shared" si="12"/>
        <v>12870894.84</v>
      </c>
      <c r="Y614" s="65"/>
      <c r="Z614" s="35"/>
      <c r="AA614" s="34"/>
    </row>
    <row r="615" spans="1:27" ht="15.75" x14ac:dyDescent="0.25">
      <c r="A615" s="6">
        <v>374</v>
      </c>
      <c r="B615" s="6" t="s">
        <v>1004</v>
      </c>
      <c r="C615" s="6" t="s">
        <v>1005</v>
      </c>
      <c r="D615" s="21">
        <v>44042</v>
      </c>
      <c r="E615" s="7" t="s">
        <v>32</v>
      </c>
      <c r="F615" s="7">
        <v>1858</v>
      </c>
      <c r="G615" s="7">
        <v>571</v>
      </c>
      <c r="H615" s="7">
        <v>6</v>
      </c>
      <c r="I615" s="10" t="s">
        <v>30</v>
      </c>
      <c r="J615" s="9">
        <v>21000</v>
      </c>
      <c r="K615" s="43"/>
      <c r="L615" s="44"/>
      <c r="M615" s="18"/>
      <c r="N615" s="45"/>
      <c r="O615" s="45"/>
      <c r="P615" s="45"/>
      <c r="Q615" s="23">
        <v>44228</v>
      </c>
      <c r="R615" s="9">
        <v>313</v>
      </c>
      <c r="S615" s="108">
        <v>21000</v>
      </c>
      <c r="U615" s="40">
        <f t="shared" ref="U615:U677" si="13">U614+S615-T615</f>
        <v>12891894.84</v>
      </c>
      <c r="Y615" s="65"/>
      <c r="Z615" s="35"/>
      <c r="AA615" s="34"/>
    </row>
    <row r="616" spans="1:27" ht="15.75" x14ac:dyDescent="0.25">
      <c r="A616" s="6">
        <v>1649</v>
      </c>
      <c r="B616" s="6" t="s">
        <v>1006</v>
      </c>
      <c r="C616" s="21" t="s">
        <v>1007</v>
      </c>
      <c r="D616" s="21">
        <v>44043</v>
      </c>
      <c r="E616" s="7" t="s">
        <v>32</v>
      </c>
      <c r="F616" s="7">
        <v>1896</v>
      </c>
      <c r="G616" s="7">
        <v>572</v>
      </c>
      <c r="H616" s="7">
        <v>12</v>
      </c>
      <c r="I616" s="10" t="s">
        <v>30</v>
      </c>
      <c r="J616" s="9">
        <v>25000</v>
      </c>
      <c r="K616" s="43"/>
      <c r="L616" s="44"/>
      <c r="M616" s="18"/>
      <c r="N616" s="45"/>
      <c r="O616" s="45"/>
      <c r="P616" s="45"/>
      <c r="Q616" s="23">
        <v>44413</v>
      </c>
      <c r="R616" s="9">
        <v>2972</v>
      </c>
      <c r="S616" s="108">
        <v>25000</v>
      </c>
      <c r="U616" s="40">
        <f t="shared" si="13"/>
        <v>12916894.84</v>
      </c>
      <c r="Y616" s="65"/>
      <c r="Z616" s="35"/>
      <c r="AA616" s="34"/>
    </row>
    <row r="617" spans="1:27" ht="15.75" x14ac:dyDescent="0.25">
      <c r="A617" s="6">
        <v>738</v>
      </c>
      <c r="B617" s="6" t="s">
        <v>345</v>
      </c>
      <c r="D617" s="21"/>
      <c r="G617" s="7">
        <v>573</v>
      </c>
      <c r="H617" s="7"/>
      <c r="K617" s="43"/>
      <c r="L617" s="44"/>
      <c r="M617" s="18"/>
      <c r="N617" s="45"/>
      <c r="O617" s="45"/>
      <c r="P617" s="45"/>
      <c r="U617" s="40">
        <f t="shared" si="13"/>
        <v>12916894.84</v>
      </c>
      <c r="Y617" s="65"/>
      <c r="Z617" s="35"/>
      <c r="AA617" s="34"/>
    </row>
    <row r="618" spans="1:27" ht="15.75" x14ac:dyDescent="0.25">
      <c r="A618" s="6">
        <v>738</v>
      </c>
      <c r="B618" s="6" t="s">
        <v>1008</v>
      </c>
      <c r="C618" s="6" t="s">
        <v>493</v>
      </c>
      <c r="D618" s="21">
        <v>44043</v>
      </c>
      <c r="E618" s="7" t="s">
        <v>32</v>
      </c>
      <c r="F618" s="7">
        <v>1900</v>
      </c>
      <c r="G618" s="7">
        <v>574</v>
      </c>
      <c r="H618" s="7">
        <v>12</v>
      </c>
      <c r="I618" s="10" t="s">
        <v>30</v>
      </c>
      <c r="J618" s="9">
        <v>51000</v>
      </c>
      <c r="K618" s="43"/>
      <c r="L618" s="44"/>
      <c r="M618" s="18"/>
      <c r="N618" s="45"/>
      <c r="O618" s="45"/>
      <c r="P618" s="45"/>
      <c r="Q618" s="23">
        <v>44410</v>
      </c>
      <c r="R618" s="9">
        <v>2919</v>
      </c>
      <c r="S618" s="108">
        <v>51000</v>
      </c>
      <c r="U618" s="40">
        <f t="shared" si="13"/>
        <v>12967894.84</v>
      </c>
      <c r="Y618" s="65"/>
      <c r="Z618" s="35"/>
      <c r="AA618" s="34"/>
    </row>
    <row r="619" spans="1:27" ht="15.75" x14ac:dyDescent="0.25">
      <c r="A619" s="6">
        <v>1012</v>
      </c>
      <c r="B619" s="6" t="s">
        <v>1009</v>
      </c>
      <c r="C619" s="6" t="s">
        <v>501</v>
      </c>
      <c r="D619" s="21">
        <v>44046</v>
      </c>
      <c r="E619" s="7" t="s">
        <v>32</v>
      </c>
      <c r="F619" s="7">
        <v>1920</v>
      </c>
      <c r="G619" s="7">
        <v>575</v>
      </c>
      <c r="H619" s="7">
        <v>6</v>
      </c>
      <c r="I619" s="10" t="s">
        <v>30</v>
      </c>
      <c r="J619" s="9">
        <v>10000</v>
      </c>
      <c r="K619" s="43"/>
      <c r="L619" s="44"/>
      <c r="M619" s="18"/>
      <c r="N619" s="45"/>
      <c r="O619" s="45"/>
      <c r="P619" s="45"/>
      <c r="Q619" s="23">
        <v>44230</v>
      </c>
      <c r="R619" s="9">
        <v>637</v>
      </c>
      <c r="S619" s="108">
        <v>10000</v>
      </c>
      <c r="U619" s="40">
        <f t="shared" si="13"/>
        <v>12977894.84</v>
      </c>
      <c r="Y619" s="65"/>
      <c r="Z619" s="35"/>
      <c r="AA619" s="34"/>
    </row>
    <row r="620" spans="1:27" ht="15.75" x14ac:dyDescent="0.25">
      <c r="A620" s="6">
        <v>971</v>
      </c>
      <c r="B620" s="6" t="s">
        <v>1010</v>
      </c>
      <c r="C620" s="6" t="s">
        <v>1011</v>
      </c>
      <c r="D620" s="21">
        <v>44046</v>
      </c>
      <c r="E620" s="7" t="s">
        <v>32</v>
      </c>
      <c r="F620" s="7">
        <v>1928</v>
      </c>
      <c r="G620" s="7">
        <v>576</v>
      </c>
      <c r="H620" s="7">
        <v>12</v>
      </c>
      <c r="I620" s="10" t="s">
        <v>30</v>
      </c>
      <c r="J620" s="9">
        <v>1000</v>
      </c>
      <c r="K620" s="43"/>
      <c r="L620" s="44"/>
      <c r="M620" s="18"/>
      <c r="N620" s="45"/>
      <c r="O620" s="45"/>
      <c r="P620" s="45"/>
      <c r="Q620" s="23">
        <v>44411</v>
      </c>
      <c r="R620" s="9">
        <v>3138</v>
      </c>
      <c r="S620" s="108">
        <v>1000</v>
      </c>
      <c r="U620" s="40">
        <f t="shared" si="13"/>
        <v>12978894.84</v>
      </c>
      <c r="Y620" s="65"/>
      <c r="Z620" s="35"/>
      <c r="AA620" s="34"/>
    </row>
    <row r="621" spans="1:27" ht="15.75" x14ac:dyDescent="0.25">
      <c r="A621" s="6">
        <v>317</v>
      </c>
      <c r="B621" s="6" t="s">
        <v>1012</v>
      </c>
      <c r="C621" s="6" t="s">
        <v>1013</v>
      </c>
      <c r="D621" s="21">
        <v>44046</v>
      </c>
      <c r="E621" s="7" t="s">
        <v>32</v>
      </c>
      <c r="F621" s="7">
        <v>1936</v>
      </c>
      <c r="G621" s="7">
        <v>577</v>
      </c>
      <c r="H621" s="7">
        <v>12</v>
      </c>
      <c r="I621" s="10" t="s">
        <v>30</v>
      </c>
      <c r="J621" s="9">
        <v>40000</v>
      </c>
      <c r="K621" s="43"/>
      <c r="L621" s="44"/>
      <c r="M621" s="18"/>
      <c r="N621" s="45"/>
      <c r="O621" s="45"/>
      <c r="P621" s="45"/>
      <c r="Q621" s="23">
        <v>44411</v>
      </c>
      <c r="R621" s="9">
        <v>2930</v>
      </c>
      <c r="S621" s="108">
        <v>40000</v>
      </c>
      <c r="U621" s="40">
        <f t="shared" si="13"/>
        <v>13018894.84</v>
      </c>
      <c r="Y621" s="65"/>
      <c r="Z621" s="35"/>
      <c r="AA621" s="34"/>
    </row>
    <row r="622" spans="1:27" ht="15.75" x14ac:dyDescent="0.25">
      <c r="A622" s="6">
        <v>519</v>
      </c>
      <c r="B622" s="6" t="s">
        <v>1014</v>
      </c>
      <c r="C622" s="6" t="s">
        <v>1015</v>
      </c>
      <c r="D622" s="21">
        <v>44048</v>
      </c>
      <c r="E622" s="7" t="s">
        <v>32</v>
      </c>
      <c r="F622" s="7">
        <v>2003</v>
      </c>
      <c r="G622" s="7">
        <v>578</v>
      </c>
      <c r="H622" s="7">
        <v>12</v>
      </c>
      <c r="I622" s="10" t="s">
        <v>30</v>
      </c>
      <c r="J622" s="9">
        <v>2000</v>
      </c>
      <c r="K622" s="43"/>
      <c r="L622" s="44"/>
      <c r="M622" s="18"/>
      <c r="N622" s="45"/>
      <c r="O622" s="45"/>
      <c r="P622" s="45"/>
      <c r="Q622" s="23">
        <v>44413</v>
      </c>
      <c r="R622" s="9">
        <v>1888</v>
      </c>
      <c r="S622" s="108">
        <v>2000</v>
      </c>
      <c r="U622" s="40">
        <f t="shared" si="13"/>
        <v>13020894.84</v>
      </c>
      <c r="Y622" s="65"/>
      <c r="Z622" s="35"/>
      <c r="AA622" s="34"/>
    </row>
    <row r="623" spans="1:27" ht="15.75" x14ac:dyDescent="0.25">
      <c r="A623" s="6">
        <v>858</v>
      </c>
      <c r="B623" s="6" t="s">
        <v>29</v>
      </c>
      <c r="C623" s="6" t="s">
        <v>28</v>
      </c>
      <c r="D623" s="21">
        <v>44050</v>
      </c>
      <c r="E623" s="7" t="s">
        <v>32</v>
      </c>
      <c r="F623" s="7">
        <v>2072</v>
      </c>
      <c r="G623" s="7">
        <v>579</v>
      </c>
      <c r="H623" s="7">
        <v>12</v>
      </c>
      <c r="I623" s="10" t="s">
        <v>30</v>
      </c>
      <c r="J623" s="9">
        <v>100000</v>
      </c>
      <c r="K623" s="43"/>
      <c r="L623" s="44"/>
      <c r="M623" s="18"/>
      <c r="N623" s="45"/>
      <c r="O623" s="45"/>
      <c r="P623" s="45"/>
      <c r="Q623" s="52">
        <v>44415</v>
      </c>
      <c r="R623" s="9">
        <v>247</v>
      </c>
      <c r="S623" s="108">
        <v>100000</v>
      </c>
      <c r="T623" s="93"/>
      <c r="U623" s="40">
        <f t="shared" si="13"/>
        <v>13120894.84</v>
      </c>
      <c r="Y623" s="65"/>
      <c r="Z623" s="35"/>
      <c r="AA623" s="34"/>
    </row>
    <row r="624" spans="1:27" ht="15.75" x14ac:dyDescent="0.25">
      <c r="A624" s="6">
        <v>320</v>
      </c>
      <c r="B624" s="6" t="s">
        <v>1016</v>
      </c>
      <c r="C624" s="6" t="s">
        <v>1017</v>
      </c>
      <c r="D624" s="21">
        <v>44050</v>
      </c>
      <c r="E624" s="7" t="s">
        <v>32</v>
      </c>
      <c r="F624" s="7">
        <v>2080</v>
      </c>
      <c r="G624" s="7">
        <v>580</v>
      </c>
      <c r="H624" s="7">
        <v>12</v>
      </c>
      <c r="I624" s="10" t="s">
        <v>30</v>
      </c>
      <c r="J624" s="9">
        <v>30000</v>
      </c>
      <c r="K624" s="43"/>
      <c r="L624" s="44"/>
      <c r="M624" s="18"/>
      <c r="N624" s="45"/>
      <c r="O624" s="45"/>
      <c r="P624" s="45"/>
      <c r="Q624" s="23">
        <v>44415</v>
      </c>
      <c r="R624" s="9">
        <v>1907</v>
      </c>
      <c r="S624" s="108">
        <v>30000</v>
      </c>
      <c r="U624" s="40">
        <f t="shared" si="13"/>
        <v>13150894.84</v>
      </c>
      <c r="Y624" s="65"/>
      <c r="Z624" s="35"/>
      <c r="AA624" s="34"/>
    </row>
    <row r="625" spans="1:27" ht="15.75" x14ac:dyDescent="0.25">
      <c r="A625" s="6">
        <v>887</v>
      </c>
      <c r="B625" s="6" t="s">
        <v>1018</v>
      </c>
      <c r="C625" s="6" t="s">
        <v>381</v>
      </c>
      <c r="D625" s="21">
        <v>44053</v>
      </c>
      <c r="E625" s="7" t="s">
        <v>32</v>
      </c>
      <c r="F625" s="7">
        <v>2106</v>
      </c>
      <c r="G625" s="7">
        <v>581</v>
      </c>
      <c r="H625" s="7">
        <v>6</v>
      </c>
      <c r="I625" s="10" t="s">
        <v>30</v>
      </c>
      <c r="J625" s="9">
        <v>4000</v>
      </c>
      <c r="K625" s="43"/>
      <c r="L625" s="44"/>
      <c r="M625" s="18"/>
      <c r="N625" s="45"/>
      <c r="O625" s="45"/>
      <c r="P625" s="45"/>
      <c r="Q625" s="23">
        <v>44237</v>
      </c>
      <c r="R625" s="9">
        <v>712</v>
      </c>
      <c r="S625" s="108">
        <v>4000</v>
      </c>
      <c r="U625" s="40">
        <f t="shared" si="13"/>
        <v>13154894.84</v>
      </c>
      <c r="Y625" s="65"/>
      <c r="Z625" s="35"/>
      <c r="AA625" s="34"/>
    </row>
    <row r="626" spans="1:27" ht="15.75" x14ac:dyDescent="0.25">
      <c r="A626" s="6">
        <v>1624</v>
      </c>
      <c r="B626" s="6" t="s">
        <v>1019</v>
      </c>
      <c r="C626" s="6" t="s">
        <v>1020</v>
      </c>
      <c r="D626" s="21">
        <v>44054</v>
      </c>
      <c r="E626" s="7" t="s">
        <v>32</v>
      </c>
      <c r="F626" s="7">
        <v>2142</v>
      </c>
      <c r="G626" s="7">
        <v>582</v>
      </c>
      <c r="H626" s="7">
        <v>6</v>
      </c>
      <c r="I626" s="10" t="s">
        <v>30</v>
      </c>
      <c r="J626" s="9">
        <v>7000</v>
      </c>
      <c r="K626" s="43"/>
      <c r="L626" s="44"/>
      <c r="M626" s="18"/>
      <c r="N626" s="45"/>
      <c r="O626" s="45"/>
      <c r="P626" s="45"/>
      <c r="Q626" s="23">
        <v>44242</v>
      </c>
      <c r="R626" s="9">
        <v>750</v>
      </c>
      <c r="S626" s="108">
        <v>7000</v>
      </c>
      <c r="U626" s="40">
        <f t="shared" si="13"/>
        <v>13161894.84</v>
      </c>
      <c r="Y626" s="65"/>
      <c r="Z626" s="35"/>
      <c r="AA626" s="34"/>
    </row>
    <row r="627" spans="1:27" ht="15.75" x14ac:dyDescent="0.25">
      <c r="A627" s="6">
        <v>1080</v>
      </c>
      <c r="B627" s="6" t="s">
        <v>594</v>
      </c>
      <c r="C627" s="6" t="s">
        <v>595</v>
      </c>
      <c r="D627" s="21">
        <v>44054</v>
      </c>
      <c r="E627" s="7" t="s">
        <v>32</v>
      </c>
      <c r="F627" s="7">
        <v>2145</v>
      </c>
      <c r="G627" s="7">
        <v>583</v>
      </c>
      <c r="H627" s="7">
        <v>12</v>
      </c>
      <c r="I627" s="10" t="s">
        <v>30</v>
      </c>
      <c r="J627" s="9">
        <v>70000</v>
      </c>
      <c r="K627" s="43"/>
      <c r="L627" s="44"/>
      <c r="M627" s="18"/>
      <c r="N627" s="45"/>
      <c r="O627" s="45"/>
      <c r="P627" s="45"/>
      <c r="Q627" s="23">
        <v>44425</v>
      </c>
      <c r="R627" s="9">
        <v>1974</v>
      </c>
      <c r="S627" s="108">
        <v>70000</v>
      </c>
      <c r="U627" s="40">
        <f t="shared" si="13"/>
        <v>13231894.84</v>
      </c>
      <c r="Y627" s="65"/>
      <c r="Z627" s="35"/>
      <c r="AA627" s="34"/>
    </row>
    <row r="628" spans="1:27" ht="15.75" x14ac:dyDescent="0.25">
      <c r="A628" s="6">
        <v>967</v>
      </c>
      <c r="B628" s="6" t="s">
        <v>1021</v>
      </c>
      <c r="C628" s="6" t="s">
        <v>1022</v>
      </c>
      <c r="D628" s="21">
        <v>44054</v>
      </c>
      <c r="E628" s="7" t="s">
        <v>32</v>
      </c>
      <c r="F628" s="7">
        <v>2167</v>
      </c>
      <c r="G628" s="7">
        <v>584</v>
      </c>
      <c r="H628" s="7">
        <v>12</v>
      </c>
      <c r="I628" s="10" t="s">
        <v>30</v>
      </c>
      <c r="J628" s="9">
        <v>2000</v>
      </c>
      <c r="K628" s="43"/>
      <c r="L628" s="44"/>
      <c r="M628" s="18"/>
      <c r="N628" s="45"/>
      <c r="O628" s="45"/>
      <c r="P628" s="45"/>
      <c r="Q628" s="23">
        <v>44419</v>
      </c>
      <c r="R628" s="9">
        <v>3023</v>
      </c>
      <c r="S628" s="108">
        <v>2000</v>
      </c>
      <c r="U628" s="40">
        <f t="shared" si="13"/>
        <v>13233894.84</v>
      </c>
      <c r="Y628" s="65"/>
      <c r="Z628" s="35"/>
      <c r="AA628" s="34"/>
    </row>
    <row r="629" spans="1:27" ht="15.75" x14ac:dyDescent="0.25">
      <c r="A629" s="6">
        <v>1025</v>
      </c>
      <c r="B629" s="6" t="s">
        <v>783</v>
      </c>
      <c r="C629" s="6" t="s">
        <v>1023</v>
      </c>
      <c r="D629" s="21">
        <v>44055</v>
      </c>
      <c r="E629" s="7" t="s">
        <v>32</v>
      </c>
      <c r="F629" s="7">
        <v>2173</v>
      </c>
      <c r="G629" s="7">
        <v>585</v>
      </c>
      <c r="H629" s="7">
        <v>6</v>
      </c>
      <c r="I629" s="10" t="s">
        <v>30</v>
      </c>
      <c r="J629" s="9">
        <v>10000</v>
      </c>
      <c r="K629" s="43"/>
      <c r="L629" s="44"/>
      <c r="M629" s="18"/>
      <c r="N629" s="45"/>
      <c r="O629" s="45"/>
      <c r="P629" s="45"/>
      <c r="Q629" s="23">
        <v>44239</v>
      </c>
      <c r="R629" s="9">
        <v>436</v>
      </c>
      <c r="S629" s="108">
        <v>10000</v>
      </c>
      <c r="U629" s="40">
        <f t="shared" si="13"/>
        <v>13243894.84</v>
      </c>
      <c r="Y629" s="65"/>
      <c r="Z629" s="35"/>
      <c r="AA629" s="34"/>
    </row>
    <row r="630" spans="1:27" ht="15.75" x14ac:dyDescent="0.25">
      <c r="A630" s="6">
        <v>663</v>
      </c>
      <c r="B630" s="6" t="s">
        <v>490</v>
      </c>
      <c r="C630" s="6" t="s">
        <v>573</v>
      </c>
      <c r="D630" s="21">
        <v>44056</v>
      </c>
      <c r="E630" s="7" t="s">
        <v>32</v>
      </c>
      <c r="F630" s="7">
        <v>2193</v>
      </c>
      <c r="G630" s="7">
        <v>586</v>
      </c>
      <c r="H630" s="7">
        <v>6</v>
      </c>
      <c r="I630" s="10" t="s">
        <v>30</v>
      </c>
      <c r="J630" s="9">
        <v>50000</v>
      </c>
      <c r="K630" s="43"/>
      <c r="L630" s="44"/>
      <c r="M630" s="18"/>
      <c r="N630" s="45"/>
      <c r="O630" s="45"/>
      <c r="P630" s="45"/>
      <c r="Q630" s="23">
        <v>44240</v>
      </c>
      <c r="R630" s="9">
        <v>454</v>
      </c>
      <c r="S630" s="108">
        <v>50000</v>
      </c>
      <c r="U630" s="40">
        <f t="shared" si="13"/>
        <v>13293894.84</v>
      </c>
      <c r="Y630" s="65"/>
      <c r="Z630" s="35"/>
      <c r="AA630" s="34"/>
    </row>
    <row r="631" spans="1:27" ht="15.75" x14ac:dyDescent="0.25">
      <c r="A631" s="6">
        <v>1285</v>
      </c>
      <c r="B631" s="6" t="s">
        <v>1024</v>
      </c>
      <c r="C631" s="6" t="s">
        <v>1025</v>
      </c>
      <c r="D631" s="21">
        <v>44057</v>
      </c>
      <c r="E631" s="7" t="s">
        <v>32</v>
      </c>
      <c r="F631" s="7">
        <v>2233</v>
      </c>
      <c r="G631" s="7">
        <v>587</v>
      </c>
      <c r="H631" s="7">
        <v>6</v>
      </c>
      <c r="I631" s="10" t="s">
        <v>30</v>
      </c>
      <c r="J631" s="9">
        <v>100000</v>
      </c>
      <c r="K631" s="43"/>
      <c r="L631" s="44"/>
      <c r="M631" s="18"/>
      <c r="N631" s="45"/>
      <c r="O631" s="45"/>
      <c r="P631" s="45"/>
      <c r="Q631" s="23">
        <v>44242</v>
      </c>
      <c r="R631" s="9">
        <v>759</v>
      </c>
      <c r="S631" s="108">
        <v>100000</v>
      </c>
      <c r="U631" s="40">
        <f t="shared" si="13"/>
        <v>13393894.84</v>
      </c>
      <c r="Y631" s="65"/>
      <c r="Z631" s="35"/>
      <c r="AA631" s="34"/>
    </row>
    <row r="632" spans="1:27" ht="15.75" x14ac:dyDescent="0.25">
      <c r="A632" s="6">
        <v>1678</v>
      </c>
      <c r="B632" s="6" t="s">
        <v>1026</v>
      </c>
      <c r="C632" s="6" t="s">
        <v>1027</v>
      </c>
      <c r="D632" s="21">
        <v>44057</v>
      </c>
      <c r="E632" s="7" t="s">
        <v>32</v>
      </c>
      <c r="F632" s="7">
        <v>2240</v>
      </c>
      <c r="G632" s="7">
        <v>588</v>
      </c>
      <c r="H632" s="7">
        <v>12</v>
      </c>
      <c r="I632" s="10" t="s">
        <v>30</v>
      </c>
      <c r="J632" s="9">
        <v>3000</v>
      </c>
      <c r="K632" s="43"/>
      <c r="L632" s="44"/>
      <c r="M632" s="18"/>
      <c r="N632" s="45"/>
      <c r="O632" s="45"/>
      <c r="P632" s="45"/>
      <c r="Q632" s="23">
        <v>44422</v>
      </c>
      <c r="R632" s="9">
        <v>1960</v>
      </c>
      <c r="S632" s="108">
        <v>3000</v>
      </c>
      <c r="U632" s="40">
        <f t="shared" si="13"/>
        <v>13396894.84</v>
      </c>
      <c r="Y632" s="65"/>
      <c r="Z632" s="35"/>
      <c r="AA632" s="34"/>
    </row>
    <row r="633" spans="1:27" ht="15.75" x14ac:dyDescent="0.25">
      <c r="A633" s="6">
        <v>81</v>
      </c>
      <c r="B633" s="6" t="s">
        <v>1028</v>
      </c>
      <c r="C633" s="6" t="s">
        <v>788</v>
      </c>
      <c r="D633" s="21">
        <v>44060</v>
      </c>
      <c r="E633" s="7" t="s">
        <v>32</v>
      </c>
      <c r="F633" s="7">
        <v>2281</v>
      </c>
      <c r="G633" s="7">
        <v>589</v>
      </c>
      <c r="H633" s="7">
        <v>6</v>
      </c>
      <c r="I633" s="10" t="s">
        <v>30</v>
      </c>
      <c r="J633" s="9">
        <v>75000</v>
      </c>
      <c r="K633" s="43"/>
      <c r="L633" s="44"/>
      <c r="M633" s="18"/>
      <c r="N633" s="45"/>
      <c r="O633" s="45"/>
      <c r="P633" s="45"/>
      <c r="Q633" s="23">
        <v>44244</v>
      </c>
      <c r="R633" s="9">
        <v>505</v>
      </c>
      <c r="S633" s="108">
        <v>75000</v>
      </c>
      <c r="U633" s="40">
        <f t="shared" si="13"/>
        <v>13471894.84</v>
      </c>
      <c r="Y633" s="65"/>
      <c r="Z633" s="35"/>
      <c r="AA633" s="34"/>
    </row>
    <row r="634" spans="1:27" ht="15.75" x14ac:dyDescent="0.25">
      <c r="A634" s="6">
        <v>1682</v>
      </c>
      <c r="B634" s="6" t="s">
        <v>1029</v>
      </c>
      <c r="C634" s="6" t="s">
        <v>1030</v>
      </c>
      <c r="D634" s="21">
        <v>44060</v>
      </c>
      <c r="E634" s="7" t="s">
        <v>32</v>
      </c>
      <c r="F634" s="7">
        <v>2290</v>
      </c>
      <c r="G634" s="7">
        <v>590</v>
      </c>
      <c r="H634" s="7">
        <v>12</v>
      </c>
      <c r="I634" s="10" t="s">
        <v>30</v>
      </c>
      <c r="J634" s="9">
        <v>9000</v>
      </c>
      <c r="K634" s="43"/>
      <c r="L634" s="44"/>
      <c r="M634" s="18"/>
      <c r="N634" s="45"/>
      <c r="O634" s="45"/>
      <c r="P634" s="45"/>
      <c r="Q634" s="23">
        <v>44425</v>
      </c>
      <c r="R634" s="9">
        <v>3112</v>
      </c>
      <c r="S634" s="108">
        <v>9000</v>
      </c>
      <c r="U634" s="40">
        <f t="shared" si="13"/>
        <v>13480894.84</v>
      </c>
      <c r="Y634" s="65"/>
      <c r="Z634" s="35"/>
      <c r="AA634" s="34"/>
    </row>
    <row r="635" spans="1:27" ht="15.75" x14ac:dyDescent="0.25">
      <c r="A635" s="6">
        <v>1163</v>
      </c>
      <c r="B635" s="6" t="s">
        <v>662</v>
      </c>
      <c r="C635" s="6" t="s">
        <v>663</v>
      </c>
      <c r="D635" s="21">
        <v>44061</v>
      </c>
      <c r="E635" s="7" t="s">
        <v>32</v>
      </c>
      <c r="F635" s="7">
        <v>2316</v>
      </c>
      <c r="G635" s="7">
        <v>591</v>
      </c>
      <c r="H635" s="7">
        <v>12</v>
      </c>
      <c r="I635" s="10" t="s">
        <v>30</v>
      </c>
      <c r="J635" s="9">
        <v>50000</v>
      </c>
      <c r="K635" s="43"/>
      <c r="L635" s="44"/>
      <c r="M635" s="18"/>
      <c r="N635" s="45"/>
      <c r="O635" s="45"/>
      <c r="P635" s="45"/>
      <c r="Q635" s="23">
        <v>44492</v>
      </c>
      <c r="R635" s="9">
        <v>4048</v>
      </c>
      <c r="S635" s="108">
        <v>50000</v>
      </c>
      <c r="U635" s="40">
        <f t="shared" si="13"/>
        <v>13530894.84</v>
      </c>
      <c r="Y635" s="65"/>
      <c r="Z635" s="35"/>
      <c r="AA635" s="34"/>
    </row>
    <row r="636" spans="1:27" ht="15.75" x14ac:dyDescent="0.25">
      <c r="A636" s="6">
        <v>1685</v>
      </c>
      <c r="B636" s="6" t="s">
        <v>1031</v>
      </c>
      <c r="C636" s="21"/>
      <c r="D636" s="21">
        <v>44061</v>
      </c>
      <c r="E636" s="7" t="s">
        <v>32</v>
      </c>
      <c r="F636" s="7">
        <v>2337</v>
      </c>
      <c r="G636" s="7">
        <v>592</v>
      </c>
      <c r="H636" s="7">
        <v>6</v>
      </c>
      <c r="I636" s="10" t="s">
        <v>30</v>
      </c>
      <c r="J636" s="9">
        <v>29800</v>
      </c>
      <c r="K636" s="43"/>
      <c r="L636" s="44"/>
      <c r="M636" s="18"/>
      <c r="N636" s="45"/>
      <c r="O636" s="45"/>
      <c r="P636" s="45"/>
      <c r="Q636" s="23">
        <v>44267</v>
      </c>
      <c r="R636" s="9">
        <v>1032</v>
      </c>
      <c r="S636" s="108">
        <v>29800</v>
      </c>
      <c r="U636" s="40">
        <f t="shared" si="13"/>
        <v>13560694.84</v>
      </c>
      <c r="Y636" s="65"/>
      <c r="Z636" s="35"/>
      <c r="AA636" s="34"/>
    </row>
    <row r="637" spans="1:27" ht="15.75" x14ac:dyDescent="0.25">
      <c r="A637" s="6">
        <v>1021</v>
      </c>
      <c r="B637" s="6" t="s">
        <v>1032</v>
      </c>
      <c r="C637" s="6" t="s">
        <v>1033</v>
      </c>
      <c r="D637" s="21">
        <v>44062</v>
      </c>
      <c r="E637" s="7" t="s">
        <v>32</v>
      </c>
      <c r="F637" s="7">
        <v>2350</v>
      </c>
      <c r="G637" s="7">
        <v>593</v>
      </c>
      <c r="H637" s="7">
        <v>12</v>
      </c>
      <c r="I637" s="10" t="s">
        <v>30</v>
      </c>
      <c r="J637" s="9">
        <v>6000</v>
      </c>
      <c r="K637" s="43"/>
      <c r="L637" s="44"/>
      <c r="M637" s="18"/>
      <c r="N637" s="45"/>
      <c r="O637" s="45"/>
      <c r="P637" s="45"/>
      <c r="Q637" s="23">
        <v>44427</v>
      </c>
      <c r="R637" s="9">
        <v>3135</v>
      </c>
      <c r="S637" s="108">
        <v>6000</v>
      </c>
      <c r="U637" s="40">
        <f t="shared" si="13"/>
        <v>13566694.84</v>
      </c>
      <c r="Y637" s="65"/>
      <c r="Z637" s="35"/>
      <c r="AA637" s="34"/>
    </row>
    <row r="638" spans="1:27" ht="15.75" x14ac:dyDescent="0.25">
      <c r="A638" s="6">
        <v>1688</v>
      </c>
      <c r="B638" s="6" t="s">
        <v>1034</v>
      </c>
      <c r="C638" s="6" t="s">
        <v>1035</v>
      </c>
      <c r="D638" s="21">
        <v>44062</v>
      </c>
      <c r="E638" s="7" t="s">
        <v>32</v>
      </c>
      <c r="F638" s="7">
        <v>2373</v>
      </c>
      <c r="G638" s="7">
        <v>594</v>
      </c>
      <c r="H638" s="7">
        <v>6</v>
      </c>
      <c r="I638" s="10" t="s">
        <v>30</v>
      </c>
      <c r="J638" s="9">
        <v>30000</v>
      </c>
      <c r="K638" s="43"/>
      <c r="L638" s="44"/>
      <c r="M638" s="18"/>
      <c r="N638" s="45"/>
      <c r="O638" s="45"/>
      <c r="P638" s="45"/>
      <c r="Q638" s="23">
        <v>44246</v>
      </c>
      <c r="R638" s="9">
        <v>525</v>
      </c>
      <c r="S638" s="108">
        <v>30000</v>
      </c>
      <c r="U638" s="40">
        <f t="shared" si="13"/>
        <v>13596694.84</v>
      </c>
      <c r="Y638" s="65"/>
      <c r="Z638" s="35"/>
      <c r="AA638" s="34"/>
    </row>
    <row r="639" spans="1:27" ht="15.75" x14ac:dyDescent="0.25">
      <c r="A639" s="6">
        <v>626</v>
      </c>
      <c r="B639" s="6" t="s">
        <v>1036</v>
      </c>
      <c r="C639" s="6" t="s">
        <v>427</v>
      </c>
      <c r="D639" s="21">
        <v>44063</v>
      </c>
      <c r="E639" s="7" t="s">
        <v>32</v>
      </c>
      <c r="F639" s="7">
        <v>2385</v>
      </c>
      <c r="G639" s="7">
        <v>595</v>
      </c>
      <c r="H639" s="7">
        <v>12</v>
      </c>
      <c r="I639" s="10" t="s">
        <v>30</v>
      </c>
      <c r="J639" s="9">
        <v>3000</v>
      </c>
      <c r="K639" s="43"/>
      <c r="L639" s="44"/>
      <c r="M639" s="18"/>
      <c r="N639" s="45"/>
      <c r="O639" s="45"/>
      <c r="P639" s="45"/>
      <c r="Q639" s="23">
        <v>44550</v>
      </c>
      <c r="R639" s="9">
        <v>3090</v>
      </c>
      <c r="S639" s="108">
        <v>3000</v>
      </c>
      <c r="U639" s="40">
        <f t="shared" si="13"/>
        <v>13599694.84</v>
      </c>
      <c r="Y639" s="65"/>
      <c r="Z639" s="35"/>
      <c r="AA639" s="34"/>
    </row>
    <row r="640" spans="1:27" ht="15.75" x14ac:dyDescent="0.25">
      <c r="A640" s="6">
        <v>537</v>
      </c>
      <c r="B640" s="6" t="s">
        <v>926</v>
      </c>
      <c r="C640" s="6" t="s">
        <v>927</v>
      </c>
      <c r="D640" s="21">
        <v>44064</v>
      </c>
      <c r="E640" s="7" t="s">
        <v>32</v>
      </c>
      <c r="F640" s="7">
        <v>2405</v>
      </c>
      <c r="G640" s="7">
        <v>596</v>
      </c>
      <c r="H640" s="7">
        <v>6</v>
      </c>
      <c r="I640" s="10" t="s">
        <v>30</v>
      </c>
      <c r="J640" s="9">
        <v>50000</v>
      </c>
      <c r="K640" s="43"/>
      <c r="L640" s="44"/>
      <c r="M640" s="18"/>
      <c r="N640" s="45"/>
      <c r="O640" s="45"/>
      <c r="P640" s="45"/>
      <c r="Q640" s="23">
        <v>44249</v>
      </c>
      <c r="R640" s="9">
        <v>822</v>
      </c>
      <c r="S640" s="108">
        <v>50000</v>
      </c>
      <c r="U640" s="40">
        <f t="shared" si="13"/>
        <v>13649694.84</v>
      </c>
      <c r="Y640" s="65"/>
      <c r="Z640" s="35"/>
      <c r="AA640" s="34"/>
    </row>
    <row r="641" spans="1:27" ht="15.75" x14ac:dyDescent="0.25">
      <c r="A641" s="6">
        <v>1691</v>
      </c>
      <c r="B641" s="6" t="s">
        <v>1037</v>
      </c>
      <c r="C641" s="6" t="s">
        <v>1038</v>
      </c>
      <c r="D641" s="21">
        <v>44064</v>
      </c>
      <c r="E641" s="7" t="s">
        <v>32</v>
      </c>
      <c r="F641" s="7">
        <v>2425</v>
      </c>
      <c r="G641" s="7">
        <v>597</v>
      </c>
      <c r="H641" s="7">
        <v>6</v>
      </c>
      <c r="I641" s="10" t="s">
        <v>30</v>
      </c>
      <c r="J641" s="9">
        <v>10000</v>
      </c>
      <c r="K641" s="43"/>
      <c r="L641" s="44"/>
      <c r="M641" s="18"/>
      <c r="N641" s="45"/>
      <c r="O641" s="45"/>
      <c r="P641" s="45"/>
      <c r="Q641" s="23">
        <v>44260</v>
      </c>
      <c r="R641" s="9">
        <v>965</v>
      </c>
      <c r="S641" s="108">
        <v>10000</v>
      </c>
      <c r="U641" s="40">
        <f t="shared" si="13"/>
        <v>13659694.84</v>
      </c>
      <c r="Y641" s="65"/>
      <c r="Z641" s="35"/>
      <c r="AA641" s="34"/>
    </row>
    <row r="642" spans="1:27" ht="15.75" x14ac:dyDescent="0.25">
      <c r="A642" s="6">
        <v>1691</v>
      </c>
      <c r="B642" s="6" t="s">
        <v>1037</v>
      </c>
      <c r="C642" s="6" t="s">
        <v>1038</v>
      </c>
      <c r="D642" s="21">
        <v>44064</v>
      </c>
      <c r="E642" s="7" t="s">
        <v>32</v>
      </c>
      <c r="F642" s="7">
        <v>2426</v>
      </c>
      <c r="G642" s="7">
        <v>598</v>
      </c>
      <c r="H642" s="7">
        <v>12</v>
      </c>
      <c r="I642" s="10" t="s">
        <v>30</v>
      </c>
      <c r="J642" s="9">
        <v>10000</v>
      </c>
      <c r="K642" s="43"/>
      <c r="L642" s="44"/>
      <c r="M642" s="18"/>
      <c r="N642" s="45"/>
      <c r="O642" s="45"/>
      <c r="P642" s="45"/>
      <c r="Q642" s="23">
        <v>44429</v>
      </c>
      <c r="R642" s="9">
        <v>3281</v>
      </c>
      <c r="S642" s="108">
        <v>10000</v>
      </c>
      <c r="U642" s="40">
        <f t="shared" si="13"/>
        <v>13669694.84</v>
      </c>
      <c r="Y642" s="65"/>
      <c r="Z642" s="35"/>
      <c r="AA642" s="34"/>
    </row>
    <row r="643" spans="1:27" ht="15.75" x14ac:dyDescent="0.25">
      <c r="A643" s="6">
        <v>1136</v>
      </c>
      <c r="B643" s="6" t="s">
        <v>662</v>
      </c>
      <c r="C643" s="6" t="s">
        <v>663</v>
      </c>
      <c r="D643" s="21">
        <v>44067</v>
      </c>
      <c r="E643" s="7" t="s">
        <v>32</v>
      </c>
      <c r="F643" s="7">
        <v>2434</v>
      </c>
      <c r="G643" s="7">
        <v>599</v>
      </c>
      <c r="H643" s="7">
        <v>12</v>
      </c>
      <c r="I643" s="10" t="s">
        <v>30</v>
      </c>
      <c r="J643" s="9">
        <v>50000</v>
      </c>
      <c r="K643" s="43"/>
      <c r="L643" s="44"/>
      <c r="M643" s="18"/>
      <c r="N643" s="45"/>
      <c r="O643" s="45"/>
      <c r="P643" s="45"/>
      <c r="Q643" s="23">
        <v>44492</v>
      </c>
      <c r="R643" s="9">
        <v>4049</v>
      </c>
      <c r="S643" s="108">
        <v>50000</v>
      </c>
      <c r="U643" s="40">
        <f t="shared" si="13"/>
        <v>13719694.84</v>
      </c>
      <c r="Y643" s="65"/>
      <c r="Z643" s="35"/>
      <c r="AA643" s="34"/>
    </row>
    <row r="644" spans="1:27" ht="15.75" x14ac:dyDescent="0.25">
      <c r="A644" s="6">
        <v>1014</v>
      </c>
      <c r="B644" s="6" t="s">
        <v>1039</v>
      </c>
      <c r="C644" s="6" t="s">
        <v>1040</v>
      </c>
      <c r="D644" s="21">
        <v>44067</v>
      </c>
      <c r="E644" s="7" t="s">
        <v>32</v>
      </c>
      <c r="F644" s="7">
        <v>2446</v>
      </c>
      <c r="G644" s="7">
        <v>600</v>
      </c>
      <c r="H644" s="7">
        <v>12</v>
      </c>
      <c r="I644" s="10" t="s">
        <v>30</v>
      </c>
      <c r="J644" s="9">
        <v>2234</v>
      </c>
      <c r="K644" s="43"/>
      <c r="L644" s="44"/>
      <c r="M644" s="18"/>
      <c r="N644" s="45"/>
      <c r="O644" s="45"/>
      <c r="P644" s="45"/>
      <c r="Q644" s="23">
        <v>44432</v>
      </c>
      <c r="R644" s="9">
        <v>3209</v>
      </c>
      <c r="S644" s="108">
        <v>2234</v>
      </c>
      <c r="U644" s="40">
        <f t="shared" si="13"/>
        <v>13721928.84</v>
      </c>
      <c r="Y644" s="65"/>
      <c r="Z644" s="35"/>
      <c r="AA644" s="34"/>
    </row>
    <row r="645" spans="1:27" ht="15.75" x14ac:dyDescent="0.25">
      <c r="A645" s="6">
        <v>482</v>
      </c>
      <c r="B645" s="6" t="s">
        <v>345</v>
      </c>
      <c r="D645" s="21"/>
      <c r="G645" s="7">
        <v>601</v>
      </c>
      <c r="H645" s="7"/>
      <c r="K645" s="43"/>
      <c r="L645" s="44"/>
      <c r="M645" s="18"/>
      <c r="N645" s="45"/>
      <c r="O645" s="45"/>
      <c r="P645" s="45"/>
      <c r="U645" s="40">
        <f t="shared" si="13"/>
        <v>13721928.84</v>
      </c>
      <c r="Y645" s="65"/>
      <c r="Z645" s="35"/>
      <c r="AA645" s="34"/>
    </row>
    <row r="646" spans="1:27" ht="15.75" x14ac:dyDescent="0.25">
      <c r="A646" s="6">
        <v>858</v>
      </c>
      <c r="B646" s="6" t="s">
        <v>29</v>
      </c>
      <c r="C646" s="6" t="s">
        <v>28</v>
      </c>
      <c r="D646" s="21">
        <v>44068</v>
      </c>
      <c r="E646" s="7" t="s">
        <v>32</v>
      </c>
      <c r="F646" s="7">
        <v>2482</v>
      </c>
      <c r="G646" s="7">
        <v>602</v>
      </c>
      <c r="H646" s="7">
        <v>6</v>
      </c>
      <c r="I646" s="10" t="s">
        <v>30</v>
      </c>
      <c r="J646" s="9">
        <v>22000</v>
      </c>
      <c r="K646" s="43"/>
      <c r="L646" s="44"/>
      <c r="M646" s="18"/>
      <c r="N646" s="45"/>
      <c r="O646" s="45"/>
      <c r="P646" s="45"/>
      <c r="Q646" s="52">
        <v>44433</v>
      </c>
      <c r="R646" s="9">
        <v>278</v>
      </c>
      <c r="S646" s="108">
        <v>22000</v>
      </c>
      <c r="T646" s="93"/>
      <c r="U646" s="40">
        <f t="shared" si="13"/>
        <v>13743928.84</v>
      </c>
      <c r="Y646" s="65"/>
      <c r="Z646" s="35"/>
      <c r="AA646" s="34"/>
    </row>
    <row r="647" spans="1:27" ht="15.75" x14ac:dyDescent="0.25">
      <c r="A647" s="6">
        <v>835</v>
      </c>
      <c r="B647" s="6" t="s">
        <v>1041</v>
      </c>
      <c r="C647" s="6" t="s">
        <v>1042</v>
      </c>
      <c r="D647" s="21">
        <v>44068</v>
      </c>
      <c r="E647" s="7" t="s">
        <v>32</v>
      </c>
      <c r="F647" s="7">
        <v>2492</v>
      </c>
      <c r="G647" s="7">
        <v>603</v>
      </c>
      <c r="H647" s="7">
        <v>6</v>
      </c>
      <c r="I647" s="10" t="s">
        <v>30</v>
      </c>
      <c r="J647" s="9">
        <v>20000</v>
      </c>
      <c r="K647" s="43"/>
      <c r="L647" s="44"/>
      <c r="M647" s="18"/>
      <c r="N647" s="45"/>
      <c r="O647" s="45"/>
      <c r="P647" s="45"/>
      <c r="Q647" s="23">
        <v>44252</v>
      </c>
      <c r="R647" s="9">
        <v>566</v>
      </c>
      <c r="S647" s="108">
        <v>20000</v>
      </c>
      <c r="U647" s="40">
        <f t="shared" si="13"/>
        <v>13763928.84</v>
      </c>
      <c r="Y647" s="65"/>
      <c r="Z647" s="35"/>
      <c r="AA647" s="34"/>
    </row>
    <row r="648" spans="1:27" ht="15.75" x14ac:dyDescent="0.25">
      <c r="A648" s="6">
        <v>1000</v>
      </c>
      <c r="B648" s="6" t="s">
        <v>1043</v>
      </c>
      <c r="C648" s="6" t="s">
        <v>482</v>
      </c>
      <c r="D648" s="21">
        <v>44068</v>
      </c>
      <c r="E648" s="7" t="s">
        <v>32</v>
      </c>
      <c r="F648" s="7">
        <v>2505</v>
      </c>
      <c r="G648" s="7">
        <v>604</v>
      </c>
      <c r="H648" s="7">
        <v>12</v>
      </c>
      <c r="I648" s="10" t="s">
        <v>30</v>
      </c>
      <c r="J648" s="9">
        <v>20000</v>
      </c>
      <c r="K648" s="43"/>
      <c r="L648" s="44"/>
      <c r="M648" s="18"/>
      <c r="N648" s="45"/>
      <c r="O648" s="45"/>
      <c r="P648" s="45"/>
      <c r="Q648" s="23">
        <v>44433</v>
      </c>
      <c r="R648" s="9">
        <v>3223</v>
      </c>
      <c r="S648" s="108">
        <v>20000</v>
      </c>
      <c r="U648" s="40">
        <f t="shared" si="13"/>
        <v>13783928.84</v>
      </c>
      <c r="Y648" s="65"/>
      <c r="Z648" s="35"/>
      <c r="AA648" s="34"/>
    </row>
    <row r="649" spans="1:27" ht="15.75" x14ac:dyDescent="0.25">
      <c r="A649" s="6">
        <v>1696</v>
      </c>
      <c r="B649" s="6" t="s">
        <v>345</v>
      </c>
      <c r="D649" s="21"/>
      <c r="G649" s="7">
        <v>605</v>
      </c>
      <c r="H649" s="7"/>
      <c r="K649" s="43"/>
      <c r="L649" s="44"/>
      <c r="M649" s="18"/>
      <c r="N649" s="45"/>
      <c r="O649" s="45"/>
      <c r="P649" s="45"/>
      <c r="U649" s="40">
        <f t="shared" si="13"/>
        <v>13783928.84</v>
      </c>
      <c r="Y649" s="65"/>
      <c r="Z649" s="35"/>
      <c r="AA649" s="34"/>
    </row>
    <row r="650" spans="1:27" ht="15.75" x14ac:dyDescent="0.25">
      <c r="A650" s="6" t="s">
        <v>28</v>
      </c>
      <c r="B650" s="6" t="s">
        <v>345</v>
      </c>
      <c r="D650" s="21"/>
      <c r="G650" s="7">
        <v>606</v>
      </c>
      <c r="H650" s="7"/>
      <c r="K650" s="43"/>
      <c r="L650" s="44"/>
      <c r="M650" s="18"/>
      <c r="N650" s="45"/>
      <c r="O650" s="45"/>
      <c r="P650" s="45"/>
      <c r="U650" s="40">
        <f t="shared" si="13"/>
        <v>13783928.84</v>
      </c>
      <c r="Y650" s="65"/>
      <c r="Z650" s="35"/>
      <c r="AA650" s="34"/>
    </row>
    <row r="651" spans="1:27" ht="15.75" x14ac:dyDescent="0.25">
      <c r="A651" s="6">
        <v>768</v>
      </c>
      <c r="B651" s="6" t="s">
        <v>1044</v>
      </c>
      <c r="C651" s="6" t="s">
        <v>1045</v>
      </c>
      <c r="D651" s="21">
        <v>44068</v>
      </c>
      <c r="E651" s="7" t="s">
        <v>32</v>
      </c>
      <c r="F651" s="7">
        <v>2510</v>
      </c>
      <c r="G651" s="7">
        <v>607</v>
      </c>
      <c r="H651" s="7">
        <v>6</v>
      </c>
      <c r="I651" s="10" t="s">
        <v>30</v>
      </c>
      <c r="J651" s="9">
        <v>5000</v>
      </c>
      <c r="K651" s="43"/>
      <c r="L651" s="44"/>
      <c r="M651" s="18"/>
      <c r="N651" s="45"/>
      <c r="O651" s="45"/>
      <c r="P651" s="45"/>
      <c r="Q651" s="23">
        <v>44252</v>
      </c>
      <c r="R651" s="9">
        <v>867</v>
      </c>
      <c r="S651" s="108">
        <v>5000</v>
      </c>
      <c r="U651" s="40">
        <f t="shared" si="13"/>
        <v>13788928.84</v>
      </c>
      <c r="Y651" s="65"/>
      <c r="Z651" s="35"/>
      <c r="AA651" s="34"/>
    </row>
    <row r="652" spans="1:27" ht="15.75" x14ac:dyDescent="0.25">
      <c r="A652" s="6">
        <v>959</v>
      </c>
      <c r="B652" s="6" t="s">
        <v>1046</v>
      </c>
      <c r="C652" s="6" t="s">
        <v>477</v>
      </c>
      <c r="D652" s="21">
        <v>44069</v>
      </c>
      <c r="E652" s="7" t="s">
        <v>32</v>
      </c>
      <c r="F652" s="7">
        <v>2526</v>
      </c>
      <c r="G652" s="7">
        <v>608</v>
      </c>
      <c r="H652" s="7">
        <v>12</v>
      </c>
      <c r="I652" s="10" t="s">
        <v>30</v>
      </c>
      <c r="J652" s="9">
        <v>50000</v>
      </c>
      <c r="K652" s="43"/>
      <c r="L652" s="44"/>
      <c r="M652" s="18"/>
      <c r="N652" s="45"/>
      <c r="O652" s="45"/>
      <c r="P652" s="45"/>
      <c r="Q652" s="23">
        <v>44434</v>
      </c>
      <c r="R652" s="9">
        <v>3253</v>
      </c>
      <c r="S652" s="123">
        <v>50000</v>
      </c>
      <c r="U652" s="40">
        <f t="shared" si="13"/>
        <v>13838928.84</v>
      </c>
      <c r="Y652" s="65"/>
      <c r="Z652" s="35"/>
      <c r="AA652" s="34"/>
    </row>
    <row r="653" spans="1:27" ht="15.75" x14ac:dyDescent="0.25">
      <c r="A653" s="6">
        <v>1697</v>
      </c>
      <c r="B653" s="6" t="s">
        <v>1047</v>
      </c>
      <c r="C653" s="6" t="s">
        <v>1048</v>
      </c>
      <c r="D653" s="21">
        <v>44069</v>
      </c>
      <c r="E653" s="7" t="s">
        <v>32</v>
      </c>
      <c r="F653" s="7">
        <v>2528</v>
      </c>
      <c r="G653" s="7">
        <v>609</v>
      </c>
      <c r="H653" s="7">
        <v>12</v>
      </c>
      <c r="I653" s="10" t="s">
        <v>30</v>
      </c>
      <c r="J653" s="9">
        <v>10000</v>
      </c>
      <c r="K653" s="43"/>
      <c r="L653" s="44"/>
      <c r="M653" s="18"/>
      <c r="N653" s="45"/>
      <c r="O653" s="45"/>
      <c r="P653" s="45"/>
      <c r="Q653" s="23">
        <v>44434</v>
      </c>
      <c r="R653" s="9">
        <v>3227</v>
      </c>
      <c r="S653" s="108">
        <v>10000</v>
      </c>
      <c r="U653" s="40">
        <f t="shared" si="13"/>
        <v>13848928.84</v>
      </c>
      <c r="Y653" s="65"/>
      <c r="Z653" s="35"/>
      <c r="AA653" s="34"/>
    </row>
    <row r="654" spans="1:27" ht="15.75" x14ac:dyDescent="0.25">
      <c r="A654" s="6">
        <v>240</v>
      </c>
      <c r="B654" s="6" t="s">
        <v>345</v>
      </c>
      <c r="D654" s="21"/>
      <c r="G654" s="7">
        <v>610</v>
      </c>
      <c r="H654" s="7"/>
      <c r="K654" s="43"/>
      <c r="L654" s="44"/>
      <c r="M654" s="18"/>
      <c r="N654" s="45"/>
      <c r="O654" s="45"/>
      <c r="P654" s="45"/>
      <c r="U654" s="40">
        <f t="shared" si="13"/>
        <v>13848928.84</v>
      </c>
      <c r="Y654" s="65"/>
      <c r="Z654" s="35"/>
      <c r="AA654" s="34"/>
    </row>
    <row r="655" spans="1:27" ht="15.75" x14ac:dyDescent="0.25">
      <c r="A655" s="6">
        <v>953</v>
      </c>
      <c r="B655" s="6" t="s">
        <v>547</v>
      </c>
      <c r="C655" s="6" t="s">
        <v>1049</v>
      </c>
      <c r="D655" s="21">
        <v>44076</v>
      </c>
      <c r="E655" s="7" t="s">
        <v>32</v>
      </c>
      <c r="F655" s="7">
        <v>2653</v>
      </c>
      <c r="G655" s="7">
        <v>611</v>
      </c>
      <c r="H655" s="7">
        <v>0</v>
      </c>
      <c r="I655" s="10" t="s">
        <v>30</v>
      </c>
      <c r="J655" s="9">
        <v>5200</v>
      </c>
      <c r="K655" s="43"/>
      <c r="L655" s="44"/>
      <c r="M655" s="18"/>
      <c r="N655" s="45"/>
      <c r="O655" s="45"/>
      <c r="P655" s="45"/>
      <c r="Q655" s="23">
        <v>44809</v>
      </c>
      <c r="R655" s="9">
        <v>7203</v>
      </c>
      <c r="S655" s="108">
        <v>5200</v>
      </c>
      <c r="U655" s="40">
        <f t="shared" si="13"/>
        <v>13854128.84</v>
      </c>
      <c r="Y655" s="65"/>
      <c r="Z655" s="35"/>
      <c r="AA655" s="34"/>
    </row>
    <row r="656" spans="1:27" ht="15.75" x14ac:dyDescent="0.25">
      <c r="A656" s="6">
        <v>240</v>
      </c>
      <c r="B656" s="6" t="s">
        <v>1050</v>
      </c>
      <c r="C656" s="6" t="s">
        <v>1051</v>
      </c>
      <c r="D656" s="21">
        <v>44071</v>
      </c>
      <c r="E656" s="7" t="s">
        <v>32</v>
      </c>
      <c r="F656" s="7">
        <v>2566</v>
      </c>
      <c r="G656" s="7">
        <v>612</v>
      </c>
      <c r="H656" s="7">
        <v>12</v>
      </c>
      <c r="I656" s="10" t="s">
        <v>30</v>
      </c>
      <c r="J656" s="9">
        <v>40000</v>
      </c>
      <c r="K656" s="43"/>
      <c r="L656" s="44"/>
      <c r="M656" s="18"/>
      <c r="N656" s="45"/>
      <c r="O656" s="45"/>
      <c r="P656" s="45"/>
      <c r="Q656" s="23">
        <v>44436</v>
      </c>
      <c r="R656" s="9">
        <v>3295</v>
      </c>
      <c r="S656" s="108">
        <v>40000</v>
      </c>
      <c r="U656" s="40">
        <f t="shared" si="13"/>
        <v>13894128.84</v>
      </c>
      <c r="Y656" s="65"/>
      <c r="Z656" s="35"/>
      <c r="AA656" s="34"/>
    </row>
    <row r="657" spans="1:27" ht="15.75" x14ac:dyDescent="0.25">
      <c r="A657" s="6">
        <v>1710</v>
      </c>
      <c r="B657" s="6" t="s">
        <v>345</v>
      </c>
      <c r="D657" s="21"/>
      <c r="E657" s="7" t="s">
        <v>32</v>
      </c>
      <c r="G657" s="7">
        <v>613</v>
      </c>
      <c r="H657" s="7"/>
      <c r="K657" s="43"/>
      <c r="L657" s="44"/>
      <c r="M657" s="18"/>
      <c r="N657" s="45"/>
      <c r="O657" s="45"/>
      <c r="P657" s="45"/>
      <c r="U657" s="40">
        <f t="shared" si="13"/>
        <v>13894128.84</v>
      </c>
      <c r="Y657" s="65"/>
      <c r="Z657" s="35"/>
      <c r="AA657" s="34"/>
    </row>
    <row r="658" spans="1:27" ht="15.75" x14ac:dyDescent="0.25">
      <c r="A658" s="6">
        <v>16</v>
      </c>
      <c r="B658" s="6" t="s">
        <v>1052</v>
      </c>
      <c r="C658" s="6" t="s">
        <v>1053</v>
      </c>
      <c r="D658" s="21">
        <v>44076</v>
      </c>
      <c r="E658" s="7" t="s">
        <v>32</v>
      </c>
      <c r="F658" s="7">
        <v>2658</v>
      </c>
      <c r="G658" s="7">
        <v>614</v>
      </c>
      <c r="H658" s="7">
        <v>12</v>
      </c>
      <c r="I658" s="10" t="s">
        <v>30</v>
      </c>
      <c r="J658" s="9">
        <v>5000</v>
      </c>
      <c r="K658" s="43"/>
      <c r="L658" s="44"/>
      <c r="M658" s="18"/>
      <c r="N658" s="45"/>
      <c r="O658" s="45"/>
      <c r="P658" s="45"/>
      <c r="Q658" s="23">
        <v>44441</v>
      </c>
      <c r="R658" s="9">
        <v>3473</v>
      </c>
      <c r="S658" s="108">
        <v>5000</v>
      </c>
      <c r="U658" s="40">
        <f t="shared" si="13"/>
        <v>13899128.84</v>
      </c>
      <c r="Y658" s="65"/>
      <c r="Z658" s="35"/>
      <c r="AA658" s="34"/>
    </row>
    <row r="659" spans="1:27" ht="15.75" x14ac:dyDescent="0.25">
      <c r="A659" s="6">
        <v>1701</v>
      </c>
      <c r="B659" s="6" t="s">
        <v>1054</v>
      </c>
      <c r="C659" s="6" t="s">
        <v>1055</v>
      </c>
      <c r="D659" s="21">
        <v>44077</v>
      </c>
      <c r="E659" s="7" t="s">
        <v>32</v>
      </c>
      <c r="F659" s="7">
        <v>2705</v>
      </c>
      <c r="G659" s="7">
        <v>615</v>
      </c>
      <c r="H659" s="7">
        <v>6</v>
      </c>
      <c r="I659" s="10" t="s">
        <v>30</v>
      </c>
      <c r="J659" s="9">
        <v>90000</v>
      </c>
      <c r="K659" s="43"/>
      <c r="L659" s="44"/>
      <c r="M659" s="18"/>
      <c r="N659" s="45"/>
      <c r="O659" s="45"/>
      <c r="P659" s="45"/>
      <c r="Q659" s="23">
        <v>44258</v>
      </c>
      <c r="R659" s="9">
        <v>936</v>
      </c>
      <c r="S659" s="108">
        <v>90000</v>
      </c>
      <c r="U659" s="40">
        <f t="shared" si="13"/>
        <v>13989128.84</v>
      </c>
      <c r="Y659" s="65"/>
      <c r="Z659" s="35"/>
      <c r="AA659" s="34"/>
    </row>
    <row r="660" spans="1:27" ht="15.75" x14ac:dyDescent="0.25">
      <c r="A660" s="6">
        <v>10035</v>
      </c>
      <c r="B660" s="6" t="s">
        <v>1056</v>
      </c>
      <c r="C660" s="6" t="s">
        <v>542</v>
      </c>
      <c r="D660" s="21">
        <v>44081</v>
      </c>
      <c r="E660" s="7" t="s">
        <v>32</v>
      </c>
      <c r="F660" s="7">
        <v>2767</v>
      </c>
      <c r="G660" s="7">
        <v>616</v>
      </c>
      <c r="H660" s="7">
        <v>12</v>
      </c>
      <c r="I660" s="10" t="s">
        <v>30</v>
      </c>
      <c r="J660" s="9">
        <v>6000</v>
      </c>
      <c r="K660" s="43"/>
      <c r="L660" s="44"/>
      <c r="M660" s="18"/>
      <c r="N660" s="45"/>
      <c r="O660" s="45"/>
      <c r="P660" s="45"/>
      <c r="Q660" s="23">
        <v>44446</v>
      </c>
      <c r="R660" s="9">
        <v>2148</v>
      </c>
      <c r="S660" s="108">
        <v>6000</v>
      </c>
      <c r="U660" s="40">
        <f t="shared" si="13"/>
        <v>13995128.84</v>
      </c>
      <c r="Y660" s="65"/>
      <c r="Z660" s="35"/>
      <c r="AA660" s="34"/>
    </row>
    <row r="661" spans="1:27" ht="15.75" x14ac:dyDescent="0.25">
      <c r="A661" s="6">
        <v>1720</v>
      </c>
      <c r="B661" s="6" t="s">
        <v>1057</v>
      </c>
      <c r="C661" s="6" t="s">
        <v>1058</v>
      </c>
      <c r="D661" s="21">
        <v>44081</v>
      </c>
      <c r="E661" s="7" t="s">
        <v>32</v>
      </c>
      <c r="F661" s="7">
        <v>2767</v>
      </c>
      <c r="G661" s="7">
        <v>617</v>
      </c>
      <c r="H661" s="7">
        <v>6</v>
      </c>
      <c r="I661" s="10" t="s">
        <v>30</v>
      </c>
      <c r="J661" s="9">
        <v>8500</v>
      </c>
      <c r="K661" s="43"/>
      <c r="L661" s="44"/>
      <c r="M661" s="18"/>
      <c r="N661" s="45"/>
      <c r="O661" s="45"/>
      <c r="P661" s="45"/>
      <c r="Q661" s="23">
        <v>44264</v>
      </c>
      <c r="R661" s="9">
        <v>987</v>
      </c>
      <c r="S661" s="108">
        <v>8500</v>
      </c>
      <c r="U661" s="40">
        <f t="shared" si="13"/>
        <v>14003628.84</v>
      </c>
      <c r="Y661" s="65"/>
      <c r="Z661" s="35"/>
      <c r="AA661" s="34"/>
    </row>
    <row r="662" spans="1:27" ht="15.75" x14ac:dyDescent="0.25">
      <c r="A662" s="6">
        <v>1721</v>
      </c>
      <c r="B662" s="6" t="s">
        <v>1059</v>
      </c>
      <c r="C662" s="6" t="s">
        <v>1060</v>
      </c>
      <c r="D662" s="21">
        <v>44081</v>
      </c>
      <c r="E662" s="7" t="s">
        <v>32</v>
      </c>
      <c r="F662" s="7">
        <v>2776</v>
      </c>
      <c r="G662" s="7">
        <v>618</v>
      </c>
      <c r="H662" s="7">
        <v>12</v>
      </c>
      <c r="I662" s="10" t="s">
        <v>30</v>
      </c>
      <c r="J662" s="9">
        <v>70000</v>
      </c>
      <c r="K662" s="43"/>
      <c r="L662" s="44"/>
      <c r="M662" s="18"/>
      <c r="N662" s="45"/>
      <c r="O662" s="45"/>
      <c r="P662" s="45"/>
      <c r="Q662" s="23">
        <v>44446</v>
      </c>
      <c r="R662" s="9">
        <v>2227</v>
      </c>
      <c r="S662" s="108">
        <v>70000</v>
      </c>
      <c r="U662" s="40">
        <f t="shared" si="13"/>
        <v>14073628.84</v>
      </c>
      <c r="Y662" s="65"/>
      <c r="Z662" s="35"/>
      <c r="AA662" s="34"/>
    </row>
    <row r="663" spans="1:27" ht="15.75" x14ac:dyDescent="0.25">
      <c r="A663" s="6">
        <v>1717</v>
      </c>
      <c r="B663" s="6" t="s">
        <v>1061</v>
      </c>
      <c r="C663" s="6" t="s">
        <v>1062</v>
      </c>
      <c r="D663" s="21">
        <v>44081</v>
      </c>
      <c r="E663" s="7" t="s">
        <v>32</v>
      </c>
      <c r="F663" s="7">
        <v>2823</v>
      </c>
      <c r="G663" s="7">
        <v>619</v>
      </c>
      <c r="H663" s="7">
        <v>12</v>
      </c>
      <c r="I663" s="10" t="s">
        <v>30</v>
      </c>
      <c r="J663" s="9">
        <v>50000</v>
      </c>
      <c r="K663" s="43"/>
      <c r="L663" s="44"/>
      <c r="M663" s="18"/>
      <c r="N663" s="45"/>
      <c r="O663" s="45"/>
      <c r="P663" s="45"/>
      <c r="Q663" s="23">
        <v>44446</v>
      </c>
      <c r="R663" s="9">
        <v>2186</v>
      </c>
      <c r="S663" s="108">
        <v>50000</v>
      </c>
      <c r="U663" s="40">
        <f t="shared" si="13"/>
        <v>14123628.84</v>
      </c>
      <c r="Y663" s="65"/>
      <c r="Z663" s="35"/>
      <c r="AA663" s="34"/>
    </row>
    <row r="664" spans="1:27" ht="15.75" x14ac:dyDescent="0.25">
      <c r="A664" s="6">
        <v>1732</v>
      </c>
      <c r="B664" s="6" t="s">
        <v>1063</v>
      </c>
      <c r="C664" s="6" t="s">
        <v>1064</v>
      </c>
      <c r="D664" s="21">
        <v>44082</v>
      </c>
      <c r="E664" s="7" t="s">
        <v>32</v>
      </c>
      <c r="F664" s="7">
        <v>2845</v>
      </c>
      <c r="G664" s="7">
        <v>620</v>
      </c>
      <c r="H664" s="7">
        <v>12</v>
      </c>
      <c r="I664" s="10" t="s">
        <v>30</v>
      </c>
      <c r="J664" s="9">
        <v>200000</v>
      </c>
      <c r="K664" s="43"/>
      <c r="L664" s="44"/>
      <c r="M664" s="18"/>
      <c r="N664" s="45"/>
      <c r="O664" s="45"/>
      <c r="P664" s="45"/>
      <c r="Q664" s="23">
        <v>44447</v>
      </c>
      <c r="R664" s="9">
        <v>3393</v>
      </c>
      <c r="S664" s="108">
        <v>200000</v>
      </c>
      <c r="U664" s="40">
        <f t="shared" si="13"/>
        <v>14323628.84</v>
      </c>
      <c r="Y664" s="65"/>
      <c r="Z664" s="35"/>
      <c r="AA664" s="34"/>
    </row>
    <row r="665" spans="1:27" ht="15.75" x14ac:dyDescent="0.25">
      <c r="A665" s="6">
        <v>1717</v>
      </c>
      <c r="B665" s="6" t="s">
        <v>1061</v>
      </c>
      <c r="C665" s="6" t="s">
        <v>1062</v>
      </c>
      <c r="D665" s="21">
        <v>44085</v>
      </c>
      <c r="E665" s="7" t="s">
        <v>32</v>
      </c>
      <c r="F665" s="7">
        <v>2906</v>
      </c>
      <c r="G665" s="7">
        <v>621</v>
      </c>
      <c r="H665" s="7">
        <v>12</v>
      </c>
      <c r="I665" s="10" t="s">
        <v>30</v>
      </c>
      <c r="J665" s="9">
        <v>50000</v>
      </c>
      <c r="K665" s="43"/>
      <c r="L665" s="44"/>
      <c r="M665" s="18"/>
      <c r="N665" s="45"/>
      <c r="O665" s="45"/>
      <c r="P665" s="45"/>
      <c r="Q665" s="23">
        <v>44450</v>
      </c>
      <c r="R665" s="9">
        <v>2187</v>
      </c>
      <c r="S665" s="108">
        <v>50000</v>
      </c>
      <c r="U665" s="40">
        <f t="shared" si="13"/>
        <v>14373628.84</v>
      </c>
      <c r="Y665" s="65"/>
      <c r="Z665" s="35"/>
      <c r="AA665" s="34"/>
    </row>
    <row r="666" spans="1:27" ht="15.75" x14ac:dyDescent="0.25">
      <c r="A666" s="6">
        <v>474</v>
      </c>
      <c r="B666" s="6" t="s">
        <v>1065</v>
      </c>
      <c r="C666" s="6" t="s">
        <v>1066</v>
      </c>
      <c r="D666" s="21">
        <v>44085</v>
      </c>
      <c r="E666" s="7" t="s">
        <v>32</v>
      </c>
      <c r="F666" s="7">
        <v>2909</v>
      </c>
      <c r="G666" s="7">
        <v>622</v>
      </c>
      <c r="H666" s="7">
        <v>12</v>
      </c>
      <c r="I666" s="10" t="s">
        <v>30</v>
      </c>
      <c r="J666" s="9">
        <v>3000</v>
      </c>
      <c r="K666" s="43"/>
      <c r="L666" s="44"/>
      <c r="M666" s="18"/>
      <c r="N666" s="45"/>
      <c r="O666" s="45"/>
      <c r="P666" s="45"/>
      <c r="Q666" s="23">
        <v>44450</v>
      </c>
      <c r="R666" s="9">
        <v>3428</v>
      </c>
      <c r="S666" s="108">
        <v>3000</v>
      </c>
      <c r="U666" s="40">
        <f t="shared" si="13"/>
        <v>14376628.84</v>
      </c>
      <c r="Y666" s="65"/>
      <c r="Z666" s="35"/>
      <c r="AA666" s="34"/>
    </row>
    <row r="667" spans="1:27" ht="15.75" x14ac:dyDescent="0.25">
      <c r="A667" s="6">
        <v>1016</v>
      </c>
      <c r="B667" s="6" t="s">
        <v>1067</v>
      </c>
      <c r="C667" s="6" t="s">
        <v>1068</v>
      </c>
      <c r="D667" s="21">
        <v>44088</v>
      </c>
      <c r="E667" s="7" t="s">
        <v>32</v>
      </c>
      <c r="F667" s="7">
        <v>2937</v>
      </c>
      <c r="G667" s="7">
        <v>623</v>
      </c>
      <c r="H667" s="7">
        <v>12</v>
      </c>
      <c r="I667" s="10" t="s">
        <v>30</v>
      </c>
      <c r="J667" s="9">
        <v>20000</v>
      </c>
      <c r="K667" s="43"/>
      <c r="L667" s="44"/>
      <c r="M667" s="18"/>
      <c r="N667" s="45"/>
      <c r="O667" s="45"/>
      <c r="P667" s="45"/>
      <c r="Q667" s="23">
        <v>44453</v>
      </c>
      <c r="R667" s="9">
        <v>2202</v>
      </c>
      <c r="S667" s="108">
        <v>20000</v>
      </c>
      <c r="U667" s="40">
        <f t="shared" si="13"/>
        <v>14396628.84</v>
      </c>
      <c r="Y667" s="65"/>
      <c r="Z667" s="35"/>
      <c r="AA667" s="34"/>
    </row>
    <row r="668" spans="1:27" ht="15.75" x14ac:dyDescent="0.25">
      <c r="A668" s="6">
        <v>498</v>
      </c>
      <c r="B668" s="6" t="s">
        <v>345</v>
      </c>
      <c r="D668" s="21"/>
      <c r="G668" s="7">
        <v>624</v>
      </c>
      <c r="H668" s="7"/>
      <c r="K668" s="43"/>
      <c r="L668" s="44"/>
      <c r="M668" s="18"/>
      <c r="N668" s="45"/>
      <c r="O668" s="45"/>
      <c r="P668" s="45"/>
      <c r="U668" s="40">
        <f t="shared" si="13"/>
        <v>14396628.84</v>
      </c>
      <c r="Y668" s="65"/>
      <c r="Z668" s="35"/>
      <c r="AA668" s="34"/>
    </row>
    <row r="669" spans="1:27" ht="15.75" x14ac:dyDescent="0.25">
      <c r="A669" s="100">
        <v>498</v>
      </c>
      <c r="B669" s="100" t="s">
        <v>134</v>
      </c>
      <c r="C669" s="100" t="s">
        <v>135</v>
      </c>
      <c r="D669" s="101">
        <v>44088</v>
      </c>
      <c r="E669" s="102" t="s">
        <v>32</v>
      </c>
      <c r="F669" s="102">
        <v>2941</v>
      </c>
      <c r="G669" s="102">
        <v>625</v>
      </c>
      <c r="H669" s="102">
        <v>12</v>
      </c>
      <c r="I669" s="104" t="s">
        <v>30</v>
      </c>
      <c r="J669" s="1">
        <v>10000</v>
      </c>
      <c r="K669" s="43"/>
      <c r="L669" s="44"/>
      <c r="M669" s="18"/>
      <c r="N669" s="45"/>
      <c r="O669" s="45"/>
      <c r="P669" s="45"/>
      <c r="Q669" s="105">
        <v>44473</v>
      </c>
      <c r="R669" s="1">
        <v>3701</v>
      </c>
      <c r="S669" s="123">
        <v>10000</v>
      </c>
      <c r="T669" s="72"/>
      <c r="U669" s="40">
        <f t="shared" si="13"/>
        <v>14406628.84</v>
      </c>
      <c r="Y669" s="65"/>
      <c r="Z669" s="35"/>
      <c r="AA669" s="34"/>
    </row>
    <row r="670" spans="1:27" ht="15.75" x14ac:dyDescent="0.25">
      <c r="A670" s="6">
        <v>1023</v>
      </c>
      <c r="B670" s="6" t="s">
        <v>527</v>
      </c>
      <c r="C670" s="6" t="s">
        <v>528</v>
      </c>
      <c r="D670" s="21">
        <v>44088</v>
      </c>
      <c r="E670" s="7" t="s">
        <v>32</v>
      </c>
      <c r="F670" s="7">
        <v>2960</v>
      </c>
      <c r="G670" s="7">
        <v>626</v>
      </c>
      <c r="H670" s="7">
        <v>12</v>
      </c>
      <c r="I670" s="10" t="s">
        <v>30</v>
      </c>
      <c r="J670" s="9">
        <v>6502</v>
      </c>
      <c r="K670" s="43"/>
      <c r="L670" s="44"/>
      <c r="M670" s="18"/>
      <c r="N670" s="45"/>
      <c r="O670" s="45"/>
      <c r="P670" s="45"/>
      <c r="Q670" s="23">
        <v>44475</v>
      </c>
      <c r="R670" s="9">
        <v>3738</v>
      </c>
      <c r="S670" s="108">
        <v>6502</v>
      </c>
      <c r="U670" s="40">
        <f t="shared" si="13"/>
        <v>14413130.84</v>
      </c>
      <c r="Y670" s="65"/>
      <c r="Z670" s="35"/>
      <c r="AA670" s="34"/>
    </row>
    <row r="671" spans="1:27" ht="15.75" x14ac:dyDescent="0.25">
      <c r="A671" s="6">
        <v>877</v>
      </c>
      <c r="B671" s="6" t="s">
        <v>813</v>
      </c>
      <c r="C671" s="6" t="s">
        <v>1069</v>
      </c>
      <c r="D671" s="21">
        <v>44088</v>
      </c>
      <c r="E671" s="7" t="s">
        <v>32</v>
      </c>
      <c r="F671" s="7">
        <v>2961</v>
      </c>
      <c r="G671" s="7">
        <v>627</v>
      </c>
      <c r="H671" s="7">
        <v>6</v>
      </c>
      <c r="I671" s="10" t="s">
        <v>30</v>
      </c>
      <c r="J671" s="9">
        <v>27000</v>
      </c>
      <c r="K671" s="43"/>
      <c r="L671" s="44"/>
      <c r="M671" s="18"/>
      <c r="N671" s="45"/>
      <c r="O671" s="45"/>
      <c r="P671" s="45"/>
      <c r="Q671" s="23">
        <v>44270</v>
      </c>
      <c r="R671" s="9">
        <v>1049</v>
      </c>
      <c r="S671" s="108">
        <v>27000</v>
      </c>
      <c r="U671" s="40">
        <f t="shared" si="13"/>
        <v>14440130.84</v>
      </c>
      <c r="Y671" s="65"/>
      <c r="Z671" s="35"/>
      <c r="AA671" s="34"/>
    </row>
    <row r="672" spans="1:27" ht="15.75" x14ac:dyDescent="0.25">
      <c r="A672" s="6">
        <v>756</v>
      </c>
      <c r="B672" s="6" t="s">
        <v>730</v>
      </c>
      <c r="C672" s="6" t="s">
        <v>294</v>
      </c>
      <c r="D672" s="21">
        <v>44090</v>
      </c>
      <c r="E672" s="7" t="s">
        <v>32</v>
      </c>
      <c r="F672" s="7">
        <v>3035</v>
      </c>
      <c r="G672" s="7">
        <v>628</v>
      </c>
      <c r="H672" s="7">
        <v>6</v>
      </c>
      <c r="I672" s="10" t="s">
        <v>30</v>
      </c>
      <c r="J672" s="9">
        <v>4000</v>
      </c>
      <c r="K672" s="43"/>
      <c r="L672" s="44"/>
      <c r="M672" s="18"/>
      <c r="N672" s="45"/>
      <c r="O672" s="45"/>
      <c r="P672" s="45"/>
      <c r="Q672" s="23">
        <v>44271</v>
      </c>
      <c r="R672" s="9">
        <v>805</v>
      </c>
      <c r="S672" s="108">
        <v>4000</v>
      </c>
      <c r="U672" s="40">
        <f t="shared" si="13"/>
        <v>14444130.84</v>
      </c>
      <c r="Y672" s="65"/>
      <c r="Z672" s="35"/>
      <c r="AA672" s="34"/>
    </row>
    <row r="673" spans="1:27" ht="15.75" x14ac:dyDescent="0.25">
      <c r="A673" s="6">
        <v>1721</v>
      </c>
      <c r="B673" s="6" t="s">
        <v>1059</v>
      </c>
      <c r="C673" s="6" t="s">
        <v>1070</v>
      </c>
      <c r="D673" s="21">
        <v>44091</v>
      </c>
      <c r="E673" s="7" t="s">
        <v>32</v>
      </c>
      <c r="F673" s="7">
        <v>3052</v>
      </c>
      <c r="G673" s="7">
        <v>629</v>
      </c>
      <c r="H673" s="7">
        <v>12</v>
      </c>
      <c r="I673" s="10" t="s">
        <v>30</v>
      </c>
      <c r="J673" s="9">
        <v>40000</v>
      </c>
      <c r="K673" s="43"/>
      <c r="L673" s="44"/>
      <c r="M673" s="18"/>
      <c r="N673" s="45"/>
      <c r="O673" s="45"/>
      <c r="P673" s="45"/>
      <c r="Q673" s="23">
        <v>44456</v>
      </c>
      <c r="R673" s="9">
        <v>2228</v>
      </c>
      <c r="S673" s="108">
        <v>40000</v>
      </c>
      <c r="U673" s="40">
        <f t="shared" si="13"/>
        <v>14484130.84</v>
      </c>
      <c r="Y673" s="65"/>
      <c r="Z673" s="35"/>
      <c r="AA673" s="34"/>
    </row>
    <row r="674" spans="1:27" ht="15.75" x14ac:dyDescent="0.25">
      <c r="A674" s="6">
        <v>1744</v>
      </c>
      <c r="B674" s="6" t="s">
        <v>1071</v>
      </c>
      <c r="C674" s="6" t="s">
        <v>1072</v>
      </c>
      <c r="D674" s="21">
        <v>44091</v>
      </c>
      <c r="E674" s="7" t="s">
        <v>32</v>
      </c>
      <c r="F674" s="7">
        <v>3058</v>
      </c>
      <c r="G674" s="7">
        <v>630</v>
      </c>
      <c r="H674" s="7">
        <v>6</v>
      </c>
      <c r="I674" s="10" t="s">
        <v>30</v>
      </c>
      <c r="J674" s="9">
        <v>15000</v>
      </c>
      <c r="K674" s="43"/>
      <c r="L674" s="44"/>
      <c r="M674" s="18"/>
      <c r="N674" s="45"/>
      <c r="O674" s="45"/>
      <c r="P674" s="45"/>
      <c r="Q674" s="23">
        <v>44273</v>
      </c>
      <c r="R674" s="9">
        <v>1088</v>
      </c>
      <c r="S674" s="108">
        <v>15000</v>
      </c>
      <c r="U674" s="40">
        <f t="shared" si="13"/>
        <v>14499130.84</v>
      </c>
      <c r="Y674" s="65"/>
      <c r="Z674" s="35"/>
      <c r="AA674" s="34"/>
    </row>
    <row r="675" spans="1:27" ht="15.75" x14ac:dyDescent="0.25">
      <c r="A675" s="6">
        <v>1745</v>
      </c>
      <c r="B675" s="6" t="s">
        <v>1073</v>
      </c>
      <c r="C675" s="6" t="s">
        <v>1074</v>
      </c>
      <c r="D675" s="21">
        <v>44091</v>
      </c>
      <c r="E675" s="7" t="s">
        <v>32</v>
      </c>
      <c r="F675" s="7">
        <v>3062</v>
      </c>
      <c r="G675" s="7">
        <v>631</v>
      </c>
      <c r="H675" s="7">
        <v>6</v>
      </c>
      <c r="I675" s="10" t="s">
        <v>30</v>
      </c>
      <c r="J675" s="9">
        <v>30000</v>
      </c>
      <c r="K675" s="43"/>
      <c r="L675" s="44"/>
      <c r="M675" s="18"/>
      <c r="N675" s="45"/>
      <c r="O675" s="45"/>
      <c r="P675" s="45"/>
      <c r="Q675" s="23">
        <v>44273</v>
      </c>
      <c r="R675" s="9">
        <v>1093</v>
      </c>
      <c r="S675" s="108">
        <v>30000</v>
      </c>
      <c r="U675" s="40">
        <f t="shared" si="13"/>
        <v>14529130.84</v>
      </c>
      <c r="Y675" s="65"/>
      <c r="Z675" s="35"/>
      <c r="AA675" s="34"/>
    </row>
    <row r="676" spans="1:27" ht="15.75" x14ac:dyDescent="0.25">
      <c r="A676" s="6">
        <v>1747</v>
      </c>
      <c r="B676" s="6" t="s">
        <v>345</v>
      </c>
      <c r="D676" s="21"/>
      <c r="G676" s="7">
        <v>632</v>
      </c>
      <c r="H676" s="7"/>
      <c r="K676" s="43"/>
      <c r="L676" s="44"/>
      <c r="M676" s="18"/>
      <c r="N676" s="45"/>
      <c r="O676" s="45"/>
      <c r="P676" s="45"/>
      <c r="U676" s="40">
        <f t="shared" si="13"/>
        <v>14529130.84</v>
      </c>
      <c r="Y676" s="65"/>
      <c r="Z676" s="35"/>
      <c r="AA676" s="34"/>
    </row>
    <row r="677" spans="1:27" ht="15.75" x14ac:dyDescent="0.25">
      <c r="A677" s="6">
        <v>1747</v>
      </c>
      <c r="B677" s="6" t="s">
        <v>1075</v>
      </c>
      <c r="C677" s="6" t="s">
        <v>1076</v>
      </c>
      <c r="D677" s="21">
        <v>44091</v>
      </c>
      <c r="E677" s="7" t="s">
        <v>32</v>
      </c>
      <c r="F677" s="7">
        <v>3082</v>
      </c>
      <c r="G677" s="7">
        <v>633</v>
      </c>
      <c r="H677" s="7">
        <v>12</v>
      </c>
      <c r="I677" s="10" t="s">
        <v>30</v>
      </c>
      <c r="J677" s="9">
        <v>78000</v>
      </c>
      <c r="K677" s="43"/>
      <c r="L677" s="44"/>
      <c r="M677" s="18"/>
      <c r="N677" s="45"/>
      <c r="O677" s="45"/>
      <c r="P677" s="45"/>
      <c r="Q677" s="23">
        <v>44456</v>
      </c>
      <c r="R677" s="9">
        <v>3498</v>
      </c>
      <c r="S677" s="108">
        <v>78000</v>
      </c>
      <c r="U677" s="40">
        <f t="shared" si="13"/>
        <v>14607130.84</v>
      </c>
      <c r="Y677" s="65"/>
      <c r="Z677" s="35"/>
      <c r="AA677" s="34"/>
    </row>
    <row r="678" spans="1:27" ht="15.75" x14ac:dyDescent="0.25">
      <c r="A678" s="6">
        <v>1749</v>
      </c>
      <c r="B678" s="6" t="s">
        <v>1077</v>
      </c>
      <c r="C678" s="6" t="s">
        <v>1078</v>
      </c>
      <c r="D678" s="21">
        <v>44091</v>
      </c>
      <c r="E678" s="7" t="s">
        <v>32</v>
      </c>
      <c r="F678" s="7">
        <v>3085</v>
      </c>
      <c r="G678" s="7">
        <v>634</v>
      </c>
      <c r="H678" s="7">
        <v>6</v>
      </c>
      <c r="I678" s="10" t="s">
        <v>30</v>
      </c>
      <c r="J678" s="9">
        <v>70000</v>
      </c>
      <c r="K678" s="43"/>
      <c r="L678" s="44"/>
      <c r="M678" s="18"/>
      <c r="N678" s="45"/>
      <c r="O678" s="45"/>
      <c r="P678" s="45"/>
      <c r="Q678" s="23">
        <v>44272</v>
      </c>
      <c r="R678" s="9">
        <v>818</v>
      </c>
      <c r="S678" s="108">
        <v>70000</v>
      </c>
      <c r="U678" s="40">
        <f t="shared" ref="U678:U741" si="14">U677+S678-T678</f>
        <v>14677130.84</v>
      </c>
      <c r="Y678" s="65"/>
      <c r="Z678" s="35"/>
      <c r="AA678" s="34"/>
    </row>
    <row r="679" spans="1:27" ht="15.75" x14ac:dyDescent="0.25">
      <c r="A679" s="6" t="s">
        <v>28</v>
      </c>
      <c r="B679" s="6" t="s">
        <v>345</v>
      </c>
      <c r="D679" s="21"/>
      <c r="G679" s="7">
        <v>635</v>
      </c>
      <c r="H679" s="7"/>
      <c r="K679" s="43"/>
      <c r="L679" s="44"/>
      <c r="M679" s="18"/>
      <c r="N679" s="45"/>
      <c r="O679" s="45"/>
      <c r="P679" s="45"/>
      <c r="U679" s="40">
        <f t="shared" si="14"/>
        <v>14677130.84</v>
      </c>
      <c r="Y679" s="65"/>
      <c r="Z679" s="35"/>
      <c r="AA679" s="34"/>
    </row>
    <row r="680" spans="1:27" ht="15.75" x14ac:dyDescent="0.25">
      <c r="A680" s="6">
        <v>1080</v>
      </c>
      <c r="B680" s="6" t="s">
        <v>594</v>
      </c>
      <c r="C680" s="6" t="s">
        <v>595</v>
      </c>
      <c r="D680" s="21">
        <v>44092</v>
      </c>
      <c r="E680" s="7" t="s">
        <v>32</v>
      </c>
      <c r="F680" s="7">
        <v>3117</v>
      </c>
      <c r="G680" s="7">
        <v>636</v>
      </c>
      <c r="H680" s="7">
        <v>12</v>
      </c>
      <c r="I680" s="10" t="s">
        <v>30</v>
      </c>
      <c r="J680" s="9">
        <v>60000</v>
      </c>
      <c r="K680" s="43"/>
      <c r="L680" s="44"/>
      <c r="M680" s="18"/>
      <c r="N680" s="45"/>
      <c r="O680" s="45"/>
      <c r="P680" s="45"/>
      <c r="Q680" s="23">
        <v>44457</v>
      </c>
      <c r="R680" s="9">
        <v>3515</v>
      </c>
      <c r="S680" s="108">
        <v>60000</v>
      </c>
      <c r="U680" s="40">
        <f t="shared" si="14"/>
        <v>14737130.84</v>
      </c>
      <c r="Y680" s="65"/>
      <c r="Z680" s="35"/>
      <c r="AA680" s="34"/>
    </row>
    <row r="681" spans="1:27" ht="15.75" x14ac:dyDescent="0.25">
      <c r="A681" s="6">
        <v>930</v>
      </c>
      <c r="B681" s="6" t="s">
        <v>820</v>
      </c>
      <c r="C681" s="6" t="s">
        <v>821</v>
      </c>
      <c r="D681" s="21">
        <v>44095</v>
      </c>
      <c r="E681" s="7" t="s">
        <v>32</v>
      </c>
      <c r="F681" s="7">
        <v>3137</v>
      </c>
      <c r="G681" s="7">
        <v>637</v>
      </c>
      <c r="H681" s="7">
        <v>6</v>
      </c>
      <c r="I681" s="10" t="s">
        <v>30</v>
      </c>
      <c r="J681" s="9">
        <v>8000</v>
      </c>
      <c r="K681" s="43"/>
      <c r="L681" s="44"/>
      <c r="M681" s="18"/>
      <c r="N681" s="45"/>
      <c r="O681" s="45"/>
      <c r="P681" s="45"/>
      <c r="Q681" s="23">
        <v>44277</v>
      </c>
      <c r="R681" s="9">
        <v>1128</v>
      </c>
      <c r="S681" s="108">
        <v>8000</v>
      </c>
      <c r="U681" s="40">
        <f t="shared" si="14"/>
        <v>14745130.84</v>
      </c>
      <c r="Y681" s="65"/>
      <c r="Z681" s="35"/>
      <c r="AA681" s="34"/>
    </row>
    <row r="682" spans="1:27" ht="15.75" x14ac:dyDescent="0.25">
      <c r="A682" s="124">
        <v>975</v>
      </c>
      <c r="B682" s="124" t="s">
        <v>1079</v>
      </c>
      <c r="C682" s="124" t="s">
        <v>1080</v>
      </c>
      <c r="D682" s="125">
        <v>44095</v>
      </c>
      <c r="E682" s="127" t="s">
        <v>32</v>
      </c>
      <c r="F682" s="127">
        <v>3146</v>
      </c>
      <c r="G682" s="127">
        <v>638</v>
      </c>
      <c r="H682" s="127">
        <v>12</v>
      </c>
      <c r="I682" s="128" t="s">
        <v>30</v>
      </c>
      <c r="J682" s="126">
        <v>20000</v>
      </c>
      <c r="K682" s="43"/>
      <c r="L682" s="44"/>
      <c r="M682" s="18"/>
      <c r="N682" s="45"/>
      <c r="O682" s="45"/>
      <c r="P682" s="45"/>
      <c r="Q682" s="129">
        <v>44596</v>
      </c>
      <c r="R682" s="126">
        <v>638</v>
      </c>
      <c r="S682" s="108">
        <v>20000</v>
      </c>
      <c r="U682" s="40">
        <f t="shared" si="14"/>
        <v>14765130.84</v>
      </c>
      <c r="Y682" s="65"/>
      <c r="Z682" s="35"/>
      <c r="AA682" s="34"/>
    </row>
    <row r="683" spans="1:27" ht="15.75" x14ac:dyDescent="0.25">
      <c r="A683" s="6">
        <v>1755</v>
      </c>
      <c r="B683" s="6" t="s">
        <v>1081</v>
      </c>
      <c r="C683" s="6" t="s">
        <v>1082</v>
      </c>
      <c r="D683" s="21">
        <v>44096</v>
      </c>
      <c r="E683" s="7" t="s">
        <v>32</v>
      </c>
      <c r="F683" s="7">
        <v>3183</v>
      </c>
      <c r="G683" s="7">
        <v>639</v>
      </c>
      <c r="H683" s="7">
        <v>6</v>
      </c>
      <c r="I683" s="10" t="s">
        <v>30</v>
      </c>
      <c r="J683" s="9">
        <v>33000</v>
      </c>
      <c r="K683" s="43"/>
      <c r="L683" s="44"/>
      <c r="M683" s="18"/>
      <c r="N683" s="45"/>
      <c r="O683" s="45"/>
      <c r="P683" s="45"/>
      <c r="Q683" s="23">
        <v>44278</v>
      </c>
      <c r="R683" s="9">
        <v>1153</v>
      </c>
      <c r="S683" s="108">
        <v>33000</v>
      </c>
      <c r="U683" s="40">
        <f t="shared" si="14"/>
        <v>14798130.84</v>
      </c>
      <c r="Y683" s="65"/>
      <c r="Z683" s="35"/>
      <c r="AA683" s="34"/>
    </row>
    <row r="684" spans="1:27" ht="15.75" x14ac:dyDescent="0.25">
      <c r="A684" s="6">
        <v>45</v>
      </c>
      <c r="B684" s="6" t="s">
        <v>1083</v>
      </c>
      <c r="C684" s="6" t="s">
        <v>132</v>
      </c>
      <c r="D684" s="21">
        <v>44097</v>
      </c>
      <c r="E684" s="7" t="s">
        <v>32</v>
      </c>
      <c r="F684" s="7">
        <v>3218</v>
      </c>
      <c r="G684" s="7">
        <v>640</v>
      </c>
      <c r="H684" s="7">
        <v>12</v>
      </c>
      <c r="I684" s="10" t="s">
        <v>30</v>
      </c>
      <c r="J684" s="9">
        <v>70000</v>
      </c>
      <c r="K684" s="43"/>
      <c r="L684" s="44"/>
      <c r="M684" s="18"/>
      <c r="N684" s="45"/>
      <c r="O684" s="45"/>
      <c r="P684" s="45"/>
      <c r="Q684" s="23">
        <v>44462</v>
      </c>
      <c r="R684" s="9">
        <v>2285</v>
      </c>
      <c r="S684" s="108">
        <v>70000</v>
      </c>
      <c r="U684" s="40">
        <f t="shared" si="14"/>
        <v>14868130.84</v>
      </c>
      <c r="Y684" s="65"/>
      <c r="Z684" s="35"/>
      <c r="AA684" s="34"/>
    </row>
    <row r="685" spans="1:27" ht="15.75" x14ac:dyDescent="0.25">
      <c r="A685" s="6">
        <v>1059</v>
      </c>
      <c r="B685" s="6" t="s">
        <v>345</v>
      </c>
      <c r="D685" s="21"/>
      <c r="G685" s="7">
        <v>641</v>
      </c>
      <c r="H685" s="7"/>
      <c r="K685" s="43"/>
      <c r="L685" s="44"/>
      <c r="M685" s="18"/>
      <c r="N685" s="45"/>
      <c r="O685" s="45"/>
      <c r="P685" s="45"/>
      <c r="U685" s="40">
        <f t="shared" si="14"/>
        <v>14868130.84</v>
      </c>
      <c r="Y685" s="65"/>
      <c r="Z685" s="35"/>
      <c r="AA685" s="34"/>
    </row>
    <row r="686" spans="1:27" ht="15.75" x14ac:dyDescent="0.25">
      <c r="A686" s="6">
        <v>1059</v>
      </c>
      <c r="B686" s="6" t="s">
        <v>563</v>
      </c>
      <c r="C686" s="6" t="s">
        <v>564</v>
      </c>
      <c r="D686" s="21">
        <v>44098</v>
      </c>
      <c r="E686" s="7" t="s">
        <v>32</v>
      </c>
      <c r="F686" s="7">
        <v>3249</v>
      </c>
      <c r="G686" s="7">
        <v>642</v>
      </c>
      <c r="H686" s="7">
        <v>12</v>
      </c>
      <c r="I686" s="10" t="s">
        <v>30</v>
      </c>
      <c r="J686" s="9">
        <v>6468</v>
      </c>
      <c r="K686" s="43"/>
      <c r="L686" s="44"/>
      <c r="M686" s="18"/>
      <c r="N686" s="45"/>
      <c r="O686" s="45"/>
      <c r="P686" s="45"/>
      <c r="Q686" s="23">
        <v>44463</v>
      </c>
      <c r="R686" s="9">
        <v>2307</v>
      </c>
      <c r="S686" s="108">
        <v>6468</v>
      </c>
      <c r="U686" s="40">
        <f t="shared" si="14"/>
        <v>14874598.84</v>
      </c>
      <c r="Y686" s="65"/>
      <c r="Z686" s="35"/>
      <c r="AA686" s="34"/>
    </row>
    <row r="687" spans="1:27" ht="15.75" x14ac:dyDescent="0.25">
      <c r="A687" s="6">
        <v>1762</v>
      </c>
      <c r="B687" s="6" t="s">
        <v>1084</v>
      </c>
      <c r="C687" s="6" t="s">
        <v>1085</v>
      </c>
      <c r="D687" s="21">
        <v>44099</v>
      </c>
      <c r="E687" s="7" t="s">
        <v>32</v>
      </c>
      <c r="F687" s="7">
        <v>3265</v>
      </c>
      <c r="G687" s="7">
        <v>643</v>
      </c>
      <c r="H687" s="7">
        <v>12</v>
      </c>
      <c r="I687" s="10" t="s">
        <v>30</v>
      </c>
      <c r="J687" s="9">
        <v>75000</v>
      </c>
      <c r="K687" s="43"/>
      <c r="L687" s="44"/>
      <c r="M687" s="18"/>
      <c r="N687" s="45"/>
      <c r="O687" s="45"/>
      <c r="P687" s="45"/>
      <c r="Q687" s="23">
        <v>44464</v>
      </c>
      <c r="R687" s="9">
        <v>2316</v>
      </c>
      <c r="S687" s="108">
        <v>75000</v>
      </c>
      <c r="U687" s="40">
        <f t="shared" si="14"/>
        <v>14949598.84</v>
      </c>
      <c r="Y687" s="65"/>
      <c r="Z687" s="35"/>
      <c r="AA687" s="34"/>
    </row>
    <row r="688" spans="1:27" ht="15.75" x14ac:dyDescent="0.25">
      <c r="A688" s="6">
        <v>674</v>
      </c>
      <c r="B688" s="6" t="s">
        <v>565</v>
      </c>
      <c r="C688" s="6" t="s">
        <v>1086</v>
      </c>
      <c r="D688" s="21">
        <v>44099</v>
      </c>
      <c r="E688" s="7" t="s">
        <v>32</v>
      </c>
      <c r="F688" s="7">
        <v>3266</v>
      </c>
      <c r="G688" s="7">
        <v>644</v>
      </c>
      <c r="H688" s="7">
        <v>12</v>
      </c>
      <c r="I688" s="10" t="s">
        <v>30</v>
      </c>
      <c r="J688" s="9">
        <v>2800</v>
      </c>
      <c r="K688" s="43"/>
      <c r="L688" s="44"/>
      <c r="M688" s="18"/>
      <c r="N688" s="45"/>
      <c r="O688" s="45"/>
      <c r="P688" s="45"/>
      <c r="Q688" s="23">
        <v>44464</v>
      </c>
      <c r="R688" s="9">
        <v>2314</v>
      </c>
      <c r="S688" s="108">
        <v>2800</v>
      </c>
      <c r="U688" s="40">
        <f t="shared" si="14"/>
        <v>14952398.84</v>
      </c>
      <c r="Y688" s="65"/>
      <c r="Z688" s="35"/>
      <c r="AA688" s="34"/>
    </row>
    <row r="689" spans="1:27" ht="15.75" x14ac:dyDescent="0.25">
      <c r="A689" s="6">
        <v>1783</v>
      </c>
      <c r="B689" s="6" t="s">
        <v>1087</v>
      </c>
      <c r="C689" s="6" t="s">
        <v>509</v>
      </c>
      <c r="D689" s="21">
        <v>44099</v>
      </c>
      <c r="E689" s="7" t="s">
        <v>32</v>
      </c>
      <c r="F689" s="7">
        <v>3269</v>
      </c>
      <c r="G689" s="7">
        <v>645</v>
      </c>
      <c r="H689" s="7">
        <v>12</v>
      </c>
      <c r="I689" s="10" t="s">
        <v>30</v>
      </c>
      <c r="J689" s="9">
        <v>15000</v>
      </c>
      <c r="K689" s="43"/>
      <c r="L689" s="44"/>
      <c r="M689" s="18"/>
      <c r="N689" s="45"/>
      <c r="O689" s="45"/>
      <c r="P689" s="45"/>
      <c r="Q689" s="23">
        <v>44464</v>
      </c>
      <c r="R689" s="9">
        <v>2320</v>
      </c>
      <c r="S689" s="108">
        <v>15000</v>
      </c>
      <c r="U689" s="40">
        <f t="shared" si="14"/>
        <v>14967398.84</v>
      </c>
      <c r="Y689" s="65"/>
      <c r="Z689" s="35"/>
      <c r="AA689" s="34"/>
    </row>
    <row r="690" spans="1:27" ht="15.75" x14ac:dyDescent="0.25">
      <c r="A690" s="6">
        <v>1296</v>
      </c>
      <c r="B690" s="6" t="s">
        <v>830</v>
      </c>
      <c r="C690" s="6" t="s">
        <v>1088</v>
      </c>
      <c r="D690" s="21">
        <v>44099</v>
      </c>
      <c r="E690" s="7" t="s">
        <v>32</v>
      </c>
      <c r="F690" s="7">
        <v>3281</v>
      </c>
      <c r="G690" s="7">
        <v>646</v>
      </c>
      <c r="H690" s="7">
        <v>6</v>
      </c>
      <c r="I690" s="10" t="s">
        <v>30</v>
      </c>
      <c r="J690" s="9">
        <v>20000</v>
      </c>
      <c r="K690" s="43"/>
      <c r="L690" s="44"/>
      <c r="M690" s="18"/>
      <c r="N690" s="45"/>
      <c r="O690" s="45"/>
      <c r="P690" s="45"/>
      <c r="Q690" s="23">
        <v>44280</v>
      </c>
      <c r="R690" s="9">
        <v>1179</v>
      </c>
      <c r="S690" s="108">
        <v>20000</v>
      </c>
      <c r="U690" s="40">
        <f t="shared" si="14"/>
        <v>14987398.84</v>
      </c>
      <c r="Y690" s="65"/>
      <c r="Z690" s="35"/>
      <c r="AA690" s="34"/>
    </row>
    <row r="691" spans="1:27" ht="15.75" x14ac:dyDescent="0.25">
      <c r="A691" s="6">
        <v>862</v>
      </c>
      <c r="B691" s="6" t="s">
        <v>560</v>
      </c>
      <c r="C691" s="6" t="s">
        <v>561</v>
      </c>
      <c r="D691" s="21">
        <v>44099</v>
      </c>
      <c r="E691" s="130" t="s">
        <v>32</v>
      </c>
      <c r="F691" s="7">
        <v>3289</v>
      </c>
      <c r="G691" s="7">
        <v>647</v>
      </c>
      <c r="H691" s="7">
        <v>6</v>
      </c>
      <c r="I691" s="10" t="s">
        <v>30</v>
      </c>
      <c r="J691" s="9">
        <v>8400</v>
      </c>
      <c r="K691" s="43"/>
      <c r="L691" s="44"/>
      <c r="M691" s="18"/>
      <c r="N691" s="45"/>
      <c r="O691" s="45"/>
      <c r="P691" s="45"/>
      <c r="Q691" s="23">
        <v>44306</v>
      </c>
      <c r="R691" s="9">
        <v>1080</v>
      </c>
      <c r="S691" s="108">
        <v>8400</v>
      </c>
      <c r="U691" s="40">
        <f t="shared" si="14"/>
        <v>14995798.84</v>
      </c>
      <c r="Y691" s="65"/>
      <c r="Z691" s="35"/>
      <c r="AA691" s="34"/>
    </row>
    <row r="692" spans="1:27" ht="15.75" x14ac:dyDescent="0.25">
      <c r="A692" s="6">
        <v>1219</v>
      </c>
      <c r="B692" s="6" t="s">
        <v>1089</v>
      </c>
      <c r="D692" s="21">
        <v>44102</v>
      </c>
      <c r="E692" s="7" t="s">
        <v>32</v>
      </c>
      <c r="F692" s="7">
        <v>3305</v>
      </c>
      <c r="G692" s="7">
        <v>648</v>
      </c>
      <c r="H692" s="7">
        <v>12</v>
      </c>
      <c r="I692" s="10" t="s">
        <v>30</v>
      </c>
      <c r="J692" s="9">
        <v>3000</v>
      </c>
      <c r="K692" s="43"/>
      <c r="L692" s="44"/>
      <c r="M692" s="18"/>
      <c r="N692" s="45"/>
      <c r="O692" s="45"/>
      <c r="P692" s="45"/>
      <c r="Q692" s="23">
        <v>44467</v>
      </c>
      <c r="R692" s="9">
        <v>2351</v>
      </c>
      <c r="S692" s="108">
        <v>3000</v>
      </c>
      <c r="U692" s="40">
        <f t="shared" si="14"/>
        <v>14998798.84</v>
      </c>
      <c r="Y692" s="65"/>
      <c r="Z692" s="35"/>
      <c r="AA692" s="34"/>
    </row>
    <row r="693" spans="1:27" ht="15.75" x14ac:dyDescent="0.25">
      <c r="A693" s="6">
        <v>1052</v>
      </c>
      <c r="B693" s="6" t="s">
        <v>961</v>
      </c>
      <c r="C693" s="6" t="s">
        <v>555</v>
      </c>
      <c r="D693" s="21">
        <v>44100</v>
      </c>
      <c r="E693" s="7" t="s">
        <v>32</v>
      </c>
      <c r="F693" s="7">
        <v>3319</v>
      </c>
      <c r="G693" s="7">
        <v>649</v>
      </c>
      <c r="H693" s="7">
        <v>12</v>
      </c>
      <c r="I693" s="10" t="s">
        <v>30</v>
      </c>
      <c r="J693" s="9">
        <v>20000</v>
      </c>
      <c r="K693" s="43"/>
      <c r="L693" s="44"/>
      <c r="M693" s="18"/>
      <c r="N693" s="45"/>
      <c r="O693" s="45"/>
      <c r="P693" s="45"/>
      <c r="Q693" s="23">
        <v>44467</v>
      </c>
      <c r="R693" s="9">
        <v>3594</v>
      </c>
      <c r="S693" s="108">
        <v>20000</v>
      </c>
      <c r="U693" s="40">
        <f t="shared" si="14"/>
        <v>15018798.84</v>
      </c>
      <c r="Y693" s="65"/>
      <c r="Z693" s="35"/>
      <c r="AA693" s="34"/>
    </row>
    <row r="694" spans="1:27" ht="15.75" x14ac:dyDescent="0.25">
      <c r="A694" s="6">
        <v>1052</v>
      </c>
      <c r="B694" s="6" t="s">
        <v>961</v>
      </c>
      <c r="C694" s="6" t="s">
        <v>555</v>
      </c>
      <c r="D694" s="21">
        <v>44102</v>
      </c>
      <c r="E694" s="7" t="s">
        <v>32</v>
      </c>
      <c r="F694" s="7">
        <v>3320</v>
      </c>
      <c r="G694" s="7">
        <v>650</v>
      </c>
      <c r="H694" s="7">
        <v>12</v>
      </c>
      <c r="I694" s="10" t="s">
        <v>30</v>
      </c>
      <c r="J694" s="9">
        <v>17000</v>
      </c>
      <c r="K694" s="43"/>
      <c r="L694" s="44"/>
      <c r="M694" s="18"/>
      <c r="N694" s="45"/>
      <c r="O694" s="45"/>
      <c r="P694" s="45"/>
      <c r="Q694" s="23">
        <v>44467</v>
      </c>
      <c r="R694" s="9">
        <v>3595</v>
      </c>
      <c r="S694" s="108">
        <v>17000</v>
      </c>
      <c r="U694" s="40">
        <f t="shared" si="14"/>
        <v>15035798.84</v>
      </c>
      <c r="Y694" s="65"/>
      <c r="Z694" s="35"/>
      <c r="AA694" s="34"/>
    </row>
    <row r="695" spans="1:27" ht="15.75" x14ac:dyDescent="0.25">
      <c r="A695" s="6">
        <v>1769</v>
      </c>
      <c r="B695" s="6" t="s">
        <v>1090</v>
      </c>
      <c r="C695" s="6" t="s">
        <v>1091</v>
      </c>
      <c r="D695" s="21">
        <v>44102</v>
      </c>
      <c r="E695" s="7" t="s">
        <v>32</v>
      </c>
      <c r="F695" s="7">
        <v>3327</v>
      </c>
      <c r="G695" s="7">
        <v>651</v>
      </c>
      <c r="H695" s="7">
        <v>12</v>
      </c>
      <c r="I695" s="10" t="s">
        <v>30</v>
      </c>
      <c r="J695" s="9">
        <v>15000</v>
      </c>
      <c r="K695" s="43"/>
      <c r="L695" s="44"/>
      <c r="M695" s="18"/>
      <c r="N695" s="45"/>
      <c r="O695" s="45"/>
      <c r="P695" s="45"/>
      <c r="Q695" s="23">
        <v>44467</v>
      </c>
      <c r="R695" s="9">
        <v>2344</v>
      </c>
      <c r="S695" s="108">
        <v>15000</v>
      </c>
      <c r="U695" s="40">
        <f t="shared" si="14"/>
        <v>15050798.84</v>
      </c>
      <c r="Y695" s="65"/>
      <c r="Z695" s="35"/>
      <c r="AA695" s="34"/>
    </row>
    <row r="696" spans="1:27" ht="15.75" x14ac:dyDescent="0.25">
      <c r="A696" s="6">
        <v>858</v>
      </c>
      <c r="B696" s="6" t="s">
        <v>29</v>
      </c>
      <c r="C696" s="6" t="s">
        <v>536</v>
      </c>
      <c r="D696" s="21">
        <v>44103</v>
      </c>
      <c r="E696" s="7" t="s">
        <v>32</v>
      </c>
      <c r="F696" s="7">
        <v>3348</v>
      </c>
      <c r="G696" s="7">
        <v>652</v>
      </c>
      <c r="H696" s="7">
        <v>12</v>
      </c>
      <c r="I696" s="10" t="s">
        <v>30</v>
      </c>
      <c r="J696" s="9">
        <v>47000</v>
      </c>
      <c r="K696" s="43"/>
      <c r="L696" s="44"/>
      <c r="M696" s="18"/>
      <c r="N696" s="45"/>
      <c r="O696" s="45"/>
      <c r="P696" s="45"/>
      <c r="Q696" s="23">
        <v>44468</v>
      </c>
      <c r="R696" s="9">
        <v>3608</v>
      </c>
      <c r="S696" s="108">
        <v>47000</v>
      </c>
      <c r="U696" s="40">
        <f t="shared" si="14"/>
        <v>15097798.84</v>
      </c>
      <c r="Y696" s="65"/>
      <c r="Z696" s="35"/>
      <c r="AA696" s="34"/>
    </row>
    <row r="697" spans="1:27" ht="15.75" x14ac:dyDescent="0.25">
      <c r="A697" s="6">
        <v>1773</v>
      </c>
      <c r="B697" s="6" t="s">
        <v>1092</v>
      </c>
      <c r="C697" s="6" t="s">
        <v>1093</v>
      </c>
      <c r="D697" s="21">
        <v>44103</v>
      </c>
      <c r="E697" s="7" t="s">
        <v>32</v>
      </c>
      <c r="F697" s="7">
        <v>3369</v>
      </c>
      <c r="G697" s="7">
        <v>653</v>
      </c>
      <c r="H697" s="7">
        <v>12</v>
      </c>
      <c r="I697" s="10" t="s">
        <v>30</v>
      </c>
      <c r="J697" s="9">
        <v>35000</v>
      </c>
      <c r="K697" s="43"/>
      <c r="L697" s="44"/>
      <c r="M697" s="18"/>
      <c r="N697" s="45"/>
      <c r="O697" s="45"/>
      <c r="P697" s="45"/>
      <c r="Q697" s="23">
        <v>44468</v>
      </c>
      <c r="R697" s="9">
        <v>2356</v>
      </c>
      <c r="S697" s="108">
        <v>35000</v>
      </c>
      <c r="U697" s="40">
        <f t="shared" si="14"/>
        <v>15132798.84</v>
      </c>
      <c r="Y697" s="65"/>
      <c r="Z697" s="35"/>
      <c r="AA697" s="34"/>
    </row>
    <row r="698" spans="1:27" ht="15.75" x14ac:dyDescent="0.25">
      <c r="A698" s="6">
        <v>1776</v>
      </c>
      <c r="B698" s="6" t="s">
        <v>1094</v>
      </c>
      <c r="C698" s="6" t="s">
        <v>1095</v>
      </c>
      <c r="D698" s="21">
        <v>44104</v>
      </c>
      <c r="E698" s="7" t="s">
        <v>32</v>
      </c>
      <c r="F698" s="7">
        <v>3397</v>
      </c>
      <c r="G698" s="7">
        <v>654</v>
      </c>
      <c r="H698" s="7">
        <v>12</v>
      </c>
      <c r="I698" s="10" t="s">
        <v>30</v>
      </c>
      <c r="J698" s="9">
        <v>50000</v>
      </c>
      <c r="K698" s="43"/>
      <c r="L698" s="44"/>
      <c r="M698" s="18"/>
      <c r="N698" s="45"/>
      <c r="O698" s="45"/>
      <c r="P698" s="45"/>
      <c r="Q698" s="23">
        <v>44469</v>
      </c>
      <c r="R698" s="9">
        <v>2361</v>
      </c>
      <c r="S698" s="108">
        <v>50000</v>
      </c>
      <c r="U698" s="40">
        <f t="shared" si="14"/>
        <v>15182798.84</v>
      </c>
      <c r="Y698" s="65"/>
      <c r="Z698" s="35"/>
      <c r="AA698" s="34"/>
    </row>
    <row r="699" spans="1:27" ht="15.75" x14ac:dyDescent="0.25">
      <c r="A699" s="6">
        <v>1185</v>
      </c>
      <c r="B699" s="6" t="s">
        <v>719</v>
      </c>
      <c r="C699" s="6" t="s">
        <v>1096</v>
      </c>
      <c r="D699" s="21">
        <v>44104</v>
      </c>
      <c r="E699" s="7" t="s">
        <v>32</v>
      </c>
      <c r="F699" s="7">
        <v>3400</v>
      </c>
      <c r="G699" s="7">
        <v>655</v>
      </c>
      <c r="H699" s="7">
        <v>12</v>
      </c>
      <c r="I699" s="10" t="s">
        <v>30</v>
      </c>
      <c r="J699" s="9">
        <v>100000</v>
      </c>
      <c r="K699" s="43"/>
      <c r="L699" s="44"/>
      <c r="M699" s="18"/>
      <c r="N699" s="45"/>
      <c r="O699" s="45"/>
      <c r="P699" s="45"/>
      <c r="Q699" s="23">
        <v>44469</v>
      </c>
      <c r="R699" s="9">
        <v>3636</v>
      </c>
      <c r="S699" s="108">
        <v>100000</v>
      </c>
      <c r="U699" s="40">
        <f t="shared" si="14"/>
        <v>15282798.84</v>
      </c>
      <c r="Y699" s="65"/>
      <c r="Z699" s="35"/>
      <c r="AA699" s="34"/>
    </row>
    <row r="700" spans="1:27" ht="15.75" x14ac:dyDescent="0.25">
      <c r="A700" s="6">
        <v>1023</v>
      </c>
      <c r="B700" s="6" t="s">
        <v>527</v>
      </c>
      <c r="D700" s="21">
        <v>44105</v>
      </c>
      <c r="E700" s="7" t="s">
        <v>32</v>
      </c>
      <c r="F700" s="7">
        <v>3419</v>
      </c>
      <c r="G700" s="7">
        <v>656</v>
      </c>
      <c r="H700" s="7">
        <v>6</v>
      </c>
      <c r="I700" s="10" t="s">
        <v>30</v>
      </c>
      <c r="J700" s="9">
        <v>10000</v>
      </c>
      <c r="K700" s="43"/>
      <c r="L700" s="44"/>
      <c r="M700" s="18"/>
      <c r="N700" s="45"/>
      <c r="O700" s="45"/>
      <c r="P700" s="45"/>
      <c r="Q700" s="23">
        <v>44331</v>
      </c>
      <c r="R700" s="9">
        <v>1243</v>
      </c>
      <c r="S700" s="108">
        <v>10000</v>
      </c>
      <c r="U700" s="40">
        <f t="shared" si="14"/>
        <v>15292798.84</v>
      </c>
      <c r="Y700" s="65"/>
      <c r="Z700" s="35"/>
      <c r="AA700" s="34"/>
    </row>
    <row r="701" spans="1:27" ht="15.75" x14ac:dyDescent="0.25">
      <c r="A701" s="6">
        <v>1062</v>
      </c>
      <c r="B701" s="6" t="s">
        <v>1097</v>
      </c>
      <c r="C701" s="6" t="s">
        <v>571</v>
      </c>
      <c r="D701" s="21">
        <v>44105</v>
      </c>
      <c r="E701" s="7" t="s">
        <v>32</v>
      </c>
      <c r="F701" s="7">
        <v>3434</v>
      </c>
      <c r="G701" s="7">
        <v>657</v>
      </c>
      <c r="H701" s="7">
        <v>12</v>
      </c>
      <c r="I701" s="10" t="s">
        <v>30</v>
      </c>
      <c r="J701" s="9">
        <v>6234</v>
      </c>
      <c r="K701" s="43"/>
      <c r="L701" s="44"/>
      <c r="M701" s="18"/>
      <c r="N701" s="45"/>
      <c r="O701" s="45"/>
      <c r="P701" s="45"/>
      <c r="Q701" s="23">
        <v>44470</v>
      </c>
      <c r="R701" s="9">
        <v>3699</v>
      </c>
      <c r="S701" s="108">
        <v>6234</v>
      </c>
      <c r="U701" s="40">
        <f t="shared" si="14"/>
        <v>15299032.84</v>
      </c>
      <c r="Y701" s="65"/>
      <c r="Z701" s="35"/>
      <c r="AA701" s="34"/>
    </row>
    <row r="702" spans="1:27" ht="15.75" x14ac:dyDescent="0.25">
      <c r="A702" s="6">
        <v>1207</v>
      </c>
      <c r="B702" s="6" t="s">
        <v>1098</v>
      </c>
      <c r="C702" s="6" t="s">
        <v>1099</v>
      </c>
      <c r="D702" s="21">
        <v>44106</v>
      </c>
      <c r="E702" s="7" t="s">
        <v>32</v>
      </c>
      <c r="F702" s="7">
        <v>3448</v>
      </c>
      <c r="G702" s="7">
        <v>658</v>
      </c>
      <c r="H702" s="7">
        <v>12</v>
      </c>
      <c r="I702" s="10" t="s">
        <v>30</v>
      </c>
      <c r="J702" s="9">
        <v>5000</v>
      </c>
      <c r="K702" s="43"/>
      <c r="L702" s="44"/>
      <c r="M702" s="18"/>
      <c r="N702" s="45"/>
      <c r="O702" s="45"/>
      <c r="P702" s="45"/>
      <c r="Q702" s="23">
        <v>44471</v>
      </c>
      <c r="R702" s="9">
        <v>3685</v>
      </c>
      <c r="S702" s="108">
        <v>5000</v>
      </c>
      <c r="U702" s="40">
        <f t="shared" si="14"/>
        <v>15304032.84</v>
      </c>
      <c r="Y702" s="65"/>
      <c r="Z702" s="35"/>
      <c r="AA702" s="34"/>
    </row>
    <row r="703" spans="1:27" ht="15.75" x14ac:dyDescent="0.25">
      <c r="A703" s="6">
        <v>663</v>
      </c>
      <c r="B703" s="6" t="s">
        <v>1100</v>
      </c>
      <c r="C703" s="6" t="s">
        <v>573</v>
      </c>
      <c r="D703" s="21">
        <v>44106</v>
      </c>
      <c r="E703" s="7" t="s">
        <v>32</v>
      </c>
      <c r="F703" s="7">
        <v>3450</v>
      </c>
      <c r="G703" s="7">
        <v>659</v>
      </c>
      <c r="H703" s="7">
        <v>6</v>
      </c>
      <c r="I703" s="10" t="s">
        <v>30</v>
      </c>
      <c r="J703" s="9">
        <v>31000</v>
      </c>
      <c r="K703" s="43"/>
      <c r="L703" s="44"/>
      <c r="M703" s="18"/>
      <c r="N703" s="45"/>
      <c r="O703" s="45"/>
      <c r="P703" s="45"/>
      <c r="Q703" s="23">
        <v>44291</v>
      </c>
      <c r="R703" s="9">
        <v>967</v>
      </c>
      <c r="S703" s="108">
        <v>31000</v>
      </c>
      <c r="U703" s="40">
        <f t="shared" si="14"/>
        <v>15335032.84</v>
      </c>
      <c r="Y703" s="65"/>
      <c r="Z703" s="35"/>
      <c r="AA703" s="34"/>
    </row>
    <row r="704" spans="1:27" ht="15.75" x14ac:dyDescent="0.25">
      <c r="A704" s="6">
        <v>1071</v>
      </c>
      <c r="B704" s="6" t="s">
        <v>582</v>
      </c>
      <c r="C704" s="6" t="s">
        <v>1101</v>
      </c>
      <c r="D704" s="21">
        <v>44106</v>
      </c>
      <c r="E704" s="7" t="s">
        <v>32</v>
      </c>
      <c r="F704" s="7">
        <v>3487</v>
      </c>
      <c r="G704" s="7">
        <v>660</v>
      </c>
      <c r="H704" s="7">
        <v>6</v>
      </c>
      <c r="I704" s="10" t="s">
        <v>30</v>
      </c>
      <c r="J704" s="9">
        <v>5000</v>
      </c>
      <c r="K704" s="43"/>
      <c r="L704" s="44"/>
      <c r="M704" s="18"/>
      <c r="N704" s="45"/>
      <c r="O704" s="45"/>
      <c r="P704" s="45"/>
      <c r="Q704" s="23">
        <v>44298</v>
      </c>
      <c r="R704" s="9">
        <v>1388</v>
      </c>
      <c r="S704" s="108">
        <v>5000</v>
      </c>
      <c r="U704" s="40">
        <f t="shared" si="14"/>
        <v>15340032.84</v>
      </c>
      <c r="Y704" s="65"/>
      <c r="Z704" s="35"/>
      <c r="AA704" s="34"/>
    </row>
    <row r="705" spans="1:27" ht="15.75" x14ac:dyDescent="0.25">
      <c r="A705" s="6">
        <v>1069</v>
      </c>
      <c r="B705" s="6" t="s">
        <v>345</v>
      </c>
      <c r="D705" s="21"/>
      <c r="G705" s="7">
        <v>661</v>
      </c>
      <c r="H705" s="7"/>
      <c r="K705" s="43"/>
      <c r="L705" s="44"/>
      <c r="M705" s="18"/>
      <c r="N705" s="45"/>
      <c r="O705" s="45"/>
      <c r="P705" s="45"/>
      <c r="U705" s="40">
        <f t="shared" si="14"/>
        <v>15340032.84</v>
      </c>
      <c r="Y705" s="65"/>
      <c r="Z705" s="35"/>
      <c r="AA705" s="34"/>
    </row>
    <row r="706" spans="1:27" ht="15.75" x14ac:dyDescent="0.25">
      <c r="A706" s="6">
        <v>1069</v>
      </c>
      <c r="B706" s="6" t="s">
        <v>1102</v>
      </c>
      <c r="C706" s="6" t="s">
        <v>1103</v>
      </c>
      <c r="D706" s="21">
        <v>44109</v>
      </c>
      <c r="E706" s="7" t="s">
        <v>32</v>
      </c>
      <c r="F706" s="7">
        <v>3500</v>
      </c>
      <c r="G706" s="7">
        <v>662</v>
      </c>
      <c r="H706" s="7">
        <v>12</v>
      </c>
      <c r="I706" s="10" t="s">
        <v>30</v>
      </c>
      <c r="J706" s="9">
        <v>100000</v>
      </c>
      <c r="K706" s="43"/>
      <c r="L706" s="44"/>
      <c r="M706" s="18"/>
      <c r="N706" s="45"/>
      <c r="O706" s="45"/>
      <c r="P706" s="45"/>
      <c r="Q706" s="23">
        <v>44474</v>
      </c>
      <c r="R706" s="9">
        <v>2415</v>
      </c>
      <c r="S706" s="108">
        <v>100000</v>
      </c>
      <c r="U706" s="40">
        <f t="shared" si="14"/>
        <v>15440032.84</v>
      </c>
      <c r="Y706" s="65"/>
      <c r="Z706" s="35"/>
      <c r="AA706" s="34"/>
    </row>
    <row r="707" spans="1:27" ht="15.75" x14ac:dyDescent="0.25">
      <c r="A707" s="6">
        <v>1789</v>
      </c>
      <c r="B707" s="6" t="s">
        <v>1104</v>
      </c>
      <c r="C707" s="6" t="s">
        <v>1105</v>
      </c>
      <c r="D707" s="21">
        <v>44109</v>
      </c>
      <c r="E707" s="7" t="s">
        <v>32</v>
      </c>
      <c r="F707" s="7">
        <v>3545</v>
      </c>
      <c r="G707" s="7">
        <v>663</v>
      </c>
      <c r="H707" s="7">
        <v>12</v>
      </c>
      <c r="I707" s="10" t="s">
        <v>30</v>
      </c>
      <c r="J707" s="9">
        <v>4000</v>
      </c>
      <c r="K707" s="43"/>
      <c r="L707" s="44"/>
      <c r="M707" s="18"/>
      <c r="N707" s="45"/>
      <c r="O707" s="45"/>
      <c r="P707" s="45"/>
      <c r="Q707" s="23">
        <v>44474</v>
      </c>
      <c r="R707" s="9">
        <v>3717</v>
      </c>
      <c r="S707" s="108">
        <v>4000</v>
      </c>
      <c r="U707" s="40">
        <f t="shared" si="14"/>
        <v>15444032.84</v>
      </c>
      <c r="Y707" s="65"/>
      <c r="Z707" s="35"/>
      <c r="AA707" s="34"/>
    </row>
    <row r="708" spans="1:27" ht="15.75" x14ac:dyDescent="0.25">
      <c r="A708" s="6">
        <v>378</v>
      </c>
      <c r="B708" s="6" t="s">
        <v>1106</v>
      </c>
      <c r="C708" s="6" t="s">
        <v>1107</v>
      </c>
      <c r="D708" s="21">
        <v>44110</v>
      </c>
      <c r="E708" s="7" t="s">
        <v>32</v>
      </c>
      <c r="F708" s="7">
        <v>3598</v>
      </c>
      <c r="G708" s="7">
        <v>664</v>
      </c>
      <c r="H708" s="7">
        <v>6</v>
      </c>
      <c r="I708" s="10" t="s">
        <v>30</v>
      </c>
      <c r="J708" s="9">
        <v>14000</v>
      </c>
      <c r="K708" s="43"/>
      <c r="L708" s="44"/>
      <c r="M708" s="18"/>
      <c r="N708" s="45"/>
      <c r="O708" s="45"/>
      <c r="P708" s="45"/>
      <c r="Q708" s="23">
        <v>44292</v>
      </c>
      <c r="R708" s="9">
        <v>992</v>
      </c>
      <c r="S708" s="108">
        <v>14000</v>
      </c>
      <c r="U708" s="40">
        <f t="shared" si="14"/>
        <v>15458032.84</v>
      </c>
      <c r="Y708" s="65"/>
      <c r="Z708" s="35"/>
      <c r="AA708" s="34"/>
    </row>
    <row r="709" spans="1:27" ht="15.75" x14ac:dyDescent="0.25">
      <c r="A709" s="6">
        <v>1799</v>
      </c>
      <c r="B709" s="6" t="s">
        <v>1108</v>
      </c>
      <c r="C709" s="6" t="s">
        <v>1109</v>
      </c>
      <c r="D709" s="21">
        <v>44110</v>
      </c>
      <c r="E709" s="7" t="s">
        <v>32</v>
      </c>
      <c r="F709" s="7">
        <v>3613</v>
      </c>
      <c r="G709" s="7">
        <v>665</v>
      </c>
      <c r="H709" s="7">
        <v>12</v>
      </c>
      <c r="I709" s="10" t="s">
        <v>30</v>
      </c>
      <c r="J709" s="9">
        <v>17000</v>
      </c>
      <c r="K709" s="43"/>
      <c r="L709" s="44"/>
      <c r="M709" s="18"/>
      <c r="N709" s="45"/>
      <c r="O709" s="45"/>
      <c r="P709" s="45"/>
      <c r="Q709" s="23">
        <v>44475</v>
      </c>
      <c r="R709" s="9">
        <v>2496</v>
      </c>
      <c r="S709" s="108">
        <v>17000</v>
      </c>
      <c r="U709" s="40">
        <f t="shared" si="14"/>
        <v>15475032.84</v>
      </c>
      <c r="Y709" s="65"/>
      <c r="Z709" s="35"/>
      <c r="AA709" s="34"/>
    </row>
    <row r="710" spans="1:27" ht="15.75" x14ac:dyDescent="0.25">
      <c r="A710" s="6">
        <v>395</v>
      </c>
      <c r="B710" s="6" t="s">
        <v>843</v>
      </c>
      <c r="C710" s="6" t="s">
        <v>64</v>
      </c>
      <c r="D710" s="21">
        <v>44111</v>
      </c>
      <c r="E710" s="7" t="s">
        <v>32</v>
      </c>
      <c r="F710" s="7">
        <v>3629</v>
      </c>
      <c r="G710" s="7">
        <v>666</v>
      </c>
      <c r="H710" s="7">
        <v>6</v>
      </c>
      <c r="I710" s="10" t="s">
        <v>30</v>
      </c>
      <c r="J710" s="9">
        <v>11000</v>
      </c>
      <c r="K710" s="43"/>
      <c r="L710" s="44"/>
      <c r="M710" s="18"/>
      <c r="N710" s="45"/>
      <c r="O710" s="45"/>
      <c r="P710" s="45"/>
      <c r="Q710" s="23">
        <v>44296</v>
      </c>
      <c r="R710" s="9">
        <v>1367</v>
      </c>
      <c r="S710" s="108">
        <v>11000</v>
      </c>
      <c r="U710" s="40">
        <f t="shared" si="14"/>
        <v>15486032.84</v>
      </c>
      <c r="Y710" s="65"/>
      <c r="Z710" s="35"/>
      <c r="AA710" s="34"/>
    </row>
    <row r="711" spans="1:27" ht="15.75" x14ac:dyDescent="0.25">
      <c r="A711" s="6">
        <v>633</v>
      </c>
      <c r="B711" s="6" t="s">
        <v>1110</v>
      </c>
      <c r="C711" s="6" t="s">
        <v>1111</v>
      </c>
      <c r="D711" s="21">
        <v>44111</v>
      </c>
      <c r="E711" s="7" t="s">
        <v>32</v>
      </c>
      <c r="F711" s="7">
        <v>3655</v>
      </c>
      <c r="G711" s="7">
        <v>667</v>
      </c>
      <c r="H711" s="7">
        <v>6</v>
      </c>
      <c r="I711" s="10" t="s">
        <v>30</v>
      </c>
      <c r="J711" s="9">
        <v>10000</v>
      </c>
      <c r="K711" s="43"/>
      <c r="L711" s="44"/>
      <c r="M711" s="18"/>
      <c r="N711" s="45"/>
      <c r="O711" s="45"/>
      <c r="P711" s="45"/>
      <c r="Q711" s="23">
        <v>44349</v>
      </c>
      <c r="R711" s="9">
        <v>1163</v>
      </c>
      <c r="S711" s="108">
        <v>10000</v>
      </c>
      <c r="U711" s="40">
        <f t="shared" si="14"/>
        <v>15496032.84</v>
      </c>
      <c r="Y711" s="65"/>
      <c r="Z711" s="35"/>
      <c r="AA711" s="34"/>
    </row>
    <row r="712" spans="1:27" ht="15.75" x14ac:dyDescent="0.25">
      <c r="A712" s="6">
        <v>1014</v>
      </c>
      <c r="B712" s="6" t="s">
        <v>1112</v>
      </c>
      <c r="C712" s="6" t="s">
        <v>1040</v>
      </c>
      <c r="D712" s="21">
        <v>44112</v>
      </c>
      <c r="E712" s="7" t="s">
        <v>32</v>
      </c>
      <c r="F712" s="7">
        <v>3671</v>
      </c>
      <c r="G712" s="7">
        <v>668</v>
      </c>
      <c r="H712" s="7">
        <v>12</v>
      </c>
      <c r="I712" s="10" t="s">
        <v>30</v>
      </c>
      <c r="J712" s="9">
        <v>2234</v>
      </c>
      <c r="K712" s="43"/>
      <c r="L712" s="44"/>
      <c r="M712" s="18"/>
      <c r="N712" s="45"/>
      <c r="O712" s="45"/>
      <c r="P712" s="45"/>
      <c r="Q712" s="23">
        <v>44477</v>
      </c>
      <c r="R712" s="9">
        <v>2473</v>
      </c>
      <c r="S712" s="108">
        <v>2234</v>
      </c>
      <c r="U712" s="40">
        <f t="shared" si="14"/>
        <v>15498266.84</v>
      </c>
      <c r="Y712" s="65"/>
      <c r="Z712" s="35"/>
      <c r="AA712" s="34"/>
    </row>
    <row r="713" spans="1:27" ht="15.75" x14ac:dyDescent="0.25">
      <c r="A713" s="6">
        <v>1080</v>
      </c>
      <c r="B713" s="6" t="s">
        <v>594</v>
      </c>
      <c r="C713" s="6" t="s">
        <v>595</v>
      </c>
      <c r="D713" s="21">
        <v>44116</v>
      </c>
      <c r="E713" s="7" t="s">
        <v>32</v>
      </c>
      <c r="F713" s="7">
        <v>3732</v>
      </c>
      <c r="G713" s="7">
        <v>669</v>
      </c>
      <c r="H713" s="7">
        <v>12</v>
      </c>
      <c r="I713" s="10" t="s">
        <v>30</v>
      </c>
      <c r="J713" s="9">
        <v>50000</v>
      </c>
      <c r="K713" s="43"/>
      <c r="L713" s="44"/>
      <c r="M713" s="18"/>
      <c r="N713" s="45"/>
      <c r="O713" s="45"/>
      <c r="P713" s="45"/>
      <c r="Q713" s="23">
        <v>44481</v>
      </c>
      <c r="R713" s="9">
        <v>3820</v>
      </c>
      <c r="S713" s="108">
        <v>50000</v>
      </c>
      <c r="U713" s="40">
        <f t="shared" si="14"/>
        <v>15548266.84</v>
      </c>
      <c r="Y713" s="65"/>
      <c r="Z713" s="35"/>
      <c r="AA713" s="34"/>
    </row>
    <row r="714" spans="1:27" ht="15.75" x14ac:dyDescent="0.25">
      <c r="A714" s="6">
        <v>1807</v>
      </c>
      <c r="B714" s="6" t="s">
        <v>345</v>
      </c>
      <c r="D714" s="21"/>
      <c r="G714" s="7">
        <v>670</v>
      </c>
      <c r="H714" s="7"/>
      <c r="K714" s="43"/>
      <c r="L714" s="44"/>
      <c r="M714" s="18"/>
      <c r="N714" s="45"/>
      <c r="O714" s="45"/>
      <c r="P714" s="45"/>
      <c r="U714" s="40">
        <f t="shared" si="14"/>
        <v>15548266.84</v>
      </c>
      <c r="Y714" s="65"/>
      <c r="Z714" s="35"/>
      <c r="AA714" s="34"/>
    </row>
    <row r="715" spans="1:27" ht="15.75" x14ac:dyDescent="0.25">
      <c r="A715" s="6">
        <v>1807</v>
      </c>
      <c r="B715" s="6" t="s">
        <v>1113</v>
      </c>
      <c r="C715" s="6" t="s">
        <v>1114</v>
      </c>
      <c r="D715" s="21">
        <v>44116</v>
      </c>
      <c r="E715" s="7" t="s">
        <v>32</v>
      </c>
      <c r="F715" s="7">
        <v>3747</v>
      </c>
      <c r="G715" s="7">
        <v>671</v>
      </c>
      <c r="H715" s="7">
        <v>12</v>
      </c>
      <c r="I715" s="10" t="s">
        <v>30</v>
      </c>
      <c r="J715" s="9">
        <v>60000</v>
      </c>
      <c r="K715" s="43"/>
      <c r="L715" s="44"/>
      <c r="M715" s="18"/>
      <c r="N715" s="45"/>
      <c r="O715" s="45"/>
      <c r="P715" s="45"/>
      <c r="Q715" s="23">
        <v>44481</v>
      </c>
      <c r="R715" s="9">
        <v>3867</v>
      </c>
      <c r="S715" s="108">
        <v>60000</v>
      </c>
      <c r="U715" s="40">
        <f t="shared" si="14"/>
        <v>15608266.84</v>
      </c>
      <c r="Y715" s="65"/>
      <c r="Z715" s="35"/>
      <c r="AA715" s="34"/>
    </row>
    <row r="716" spans="1:27" ht="15.75" x14ac:dyDescent="0.25">
      <c r="A716" s="6">
        <v>1808</v>
      </c>
      <c r="B716" s="6" t="s">
        <v>1115</v>
      </c>
      <c r="C716" s="6" t="s">
        <v>1116</v>
      </c>
      <c r="D716" s="21">
        <v>44116</v>
      </c>
      <c r="E716" s="7" t="s">
        <v>32</v>
      </c>
      <c r="F716" s="7">
        <v>3750</v>
      </c>
      <c r="G716" s="7">
        <v>672</v>
      </c>
      <c r="H716" s="7">
        <v>12</v>
      </c>
      <c r="I716" s="10" t="s">
        <v>30</v>
      </c>
      <c r="J716" s="9">
        <v>7500</v>
      </c>
      <c r="K716" s="43"/>
      <c r="L716" s="44"/>
      <c r="M716" s="18"/>
      <c r="N716" s="45"/>
      <c r="O716" s="45"/>
      <c r="P716" s="45"/>
      <c r="Q716" s="23">
        <v>44481</v>
      </c>
      <c r="R716" s="9">
        <v>3835</v>
      </c>
      <c r="S716" s="108">
        <v>7500</v>
      </c>
      <c r="U716" s="40">
        <f t="shared" si="14"/>
        <v>15615766.84</v>
      </c>
      <c r="Y716" s="65"/>
      <c r="Z716" s="35"/>
      <c r="AA716" s="34"/>
    </row>
    <row r="717" spans="1:27" ht="15.75" x14ac:dyDescent="0.25">
      <c r="A717" s="6">
        <v>365</v>
      </c>
      <c r="B717" s="6" t="s">
        <v>345</v>
      </c>
      <c r="D717" s="21"/>
      <c r="G717" s="7">
        <v>673</v>
      </c>
      <c r="H717" s="7"/>
      <c r="K717" s="43"/>
      <c r="L717" s="44"/>
      <c r="M717" s="18"/>
      <c r="N717" s="45"/>
      <c r="O717" s="45"/>
      <c r="P717" s="45"/>
      <c r="U717" s="40">
        <f t="shared" si="14"/>
        <v>15615766.84</v>
      </c>
      <c r="Y717" s="65"/>
      <c r="Z717" s="35"/>
      <c r="AA717" s="34"/>
    </row>
    <row r="718" spans="1:27" ht="15.75" x14ac:dyDescent="0.25">
      <c r="A718" s="6">
        <v>365</v>
      </c>
      <c r="B718" s="6" t="s">
        <v>345</v>
      </c>
      <c r="D718" s="21"/>
      <c r="G718" s="7">
        <v>674</v>
      </c>
      <c r="H718" s="7"/>
      <c r="K718" s="43"/>
      <c r="L718" s="44"/>
      <c r="M718" s="18"/>
      <c r="N718" s="45"/>
      <c r="O718" s="45"/>
      <c r="P718" s="45"/>
      <c r="U718" s="40">
        <f t="shared" si="14"/>
        <v>15615766.84</v>
      </c>
      <c r="Y718" s="65"/>
      <c r="Z718" s="35"/>
      <c r="AA718" s="34"/>
    </row>
    <row r="719" spans="1:27" ht="15.75" x14ac:dyDescent="0.25">
      <c r="A719" s="6">
        <v>365</v>
      </c>
      <c r="B719" s="6" t="s">
        <v>1117</v>
      </c>
      <c r="C719" s="6" t="s">
        <v>1118</v>
      </c>
      <c r="D719" s="21">
        <v>44116</v>
      </c>
      <c r="E719" s="7" t="s">
        <v>32</v>
      </c>
      <c r="F719" s="7">
        <v>3761</v>
      </c>
      <c r="G719" s="7">
        <v>675</v>
      </c>
      <c r="H719" s="7">
        <v>12</v>
      </c>
      <c r="I719" s="10" t="s">
        <v>30</v>
      </c>
      <c r="J719" s="9">
        <v>100000</v>
      </c>
      <c r="K719" s="43"/>
      <c r="L719" s="44"/>
      <c r="M719" s="18"/>
      <c r="N719" s="45"/>
      <c r="O719" s="45"/>
      <c r="P719" s="45"/>
      <c r="Q719" s="23">
        <v>44481</v>
      </c>
      <c r="R719" s="9">
        <v>3896</v>
      </c>
      <c r="S719" s="108">
        <v>100000</v>
      </c>
      <c r="U719" s="40">
        <f t="shared" si="14"/>
        <v>15715766.84</v>
      </c>
      <c r="Y719" s="65"/>
      <c r="Z719" s="35"/>
      <c r="AA719" s="34"/>
    </row>
    <row r="720" spans="1:27" ht="15.75" x14ac:dyDescent="0.25">
      <c r="A720" s="6">
        <v>1809</v>
      </c>
      <c r="B720" s="6" t="s">
        <v>1119</v>
      </c>
      <c r="C720" s="6" t="s">
        <v>1120</v>
      </c>
      <c r="D720" s="21">
        <v>44116</v>
      </c>
      <c r="E720" s="7" t="s">
        <v>32</v>
      </c>
      <c r="F720" s="7">
        <v>3777</v>
      </c>
      <c r="G720" s="7">
        <v>676</v>
      </c>
      <c r="H720" s="7">
        <v>6</v>
      </c>
      <c r="I720" s="10" t="s">
        <v>30</v>
      </c>
      <c r="J720" s="9">
        <v>40000</v>
      </c>
      <c r="K720" s="43"/>
      <c r="L720" s="44"/>
      <c r="M720" s="18"/>
      <c r="N720" s="45"/>
      <c r="O720" s="45"/>
      <c r="P720" s="45"/>
      <c r="Q720" s="23">
        <v>44298</v>
      </c>
      <c r="R720" s="9">
        <v>1383</v>
      </c>
      <c r="S720" s="108">
        <v>40000</v>
      </c>
      <c r="U720" s="40">
        <f t="shared" si="14"/>
        <v>15755766.84</v>
      </c>
      <c r="Y720" s="122"/>
      <c r="Z720" s="35"/>
      <c r="AA720" s="34"/>
    </row>
    <row r="721" spans="1:27" ht="15.75" x14ac:dyDescent="0.25">
      <c r="A721" s="6">
        <v>89</v>
      </c>
      <c r="B721" s="6" t="s">
        <v>741</v>
      </c>
      <c r="C721" s="6" t="s">
        <v>433</v>
      </c>
      <c r="D721" s="21">
        <v>44119</v>
      </c>
      <c r="E721" s="7" t="s">
        <v>32</v>
      </c>
      <c r="F721" s="7">
        <v>3870</v>
      </c>
      <c r="G721" s="7">
        <v>677</v>
      </c>
      <c r="H721" s="7">
        <v>12</v>
      </c>
      <c r="I721" s="10" t="s">
        <v>30</v>
      </c>
      <c r="J721" s="9">
        <v>3500</v>
      </c>
      <c r="K721" s="43"/>
      <c r="L721" s="44"/>
      <c r="M721" s="18"/>
      <c r="N721" s="45"/>
      <c r="O721" s="45"/>
      <c r="P721" s="45"/>
      <c r="Q721" s="23">
        <v>44484</v>
      </c>
      <c r="R721" s="9">
        <v>3887</v>
      </c>
      <c r="S721" s="108">
        <v>3500</v>
      </c>
      <c r="U721" s="40">
        <f t="shared" si="14"/>
        <v>15759266.84</v>
      </c>
      <c r="Y721" s="65"/>
      <c r="Z721" s="35"/>
      <c r="AA721" s="34"/>
    </row>
    <row r="722" spans="1:27" ht="15.75" x14ac:dyDescent="0.25">
      <c r="A722" s="6">
        <v>568</v>
      </c>
      <c r="B722" s="6" t="s">
        <v>833</v>
      </c>
      <c r="D722" s="21">
        <v>44123</v>
      </c>
      <c r="E722" s="7" t="s">
        <v>32</v>
      </c>
      <c r="F722" s="7">
        <v>3939</v>
      </c>
      <c r="G722" s="7">
        <v>678</v>
      </c>
      <c r="H722" s="7">
        <v>12</v>
      </c>
      <c r="I722" s="10" t="s">
        <v>30</v>
      </c>
      <c r="J722" s="9">
        <v>100000</v>
      </c>
      <c r="K722" s="43"/>
      <c r="L722" s="44"/>
      <c r="M722" s="18"/>
      <c r="N722" s="45"/>
      <c r="O722" s="45"/>
      <c r="P722" s="45"/>
      <c r="Q722" s="23">
        <v>44488</v>
      </c>
      <c r="R722" s="9">
        <v>4066</v>
      </c>
      <c r="S722" s="108">
        <v>100000</v>
      </c>
      <c r="U722" s="40">
        <f t="shared" si="14"/>
        <v>15859266.84</v>
      </c>
      <c r="Y722" s="65"/>
      <c r="Z722" s="35"/>
      <c r="AA722" s="34"/>
    </row>
    <row r="723" spans="1:27" ht="15.75" x14ac:dyDescent="0.25">
      <c r="A723" s="6">
        <v>708</v>
      </c>
      <c r="B723" s="6" t="s">
        <v>602</v>
      </c>
      <c r="C723" s="6" t="s">
        <v>1121</v>
      </c>
      <c r="D723" s="21">
        <v>44123</v>
      </c>
      <c r="E723" s="7" t="s">
        <v>32</v>
      </c>
      <c r="F723" s="7">
        <v>3941</v>
      </c>
      <c r="G723" s="7">
        <v>679</v>
      </c>
      <c r="H723" s="7">
        <v>12</v>
      </c>
      <c r="I723" s="10" t="s">
        <v>30</v>
      </c>
      <c r="J723" s="9">
        <v>20000</v>
      </c>
      <c r="K723" s="43"/>
      <c r="L723" s="44"/>
      <c r="M723" s="18"/>
      <c r="N723" s="45"/>
      <c r="O723" s="45"/>
      <c r="P723" s="45"/>
      <c r="Q723" s="23">
        <v>44488</v>
      </c>
      <c r="R723" s="9">
        <v>3974</v>
      </c>
      <c r="S723" s="108">
        <v>20000</v>
      </c>
      <c r="U723" s="40">
        <f t="shared" si="14"/>
        <v>15879266.84</v>
      </c>
      <c r="Y723" s="65"/>
      <c r="Z723" s="35"/>
      <c r="AA723" s="34"/>
    </row>
    <row r="724" spans="1:27" ht="15.75" x14ac:dyDescent="0.25">
      <c r="A724" s="6">
        <v>1818</v>
      </c>
      <c r="B724" s="6" t="s">
        <v>1122</v>
      </c>
      <c r="D724" s="21">
        <v>44123</v>
      </c>
      <c r="E724" s="7" t="s">
        <v>32</v>
      </c>
      <c r="F724" s="7">
        <v>3947</v>
      </c>
      <c r="G724" s="7">
        <v>680</v>
      </c>
      <c r="H724" s="7">
        <v>12</v>
      </c>
      <c r="I724" s="10" t="s">
        <v>30</v>
      </c>
      <c r="J724" s="9">
        <v>5000</v>
      </c>
      <c r="K724" s="43"/>
      <c r="L724" s="44"/>
      <c r="M724" s="18"/>
      <c r="N724" s="45"/>
      <c r="O724" s="45"/>
      <c r="P724" s="45"/>
      <c r="Q724" s="23">
        <v>44539</v>
      </c>
      <c r="R724" s="9">
        <v>4647</v>
      </c>
      <c r="S724" s="108">
        <v>5000</v>
      </c>
      <c r="U724" s="40">
        <f t="shared" si="14"/>
        <v>15884266.84</v>
      </c>
      <c r="Y724" s="65"/>
      <c r="Z724" s="35"/>
      <c r="AA724" s="34"/>
    </row>
    <row r="725" spans="1:27" ht="15.75" x14ac:dyDescent="0.25">
      <c r="A725" s="6">
        <v>1821</v>
      </c>
      <c r="B725" s="6" t="s">
        <v>1123</v>
      </c>
      <c r="C725" s="6" t="s">
        <v>1124</v>
      </c>
      <c r="D725" s="21">
        <v>44123</v>
      </c>
      <c r="E725" s="7" t="s">
        <v>32</v>
      </c>
      <c r="F725" s="7">
        <v>3962</v>
      </c>
      <c r="G725" s="7">
        <v>681</v>
      </c>
      <c r="H725" s="7">
        <v>12</v>
      </c>
      <c r="I725" s="10" t="s">
        <v>30</v>
      </c>
      <c r="J725" s="9">
        <v>5000</v>
      </c>
      <c r="K725" s="43"/>
      <c r="L725" s="44"/>
      <c r="M725" s="18"/>
      <c r="N725" s="45"/>
      <c r="O725" s="45"/>
      <c r="P725" s="45"/>
      <c r="Q725" s="23">
        <v>44488</v>
      </c>
      <c r="R725" s="9">
        <v>2515</v>
      </c>
      <c r="S725" s="108">
        <v>5000</v>
      </c>
      <c r="U725" s="40">
        <f t="shared" si="14"/>
        <v>15889266.84</v>
      </c>
      <c r="Y725" s="65"/>
      <c r="Z725" s="35"/>
      <c r="AA725" s="34"/>
    </row>
    <row r="726" spans="1:27" ht="15.75" x14ac:dyDescent="0.25">
      <c r="A726" s="6">
        <v>454</v>
      </c>
      <c r="B726" s="6" t="s">
        <v>1125</v>
      </c>
      <c r="C726" s="6" t="s">
        <v>1126</v>
      </c>
      <c r="D726" s="21">
        <v>44125</v>
      </c>
      <c r="E726" s="7" t="s">
        <v>32</v>
      </c>
      <c r="F726" s="7">
        <v>3989</v>
      </c>
      <c r="G726" s="7">
        <v>682</v>
      </c>
      <c r="H726" s="7">
        <v>12</v>
      </c>
      <c r="I726" s="10" t="s">
        <v>30</v>
      </c>
      <c r="J726" s="9">
        <v>30000</v>
      </c>
      <c r="K726" s="43"/>
      <c r="L726" s="44"/>
      <c r="M726" s="18"/>
      <c r="N726" s="45"/>
      <c r="O726" s="45"/>
      <c r="P726" s="45"/>
      <c r="Q726" s="23">
        <v>44307</v>
      </c>
      <c r="R726" s="9">
        <v>1496</v>
      </c>
      <c r="S726" s="108">
        <v>30000</v>
      </c>
      <c r="U726" s="40">
        <f t="shared" si="14"/>
        <v>15919266.84</v>
      </c>
      <c r="Y726" s="122"/>
      <c r="Z726" s="35"/>
      <c r="AA726" s="34"/>
    </row>
    <row r="727" spans="1:27" ht="15.75" x14ac:dyDescent="0.25">
      <c r="A727" s="6">
        <v>1824</v>
      </c>
      <c r="B727" s="6" t="s">
        <v>1127</v>
      </c>
      <c r="C727" s="6" t="s">
        <v>1128</v>
      </c>
      <c r="D727" s="21">
        <v>44125</v>
      </c>
      <c r="E727" s="7" t="s">
        <v>32</v>
      </c>
      <c r="F727" s="7">
        <v>4017</v>
      </c>
      <c r="G727" s="7">
        <v>683</v>
      </c>
      <c r="H727" s="7">
        <v>12</v>
      </c>
      <c r="I727" s="10" t="s">
        <v>30</v>
      </c>
      <c r="J727" s="9">
        <v>10000</v>
      </c>
      <c r="K727" s="43"/>
      <c r="L727" s="44"/>
      <c r="M727" s="18"/>
      <c r="N727" s="45"/>
      <c r="O727" s="45"/>
      <c r="P727" s="45"/>
      <c r="Q727" s="23">
        <v>44490</v>
      </c>
      <c r="R727" s="9">
        <v>4034</v>
      </c>
      <c r="S727" s="108">
        <v>10000</v>
      </c>
      <c r="U727" s="40">
        <f t="shared" si="14"/>
        <v>15929266.84</v>
      </c>
      <c r="Y727" s="65"/>
      <c r="Z727" s="35"/>
      <c r="AA727" s="34"/>
    </row>
    <row r="728" spans="1:27" ht="15.75" x14ac:dyDescent="0.25">
      <c r="A728" s="6">
        <v>415</v>
      </c>
      <c r="B728" s="6" t="s">
        <v>1129</v>
      </c>
      <c r="C728" s="6" t="s">
        <v>1130</v>
      </c>
      <c r="D728" s="21">
        <v>44128</v>
      </c>
      <c r="E728" s="7" t="s">
        <v>32</v>
      </c>
      <c r="F728" s="7">
        <v>4082</v>
      </c>
      <c r="G728" s="7">
        <v>684</v>
      </c>
      <c r="H728" s="7">
        <v>6</v>
      </c>
      <c r="I728" s="10" t="s">
        <v>30</v>
      </c>
      <c r="J728" s="9">
        <v>4000</v>
      </c>
      <c r="K728" s="43"/>
      <c r="L728" s="44"/>
      <c r="M728" s="18"/>
      <c r="N728" s="45"/>
      <c r="O728" s="45"/>
      <c r="P728" s="45"/>
      <c r="Q728" s="23">
        <v>44312</v>
      </c>
      <c r="R728" s="9">
        <v>1577</v>
      </c>
      <c r="S728" s="108">
        <v>4000</v>
      </c>
      <c r="U728" s="40">
        <f t="shared" si="14"/>
        <v>15933266.84</v>
      </c>
      <c r="Y728" s="65"/>
      <c r="Z728" s="35"/>
      <c r="AA728" s="34"/>
    </row>
    <row r="729" spans="1:27" ht="15.75" x14ac:dyDescent="0.25">
      <c r="A729" s="6">
        <v>521</v>
      </c>
      <c r="B729" s="6" t="s">
        <v>860</v>
      </c>
      <c r="C729" s="6" t="s">
        <v>1131</v>
      </c>
      <c r="D729" s="21">
        <v>44132</v>
      </c>
      <c r="E729" s="7" t="s">
        <v>32</v>
      </c>
      <c r="F729" s="7">
        <v>4189</v>
      </c>
      <c r="G729" s="7">
        <v>685</v>
      </c>
      <c r="H729" s="7">
        <v>6</v>
      </c>
      <c r="I729" s="10" t="s">
        <v>30</v>
      </c>
      <c r="J729" s="9">
        <v>105000</v>
      </c>
      <c r="K729" s="43"/>
      <c r="L729" s="44"/>
      <c r="M729" s="18"/>
      <c r="N729" s="45"/>
      <c r="O729" s="45"/>
      <c r="P729" s="45"/>
      <c r="Q729" s="23">
        <v>44314</v>
      </c>
      <c r="R729" s="9">
        <v>1141</v>
      </c>
      <c r="S729" s="108">
        <v>105000</v>
      </c>
      <c r="U729" s="40">
        <f t="shared" si="14"/>
        <v>16038266.84</v>
      </c>
      <c r="Y729" s="65"/>
      <c r="Z729" s="35"/>
      <c r="AA729" s="34"/>
    </row>
    <row r="730" spans="1:27" ht="15.75" x14ac:dyDescent="0.25">
      <c r="A730" s="6">
        <v>1337</v>
      </c>
      <c r="B730" s="6" t="s">
        <v>1132</v>
      </c>
      <c r="C730" s="6" t="s">
        <v>871</v>
      </c>
      <c r="D730" s="21">
        <v>44133</v>
      </c>
      <c r="E730" s="7" t="s">
        <v>32</v>
      </c>
      <c r="F730" s="7">
        <v>4229</v>
      </c>
      <c r="G730" s="7">
        <v>686</v>
      </c>
      <c r="H730" s="7">
        <v>6</v>
      </c>
      <c r="I730" s="10" t="s">
        <v>30</v>
      </c>
      <c r="J730" s="9">
        <v>52700</v>
      </c>
      <c r="K730" s="43"/>
      <c r="L730" s="44"/>
      <c r="M730" s="18"/>
      <c r="N730" s="45"/>
      <c r="O730" s="45"/>
      <c r="P730" s="45"/>
      <c r="Q730" s="23">
        <v>44315</v>
      </c>
      <c r="R730" s="9">
        <v>1622</v>
      </c>
      <c r="S730" s="108">
        <v>52700</v>
      </c>
      <c r="U730" s="40">
        <f t="shared" si="14"/>
        <v>16090966.84</v>
      </c>
      <c r="Y730" s="65"/>
      <c r="Z730" s="35"/>
      <c r="AA730" s="34"/>
    </row>
    <row r="731" spans="1:27" ht="15.75" x14ac:dyDescent="0.25">
      <c r="A731" s="6">
        <v>1849</v>
      </c>
      <c r="B731" s="6" t="s">
        <v>1133</v>
      </c>
      <c r="C731" s="6" t="s">
        <v>1134</v>
      </c>
      <c r="D731" s="21">
        <v>44138</v>
      </c>
      <c r="E731" s="7" t="s">
        <v>32</v>
      </c>
      <c r="F731" s="7">
        <v>4286</v>
      </c>
      <c r="G731" s="7">
        <v>687</v>
      </c>
      <c r="H731" s="7">
        <v>12</v>
      </c>
      <c r="I731" s="10" t="s">
        <v>30</v>
      </c>
      <c r="J731" s="9">
        <v>8000</v>
      </c>
      <c r="K731" s="43"/>
      <c r="L731" s="44"/>
      <c r="M731" s="18"/>
      <c r="N731" s="45"/>
      <c r="O731" s="45"/>
      <c r="P731" s="45"/>
      <c r="Q731" s="23">
        <v>44503</v>
      </c>
      <c r="R731" s="9">
        <v>4197</v>
      </c>
      <c r="S731" s="108">
        <v>8000</v>
      </c>
      <c r="U731" s="40">
        <f t="shared" si="14"/>
        <v>16098966.84</v>
      </c>
      <c r="Y731" s="65"/>
      <c r="Z731" s="35"/>
      <c r="AA731" s="34"/>
    </row>
    <row r="732" spans="1:27" ht="15.75" x14ac:dyDescent="0.25">
      <c r="A732" s="6">
        <v>1859</v>
      </c>
      <c r="B732" s="6" t="s">
        <v>1135</v>
      </c>
      <c r="C732" s="6" t="s">
        <v>1136</v>
      </c>
      <c r="D732" s="21">
        <v>44139</v>
      </c>
      <c r="E732" s="7" t="s">
        <v>32</v>
      </c>
      <c r="F732" s="7">
        <v>4367</v>
      </c>
      <c r="G732" s="7">
        <v>688</v>
      </c>
      <c r="H732" s="7">
        <v>12</v>
      </c>
      <c r="I732" s="10" t="s">
        <v>30</v>
      </c>
      <c r="J732" s="9">
        <v>100000</v>
      </c>
      <c r="K732" s="43"/>
      <c r="L732" s="44"/>
      <c r="M732" s="18"/>
      <c r="N732" s="45"/>
      <c r="O732" s="45"/>
      <c r="P732" s="45"/>
      <c r="Q732" s="23">
        <v>44504</v>
      </c>
      <c r="R732" s="9">
        <v>4440</v>
      </c>
      <c r="S732" s="108">
        <v>100000</v>
      </c>
      <c r="U732" s="40">
        <f t="shared" si="14"/>
        <v>16198966.84</v>
      </c>
      <c r="Y732" s="65"/>
      <c r="Z732" s="35"/>
      <c r="AA732" s="34"/>
    </row>
    <row r="733" spans="1:27" ht="15.75" x14ac:dyDescent="0.25">
      <c r="A733" s="6">
        <v>1862</v>
      </c>
      <c r="B733" s="6" t="s">
        <v>1137</v>
      </c>
      <c r="C733" s="6" t="s">
        <v>1138</v>
      </c>
      <c r="D733" s="21">
        <v>44141</v>
      </c>
      <c r="E733" s="7" t="s">
        <v>32</v>
      </c>
      <c r="F733" s="7">
        <v>4414</v>
      </c>
      <c r="G733" s="7">
        <v>689</v>
      </c>
      <c r="H733" s="7">
        <v>6</v>
      </c>
      <c r="I733" s="10" t="s">
        <v>30</v>
      </c>
      <c r="J733" s="9">
        <v>12000</v>
      </c>
      <c r="K733" s="43"/>
      <c r="L733" s="44"/>
      <c r="M733" s="18"/>
      <c r="N733" s="45"/>
      <c r="O733" s="45"/>
      <c r="P733" s="45"/>
      <c r="Q733" s="23">
        <v>44322</v>
      </c>
      <c r="R733" s="9">
        <v>1729</v>
      </c>
      <c r="S733" s="108">
        <v>12000</v>
      </c>
      <c r="U733" s="40">
        <f t="shared" si="14"/>
        <v>16210966.84</v>
      </c>
      <c r="Y733" s="65"/>
      <c r="Z733" s="35"/>
      <c r="AA733" s="34"/>
    </row>
    <row r="734" spans="1:27" ht="15.75" x14ac:dyDescent="0.25">
      <c r="A734" s="6">
        <v>1102</v>
      </c>
      <c r="B734" s="6" t="s">
        <v>614</v>
      </c>
      <c r="C734" s="6" t="s">
        <v>615</v>
      </c>
      <c r="D734" s="21">
        <v>44144</v>
      </c>
      <c r="E734" s="7" t="s">
        <v>32</v>
      </c>
      <c r="F734" s="7">
        <v>4449</v>
      </c>
      <c r="G734" s="7">
        <v>690</v>
      </c>
      <c r="H734" s="7">
        <v>12</v>
      </c>
      <c r="I734" s="10" t="s">
        <v>30</v>
      </c>
      <c r="J734" s="9">
        <v>16700</v>
      </c>
      <c r="K734" s="43"/>
      <c r="L734" s="44"/>
      <c r="M734" s="18"/>
      <c r="N734" s="45"/>
      <c r="O734" s="45"/>
      <c r="P734" s="45"/>
      <c r="Q734" s="23">
        <v>44509</v>
      </c>
      <c r="R734" s="9">
        <v>4274</v>
      </c>
      <c r="S734" s="108">
        <v>16700</v>
      </c>
      <c r="U734" s="40">
        <f t="shared" si="14"/>
        <v>16227666.84</v>
      </c>
      <c r="Y734" s="65"/>
      <c r="Z734" s="35"/>
      <c r="AA734" s="34"/>
    </row>
    <row r="735" spans="1:27" ht="15.75" x14ac:dyDescent="0.25">
      <c r="A735" s="6">
        <v>339</v>
      </c>
      <c r="B735" s="6" t="s">
        <v>310</v>
      </c>
      <c r="D735" s="21">
        <v>44144</v>
      </c>
      <c r="E735" s="7" t="s">
        <v>32</v>
      </c>
      <c r="F735" s="7">
        <v>4453</v>
      </c>
      <c r="G735" s="7">
        <v>691</v>
      </c>
      <c r="H735" s="7">
        <v>6</v>
      </c>
      <c r="I735" s="10" t="s">
        <v>30</v>
      </c>
      <c r="J735" s="9">
        <v>1400</v>
      </c>
      <c r="K735" s="43"/>
      <c r="L735" s="44"/>
      <c r="M735" s="18"/>
      <c r="N735" s="45"/>
      <c r="O735" s="45"/>
      <c r="P735" s="45"/>
      <c r="Q735" s="23">
        <v>44331</v>
      </c>
      <c r="R735" s="9">
        <v>1240</v>
      </c>
      <c r="S735" s="108">
        <v>1400</v>
      </c>
      <c r="U735" s="40">
        <f t="shared" si="14"/>
        <v>16229066.84</v>
      </c>
      <c r="Y735" s="65"/>
      <c r="Z735" s="35"/>
      <c r="AA735" s="34"/>
    </row>
    <row r="736" spans="1:27" ht="15.75" x14ac:dyDescent="0.25">
      <c r="A736" s="6">
        <v>651</v>
      </c>
      <c r="B736" s="6" t="s">
        <v>688</v>
      </c>
      <c r="C736" s="6" t="s">
        <v>233</v>
      </c>
      <c r="D736" s="21">
        <v>44144</v>
      </c>
      <c r="E736" s="7" t="s">
        <v>32</v>
      </c>
      <c r="F736" s="7">
        <v>4455</v>
      </c>
      <c r="G736" s="7">
        <v>692</v>
      </c>
      <c r="H736" s="7">
        <v>6</v>
      </c>
      <c r="I736" s="10" t="s">
        <v>30</v>
      </c>
      <c r="J736" s="9">
        <v>63000</v>
      </c>
      <c r="K736" s="43"/>
      <c r="L736" s="44"/>
      <c r="M736" s="18"/>
      <c r="N736" s="45"/>
      <c r="O736" s="45"/>
      <c r="P736" s="45"/>
      <c r="Q736" s="23">
        <v>44326</v>
      </c>
      <c r="R736" s="9">
        <v>1791</v>
      </c>
      <c r="S736" s="108">
        <v>63000</v>
      </c>
      <c r="U736" s="40">
        <f t="shared" si="14"/>
        <v>16292066.84</v>
      </c>
      <c r="Y736" s="65"/>
      <c r="Z736" s="35"/>
      <c r="AA736" s="34"/>
    </row>
    <row r="737" spans="1:27" ht="15.75" x14ac:dyDescent="0.25">
      <c r="A737" s="6">
        <v>1351</v>
      </c>
      <c r="B737" s="6" t="s">
        <v>889</v>
      </c>
      <c r="C737" s="6" t="s">
        <v>890</v>
      </c>
      <c r="D737" s="21">
        <v>44144</v>
      </c>
      <c r="E737" s="7" t="s">
        <v>32</v>
      </c>
      <c r="F737" s="7">
        <v>4457</v>
      </c>
      <c r="G737" s="7">
        <v>693</v>
      </c>
      <c r="H737" s="7">
        <v>6</v>
      </c>
      <c r="I737" s="10" t="s">
        <v>30</v>
      </c>
      <c r="J737" s="9">
        <v>20000</v>
      </c>
      <c r="K737" s="43"/>
      <c r="L737" s="44"/>
      <c r="M737" s="18"/>
      <c r="N737" s="45"/>
      <c r="O737" s="45"/>
      <c r="P737" s="45"/>
      <c r="Q737" s="23">
        <v>44326</v>
      </c>
      <c r="R737" s="9">
        <v>1770</v>
      </c>
      <c r="S737" s="108">
        <v>20000</v>
      </c>
      <c r="U737" s="40">
        <f t="shared" si="14"/>
        <v>16312066.84</v>
      </c>
      <c r="Y737" s="65"/>
      <c r="Z737" s="35"/>
      <c r="AA737" s="34"/>
    </row>
    <row r="738" spans="1:27" ht="15.75" x14ac:dyDescent="0.25">
      <c r="A738" s="6">
        <v>1866</v>
      </c>
      <c r="B738" s="6" t="s">
        <v>1139</v>
      </c>
      <c r="C738" s="6" t="s">
        <v>1140</v>
      </c>
      <c r="D738" s="21">
        <v>44144</v>
      </c>
      <c r="E738" s="7" t="s">
        <v>32</v>
      </c>
      <c r="F738" s="7">
        <v>4480</v>
      </c>
      <c r="G738" s="7">
        <v>694</v>
      </c>
      <c r="H738" s="7">
        <v>12</v>
      </c>
      <c r="I738" s="10" t="s">
        <v>30</v>
      </c>
      <c r="J738" s="9">
        <v>5000</v>
      </c>
      <c r="K738" s="43"/>
      <c r="L738" s="44"/>
      <c r="M738" s="18"/>
      <c r="N738" s="45"/>
      <c r="O738" s="45"/>
      <c r="P738" s="45"/>
      <c r="Q738" s="23">
        <v>44509</v>
      </c>
      <c r="R738" s="9">
        <v>2631</v>
      </c>
      <c r="S738" s="108">
        <v>5000</v>
      </c>
      <c r="U738" s="40">
        <f t="shared" si="14"/>
        <v>16317066.84</v>
      </c>
      <c r="Y738" s="65"/>
      <c r="Z738" s="35"/>
      <c r="AA738" s="34"/>
    </row>
    <row r="739" spans="1:27" ht="15.75" x14ac:dyDescent="0.25">
      <c r="A739" s="6">
        <v>1867</v>
      </c>
      <c r="B739" s="6" t="s">
        <v>1141</v>
      </c>
      <c r="C739" s="6" t="s">
        <v>1142</v>
      </c>
      <c r="D739" s="21">
        <v>44144</v>
      </c>
      <c r="E739" s="7" t="s">
        <v>32</v>
      </c>
      <c r="F739" s="7">
        <v>4493</v>
      </c>
      <c r="G739" s="7">
        <v>695</v>
      </c>
      <c r="H739" s="7">
        <v>6</v>
      </c>
      <c r="I739" s="10" t="s">
        <v>30</v>
      </c>
      <c r="J739" s="9">
        <v>19000</v>
      </c>
      <c r="K739" s="43"/>
      <c r="L739" s="44"/>
      <c r="M739" s="18"/>
      <c r="N739" s="45"/>
      <c r="O739" s="45"/>
      <c r="P739" s="45"/>
      <c r="Q739" s="23">
        <v>44326</v>
      </c>
      <c r="R739" s="9">
        <v>1786</v>
      </c>
      <c r="S739" s="108">
        <v>19000</v>
      </c>
      <c r="U739" s="40">
        <f t="shared" si="14"/>
        <v>16336066.84</v>
      </c>
      <c r="Y739" s="65"/>
      <c r="Z739" s="35"/>
      <c r="AA739" s="34"/>
    </row>
    <row r="740" spans="1:27" ht="15.75" x14ac:dyDescent="0.25">
      <c r="A740" s="6" t="s">
        <v>28</v>
      </c>
      <c r="B740" s="6" t="s">
        <v>345</v>
      </c>
      <c r="D740" s="21"/>
      <c r="G740" s="7">
        <v>696</v>
      </c>
      <c r="H740" s="7"/>
      <c r="K740" s="43"/>
      <c r="L740" s="44"/>
      <c r="M740" s="18"/>
      <c r="N740" s="45"/>
      <c r="O740" s="45"/>
      <c r="P740" s="45"/>
      <c r="U740" s="40">
        <f t="shared" si="14"/>
        <v>16336066.84</v>
      </c>
      <c r="Y740" s="65"/>
      <c r="Z740" s="35"/>
      <c r="AA740" s="34"/>
    </row>
    <row r="741" spans="1:27" ht="15.75" x14ac:dyDescent="0.25">
      <c r="A741" s="6">
        <v>1872</v>
      </c>
      <c r="B741" s="6" t="s">
        <v>345</v>
      </c>
      <c r="D741" s="21"/>
      <c r="G741" s="7">
        <v>697</v>
      </c>
      <c r="H741" s="7"/>
      <c r="K741" s="43"/>
      <c r="L741" s="44"/>
      <c r="M741" s="18"/>
      <c r="N741" s="45"/>
      <c r="O741" s="45"/>
      <c r="P741" s="45"/>
      <c r="U741" s="40">
        <f t="shared" si="14"/>
        <v>16336066.84</v>
      </c>
      <c r="Y741" s="65"/>
      <c r="Z741" s="35"/>
      <c r="AA741" s="34"/>
    </row>
    <row r="742" spans="1:27" ht="15.75" x14ac:dyDescent="0.25">
      <c r="A742" s="6">
        <v>1872</v>
      </c>
      <c r="B742" s="6" t="s">
        <v>1143</v>
      </c>
      <c r="C742" s="6" t="s">
        <v>1144</v>
      </c>
      <c r="D742" s="21">
        <v>44145</v>
      </c>
      <c r="E742" s="7" t="s">
        <v>32</v>
      </c>
      <c r="F742" s="7">
        <v>4550</v>
      </c>
      <c r="G742" s="7">
        <v>698</v>
      </c>
      <c r="H742" s="7">
        <v>12</v>
      </c>
      <c r="I742" s="10" t="s">
        <v>30</v>
      </c>
      <c r="J742" s="9">
        <v>58500</v>
      </c>
      <c r="K742" s="43"/>
      <c r="L742" s="44"/>
      <c r="M742" s="18"/>
      <c r="N742" s="45"/>
      <c r="O742" s="45"/>
      <c r="P742" s="45"/>
      <c r="Q742" s="23">
        <v>44510</v>
      </c>
      <c r="R742" s="9">
        <v>2643</v>
      </c>
      <c r="S742" s="108">
        <v>58500</v>
      </c>
      <c r="U742" s="40">
        <f t="shared" ref="U742:U805" si="15">U741+S742-T742</f>
        <v>16394566.84</v>
      </c>
      <c r="Y742" s="65"/>
      <c r="Z742" s="35"/>
      <c r="AA742" s="34"/>
    </row>
    <row r="743" spans="1:27" ht="15.75" x14ac:dyDescent="0.25">
      <c r="A743" s="6">
        <v>1874</v>
      </c>
      <c r="B743" s="6" t="s">
        <v>1145</v>
      </c>
      <c r="C743" s="6" t="s">
        <v>1146</v>
      </c>
      <c r="D743" s="21">
        <v>44146</v>
      </c>
      <c r="E743" s="7" t="s">
        <v>32</v>
      </c>
      <c r="F743" s="7">
        <v>4559</v>
      </c>
      <c r="G743" s="7">
        <v>699</v>
      </c>
      <c r="H743" s="7">
        <v>6</v>
      </c>
      <c r="I743" s="10" t="s">
        <v>30</v>
      </c>
      <c r="J743" s="9">
        <v>50000</v>
      </c>
      <c r="K743" s="43"/>
      <c r="L743" s="44"/>
      <c r="M743" s="18"/>
      <c r="N743" s="45"/>
      <c r="O743" s="45"/>
      <c r="P743" s="45"/>
      <c r="Q743" s="23">
        <v>44341</v>
      </c>
      <c r="R743" s="9">
        <v>2015</v>
      </c>
      <c r="S743" s="108">
        <v>50000</v>
      </c>
      <c r="U743" s="40">
        <f t="shared" si="15"/>
        <v>16444566.84</v>
      </c>
      <c r="Y743" s="65"/>
      <c r="Z743" s="35"/>
      <c r="AA743" s="34"/>
    </row>
    <row r="744" spans="1:27" ht="15.75" x14ac:dyDescent="0.25">
      <c r="A744" s="6">
        <v>1875</v>
      </c>
      <c r="B744" s="6" t="s">
        <v>1147</v>
      </c>
      <c r="C744" s="6" t="s">
        <v>1148</v>
      </c>
      <c r="D744" s="21">
        <v>44146</v>
      </c>
      <c r="E744" s="7" t="s">
        <v>32</v>
      </c>
      <c r="F744" s="7">
        <v>4563</v>
      </c>
      <c r="G744" s="7">
        <v>700</v>
      </c>
      <c r="H744" s="7">
        <v>12</v>
      </c>
      <c r="I744" s="10" t="s">
        <v>30</v>
      </c>
      <c r="J744" s="9">
        <v>50000</v>
      </c>
      <c r="K744" s="43"/>
      <c r="L744" s="44"/>
      <c r="M744" s="18"/>
      <c r="N744" s="45"/>
      <c r="O744" s="45"/>
      <c r="P744" s="45"/>
      <c r="Q744" s="23">
        <v>44511</v>
      </c>
      <c r="R744" s="9">
        <v>4300</v>
      </c>
      <c r="S744" s="108">
        <v>50000</v>
      </c>
      <c r="U744" s="40">
        <f t="shared" si="15"/>
        <v>16494566.84</v>
      </c>
      <c r="Y744" s="65"/>
      <c r="Z744" s="35"/>
      <c r="AA744" s="34"/>
    </row>
    <row r="745" spans="1:27" ht="15.75" x14ac:dyDescent="0.25">
      <c r="A745" s="6">
        <v>1087</v>
      </c>
      <c r="B745" s="6" t="s">
        <v>605</v>
      </c>
      <c r="C745" s="6" t="s">
        <v>1149</v>
      </c>
      <c r="D745" s="21">
        <v>44146</v>
      </c>
      <c r="E745" s="7" t="s">
        <v>32</v>
      </c>
      <c r="F745" s="7">
        <v>4571</v>
      </c>
      <c r="G745" s="7">
        <v>701</v>
      </c>
      <c r="H745" s="7">
        <v>12</v>
      </c>
      <c r="I745" s="10" t="s">
        <v>30</v>
      </c>
      <c r="J745" s="9">
        <v>7000</v>
      </c>
      <c r="K745" s="43"/>
      <c r="L745" s="44"/>
      <c r="M745" s="18"/>
      <c r="N745" s="45"/>
      <c r="O745" s="45"/>
      <c r="P745" s="45"/>
      <c r="Q745" s="23">
        <v>44511</v>
      </c>
      <c r="R745" s="9">
        <v>2683</v>
      </c>
      <c r="S745" s="108">
        <v>7000</v>
      </c>
      <c r="U745" s="40">
        <f t="shared" si="15"/>
        <v>16501566.84</v>
      </c>
      <c r="Y745" s="65"/>
      <c r="Z745" s="35"/>
      <c r="AA745" s="34"/>
    </row>
    <row r="746" spans="1:27" ht="15.75" x14ac:dyDescent="0.25">
      <c r="A746" s="6">
        <v>909</v>
      </c>
      <c r="B746" s="6" t="s">
        <v>892</v>
      </c>
      <c r="C746" s="6" t="s">
        <v>400</v>
      </c>
      <c r="D746" s="21">
        <v>44146</v>
      </c>
      <c r="E746" s="7" t="s">
        <v>32</v>
      </c>
      <c r="F746" s="7">
        <v>4576</v>
      </c>
      <c r="G746" s="7">
        <v>702</v>
      </c>
      <c r="H746" s="7">
        <v>12</v>
      </c>
      <c r="I746" s="10" t="s">
        <v>30</v>
      </c>
      <c r="J746" s="9">
        <v>19500</v>
      </c>
      <c r="K746" s="43"/>
      <c r="L746" s="44"/>
      <c r="M746" s="18"/>
      <c r="N746" s="45"/>
      <c r="O746" s="45"/>
      <c r="P746" s="45"/>
      <c r="Q746" s="23">
        <v>44511</v>
      </c>
      <c r="R746" s="9">
        <v>4307</v>
      </c>
      <c r="S746" s="108">
        <v>19500</v>
      </c>
      <c r="U746" s="40">
        <f t="shared" si="15"/>
        <v>16521066.84</v>
      </c>
      <c r="Y746" s="65"/>
      <c r="Z746" s="35"/>
      <c r="AA746" s="34"/>
    </row>
    <row r="747" spans="1:27" ht="15.75" x14ac:dyDescent="0.25">
      <c r="A747" s="6">
        <v>390</v>
      </c>
      <c r="B747" s="6" t="s">
        <v>1150</v>
      </c>
      <c r="D747" s="21">
        <v>44149</v>
      </c>
      <c r="E747" s="7" t="s">
        <v>32</v>
      </c>
      <c r="F747" s="7">
        <v>4653</v>
      </c>
      <c r="G747" s="7">
        <v>703</v>
      </c>
      <c r="H747" s="7">
        <v>12</v>
      </c>
      <c r="I747" s="10" t="s">
        <v>30</v>
      </c>
      <c r="J747" s="9">
        <v>12500</v>
      </c>
      <c r="K747" s="43"/>
      <c r="L747" s="44"/>
      <c r="M747" s="18"/>
      <c r="N747" s="45"/>
      <c r="O747" s="45"/>
      <c r="P747" s="45"/>
      <c r="Q747" s="23">
        <v>44330</v>
      </c>
      <c r="R747" s="9">
        <v>1871</v>
      </c>
      <c r="S747" s="108">
        <v>12500</v>
      </c>
      <c r="U747" s="40">
        <f t="shared" si="15"/>
        <v>16533566.84</v>
      </c>
      <c r="Y747" s="65"/>
      <c r="Z747" s="35"/>
      <c r="AA747" s="34"/>
    </row>
    <row r="748" spans="1:27" ht="15.75" x14ac:dyDescent="0.25">
      <c r="A748" s="6">
        <v>1885</v>
      </c>
      <c r="B748" s="6" t="s">
        <v>1151</v>
      </c>
      <c r="C748" s="6" t="s">
        <v>1152</v>
      </c>
      <c r="D748" s="21">
        <v>44149</v>
      </c>
      <c r="E748" s="7" t="s">
        <v>32</v>
      </c>
      <c r="F748" s="7">
        <v>4663</v>
      </c>
      <c r="G748" s="7">
        <v>704</v>
      </c>
      <c r="H748" s="7">
        <v>12</v>
      </c>
      <c r="I748" s="10" t="s">
        <v>30</v>
      </c>
      <c r="J748" s="9">
        <v>100000</v>
      </c>
      <c r="K748" s="43"/>
      <c r="L748" s="44"/>
      <c r="M748" s="18"/>
      <c r="N748" s="45"/>
      <c r="O748" s="45"/>
      <c r="P748" s="45"/>
      <c r="Q748" s="23">
        <v>44514</v>
      </c>
      <c r="R748" s="9">
        <v>4328</v>
      </c>
      <c r="S748" s="108">
        <v>100000</v>
      </c>
      <c r="U748" s="40">
        <f t="shared" si="15"/>
        <v>16633566.84</v>
      </c>
      <c r="Y748" s="65"/>
      <c r="Z748" s="35"/>
      <c r="AA748" s="34"/>
    </row>
    <row r="749" spans="1:27" ht="15.75" x14ac:dyDescent="0.25">
      <c r="A749" s="6">
        <v>927</v>
      </c>
      <c r="B749" s="6" t="s">
        <v>643</v>
      </c>
      <c r="C749" s="6" t="s">
        <v>1153</v>
      </c>
      <c r="D749" s="21">
        <v>44151</v>
      </c>
      <c r="E749" s="7" t="s">
        <v>32</v>
      </c>
      <c r="F749" s="7">
        <v>4665</v>
      </c>
      <c r="G749" s="7">
        <v>705</v>
      </c>
      <c r="H749" s="7">
        <v>6</v>
      </c>
      <c r="I749" s="10" t="s">
        <v>30</v>
      </c>
      <c r="J749" s="9">
        <v>10000</v>
      </c>
      <c r="K749" s="43"/>
      <c r="L749" s="44"/>
      <c r="M749" s="18"/>
      <c r="N749" s="45"/>
      <c r="O749" s="45"/>
      <c r="P749" s="45"/>
      <c r="Q749" s="23">
        <v>44333</v>
      </c>
      <c r="R749" s="9">
        <v>1882</v>
      </c>
      <c r="S749" s="108">
        <v>10000</v>
      </c>
      <c r="U749" s="40">
        <f t="shared" si="15"/>
        <v>16643566.84</v>
      </c>
      <c r="Y749" s="65"/>
      <c r="Z749" s="35"/>
      <c r="AA749" s="34"/>
    </row>
    <row r="750" spans="1:27" ht="15.75" x14ac:dyDescent="0.25">
      <c r="A750" s="6">
        <v>1358</v>
      </c>
      <c r="B750" s="6" t="s">
        <v>894</v>
      </c>
      <c r="C750" s="6" t="s">
        <v>1154</v>
      </c>
      <c r="D750" s="21">
        <v>44151</v>
      </c>
      <c r="E750" s="7" t="s">
        <v>32</v>
      </c>
      <c r="F750" s="7">
        <v>4679</v>
      </c>
      <c r="G750" s="7">
        <v>706</v>
      </c>
      <c r="H750" s="7">
        <v>6</v>
      </c>
      <c r="I750" s="10" t="s">
        <v>30</v>
      </c>
      <c r="J750" s="9">
        <v>105000</v>
      </c>
      <c r="K750" s="43"/>
      <c r="L750" s="44"/>
      <c r="M750" s="18"/>
      <c r="N750" s="45"/>
      <c r="O750" s="45"/>
      <c r="P750" s="45"/>
      <c r="Q750" s="23">
        <v>44333</v>
      </c>
      <c r="R750" s="9">
        <v>1892</v>
      </c>
      <c r="S750" s="108">
        <v>105000</v>
      </c>
      <c r="U750" s="40">
        <f t="shared" si="15"/>
        <v>16748566.84</v>
      </c>
      <c r="Y750" s="65"/>
      <c r="Z750" s="35"/>
      <c r="AA750" s="34"/>
    </row>
    <row r="751" spans="1:27" ht="15.75" x14ac:dyDescent="0.25">
      <c r="A751" s="6">
        <v>1112</v>
      </c>
      <c r="B751" s="6" t="s">
        <v>1155</v>
      </c>
      <c r="C751" s="6" t="s">
        <v>307</v>
      </c>
      <c r="D751" s="21">
        <v>44151</v>
      </c>
      <c r="E751" s="7" t="s">
        <v>32</v>
      </c>
      <c r="F751" s="7">
        <v>4703</v>
      </c>
      <c r="G751" s="7">
        <v>707</v>
      </c>
      <c r="H751" s="7">
        <v>12</v>
      </c>
      <c r="I751" s="10" t="s">
        <v>30</v>
      </c>
      <c r="J751" s="9">
        <v>11143.5</v>
      </c>
      <c r="K751" s="43"/>
      <c r="L751" s="44"/>
      <c r="M751" s="18"/>
      <c r="N751" s="45"/>
      <c r="O751" s="45"/>
      <c r="P751" s="45"/>
      <c r="Q751" s="23">
        <v>44516</v>
      </c>
      <c r="R751" s="9">
        <v>4415</v>
      </c>
      <c r="S751" s="117">
        <v>11143.5</v>
      </c>
      <c r="U751" s="40">
        <f t="shared" si="15"/>
        <v>16759710.34</v>
      </c>
      <c r="Y751" s="65"/>
      <c r="Z751" s="35"/>
      <c r="AA751" s="34"/>
    </row>
    <row r="752" spans="1:27" ht="15.75" x14ac:dyDescent="0.25">
      <c r="A752" s="6">
        <v>685</v>
      </c>
      <c r="B752" s="6" t="s">
        <v>589</v>
      </c>
      <c r="C752" s="6" t="s">
        <v>590</v>
      </c>
      <c r="D752" s="21">
        <v>44152</v>
      </c>
      <c r="E752" s="7" t="s">
        <v>32</v>
      </c>
      <c r="F752" s="7">
        <v>4710</v>
      </c>
      <c r="G752" s="7">
        <v>708</v>
      </c>
      <c r="H752" s="7">
        <v>12</v>
      </c>
      <c r="I752" s="10" t="s">
        <v>30</v>
      </c>
      <c r="J752" s="9">
        <v>58000</v>
      </c>
      <c r="K752" s="43"/>
      <c r="L752" s="44"/>
      <c r="M752" s="18"/>
      <c r="N752" s="45"/>
      <c r="O752" s="45"/>
      <c r="P752" s="45"/>
      <c r="Q752" s="23">
        <v>44517</v>
      </c>
      <c r="R752" s="9">
        <v>2773</v>
      </c>
      <c r="S752" s="117">
        <v>58000</v>
      </c>
      <c r="U752" s="40">
        <f t="shared" si="15"/>
        <v>16817710.34</v>
      </c>
      <c r="Y752" s="65"/>
      <c r="Z752" s="35"/>
      <c r="AA752" s="34"/>
    </row>
    <row r="753" spans="1:27" ht="15.75" x14ac:dyDescent="0.25">
      <c r="A753" s="6">
        <v>1113</v>
      </c>
      <c r="B753" s="6" t="s">
        <v>636</v>
      </c>
      <c r="C753" s="6" t="s">
        <v>637</v>
      </c>
      <c r="D753" s="21">
        <v>44152</v>
      </c>
      <c r="E753" s="7" t="s">
        <v>32</v>
      </c>
      <c r="F753" s="7">
        <v>4724</v>
      </c>
      <c r="G753" s="7">
        <v>709</v>
      </c>
      <c r="H753" s="7">
        <v>12</v>
      </c>
      <c r="I753" s="10" t="s">
        <v>30</v>
      </c>
      <c r="J753" s="9">
        <v>5500</v>
      </c>
      <c r="K753" s="43"/>
      <c r="L753" s="44"/>
      <c r="M753" s="18"/>
      <c r="N753" s="45"/>
      <c r="O753" s="45"/>
      <c r="P753" s="45"/>
      <c r="Q753" s="23">
        <v>44517</v>
      </c>
      <c r="R753" s="9">
        <v>4352</v>
      </c>
      <c r="S753" s="108">
        <v>5500</v>
      </c>
      <c r="U753" s="40">
        <f>U752+S753-T753</f>
        <v>16823210.34</v>
      </c>
      <c r="Y753" s="65"/>
      <c r="Z753" s="35"/>
      <c r="AA753" s="34"/>
    </row>
    <row r="754" spans="1:27" ht="15.75" x14ac:dyDescent="0.25">
      <c r="A754" s="6">
        <v>671</v>
      </c>
      <c r="B754" s="6" t="s">
        <v>1156</v>
      </c>
      <c r="C754" s="6" t="s">
        <v>1157</v>
      </c>
      <c r="D754" s="21">
        <v>44152</v>
      </c>
      <c r="E754" s="7" t="s">
        <v>32</v>
      </c>
      <c r="F754" s="7">
        <v>4737</v>
      </c>
      <c r="G754" s="7">
        <v>710</v>
      </c>
      <c r="H754" s="7">
        <v>12</v>
      </c>
      <c r="I754" s="10" t="s">
        <v>30</v>
      </c>
      <c r="J754" s="9">
        <v>7500</v>
      </c>
      <c r="K754" s="43"/>
      <c r="L754" s="44"/>
      <c r="M754" s="18"/>
      <c r="N754" s="45"/>
      <c r="O754" s="45"/>
      <c r="P754" s="45"/>
      <c r="Q754" s="23">
        <v>44517</v>
      </c>
      <c r="R754" s="9">
        <v>2729</v>
      </c>
      <c r="S754" s="108">
        <v>7500</v>
      </c>
      <c r="U754" s="40">
        <f t="shared" si="15"/>
        <v>16830710.34</v>
      </c>
      <c r="Y754" s="65"/>
      <c r="Z754" s="35"/>
      <c r="AA754" s="34"/>
    </row>
    <row r="755" spans="1:27" ht="15.75" x14ac:dyDescent="0.25">
      <c r="A755" s="6">
        <v>1053</v>
      </c>
      <c r="B755" s="6" t="s">
        <v>1158</v>
      </c>
      <c r="C755" s="6" t="s">
        <v>1159</v>
      </c>
      <c r="D755" s="21">
        <v>44152</v>
      </c>
      <c r="E755" s="7" t="s">
        <v>32</v>
      </c>
      <c r="F755" s="7">
        <v>4741</v>
      </c>
      <c r="G755" s="7">
        <v>711</v>
      </c>
      <c r="H755" s="7">
        <v>12</v>
      </c>
      <c r="I755" s="10" t="s">
        <v>30</v>
      </c>
      <c r="J755" s="9">
        <v>15000</v>
      </c>
      <c r="K755" s="43"/>
      <c r="L755" s="44"/>
      <c r="M755" s="18"/>
      <c r="N755" s="45"/>
      <c r="O755" s="45"/>
      <c r="P755" s="45"/>
      <c r="Q755" s="23">
        <v>44517</v>
      </c>
      <c r="R755" s="9">
        <v>4355</v>
      </c>
      <c r="S755" s="108">
        <v>15000</v>
      </c>
      <c r="U755" s="40">
        <f t="shared" si="15"/>
        <v>16845710.34</v>
      </c>
      <c r="Y755" s="65"/>
      <c r="Z755" s="35"/>
      <c r="AA755" s="34"/>
    </row>
    <row r="756" spans="1:27" ht="15.75" x14ac:dyDescent="0.25">
      <c r="A756" s="6">
        <v>1189</v>
      </c>
      <c r="B756" s="6" t="s">
        <v>1160</v>
      </c>
      <c r="C756" s="6" t="s">
        <v>729</v>
      </c>
      <c r="D756" s="21">
        <v>44153</v>
      </c>
      <c r="E756" s="7" t="s">
        <v>32</v>
      </c>
      <c r="F756" s="7">
        <v>4787</v>
      </c>
      <c r="G756" s="7">
        <v>712</v>
      </c>
      <c r="H756" s="7">
        <v>12</v>
      </c>
      <c r="I756" s="10" t="s">
        <v>30</v>
      </c>
      <c r="J756" s="9">
        <v>100000</v>
      </c>
      <c r="K756" s="43"/>
      <c r="L756" s="44"/>
      <c r="M756" s="18"/>
      <c r="N756" s="45"/>
      <c r="O756" s="45"/>
      <c r="P756" s="45"/>
      <c r="Q756" s="23">
        <v>44518</v>
      </c>
      <c r="R756" s="9">
        <v>4361</v>
      </c>
      <c r="S756" s="108">
        <v>100000</v>
      </c>
      <c r="U756" s="40">
        <f t="shared" si="15"/>
        <v>16945710.34</v>
      </c>
      <c r="Y756" s="65"/>
      <c r="Z756" s="35"/>
      <c r="AA756" s="34"/>
    </row>
    <row r="757" spans="1:27" ht="15.75" x14ac:dyDescent="0.25">
      <c r="A757" s="6">
        <v>1104</v>
      </c>
      <c r="B757" s="6" t="s">
        <v>901</v>
      </c>
      <c r="C757" s="6" t="s">
        <v>623</v>
      </c>
      <c r="D757" s="21">
        <v>44154</v>
      </c>
      <c r="E757" s="7" t="s">
        <v>32</v>
      </c>
      <c r="F757" s="7">
        <v>4796</v>
      </c>
      <c r="G757" s="7">
        <v>713</v>
      </c>
      <c r="H757" s="7">
        <v>6</v>
      </c>
      <c r="I757" s="10" t="s">
        <v>30</v>
      </c>
      <c r="J757" s="9">
        <v>20000</v>
      </c>
      <c r="K757" s="43"/>
      <c r="L757" s="44"/>
      <c r="M757" s="18"/>
      <c r="N757" s="45"/>
      <c r="O757" s="45"/>
      <c r="P757" s="45"/>
      <c r="Q757" s="23">
        <v>44337</v>
      </c>
      <c r="R757" s="9">
        <v>1259</v>
      </c>
      <c r="S757" s="108">
        <v>20000</v>
      </c>
      <c r="U757" s="40">
        <f t="shared" si="15"/>
        <v>16965710.34</v>
      </c>
      <c r="Y757" s="65"/>
      <c r="Z757" s="35"/>
      <c r="AA757" s="34"/>
    </row>
    <row r="758" spans="1:27" ht="15.75" x14ac:dyDescent="0.25">
      <c r="A758" s="6">
        <v>236</v>
      </c>
      <c r="B758" s="6" t="s">
        <v>865</v>
      </c>
      <c r="C758" s="6" t="s">
        <v>48</v>
      </c>
      <c r="D758" s="21">
        <v>44155</v>
      </c>
      <c r="E758" s="7" t="s">
        <v>32</v>
      </c>
      <c r="F758" s="7">
        <v>4844</v>
      </c>
      <c r="G758" s="7">
        <v>714</v>
      </c>
      <c r="H758" s="7">
        <v>6</v>
      </c>
      <c r="I758" s="10" t="s">
        <v>30</v>
      </c>
      <c r="J758" s="9">
        <v>80000</v>
      </c>
      <c r="K758" s="43"/>
      <c r="L758" s="44"/>
      <c r="M758" s="18"/>
      <c r="N758" s="45"/>
      <c r="O758" s="45"/>
      <c r="P758" s="45"/>
      <c r="Q758" s="23">
        <v>44340</v>
      </c>
      <c r="R758" s="9">
        <v>2001</v>
      </c>
      <c r="S758" s="108">
        <v>80000</v>
      </c>
      <c r="U758" s="40">
        <f t="shared" si="15"/>
        <v>17045710.34</v>
      </c>
      <c r="Y758" s="65"/>
      <c r="Z758" s="35"/>
      <c r="AA758" s="34"/>
    </row>
    <row r="759" spans="1:27" ht="15.75" x14ac:dyDescent="0.25">
      <c r="A759" s="6">
        <v>1126</v>
      </c>
      <c r="B759" s="6" t="s">
        <v>650</v>
      </c>
      <c r="C759" s="6" t="s">
        <v>651</v>
      </c>
      <c r="D759" s="21">
        <v>44158</v>
      </c>
      <c r="E759" s="7" t="s">
        <v>27</v>
      </c>
      <c r="F759" s="7">
        <v>4880</v>
      </c>
      <c r="G759" s="7">
        <v>715</v>
      </c>
      <c r="H759" s="7">
        <v>12</v>
      </c>
      <c r="I759" s="10" t="s">
        <v>30</v>
      </c>
      <c r="J759" s="9">
        <v>2000</v>
      </c>
      <c r="K759" s="43"/>
      <c r="L759" s="44"/>
      <c r="M759" s="18"/>
      <c r="N759" s="45"/>
      <c r="O759" s="45"/>
      <c r="P759" s="45"/>
      <c r="Q759" s="23">
        <v>44523</v>
      </c>
      <c r="R759" s="9">
        <v>4460</v>
      </c>
      <c r="S759" s="108">
        <v>2000</v>
      </c>
      <c r="U759" s="40">
        <f t="shared" si="15"/>
        <v>17047710.34</v>
      </c>
      <c r="Y759" s="65"/>
      <c r="Z759" s="35"/>
      <c r="AA759" s="34"/>
    </row>
    <row r="760" spans="1:27" ht="15.75" x14ac:dyDescent="0.25">
      <c r="A760" s="6">
        <v>1902</v>
      </c>
      <c r="B760" s="6" t="s">
        <v>1161</v>
      </c>
      <c r="C760" s="6" t="s">
        <v>1162</v>
      </c>
      <c r="D760" s="21">
        <v>44159</v>
      </c>
      <c r="E760" s="7" t="s">
        <v>27</v>
      </c>
      <c r="F760" s="7">
        <v>4919</v>
      </c>
      <c r="G760" s="7">
        <v>716</v>
      </c>
      <c r="H760" s="7">
        <v>12</v>
      </c>
      <c r="I760" s="10" t="s">
        <v>30</v>
      </c>
      <c r="J760" s="9">
        <v>100000</v>
      </c>
      <c r="K760" s="43"/>
      <c r="L760" s="44"/>
      <c r="M760" s="18"/>
      <c r="N760" s="45"/>
      <c r="O760" s="45"/>
      <c r="P760" s="45"/>
      <c r="Q760" s="23">
        <v>44524</v>
      </c>
      <c r="R760" s="9">
        <v>4425</v>
      </c>
      <c r="S760" s="108">
        <v>100000</v>
      </c>
      <c r="U760" s="40">
        <f t="shared" si="15"/>
        <v>17147710.34</v>
      </c>
      <c r="Y760" s="65"/>
      <c r="Z760" s="35"/>
      <c r="AA760" s="34"/>
    </row>
    <row r="761" spans="1:27" ht="15.75" x14ac:dyDescent="0.25">
      <c r="A761" s="6">
        <v>858</v>
      </c>
      <c r="B761" s="6" t="s">
        <v>29</v>
      </c>
      <c r="D761" s="21">
        <v>44162</v>
      </c>
      <c r="E761" s="7" t="s">
        <v>27</v>
      </c>
      <c r="F761" s="7">
        <v>4999</v>
      </c>
      <c r="G761" s="7">
        <v>717</v>
      </c>
      <c r="H761" s="7">
        <v>12</v>
      </c>
      <c r="I761" s="10" t="s">
        <v>30</v>
      </c>
      <c r="J761" s="9">
        <v>10500</v>
      </c>
      <c r="K761" s="43"/>
      <c r="L761" s="44"/>
      <c r="M761" s="18"/>
      <c r="N761" s="45"/>
      <c r="O761" s="45"/>
      <c r="P761" s="45"/>
      <c r="Q761" s="52">
        <v>44527</v>
      </c>
      <c r="R761" s="9">
        <v>451</v>
      </c>
      <c r="S761" s="108">
        <v>10500</v>
      </c>
      <c r="T761" s="93"/>
      <c r="U761" s="40">
        <f t="shared" si="15"/>
        <v>17158210.34</v>
      </c>
      <c r="Y761" s="65"/>
      <c r="Z761" s="35"/>
      <c r="AA761" s="34"/>
    </row>
    <row r="762" spans="1:27" ht="15.75" x14ac:dyDescent="0.25">
      <c r="A762" s="6">
        <v>1908</v>
      </c>
      <c r="B762" s="6" t="s">
        <v>1163</v>
      </c>
      <c r="C762" s="6" t="s">
        <v>1164</v>
      </c>
      <c r="D762" s="21">
        <v>44162</v>
      </c>
      <c r="E762" s="7" t="s">
        <v>27</v>
      </c>
      <c r="F762" s="7">
        <v>22</v>
      </c>
      <c r="G762" s="7">
        <v>718</v>
      </c>
      <c r="H762" s="7">
        <v>6</v>
      </c>
      <c r="I762" s="10" t="s">
        <v>30</v>
      </c>
      <c r="J762" s="9">
        <v>50000</v>
      </c>
      <c r="K762" s="43"/>
      <c r="L762" s="44"/>
      <c r="M762" s="18"/>
      <c r="N762" s="45"/>
      <c r="O762" s="45"/>
      <c r="P762" s="45"/>
      <c r="Q762" s="23">
        <v>44344</v>
      </c>
      <c r="R762" s="9">
        <v>2056</v>
      </c>
      <c r="S762" s="108">
        <v>50000</v>
      </c>
      <c r="U762" s="40">
        <f t="shared" si="15"/>
        <v>17208210.34</v>
      </c>
      <c r="Y762" s="65"/>
      <c r="Z762" s="35"/>
      <c r="AA762" s="34"/>
    </row>
    <row r="763" spans="1:27" ht="15.75" x14ac:dyDescent="0.25">
      <c r="A763" s="6">
        <v>1573</v>
      </c>
      <c r="B763" s="6" t="s">
        <v>930</v>
      </c>
      <c r="C763" s="6" t="s">
        <v>931</v>
      </c>
      <c r="D763" s="21">
        <v>44163</v>
      </c>
      <c r="E763" s="7" t="s">
        <v>27</v>
      </c>
      <c r="F763" s="7">
        <v>32</v>
      </c>
      <c r="G763" s="7">
        <v>719</v>
      </c>
      <c r="H763" s="7">
        <v>6</v>
      </c>
      <c r="I763" s="10" t="s">
        <v>30</v>
      </c>
      <c r="J763" s="9">
        <v>7000</v>
      </c>
      <c r="K763" s="43"/>
      <c r="L763" s="44"/>
      <c r="M763" s="18"/>
      <c r="N763" s="45"/>
      <c r="O763" s="45"/>
      <c r="P763" s="45"/>
      <c r="Q763" s="23">
        <v>44345</v>
      </c>
      <c r="R763" s="9">
        <v>1323</v>
      </c>
      <c r="S763" s="108">
        <v>7000</v>
      </c>
      <c r="U763" s="40">
        <f t="shared" si="15"/>
        <v>17215210.34</v>
      </c>
      <c r="Y763" s="65"/>
      <c r="Z763" s="35"/>
      <c r="AA763" s="34"/>
    </row>
    <row r="764" spans="1:27" ht="15.75" x14ac:dyDescent="0.25">
      <c r="A764" s="6">
        <v>1910</v>
      </c>
      <c r="B764" s="6" t="s">
        <v>1165</v>
      </c>
      <c r="C764" s="6" t="s">
        <v>33</v>
      </c>
      <c r="D764" s="21">
        <v>44165</v>
      </c>
      <c r="E764" s="7" t="s">
        <v>27</v>
      </c>
      <c r="F764" s="7">
        <v>55</v>
      </c>
      <c r="G764" s="7">
        <v>720</v>
      </c>
      <c r="H764" s="7">
        <v>12</v>
      </c>
      <c r="I764" s="10" t="s">
        <v>30</v>
      </c>
      <c r="J764" s="9">
        <v>76000</v>
      </c>
      <c r="K764" s="43"/>
      <c r="L764" s="44"/>
      <c r="M764" s="18"/>
      <c r="N764" s="45"/>
      <c r="O764" s="45"/>
      <c r="P764" s="45"/>
      <c r="Q764" s="52">
        <v>44530</v>
      </c>
      <c r="R764" s="9">
        <v>454</v>
      </c>
      <c r="S764" s="108">
        <v>76000</v>
      </c>
      <c r="U764" s="40">
        <f t="shared" si="15"/>
        <v>17291210.34</v>
      </c>
      <c r="Y764" s="65"/>
      <c r="Z764" s="35"/>
      <c r="AA764" s="34"/>
    </row>
    <row r="765" spans="1:27" ht="15.75" x14ac:dyDescent="0.25">
      <c r="A765" s="6">
        <v>1910</v>
      </c>
      <c r="B765" s="6" t="s">
        <v>1166</v>
      </c>
      <c r="C765" s="6" t="s">
        <v>1167</v>
      </c>
      <c r="D765" s="21">
        <v>44165</v>
      </c>
      <c r="E765" s="7" t="s">
        <v>27</v>
      </c>
      <c r="F765" s="7">
        <v>57</v>
      </c>
      <c r="G765" s="7">
        <v>721</v>
      </c>
      <c r="H765" s="7">
        <v>12</v>
      </c>
      <c r="I765" s="10" t="s">
        <v>30</v>
      </c>
      <c r="J765" s="9">
        <v>25000</v>
      </c>
      <c r="K765" s="43"/>
      <c r="L765" s="44"/>
      <c r="M765" s="18"/>
      <c r="N765" s="45"/>
      <c r="O765" s="45"/>
      <c r="P765" s="45"/>
      <c r="Q765" s="23">
        <v>44531</v>
      </c>
      <c r="R765" s="9">
        <v>2900</v>
      </c>
      <c r="S765" s="108">
        <v>25000</v>
      </c>
      <c r="U765" s="40">
        <f t="shared" si="15"/>
        <v>17316210.34</v>
      </c>
      <c r="Y765" s="65"/>
      <c r="Z765" s="35"/>
      <c r="AA765" s="34"/>
    </row>
    <row r="766" spans="1:27" ht="15.75" x14ac:dyDescent="0.25">
      <c r="A766" s="6">
        <v>1114</v>
      </c>
      <c r="B766" s="6" t="s">
        <v>1168</v>
      </c>
      <c r="C766" s="6" t="s">
        <v>640</v>
      </c>
      <c r="D766" s="21">
        <v>44166</v>
      </c>
      <c r="E766" s="7" t="s">
        <v>27</v>
      </c>
      <c r="F766" s="7">
        <v>67</v>
      </c>
      <c r="G766" s="7">
        <v>722</v>
      </c>
      <c r="H766" s="7">
        <v>12</v>
      </c>
      <c r="I766" s="10" t="s">
        <v>30</v>
      </c>
      <c r="J766" s="9">
        <v>40000</v>
      </c>
      <c r="K766" s="43"/>
      <c r="L766" s="44"/>
      <c r="M766" s="18"/>
      <c r="N766" s="45"/>
      <c r="O766" s="45"/>
      <c r="P766" s="45"/>
      <c r="Q766" s="23">
        <v>44531</v>
      </c>
      <c r="R766" s="9">
        <v>4524</v>
      </c>
      <c r="S766" s="108">
        <v>40000</v>
      </c>
      <c r="U766" s="40">
        <f t="shared" si="15"/>
        <v>17356210.34</v>
      </c>
      <c r="Y766" s="65"/>
      <c r="Z766" s="35"/>
      <c r="AA766" s="34"/>
    </row>
    <row r="767" spans="1:27" ht="15.75" x14ac:dyDescent="0.25">
      <c r="A767" s="6">
        <v>1911</v>
      </c>
      <c r="B767" s="6" t="s">
        <v>1169</v>
      </c>
      <c r="C767" s="6" t="s">
        <v>1170</v>
      </c>
      <c r="D767" s="21">
        <v>44166</v>
      </c>
      <c r="E767" s="7" t="s">
        <v>27</v>
      </c>
      <c r="F767" s="7">
        <v>72</v>
      </c>
      <c r="G767" s="7">
        <v>723</v>
      </c>
      <c r="H767" s="7">
        <v>12</v>
      </c>
      <c r="I767" s="10" t="s">
        <v>30</v>
      </c>
      <c r="J767" s="9">
        <v>24000</v>
      </c>
      <c r="K767" s="43"/>
      <c r="L767" s="44"/>
      <c r="M767" s="18"/>
      <c r="N767" s="45"/>
      <c r="O767" s="45"/>
      <c r="P767" s="45"/>
      <c r="Q767" s="23">
        <v>44531</v>
      </c>
      <c r="R767" s="9">
        <v>3160</v>
      </c>
      <c r="S767" s="108">
        <v>24000</v>
      </c>
      <c r="U767" s="40">
        <f t="shared" si="15"/>
        <v>17380210.34</v>
      </c>
      <c r="Y767" s="65"/>
      <c r="Z767" s="35"/>
      <c r="AA767" s="34"/>
    </row>
    <row r="768" spans="1:27" ht="15.75" x14ac:dyDescent="0.25">
      <c r="A768" s="6">
        <v>958</v>
      </c>
      <c r="B768" s="6" t="s">
        <v>1171</v>
      </c>
      <c r="C768" s="6" t="s">
        <v>1172</v>
      </c>
      <c r="D768" s="21">
        <v>44166</v>
      </c>
      <c r="E768" s="7" t="s">
        <v>27</v>
      </c>
      <c r="F768" s="7">
        <v>79</v>
      </c>
      <c r="G768" s="7">
        <v>724</v>
      </c>
      <c r="H768" s="7">
        <v>6</v>
      </c>
      <c r="I768" s="10" t="s">
        <v>30</v>
      </c>
      <c r="J768" s="9">
        <v>50000</v>
      </c>
      <c r="K768" s="43"/>
      <c r="L768" s="44"/>
      <c r="M768" s="18"/>
      <c r="N768" s="45"/>
      <c r="O768" s="45"/>
      <c r="P768" s="45"/>
      <c r="Q768" s="23">
        <v>44361</v>
      </c>
      <c r="R768" s="9">
        <v>2279</v>
      </c>
      <c r="S768" s="108">
        <v>50000</v>
      </c>
      <c r="U768" s="40">
        <f t="shared" si="15"/>
        <v>17430210.34</v>
      </c>
      <c r="Y768" s="65"/>
      <c r="Z768" s="35"/>
      <c r="AA768" s="34"/>
    </row>
    <row r="769" spans="1:27" ht="15.75" x14ac:dyDescent="0.25">
      <c r="A769" s="6">
        <v>1914</v>
      </c>
      <c r="B769" s="6" t="s">
        <v>345</v>
      </c>
      <c r="D769" s="21"/>
      <c r="G769" s="7">
        <v>725</v>
      </c>
      <c r="H769" s="7"/>
      <c r="K769" s="43"/>
      <c r="L769" s="44"/>
      <c r="M769" s="18"/>
      <c r="N769" s="45"/>
      <c r="O769" s="45"/>
      <c r="P769" s="45"/>
      <c r="U769" s="40">
        <f t="shared" si="15"/>
        <v>17430210.34</v>
      </c>
      <c r="Y769" s="65"/>
      <c r="Z769" s="35"/>
      <c r="AA769" s="34"/>
    </row>
    <row r="770" spans="1:27" ht="15.75" x14ac:dyDescent="0.25">
      <c r="A770" s="6">
        <v>1914</v>
      </c>
      <c r="B770" s="6" t="s">
        <v>1173</v>
      </c>
      <c r="C770" s="6" t="s">
        <v>1174</v>
      </c>
      <c r="D770" s="21">
        <v>44166</v>
      </c>
      <c r="E770" s="7" t="s">
        <v>27</v>
      </c>
      <c r="F770" s="7">
        <v>102</v>
      </c>
      <c r="G770" s="7">
        <v>726</v>
      </c>
      <c r="H770" s="7">
        <v>12</v>
      </c>
      <c r="I770" s="10" t="s">
        <v>30</v>
      </c>
      <c r="J770" s="9">
        <v>5000</v>
      </c>
      <c r="K770" s="43"/>
      <c r="L770" s="44"/>
      <c r="M770" s="18"/>
      <c r="N770" s="45"/>
      <c r="O770" s="45"/>
      <c r="P770" s="45"/>
      <c r="Q770" s="23">
        <v>44531</v>
      </c>
      <c r="R770" s="9">
        <v>2912</v>
      </c>
      <c r="S770" s="108">
        <v>5000</v>
      </c>
      <c r="U770" s="40">
        <f t="shared" si="15"/>
        <v>17435210.34</v>
      </c>
      <c r="Y770" s="65"/>
      <c r="Z770" s="35"/>
      <c r="AA770" s="34"/>
    </row>
    <row r="771" spans="1:27" ht="15.75" x14ac:dyDescent="0.25">
      <c r="A771" s="6" t="s">
        <v>28</v>
      </c>
      <c r="B771" s="6" t="s">
        <v>345</v>
      </c>
      <c r="D771" s="21"/>
      <c r="E771" s="9"/>
      <c r="G771" s="7">
        <v>727</v>
      </c>
      <c r="H771" s="7"/>
      <c r="K771" s="43"/>
      <c r="L771" s="44"/>
      <c r="M771" s="18"/>
      <c r="N771" s="45"/>
      <c r="O771" s="45"/>
      <c r="P771" s="45"/>
      <c r="U771" s="40">
        <f t="shared" si="15"/>
        <v>17435210.34</v>
      </c>
      <c r="Y771" s="65"/>
      <c r="Z771" s="35"/>
      <c r="AA771" s="34"/>
    </row>
    <row r="772" spans="1:27" ht="15.75" x14ac:dyDescent="0.25">
      <c r="A772" s="6" t="s">
        <v>28</v>
      </c>
      <c r="B772" s="6" t="s">
        <v>345</v>
      </c>
      <c r="D772" s="21"/>
      <c r="E772" s="9"/>
      <c r="G772" s="7">
        <v>728</v>
      </c>
      <c r="H772" s="7"/>
      <c r="K772" s="43"/>
      <c r="L772" s="44"/>
      <c r="M772" s="18"/>
      <c r="N772" s="45"/>
      <c r="O772" s="45"/>
      <c r="P772" s="45"/>
      <c r="U772" s="40">
        <f t="shared" si="15"/>
        <v>17435210.34</v>
      </c>
      <c r="Y772" s="65"/>
      <c r="Z772" s="35"/>
      <c r="AA772" s="34"/>
    </row>
    <row r="773" spans="1:27" ht="15.75" x14ac:dyDescent="0.25">
      <c r="A773" s="6" t="s">
        <v>28</v>
      </c>
      <c r="B773" s="6" t="s">
        <v>345</v>
      </c>
      <c r="D773" s="21"/>
      <c r="E773" s="9"/>
      <c r="G773" s="7">
        <v>729</v>
      </c>
      <c r="H773" s="7"/>
      <c r="K773" s="43"/>
      <c r="L773" s="44"/>
      <c r="M773" s="18"/>
      <c r="N773" s="45"/>
      <c r="O773" s="45"/>
      <c r="P773" s="45"/>
      <c r="U773" s="40">
        <f t="shared" si="15"/>
        <v>17435210.34</v>
      </c>
      <c r="Y773" s="65"/>
      <c r="Z773" s="35"/>
      <c r="AA773" s="34"/>
    </row>
    <row r="774" spans="1:27" ht="15.75" x14ac:dyDescent="0.25">
      <c r="A774" s="6">
        <v>418</v>
      </c>
      <c r="B774" s="6" t="s">
        <v>611</v>
      </c>
      <c r="C774" s="6" t="s">
        <v>612</v>
      </c>
      <c r="D774" s="21">
        <v>44168</v>
      </c>
      <c r="E774" s="7" t="s">
        <v>27</v>
      </c>
      <c r="F774" s="7">
        <v>183</v>
      </c>
      <c r="G774" s="7">
        <v>730</v>
      </c>
      <c r="H774" s="7">
        <v>6</v>
      </c>
      <c r="I774" s="10" t="s">
        <v>30</v>
      </c>
      <c r="J774" s="9">
        <v>93000</v>
      </c>
      <c r="K774" s="43"/>
      <c r="L774" s="44"/>
      <c r="M774" s="18"/>
      <c r="N774" s="45"/>
      <c r="O774" s="45"/>
      <c r="P774" s="45"/>
      <c r="Q774" s="23">
        <v>44356</v>
      </c>
      <c r="R774" s="9">
        <v>2199</v>
      </c>
      <c r="S774" s="108">
        <v>93000</v>
      </c>
      <c r="U774" s="40">
        <f t="shared" si="15"/>
        <v>17528210.34</v>
      </c>
      <c r="Y774" s="65"/>
      <c r="Z774" s="35"/>
      <c r="AA774" s="34"/>
    </row>
    <row r="775" spans="1:27" ht="15.75" x14ac:dyDescent="0.25">
      <c r="A775" s="6">
        <v>1781</v>
      </c>
      <c r="B775" s="6" t="s">
        <v>1175</v>
      </c>
      <c r="C775" s="6" t="s">
        <v>1176</v>
      </c>
      <c r="D775" s="21">
        <v>44168</v>
      </c>
      <c r="E775" s="7" t="s">
        <v>27</v>
      </c>
      <c r="F775" s="7">
        <v>187</v>
      </c>
      <c r="G775" s="7">
        <v>731</v>
      </c>
      <c r="H775" s="7">
        <v>12</v>
      </c>
      <c r="I775" s="10" t="s">
        <v>30</v>
      </c>
      <c r="J775" s="9">
        <v>4000</v>
      </c>
      <c r="K775" s="43"/>
      <c r="L775" s="44"/>
      <c r="M775" s="18"/>
      <c r="N775" s="45"/>
      <c r="O775" s="45"/>
      <c r="P775" s="45"/>
      <c r="Q775" s="23">
        <v>44533</v>
      </c>
      <c r="R775" s="9">
        <v>2939</v>
      </c>
      <c r="S775" s="108">
        <v>4000</v>
      </c>
      <c r="U775" s="40">
        <f t="shared" si="15"/>
        <v>17532210.34</v>
      </c>
      <c r="Y775" s="65"/>
      <c r="Z775" s="35"/>
      <c r="AA775" s="34"/>
    </row>
    <row r="776" spans="1:27" ht="15.75" x14ac:dyDescent="0.25">
      <c r="A776" s="6">
        <v>1136</v>
      </c>
      <c r="B776" s="6" t="s">
        <v>662</v>
      </c>
      <c r="C776" s="6" t="s">
        <v>666</v>
      </c>
      <c r="D776" s="21">
        <v>44168</v>
      </c>
      <c r="E776" s="7" t="s">
        <v>27</v>
      </c>
      <c r="F776" s="7">
        <v>196</v>
      </c>
      <c r="G776" s="7">
        <v>732</v>
      </c>
      <c r="H776" s="7">
        <v>12</v>
      </c>
      <c r="I776" s="10" t="s">
        <v>30</v>
      </c>
      <c r="J776" s="9">
        <v>200000</v>
      </c>
      <c r="K776" s="43"/>
      <c r="L776" s="44"/>
      <c r="M776" s="18"/>
      <c r="N776" s="45"/>
      <c r="O776" s="45"/>
      <c r="P776" s="45"/>
      <c r="Q776" s="23">
        <v>44533</v>
      </c>
      <c r="R776" s="9">
        <v>3009</v>
      </c>
      <c r="S776" s="108">
        <v>200000</v>
      </c>
      <c r="U776" s="40">
        <f t="shared" si="15"/>
        <v>17732210.34</v>
      </c>
      <c r="Y776" s="65"/>
      <c r="Z776" s="35"/>
      <c r="AA776" s="34"/>
    </row>
    <row r="777" spans="1:27" ht="15.75" x14ac:dyDescent="0.25">
      <c r="A777" s="6">
        <v>1132</v>
      </c>
      <c r="B777" s="6" t="s">
        <v>1177</v>
      </c>
      <c r="C777" s="6" t="s">
        <v>1178</v>
      </c>
      <c r="D777" s="21">
        <v>44168</v>
      </c>
      <c r="E777" s="7" t="s">
        <v>27</v>
      </c>
      <c r="F777" s="7">
        <v>198</v>
      </c>
      <c r="G777" s="7">
        <v>733</v>
      </c>
      <c r="H777" s="7">
        <v>12</v>
      </c>
      <c r="I777" s="10" t="s">
        <v>30</v>
      </c>
      <c r="J777" s="9">
        <v>19000</v>
      </c>
      <c r="K777" s="43"/>
      <c r="L777" s="44"/>
      <c r="M777" s="18"/>
      <c r="N777" s="45"/>
      <c r="O777" s="45"/>
      <c r="P777" s="45"/>
      <c r="Q777" s="23">
        <v>44533</v>
      </c>
      <c r="R777" s="9">
        <v>4777</v>
      </c>
      <c r="S777" s="108">
        <v>19000</v>
      </c>
      <c r="U777" s="40">
        <f t="shared" si="15"/>
        <v>17751210.34</v>
      </c>
      <c r="Y777" s="65"/>
      <c r="Z777" s="35"/>
      <c r="AA777" s="34"/>
    </row>
    <row r="778" spans="1:27" ht="15.75" x14ac:dyDescent="0.25">
      <c r="A778" s="6">
        <v>55</v>
      </c>
      <c r="B778" s="6" t="s">
        <v>1179</v>
      </c>
      <c r="C778" s="6" t="s">
        <v>1180</v>
      </c>
      <c r="D778" s="21">
        <v>44169</v>
      </c>
      <c r="E778" s="7" t="s">
        <v>27</v>
      </c>
      <c r="F778" s="7">
        <v>229</v>
      </c>
      <c r="G778" s="7">
        <v>734</v>
      </c>
      <c r="H778" s="7">
        <v>12</v>
      </c>
      <c r="I778" s="10" t="s">
        <v>30</v>
      </c>
      <c r="J778" s="9">
        <v>11200</v>
      </c>
      <c r="K778" s="43"/>
      <c r="L778" s="44"/>
      <c r="M778" s="18"/>
      <c r="N778" s="45"/>
      <c r="O778" s="45"/>
      <c r="P778" s="45"/>
      <c r="Q778" s="23">
        <v>44534</v>
      </c>
      <c r="R778" s="9">
        <v>3098</v>
      </c>
      <c r="S778" s="108">
        <v>11200</v>
      </c>
      <c r="U778" s="40">
        <f t="shared" si="15"/>
        <v>17762410.34</v>
      </c>
      <c r="Y778" s="65"/>
      <c r="Z778" s="35"/>
      <c r="AA778" s="34"/>
    </row>
    <row r="779" spans="1:27" ht="15.75" x14ac:dyDescent="0.25">
      <c r="A779" s="6">
        <v>756</v>
      </c>
      <c r="B779" s="6" t="s">
        <v>730</v>
      </c>
      <c r="C779" s="6" t="s">
        <v>294</v>
      </c>
      <c r="D779" s="21">
        <v>44169</v>
      </c>
      <c r="E779" s="7" t="s">
        <v>27</v>
      </c>
      <c r="F779" s="7">
        <v>110</v>
      </c>
      <c r="G779" s="7">
        <v>735</v>
      </c>
      <c r="H779" s="7">
        <v>6</v>
      </c>
      <c r="I779" s="10" t="s">
        <v>30</v>
      </c>
      <c r="J779" s="9">
        <v>30000</v>
      </c>
      <c r="K779" s="43"/>
      <c r="L779" s="44"/>
      <c r="M779" s="18"/>
      <c r="N779" s="45"/>
      <c r="O779" s="45"/>
      <c r="P779" s="45"/>
      <c r="Q779" s="23">
        <v>44351</v>
      </c>
      <c r="R779" s="9">
        <v>2157</v>
      </c>
      <c r="S779" s="108">
        <v>30000</v>
      </c>
      <c r="U779" s="40">
        <f t="shared" si="15"/>
        <v>17792410.34</v>
      </c>
      <c r="Y779" s="65"/>
      <c r="Z779" s="35"/>
      <c r="AA779" s="34"/>
    </row>
    <row r="780" spans="1:27" ht="15.75" x14ac:dyDescent="0.25">
      <c r="A780" s="6">
        <v>873</v>
      </c>
      <c r="B780" s="6" t="s">
        <v>1181</v>
      </c>
      <c r="C780" s="6" t="s">
        <v>1182</v>
      </c>
      <c r="D780" s="21">
        <v>44169</v>
      </c>
      <c r="E780" s="7" t="s">
        <v>27</v>
      </c>
      <c r="F780" s="7">
        <v>272</v>
      </c>
      <c r="G780" s="7">
        <v>736</v>
      </c>
      <c r="H780" s="7">
        <v>6</v>
      </c>
      <c r="I780" s="10" t="s">
        <v>30</v>
      </c>
      <c r="J780" s="9">
        <v>10000</v>
      </c>
      <c r="K780" s="43"/>
      <c r="L780" s="44"/>
      <c r="M780" s="18"/>
      <c r="N780" s="45"/>
      <c r="O780" s="45"/>
      <c r="P780" s="45"/>
      <c r="Q780" s="23">
        <v>44222</v>
      </c>
      <c r="R780" s="9">
        <v>223</v>
      </c>
      <c r="S780" s="108">
        <v>10000</v>
      </c>
      <c r="U780" s="40">
        <f t="shared" si="15"/>
        <v>17802410.34</v>
      </c>
      <c r="Y780" s="65"/>
      <c r="Z780" s="35"/>
      <c r="AA780" s="34"/>
    </row>
    <row r="781" spans="1:27" ht="15.75" x14ac:dyDescent="0.25">
      <c r="A781" s="6">
        <v>1018</v>
      </c>
      <c r="B781" s="6" t="s">
        <v>1183</v>
      </c>
      <c r="C781" s="6" t="s">
        <v>515</v>
      </c>
      <c r="D781" s="21">
        <v>44170</v>
      </c>
      <c r="E781" s="7" t="s">
        <v>27</v>
      </c>
      <c r="F781" s="7">
        <v>160</v>
      </c>
      <c r="G781" s="7">
        <v>737</v>
      </c>
      <c r="H781" s="7">
        <v>12</v>
      </c>
      <c r="I781" s="10" t="s">
        <v>30</v>
      </c>
      <c r="J781" s="9">
        <v>5000</v>
      </c>
      <c r="K781" s="43"/>
      <c r="L781" s="44"/>
      <c r="M781" s="18"/>
      <c r="N781" s="45"/>
      <c r="O781" s="45"/>
      <c r="P781" s="45"/>
      <c r="Q781" s="23">
        <v>44535</v>
      </c>
      <c r="R781" s="9">
        <v>2951</v>
      </c>
      <c r="S781" s="108">
        <v>5000</v>
      </c>
      <c r="U781" s="40">
        <f t="shared" si="15"/>
        <v>17807410.34</v>
      </c>
      <c r="Y781" s="65"/>
      <c r="Z781" s="35"/>
      <c r="AA781" s="34"/>
    </row>
    <row r="782" spans="1:27" ht="15.75" x14ac:dyDescent="0.25">
      <c r="A782" s="6">
        <v>658</v>
      </c>
      <c r="B782" s="6" t="s">
        <v>1184</v>
      </c>
      <c r="C782" s="6" t="s">
        <v>1185</v>
      </c>
      <c r="D782" s="21">
        <v>44170</v>
      </c>
      <c r="E782" s="7" t="s">
        <v>27</v>
      </c>
      <c r="F782" s="7">
        <v>170</v>
      </c>
      <c r="G782" s="7">
        <v>738</v>
      </c>
      <c r="H782" s="7">
        <v>6</v>
      </c>
      <c r="I782" s="10" t="s">
        <v>30</v>
      </c>
      <c r="J782" s="9">
        <v>2000</v>
      </c>
      <c r="K782" s="43"/>
      <c r="L782" s="44"/>
      <c r="M782" s="18"/>
      <c r="N782" s="45"/>
      <c r="O782" s="45"/>
      <c r="P782" s="45"/>
      <c r="Q782" s="23">
        <v>44382</v>
      </c>
      <c r="R782" s="9">
        <v>2589</v>
      </c>
      <c r="S782" s="108">
        <v>2000</v>
      </c>
      <c r="U782" s="40">
        <f t="shared" si="15"/>
        <v>17809410.34</v>
      </c>
      <c r="Y782" s="65"/>
      <c r="Z782" s="35"/>
      <c r="AA782" s="34"/>
    </row>
    <row r="783" spans="1:27" ht="15.75" x14ac:dyDescent="0.25">
      <c r="A783" s="6">
        <v>662</v>
      </c>
      <c r="B783" s="6" t="s">
        <v>667</v>
      </c>
      <c r="C783" s="6" t="s">
        <v>1186</v>
      </c>
      <c r="D783" s="21">
        <v>44172</v>
      </c>
      <c r="E783" s="7" t="s">
        <v>27</v>
      </c>
      <c r="F783" s="7">
        <v>279</v>
      </c>
      <c r="G783" s="7">
        <v>739</v>
      </c>
      <c r="H783" s="7">
        <v>12</v>
      </c>
      <c r="I783" s="10" t="s">
        <v>30</v>
      </c>
      <c r="J783" s="9">
        <v>42000</v>
      </c>
      <c r="K783" s="43"/>
      <c r="L783" s="44"/>
      <c r="M783" s="18"/>
      <c r="N783" s="45"/>
      <c r="O783" s="45"/>
      <c r="P783" s="45"/>
      <c r="Q783" s="23">
        <v>44537</v>
      </c>
      <c r="R783" s="9">
        <v>2986</v>
      </c>
      <c r="S783" s="108">
        <v>42000</v>
      </c>
      <c r="U783" s="40">
        <f t="shared" si="15"/>
        <v>17851410.34</v>
      </c>
      <c r="Y783" s="65"/>
      <c r="Z783" s="35"/>
      <c r="AA783" s="34"/>
    </row>
    <row r="784" spans="1:27" ht="15.75" x14ac:dyDescent="0.25">
      <c r="A784" s="6">
        <v>1051</v>
      </c>
      <c r="B784" s="6" t="s">
        <v>1187</v>
      </c>
      <c r="C784" s="6" t="s">
        <v>1188</v>
      </c>
      <c r="D784" s="21">
        <v>44172</v>
      </c>
      <c r="E784" s="7" t="s">
        <v>27</v>
      </c>
      <c r="F784" s="7">
        <v>280</v>
      </c>
      <c r="G784" s="7">
        <v>740</v>
      </c>
      <c r="H784" s="7">
        <v>6</v>
      </c>
      <c r="I784" s="10" t="s">
        <v>30</v>
      </c>
      <c r="J784" s="9">
        <v>18000</v>
      </c>
      <c r="K784" s="43"/>
      <c r="L784" s="44"/>
      <c r="M784" s="18"/>
      <c r="N784" s="45"/>
      <c r="O784" s="45"/>
      <c r="P784" s="45"/>
      <c r="Q784" s="23">
        <v>44354</v>
      </c>
      <c r="R784" s="9">
        <v>2170</v>
      </c>
      <c r="S784" s="108">
        <v>18000</v>
      </c>
      <c r="U784" s="40">
        <f t="shared" si="15"/>
        <v>17869410.34</v>
      </c>
      <c r="Y784" s="65"/>
      <c r="Z784" s="35"/>
      <c r="AA784" s="34"/>
    </row>
    <row r="785" spans="1:27" ht="15.75" x14ac:dyDescent="0.25">
      <c r="A785" s="6">
        <v>189</v>
      </c>
      <c r="B785" s="6" t="s">
        <v>688</v>
      </c>
      <c r="C785" s="6" t="s">
        <v>344</v>
      </c>
      <c r="D785" s="21">
        <v>44172</v>
      </c>
      <c r="E785" s="7" t="s">
        <v>27</v>
      </c>
      <c r="F785" s="7">
        <v>284</v>
      </c>
      <c r="G785" s="7">
        <v>741</v>
      </c>
      <c r="H785" s="7">
        <v>6</v>
      </c>
      <c r="I785" s="10" t="s">
        <v>30</v>
      </c>
      <c r="J785" s="9">
        <v>30000</v>
      </c>
      <c r="K785" s="43"/>
      <c r="L785" s="44"/>
      <c r="M785" s="18"/>
      <c r="N785" s="45"/>
      <c r="O785" s="45"/>
      <c r="P785" s="45"/>
      <c r="Q785" s="23">
        <v>44354</v>
      </c>
      <c r="R785" s="9">
        <v>1406</v>
      </c>
      <c r="S785" s="108">
        <v>30000</v>
      </c>
      <c r="U785" s="40">
        <f t="shared" si="15"/>
        <v>17899410.34</v>
      </c>
      <c r="Y785" s="65"/>
      <c r="Z785" s="35"/>
      <c r="AA785" s="34"/>
    </row>
    <row r="786" spans="1:27" ht="15.75" x14ac:dyDescent="0.25">
      <c r="A786" s="6">
        <v>729</v>
      </c>
      <c r="B786" s="6" t="s">
        <v>917</v>
      </c>
      <c r="C786" s="6" t="s">
        <v>386</v>
      </c>
      <c r="D786" s="21">
        <v>44172</v>
      </c>
      <c r="E786" s="7" t="s">
        <v>27</v>
      </c>
      <c r="F786" s="7">
        <v>196</v>
      </c>
      <c r="G786" s="7">
        <v>742</v>
      </c>
      <c r="H786" s="7">
        <v>6</v>
      </c>
      <c r="I786" s="10" t="s">
        <v>30</v>
      </c>
      <c r="J786" s="9">
        <v>22000</v>
      </c>
      <c r="K786" s="43"/>
      <c r="L786" s="44"/>
      <c r="M786" s="18"/>
      <c r="N786" s="45"/>
      <c r="O786" s="45"/>
      <c r="P786" s="45"/>
      <c r="Q786" s="23">
        <v>44355</v>
      </c>
      <c r="R786" s="9">
        <v>2196</v>
      </c>
      <c r="S786" s="108">
        <v>22000</v>
      </c>
      <c r="U786" s="40">
        <f t="shared" si="15"/>
        <v>17921410.34</v>
      </c>
      <c r="Y786" s="65"/>
      <c r="Z786" s="35"/>
      <c r="AA786" s="34"/>
    </row>
    <row r="787" spans="1:27" ht="15.75" x14ac:dyDescent="0.25">
      <c r="A787" s="6">
        <v>1934</v>
      </c>
      <c r="B787" s="6" t="s">
        <v>1189</v>
      </c>
      <c r="C787" s="6" t="s">
        <v>1190</v>
      </c>
      <c r="D787" s="21">
        <v>44172</v>
      </c>
      <c r="E787" s="7" t="s">
        <v>27</v>
      </c>
      <c r="F787" s="7">
        <v>286</v>
      </c>
      <c r="G787" s="7">
        <v>743</v>
      </c>
      <c r="H787" s="7">
        <v>12</v>
      </c>
      <c r="I787" s="10" t="s">
        <v>30</v>
      </c>
      <c r="J787" s="9">
        <v>12000</v>
      </c>
      <c r="K787" s="43"/>
      <c r="L787" s="44"/>
      <c r="M787" s="18"/>
      <c r="N787" s="45"/>
      <c r="O787" s="45"/>
      <c r="P787" s="45"/>
      <c r="Q787" s="23">
        <v>44537</v>
      </c>
      <c r="R787" s="9">
        <v>4727</v>
      </c>
      <c r="S787" s="108">
        <v>12000</v>
      </c>
      <c r="U787" s="40">
        <f t="shared" si="15"/>
        <v>17933410.34</v>
      </c>
      <c r="Y787" s="122"/>
      <c r="Z787" s="35"/>
      <c r="AA787" s="34"/>
    </row>
    <row r="788" spans="1:27" ht="15.75" x14ac:dyDescent="0.25">
      <c r="A788" s="6">
        <v>1221</v>
      </c>
      <c r="B788" s="6" t="s">
        <v>1191</v>
      </c>
      <c r="C788" s="6">
        <v>32243000</v>
      </c>
      <c r="D788" s="21">
        <v>44172</v>
      </c>
      <c r="E788" s="7" t="s">
        <v>27</v>
      </c>
      <c r="F788" s="7">
        <v>200</v>
      </c>
      <c r="G788" s="7">
        <v>744</v>
      </c>
      <c r="H788" s="7">
        <v>6</v>
      </c>
      <c r="I788" s="10" t="s">
        <v>30</v>
      </c>
      <c r="J788" s="9">
        <v>10000</v>
      </c>
      <c r="K788" s="43"/>
      <c r="L788" s="44"/>
      <c r="M788" s="18"/>
      <c r="N788" s="45"/>
      <c r="O788" s="45"/>
      <c r="P788" s="45"/>
      <c r="Q788" s="23">
        <v>44354</v>
      </c>
      <c r="R788" s="9">
        <v>1401</v>
      </c>
      <c r="S788" s="108">
        <v>10000</v>
      </c>
      <c r="U788" s="40">
        <f t="shared" si="15"/>
        <v>17943410.34</v>
      </c>
      <c r="Y788" s="65"/>
      <c r="Z788" s="35"/>
      <c r="AA788" s="34"/>
    </row>
    <row r="789" spans="1:27" ht="15.75" x14ac:dyDescent="0.25">
      <c r="A789" s="6">
        <v>1938</v>
      </c>
      <c r="B789" s="6" t="s">
        <v>1192</v>
      </c>
      <c r="C789" s="6" t="s">
        <v>1193</v>
      </c>
      <c r="D789" s="21">
        <v>44173</v>
      </c>
      <c r="E789" s="7" t="s">
        <v>27</v>
      </c>
      <c r="F789" s="7">
        <v>233</v>
      </c>
      <c r="G789" s="7">
        <v>745</v>
      </c>
      <c r="H789" s="7">
        <v>12</v>
      </c>
      <c r="I789" s="10" t="s">
        <v>30</v>
      </c>
      <c r="J789" s="9">
        <v>35000</v>
      </c>
      <c r="K789" s="43"/>
      <c r="L789" s="44"/>
      <c r="M789" s="18"/>
      <c r="N789" s="45"/>
      <c r="O789" s="45"/>
      <c r="P789" s="45"/>
      <c r="Q789" s="23">
        <v>44538</v>
      </c>
      <c r="R789" s="9">
        <v>2979</v>
      </c>
      <c r="S789" s="108">
        <v>35000</v>
      </c>
      <c r="U789" s="40">
        <f t="shared" si="15"/>
        <v>17978410.34</v>
      </c>
      <c r="Y789" s="122"/>
      <c r="Z789" s="35"/>
      <c r="AA789" s="34"/>
    </row>
    <row r="790" spans="1:27" ht="15.75" x14ac:dyDescent="0.25">
      <c r="A790" s="6">
        <v>280</v>
      </c>
      <c r="B790" s="6" t="s">
        <v>642</v>
      </c>
      <c r="D790" s="21">
        <v>44173</v>
      </c>
      <c r="E790" s="7" t="s">
        <v>27</v>
      </c>
      <c r="F790" s="7">
        <v>243</v>
      </c>
      <c r="G790" s="7">
        <v>746</v>
      </c>
      <c r="H790" s="7">
        <v>6</v>
      </c>
      <c r="I790" s="10" t="s">
        <v>30</v>
      </c>
      <c r="J790" s="9">
        <v>11500</v>
      </c>
      <c r="K790" s="43"/>
      <c r="L790" s="44"/>
      <c r="M790" s="18"/>
      <c r="N790" s="45"/>
      <c r="O790" s="45"/>
      <c r="P790" s="45"/>
      <c r="Q790" s="23">
        <v>44356</v>
      </c>
      <c r="R790" s="9">
        <v>2204</v>
      </c>
      <c r="S790" s="108">
        <v>11500</v>
      </c>
      <c r="U790" s="40">
        <f t="shared" si="15"/>
        <v>17989910.34</v>
      </c>
      <c r="Y790" s="65"/>
      <c r="Z790" s="35"/>
      <c r="AA790" s="34"/>
    </row>
    <row r="791" spans="1:27" ht="15.75" x14ac:dyDescent="0.25">
      <c r="A791" s="6">
        <v>1939</v>
      </c>
      <c r="B791" s="6" t="s">
        <v>1194</v>
      </c>
      <c r="C791" s="6" t="s">
        <v>1195</v>
      </c>
      <c r="D791" s="21">
        <v>44173</v>
      </c>
      <c r="E791" s="7" t="s">
        <v>27</v>
      </c>
      <c r="F791" s="7">
        <v>352</v>
      </c>
      <c r="G791" s="7">
        <v>747</v>
      </c>
      <c r="H791" s="7">
        <v>12</v>
      </c>
      <c r="I791" s="10" t="s">
        <v>30</v>
      </c>
      <c r="J791" s="9">
        <v>5000</v>
      </c>
      <c r="K791" s="43"/>
      <c r="L791" s="44"/>
      <c r="M791" s="18"/>
      <c r="N791" s="45"/>
      <c r="O791" s="45"/>
      <c r="P791" s="45"/>
      <c r="Q791" s="23">
        <v>44538</v>
      </c>
      <c r="R791" s="9">
        <v>4929</v>
      </c>
      <c r="S791" s="108">
        <v>5000</v>
      </c>
      <c r="U791" s="40">
        <f t="shared" si="15"/>
        <v>17994910.34</v>
      </c>
      <c r="Y791" s="122"/>
      <c r="Z791" s="35"/>
      <c r="AA791" s="34"/>
    </row>
    <row r="792" spans="1:27" ht="15.75" x14ac:dyDescent="0.25">
      <c r="A792" s="6">
        <v>1940</v>
      </c>
      <c r="B792" s="6" t="s">
        <v>1196</v>
      </c>
      <c r="C792" s="6" t="s">
        <v>1197</v>
      </c>
      <c r="D792" s="21">
        <v>44173</v>
      </c>
      <c r="E792" s="7" t="s">
        <v>27</v>
      </c>
      <c r="F792" s="7">
        <v>354</v>
      </c>
      <c r="G792" s="7">
        <v>748</v>
      </c>
      <c r="H792" s="7">
        <v>12</v>
      </c>
      <c r="I792" s="10" t="s">
        <v>30</v>
      </c>
      <c r="J792" s="9">
        <v>1500</v>
      </c>
      <c r="K792" s="43"/>
      <c r="L792" s="44"/>
      <c r="M792" s="18"/>
      <c r="N792" s="45"/>
      <c r="O792" s="45"/>
      <c r="P792" s="45"/>
      <c r="Q792" s="23">
        <v>44538</v>
      </c>
      <c r="R792" s="9">
        <v>3245</v>
      </c>
      <c r="S792" s="108">
        <v>1500</v>
      </c>
      <c r="U792" s="40">
        <f t="shared" si="15"/>
        <v>17996410.34</v>
      </c>
      <c r="Y792" s="65"/>
      <c r="Z792" s="35"/>
      <c r="AA792" s="34"/>
    </row>
    <row r="793" spans="1:27" ht="15.75" x14ac:dyDescent="0.25">
      <c r="A793" s="6">
        <v>1941</v>
      </c>
      <c r="B793" s="6" t="s">
        <v>1198</v>
      </c>
      <c r="C793" s="6" t="s">
        <v>1199</v>
      </c>
      <c r="D793" s="21">
        <v>44173</v>
      </c>
      <c r="E793" s="7" t="s">
        <v>27</v>
      </c>
      <c r="F793" s="7">
        <v>358</v>
      </c>
      <c r="G793" s="7">
        <v>749</v>
      </c>
      <c r="H793" s="7">
        <v>12</v>
      </c>
      <c r="I793" s="10" t="s">
        <v>30</v>
      </c>
      <c r="J793" s="9">
        <v>1000</v>
      </c>
      <c r="K793" s="43"/>
      <c r="L793" s="44"/>
      <c r="M793" s="18"/>
      <c r="N793" s="45"/>
      <c r="O793" s="45"/>
      <c r="P793" s="45"/>
      <c r="Q793" s="23">
        <v>44538</v>
      </c>
      <c r="R793" s="9">
        <v>4606</v>
      </c>
      <c r="S793" s="108">
        <v>1000</v>
      </c>
      <c r="U793" s="40">
        <f t="shared" si="15"/>
        <v>17997410.34</v>
      </c>
      <c r="Y793" s="65"/>
      <c r="Z793" s="35"/>
      <c r="AA793" s="34"/>
    </row>
    <row r="794" spans="1:27" ht="15.75" x14ac:dyDescent="0.25">
      <c r="A794" s="6">
        <v>1942</v>
      </c>
      <c r="B794" s="6" t="s">
        <v>1200</v>
      </c>
      <c r="C794" s="6" t="s">
        <v>1201</v>
      </c>
      <c r="D794" s="21">
        <v>44173</v>
      </c>
      <c r="E794" s="7" t="s">
        <v>27</v>
      </c>
      <c r="F794" s="7">
        <v>248</v>
      </c>
      <c r="G794" s="7">
        <v>750</v>
      </c>
      <c r="H794" s="7">
        <v>6</v>
      </c>
      <c r="I794" s="10" t="s">
        <v>30</v>
      </c>
      <c r="J794" s="9">
        <v>12000</v>
      </c>
      <c r="K794" s="43"/>
      <c r="L794" s="44"/>
      <c r="M794" s="18"/>
      <c r="N794" s="45"/>
      <c r="O794" s="45"/>
      <c r="P794" s="45"/>
      <c r="Q794" s="23">
        <v>44355</v>
      </c>
      <c r="R794" s="9">
        <v>2192</v>
      </c>
      <c r="S794" s="108">
        <v>12000</v>
      </c>
      <c r="U794" s="40">
        <f t="shared" si="15"/>
        <v>18009410.34</v>
      </c>
      <c r="Y794" s="65"/>
      <c r="Z794" s="35"/>
      <c r="AA794" s="34"/>
    </row>
    <row r="795" spans="1:27" ht="15.75" x14ac:dyDescent="0.25">
      <c r="A795" s="6">
        <v>1947</v>
      </c>
      <c r="B795" s="6" t="s">
        <v>1202</v>
      </c>
      <c r="C795" s="6" t="s">
        <v>1203</v>
      </c>
      <c r="D795" s="21">
        <v>44174</v>
      </c>
      <c r="E795" s="7" t="s">
        <v>27</v>
      </c>
      <c r="F795" s="7">
        <v>383</v>
      </c>
      <c r="G795" s="7">
        <v>751</v>
      </c>
      <c r="H795" s="7">
        <v>12</v>
      </c>
      <c r="I795" s="10" t="s">
        <v>30</v>
      </c>
      <c r="J795" s="9">
        <v>10000</v>
      </c>
      <c r="K795" s="43"/>
      <c r="L795" s="44"/>
      <c r="M795" s="18"/>
      <c r="N795" s="45"/>
      <c r="O795" s="45"/>
      <c r="P795" s="45"/>
      <c r="Q795" s="23">
        <v>44539</v>
      </c>
      <c r="R795" s="9">
        <v>4643</v>
      </c>
      <c r="S795" s="108">
        <v>10000</v>
      </c>
      <c r="U795" s="40">
        <f t="shared" si="15"/>
        <v>18019410.34</v>
      </c>
      <c r="Y795" s="65"/>
      <c r="Z795" s="35"/>
      <c r="AA795" s="34"/>
    </row>
    <row r="796" spans="1:27" ht="15.75" x14ac:dyDescent="0.25">
      <c r="A796" s="6">
        <v>1952</v>
      </c>
      <c r="B796" s="6" t="s">
        <v>1204</v>
      </c>
      <c r="D796" s="21">
        <v>44175</v>
      </c>
      <c r="E796" s="7" t="s">
        <v>27</v>
      </c>
      <c r="F796" s="7">
        <v>290</v>
      </c>
      <c r="G796" s="7">
        <v>752</v>
      </c>
      <c r="H796" s="7">
        <v>6</v>
      </c>
      <c r="I796" s="10" t="s">
        <v>30</v>
      </c>
      <c r="J796" s="9">
        <v>2000</v>
      </c>
      <c r="K796" s="43"/>
      <c r="L796" s="44"/>
      <c r="M796" s="18"/>
      <c r="N796" s="45"/>
      <c r="O796" s="45"/>
      <c r="P796" s="45"/>
      <c r="Q796" s="23">
        <v>44361</v>
      </c>
      <c r="R796" s="9">
        <v>1428</v>
      </c>
      <c r="S796" s="108">
        <v>2000</v>
      </c>
      <c r="U796" s="40">
        <f t="shared" si="15"/>
        <v>18021410.34</v>
      </c>
      <c r="Y796" s="65"/>
      <c r="Z796" s="35"/>
      <c r="AA796" s="34"/>
    </row>
    <row r="797" spans="1:27" ht="15.75" x14ac:dyDescent="0.25">
      <c r="A797" s="6">
        <v>545</v>
      </c>
      <c r="B797" s="6" t="s">
        <v>887</v>
      </c>
      <c r="C797" s="6" t="s">
        <v>888</v>
      </c>
      <c r="D797" s="21">
        <v>44179</v>
      </c>
      <c r="E797" s="7" t="s">
        <v>27</v>
      </c>
      <c r="F797" s="7">
        <v>464</v>
      </c>
      <c r="G797" s="7">
        <v>753</v>
      </c>
      <c r="H797" s="7">
        <v>12</v>
      </c>
      <c r="I797" s="10" t="s">
        <v>30</v>
      </c>
      <c r="J797" s="9">
        <v>50000</v>
      </c>
      <c r="K797" s="43"/>
      <c r="L797" s="44"/>
      <c r="M797" s="18"/>
      <c r="N797" s="45"/>
      <c r="O797" s="45"/>
      <c r="P797" s="45"/>
      <c r="Q797" s="23">
        <v>44544</v>
      </c>
      <c r="R797" s="9">
        <v>3043</v>
      </c>
      <c r="S797" s="108">
        <v>50000</v>
      </c>
      <c r="U797" s="40">
        <f t="shared" si="15"/>
        <v>18071410.34</v>
      </c>
      <c r="Y797" s="65"/>
      <c r="Z797" s="35"/>
      <c r="AA797" s="34"/>
    </row>
    <row r="798" spans="1:27" ht="15.75" x14ac:dyDescent="0.25">
      <c r="A798" s="6">
        <v>1899</v>
      </c>
      <c r="B798" s="6" t="s">
        <v>1205</v>
      </c>
      <c r="C798" s="6" t="s">
        <v>1206</v>
      </c>
      <c r="D798" s="21">
        <v>44180</v>
      </c>
      <c r="E798" s="7" t="s">
        <v>27</v>
      </c>
      <c r="F798" s="7">
        <v>345</v>
      </c>
      <c r="G798" s="7">
        <v>754</v>
      </c>
      <c r="H798" s="7">
        <v>6</v>
      </c>
      <c r="I798" s="10" t="s">
        <v>30</v>
      </c>
      <c r="J798" s="9">
        <v>15000</v>
      </c>
      <c r="K798" s="43"/>
      <c r="L798" s="44"/>
      <c r="M798" s="18"/>
      <c r="N798" s="45"/>
      <c r="O798" s="45"/>
      <c r="P798" s="45"/>
      <c r="Q798" s="23">
        <v>44362</v>
      </c>
      <c r="R798" s="9">
        <v>2306</v>
      </c>
      <c r="S798" s="108">
        <v>15000</v>
      </c>
      <c r="U798" s="40">
        <f t="shared" si="15"/>
        <v>18086410.34</v>
      </c>
      <c r="Y798" s="65"/>
      <c r="Z798" s="35"/>
      <c r="AA798" s="34"/>
    </row>
    <row r="799" spans="1:27" ht="15.75" x14ac:dyDescent="0.25">
      <c r="A799" s="6">
        <v>1546</v>
      </c>
      <c r="B799" s="6" t="s">
        <v>924</v>
      </c>
      <c r="C799" s="6" t="s">
        <v>925</v>
      </c>
      <c r="D799" s="21">
        <v>44180</v>
      </c>
      <c r="E799" s="7" t="s">
        <v>27</v>
      </c>
      <c r="F799" s="7">
        <v>373</v>
      </c>
      <c r="G799" s="7">
        <v>755</v>
      </c>
      <c r="H799" s="7">
        <v>6</v>
      </c>
      <c r="I799" s="10" t="s">
        <v>30</v>
      </c>
      <c r="J799" s="9">
        <v>84000</v>
      </c>
      <c r="K799" s="43"/>
      <c r="L799" s="44"/>
      <c r="M799" s="18"/>
      <c r="N799" s="45"/>
      <c r="O799" s="45"/>
      <c r="P799" s="45"/>
      <c r="Q799" s="23">
        <v>44362</v>
      </c>
      <c r="R799" s="9">
        <v>2299</v>
      </c>
      <c r="S799" s="108">
        <v>84000</v>
      </c>
      <c r="U799" s="40">
        <f t="shared" si="15"/>
        <v>18170410.34</v>
      </c>
      <c r="Y799" s="65"/>
      <c r="Z799" s="35"/>
      <c r="AA799" s="34"/>
    </row>
    <row r="800" spans="1:27" ht="15.75" x14ac:dyDescent="0.25">
      <c r="A800" s="6">
        <v>1966</v>
      </c>
      <c r="B800" s="6" t="s">
        <v>889</v>
      </c>
      <c r="C800" s="6" t="s">
        <v>233</v>
      </c>
      <c r="D800" s="21">
        <v>44180</v>
      </c>
      <c r="E800" s="7" t="s">
        <v>27</v>
      </c>
      <c r="F800" s="7">
        <v>382</v>
      </c>
      <c r="G800" s="7">
        <v>756</v>
      </c>
      <c r="H800" s="7">
        <v>12</v>
      </c>
      <c r="I800" s="10" t="s">
        <v>30</v>
      </c>
      <c r="J800" s="9">
        <v>10000</v>
      </c>
      <c r="K800" s="43"/>
      <c r="L800" s="44"/>
      <c r="M800" s="18"/>
      <c r="N800" s="45"/>
      <c r="O800" s="45"/>
      <c r="P800" s="45"/>
      <c r="Q800" s="23">
        <v>44362</v>
      </c>
      <c r="R800" s="9">
        <v>2303</v>
      </c>
      <c r="S800" s="108">
        <v>10000</v>
      </c>
      <c r="U800" s="40">
        <f t="shared" si="15"/>
        <v>18180410.34</v>
      </c>
      <c r="Y800" s="65"/>
      <c r="Z800" s="35"/>
      <c r="AA800" s="34"/>
    </row>
    <row r="801" spans="1:27" ht="15.75" x14ac:dyDescent="0.25">
      <c r="A801" s="6" t="s">
        <v>1207</v>
      </c>
      <c r="B801" s="6" t="s">
        <v>695</v>
      </c>
      <c r="C801" s="6" t="s">
        <v>69</v>
      </c>
      <c r="D801" s="21">
        <v>44182</v>
      </c>
      <c r="E801" s="7" t="s">
        <v>27</v>
      </c>
      <c r="F801" s="7">
        <v>524</v>
      </c>
      <c r="G801" s="7">
        <v>757</v>
      </c>
      <c r="H801" s="7">
        <v>12</v>
      </c>
      <c r="I801" s="10" t="s">
        <v>30</v>
      </c>
      <c r="J801" s="9">
        <v>4000</v>
      </c>
      <c r="K801" s="43"/>
      <c r="L801" s="44"/>
      <c r="M801" s="18"/>
      <c r="N801" s="45"/>
      <c r="O801" s="45"/>
      <c r="P801" s="45"/>
      <c r="Q801" s="23">
        <v>44547</v>
      </c>
      <c r="R801" s="9">
        <v>4722</v>
      </c>
      <c r="S801" s="108">
        <v>4000</v>
      </c>
      <c r="U801" s="40">
        <f t="shared" si="15"/>
        <v>18184410.34</v>
      </c>
      <c r="Y801" s="65"/>
      <c r="Z801" s="35"/>
      <c r="AA801" s="34"/>
    </row>
    <row r="802" spans="1:27" ht="15.75" x14ac:dyDescent="0.25">
      <c r="A802" s="6">
        <v>1977</v>
      </c>
      <c r="B802" s="6" t="s">
        <v>1208</v>
      </c>
      <c r="C802" s="6" t="s">
        <v>1209</v>
      </c>
      <c r="D802" s="21">
        <v>44183</v>
      </c>
      <c r="E802" s="7" t="s">
        <v>27</v>
      </c>
      <c r="F802" s="7">
        <v>434</v>
      </c>
      <c r="G802" s="7">
        <v>758</v>
      </c>
      <c r="H802" s="7">
        <v>12</v>
      </c>
      <c r="I802" s="10" t="s">
        <v>30</v>
      </c>
      <c r="J802" s="9">
        <v>1000</v>
      </c>
      <c r="K802" s="43"/>
      <c r="L802" s="44"/>
      <c r="M802" s="18"/>
      <c r="N802" s="45"/>
      <c r="O802" s="45"/>
      <c r="P802" s="45"/>
      <c r="Q802" s="23">
        <v>44548</v>
      </c>
      <c r="R802" s="9">
        <v>4758</v>
      </c>
      <c r="S802" s="108">
        <v>1000</v>
      </c>
      <c r="U802" s="40">
        <f t="shared" si="15"/>
        <v>18185410.34</v>
      </c>
      <c r="Y802" s="65"/>
      <c r="Z802" s="35"/>
      <c r="AA802" s="34"/>
    </row>
    <row r="803" spans="1:27" ht="15.75" x14ac:dyDescent="0.25">
      <c r="A803" s="6">
        <v>1978</v>
      </c>
      <c r="B803" s="6" t="s">
        <v>1210</v>
      </c>
      <c r="C803" s="6" t="s">
        <v>1211</v>
      </c>
      <c r="D803" s="21">
        <v>44183</v>
      </c>
      <c r="E803" s="7" t="s">
        <v>27</v>
      </c>
      <c r="F803" s="7">
        <v>556</v>
      </c>
      <c r="G803" s="7">
        <v>759</v>
      </c>
      <c r="H803" s="7">
        <v>12</v>
      </c>
      <c r="I803" s="10" t="s">
        <v>30</v>
      </c>
      <c r="J803" s="9">
        <v>20000</v>
      </c>
      <c r="K803" s="43"/>
      <c r="L803" s="44"/>
      <c r="M803" s="18"/>
      <c r="N803" s="45"/>
      <c r="O803" s="45"/>
      <c r="P803" s="45"/>
      <c r="Q803" s="23">
        <v>44548</v>
      </c>
      <c r="R803" s="9">
        <v>3114</v>
      </c>
      <c r="S803" s="108">
        <v>20000</v>
      </c>
      <c r="U803" s="40">
        <f t="shared" si="15"/>
        <v>18205410.34</v>
      </c>
      <c r="Y803" s="65"/>
      <c r="Z803" s="35"/>
      <c r="AA803" s="34"/>
    </row>
    <row r="804" spans="1:27" ht="15.75" x14ac:dyDescent="0.25">
      <c r="A804" s="6">
        <v>1979</v>
      </c>
      <c r="B804" s="6" t="s">
        <v>1212</v>
      </c>
      <c r="C804" s="6" t="s">
        <v>1213</v>
      </c>
      <c r="D804" s="21">
        <v>44183</v>
      </c>
      <c r="E804" s="7" t="s">
        <v>27</v>
      </c>
      <c r="F804" s="7">
        <v>560</v>
      </c>
      <c r="G804" s="7">
        <v>760</v>
      </c>
      <c r="H804" s="7">
        <v>12</v>
      </c>
      <c r="I804" s="10" t="s">
        <v>30</v>
      </c>
      <c r="J804" s="9">
        <v>2000</v>
      </c>
      <c r="K804" s="43"/>
      <c r="L804" s="44"/>
      <c r="M804" s="18"/>
      <c r="N804" s="45"/>
      <c r="O804" s="45"/>
      <c r="P804" s="45"/>
      <c r="Q804" s="23">
        <v>44548</v>
      </c>
      <c r="R804" s="9">
        <v>3097</v>
      </c>
      <c r="S804" s="108">
        <v>2000</v>
      </c>
      <c r="U804" s="40">
        <f t="shared" si="15"/>
        <v>18207410.34</v>
      </c>
      <c r="Y804" s="65"/>
      <c r="Z804" s="35"/>
      <c r="AA804" s="34"/>
    </row>
    <row r="805" spans="1:27" ht="15.75" x14ac:dyDescent="0.25">
      <c r="A805" s="6">
        <v>1980</v>
      </c>
      <c r="B805" s="6" t="s">
        <v>1214</v>
      </c>
      <c r="C805" s="6" t="s">
        <v>1215</v>
      </c>
      <c r="D805" s="21">
        <v>44183</v>
      </c>
      <c r="E805" s="7" t="s">
        <v>27</v>
      </c>
      <c r="F805" s="7">
        <v>562</v>
      </c>
      <c r="G805" s="7">
        <v>761</v>
      </c>
      <c r="H805" s="7">
        <v>12</v>
      </c>
      <c r="I805" s="10" t="s">
        <v>30</v>
      </c>
      <c r="J805" s="9">
        <v>30000</v>
      </c>
      <c r="K805" s="43"/>
      <c r="L805" s="44"/>
      <c r="M805" s="18"/>
      <c r="N805" s="45"/>
      <c r="O805" s="45"/>
      <c r="P805" s="45"/>
      <c r="Q805" s="23">
        <v>44548</v>
      </c>
      <c r="R805" s="9">
        <v>4741</v>
      </c>
      <c r="S805" s="108">
        <v>30000</v>
      </c>
      <c r="U805" s="40">
        <f t="shared" si="15"/>
        <v>18237410.34</v>
      </c>
      <c r="Y805" s="65"/>
      <c r="Z805" s="35"/>
      <c r="AA805" s="34"/>
    </row>
    <row r="806" spans="1:27" ht="15.75" x14ac:dyDescent="0.25">
      <c r="A806" s="6">
        <v>1983</v>
      </c>
      <c r="B806" s="6" t="s">
        <v>345</v>
      </c>
      <c r="D806" s="21"/>
      <c r="G806" s="7">
        <v>762</v>
      </c>
      <c r="H806" s="7"/>
      <c r="K806" s="43"/>
      <c r="L806" s="44"/>
      <c r="M806" s="18"/>
      <c r="N806" s="45"/>
      <c r="O806" s="45"/>
      <c r="P806" s="45"/>
      <c r="U806" s="40">
        <f t="shared" ref="U806:U840" si="16">U805+S806-T806</f>
        <v>18237410.34</v>
      </c>
      <c r="Y806" s="65"/>
      <c r="Z806" s="35"/>
      <c r="AA806" s="34"/>
    </row>
    <row r="807" spans="1:27" ht="15.75" x14ac:dyDescent="0.25">
      <c r="A807" s="6">
        <v>887</v>
      </c>
      <c r="B807" s="6" t="s">
        <v>1018</v>
      </c>
      <c r="C807" s="6" t="s">
        <v>381</v>
      </c>
      <c r="D807" s="21">
        <v>44183</v>
      </c>
      <c r="E807" s="7" t="s">
        <v>27</v>
      </c>
      <c r="F807" s="7">
        <v>442</v>
      </c>
      <c r="G807" s="7">
        <v>763</v>
      </c>
      <c r="H807" s="7">
        <v>12</v>
      </c>
      <c r="I807" s="10" t="s">
        <v>30</v>
      </c>
      <c r="J807" s="9">
        <v>2100</v>
      </c>
      <c r="K807" s="43"/>
      <c r="L807" s="44"/>
      <c r="M807" s="18"/>
      <c r="N807" s="45"/>
      <c r="O807" s="45"/>
      <c r="P807" s="45"/>
      <c r="Q807" s="23">
        <v>44548</v>
      </c>
      <c r="R807" s="9">
        <v>4746</v>
      </c>
      <c r="S807" s="108">
        <v>2100</v>
      </c>
      <c r="U807" s="40">
        <f t="shared" si="16"/>
        <v>18239510.34</v>
      </c>
      <c r="Y807" s="65"/>
      <c r="Z807" s="35"/>
      <c r="AA807" s="34"/>
    </row>
    <row r="808" spans="1:27" ht="15.75" x14ac:dyDescent="0.25">
      <c r="A808" s="6">
        <v>1983</v>
      </c>
      <c r="B808" s="6" t="s">
        <v>1216</v>
      </c>
      <c r="C808" s="6" t="s">
        <v>1217</v>
      </c>
      <c r="D808" s="21">
        <v>44183</v>
      </c>
      <c r="E808" s="7" t="s">
        <v>27</v>
      </c>
      <c r="F808" s="7">
        <v>572</v>
      </c>
      <c r="G808" s="7">
        <v>764</v>
      </c>
      <c r="H808" s="7">
        <v>12</v>
      </c>
      <c r="I808" s="10" t="s">
        <v>30</v>
      </c>
      <c r="J808" s="9">
        <v>1000</v>
      </c>
      <c r="K808" s="43"/>
      <c r="L808" s="44"/>
      <c r="M808" s="18"/>
      <c r="N808" s="45"/>
      <c r="O808" s="45"/>
      <c r="P808" s="45"/>
      <c r="Q808" s="23">
        <v>44548</v>
      </c>
      <c r="R808" s="9">
        <v>4761</v>
      </c>
      <c r="S808" s="108">
        <v>1000</v>
      </c>
      <c r="U808" s="40">
        <f t="shared" si="16"/>
        <v>18240510.34</v>
      </c>
      <c r="Y808" s="65"/>
      <c r="Z808" s="35"/>
      <c r="AA808" s="34"/>
    </row>
    <row r="809" spans="1:27" ht="15.75" x14ac:dyDescent="0.25">
      <c r="A809" s="6">
        <v>1080</v>
      </c>
      <c r="B809" s="6" t="s">
        <v>594</v>
      </c>
      <c r="C809" s="6" t="s">
        <v>595</v>
      </c>
      <c r="D809" s="21">
        <v>44183</v>
      </c>
      <c r="E809" s="7" t="s">
        <v>27</v>
      </c>
      <c r="F809" s="7">
        <v>445</v>
      </c>
      <c r="G809" s="7">
        <v>765</v>
      </c>
      <c r="H809" s="7">
        <v>12</v>
      </c>
      <c r="I809" s="10" t="s">
        <v>30</v>
      </c>
      <c r="J809" s="9">
        <v>60000</v>
      </c>
      <c r="K809" s="43"/>
      <c r="L809" s="44"/>
      <c r="M809" s="18"/>
      <c r="N809" s="45"/>
      <c r="O809" s="45"/>
      <c r="P809" s="45"/>
      <c r="Q809" s="23">
        <v>44548</v>
      </c>
      <c r="R809" s="9">
        <v>4749</v>
      </c>
      <c r="S809" s="108">
        <v>60000</v>
      </c>
      <c r="U809" s="40">
        <f t="shared" si="16"/>
        <v>18300510.34</v>
      </c>
      <c r="Y809" s="65"/>
      <c r="Z809" s="35"/>
      <c r="AA809" s="34"/>
    </row>
    <row r="810" spans="1:27" ht="15.75" x14ac:dyDescent="0.25">
      <c r="A810" s="6">
        <v>457</v>
      </c>
      <c r="B810" s="6" t="s">
        <v>932</v>
      </c>
      <c r="C810" s="6" t="s">
        <v>1218</v>
      </c>
      <c r="D810" s="21">
        <v>44186</v>
      </c>
      <c r="E810" s="7" t="s">
        <v>27</v>
      </c>
      <c r="F810" s="7">
        <v>574</v>
      </c>
      <c r="G810" s="7">
        <v>766</v>
      </c>
      <c r="H810" s="7">
        <v>6</v>
      </c>
      <c r="I810" s="10" t="s">
        <v>30</v>
      </c>
      <c r="J810" s="9">
        <v>69000</v>
      </c>
      <c r="K810" s="43"/>
      <c r="L810" s="44"/>
      <c r="M810" s="18"/>
      <c r="N810" s="45"/>
      <c r="O810" s="45"/>
      <c r="P810" s="45"/>
      <c r="Q810" s="23">
        <v>44368</v>
      </c>
      <c r="R810" s="9">
        <v>2388</v>
      </c>
      <c r="S810" s="108">
        <v>69000</v>
      </c>
      <c r="U810" s="40">
        <f t="shared" si="16"/>
        <v>18369510.34</v>
      </c>
      <c r="Y810" s="65"/>
      <c r="Z810" s="35"/>
      <c r="AA810" s="34"/>
    </row>
    <row r="811" spans="1:27" ht="15.75" x14ac:dyDescent="0.25">
      <c r="A811" s="6">
        <v>1584</v>
      </c>
      <c r="B811" s="6" t="s">
        <v>938</v>
      </c>
      <c r="C811" s="6" t="s">
        <v>939</v>
      </c>
      <c r="D811" s="21">
        <v>44186</v>
      </c>
      <c r="E811" s="7" t="s">
        <v>27</v>
      </c>
      <c r="F811" s="7">
        <v>577</v>
      </c>
      <c r="G811" s="7">
        <v>767</v>
      </c>
      <c r="H811" s="7">
        <v>6</v>
      </c>
      <c r="I811" s="10" t="s">
        <v>30</v>
      </c>
      <c r="J811" s="9">
        <v>10000</v>
      </c>
      <c r="K811" s="43"/>
      <c r="L811" s="44"/>
      <c r="M811" s="18"/>
      <c r="N811" s="45"/>
      <c r="O811" s="45"/>
      <c r="P811" s="45"/>
      <c r="Q811" s="23">
        <v>44378</v>
      </c>
      <c r="R811" s="9">
        <v>1554</v>
      </c>
      <c r="S811" s="108">
        <v>10000</v>
      </c>
      <c r="U811" s="40">
        <f t="shared" si="16"/>
        <v>18379510.34</v>
      </c>
      <c r="Y811" s="65"/>
      <c r="Z811" s="35"/>
      <c r="AA811" s="34"/>
    </row>
    <row r="812" spans="1:27" ht="15.75" x14ac:dyDescent="0.25">
      <c r="A812" s="6">
        <v>1103</v>
      </c>
      <c r="B812" s="6" t="s">
        <v>617</v>
      </c>
      <c r="C812" s="6" t="s">
        <v>1219</v>
      </c>
      <c r="D812" s="21">
        <v>44186</v>
      </c>
      <c r="E812" s="7" t="s">
        <v>27</v>
      </c>
      <c r="F812" s="7">
        <v>480</v>
      </c>
      <c r="G812" s="7">
        <v>768</v>
      </c>
      <c r="H812" s="7">
        <v>12</v>
      </c>
      <c r="I812" s="10" t="s">
        <v>30</v>
      </c>
      <c r="J812" s="9">
        <v>78000</v>
      </c>
      <c r="K812" s="43"/>
      <c r="L812" s="44"/>
      <c r="M812" s="18"/>
      <c r="N812" s="45"/>
      <c r="O812" s="45"/>
      <c r="P812" s="45"/>
      <c r="Q812" s="23">
        <v>44551</v>
      </c>
      <c r="R812" s="9">
        <v>3135</v>
      </c>
      <c r="S812" s="108">
        <v>78000</v>
      </c>
      <c r="U812" s="40">
        <f t="shared" si="16"/>
        <v>18457510.34</v>
      </c>
      <c r="Y812" s="65"/>
      <c r="Z812" s="35"/>
      <c r="AA812" s="34"/>
    </row>
    <row r="813" spans="1:27" ht="15.75" x14ac:dyDescent="0.25">
      <c r="A813" s="6">
        <v>1987</v>
      </c>
      <c r="B813" s="6" t="s">
        <v>1220</v>
      </c>
      <c r="C813" s="6" t="s">
        <v>956</v>
      </c>
      <c r="D813" s="21">
        <v>44186</v>
      </c>
      <c r="E813" s="7" t="s">
        <v>27</v>
      </c>
      <c r="F813" s="7">
        <v>597</v>
      </c>
      <c r="G813" s="7">
        <v>769</v>
      </c>
      <c r="H813" s="7">
        <v>12</v>
      </c>
      <c r="I813" s="10" t="s">
        <v>30</v>
      </c>
      <c r="J813" s="9">
        <v>1200</v>
      </c>
      <c r="K813" s="43"/>
      <c r="L813" s="44"/>
      <c r="M813" s="18"/>
      <c r="N813" s="45"/>
      <c r="O813" s="45"/>
      <c r="P813" s="45"/>
      <c r="Q813" s="23">
        <v>44551</v>
      </c>
      <c r="R813" s="9">
        <v>3220</v>
      </c>
      <c r="S813" s="108">
        <v>1200</v>
      </c>
      <c r="U813" s="40">
        <f t="shared" si="16"/>
        <v>18458710.34</v>
      </c>
      <c r="Y813" s="65"/>
      <c r="Z813" s="35"/>
      <c r="AA813" s="34"/>
    </row>
    <row r="814" spans="1:27" ht="15.75" x14ac:dyDescent="0.25">
      <c r="A814" s="6">
        <v>402</v>
      </c>
      <c r="B814" s="6" t="s">
        <v>1221</v>
      </c>
      <c r="C814" s="6" t="s">
        <v>69</v>
      </c>
      <c r="D814" s="21">
        <v>44186</v>
      </c>
      <c r="E814" s="7" t="s">
        <v>27</v>
      </c>
      <c r="F814" s="7">
        <v>611</v>
      </c>
      <c r="G814" s="7">
        <v>770</v>
      </c>
      <c r="H814" s="7">
        <v>12</v>
      </c>
      <c r="I814" s="10" t="s">
        <v>30</v>
      </c>
      <c r="J814" s="9">
        <v>12000</v>
      </c>
      <c r="K814" s="43"/>
      <c r="L814" s="44"/>
      <c r="M814" s="18"/>
      <c r="N814" s="45"/>
      <c r="O814" s="45"/>
      <c r="P814" s="45"/>
      <c r="Q814" s="23">
        <v>44551</v>
      </c>
      <c r="R814" s="9">
        <v>3130</v>
      </c>
      <c r="S814" s="108">
        <v>12000</v>
      </c>
      <c r="U814" s="40">
        <f t="shared" si="16"/>
        <v>18470710.34</v>
      </c>
      <c r="Y814" s="65"/>
      <c r="Z814" s="35"/>
      <c r="AA814" s="34"/>
    </row>
    <row r="815" spans="1:27" ht="15.75" x14ac:dyDescent="0.25">
      <c r="A815" s="6">
        <v>1732</v>
      </c>
      <c r="B815" s="6" t="s">
        <v>1063</v>
      </c>
      <c r="C815" s="6" t="s">
        <v>1064</v>
      </c>
      <c r="D815" s="21">
        <v>44187</v>
      </c>
      <c r="E815" s="7" t="s">
        <v>27</v>
      </c>
      <c r="F815" s="7">
        <v>631</v>
      </c>
      <c r="G815" s="7">
        <v>771</v>
      </c>
      <c r="H815" s="7">
        <v>12</v>
      </c>
      <c r="I815" s="10" t="s">
        <v>30</v>
      </c>
      <c r="J815" s="9">
        <v>200000</v>
      </c>
      <c r="K815" s="43"/>
      <c r="L815" s="44"/>
      <c r="M815" s="18"/>
      <c r="N815" s="45"/>
      <c r="O815" s="45"/>
      <c r="P815" s="45"/>
      <c r="Q815" s="23">
        <v>44552</v>
      </c>
      <c r="R815" s="9">
        <v>4830</v>
      </c>
      <c r="S815" s="108">
        <v>200000</v>
      </c>
      <c r="U815" s="40">
        <f t="shared" si="16"/>
        <v>18670710.34</v>
      </c>
      <c r="Y815" s="65"/>
      <c r="Z815" s="35"/>
      <c r="AA815" s="34"/>
    </row>
    <row r="816" spans="1:27" ht="15.75" x14ac:dyDescent="0.25">
      <c r="A816" s="6">
        <v>1993</v>
      </c>
      <c r="B816" s="6" t="s">
        <v>805</v>
      </c>
      <c r="C816" s="6" t="s">
        <v>1222</v>
      </c>
      <c r="D816" s="21">
        <v>44187</v>
      </c>
      <c r="E816" s="7" t="s">
        <v>27</v>
      </c>
      <c r="F816" s="7">
        <v>514</v>
      </c>
      <c r="G816" s="7">
        <v>772</v>
      </c>
      <c r="H816" s="7">
        <v>12</v>
      </c>
      <c r="I816" s="10" t="s">
        <v>30</v>
      </c>
      <c r="J816" s="9">
        <v>2000</v>
      </c>
      <c r="K816" s="43"/>
      <c r="L816" s="44"/>
      <c r="M816" s="18"/>
      <c r="N816" s="45"/>
      <c r="O816" s="45"/>
      <c r="P816" s="45"/>
      <c r="Q816" s="23">
        <v>44552</v>
      </c>
      <c r="R816" s="9">
        <v>4855</v>
      </c>
      <c r="S816" s="108">
        <v>2000</v>
      </c>
      <c r="U816" s="40">
        <f t="shared" si="16"/>
        <v>18672710.34</v>
      </c>
      <c r="Y816" s="65"/>
      <c r="Z816" s="35"/>
      <c r="AA816" s="34"/>
    </row>
    <row r="817" spans="1:27" ht="15.75" x14ac:dyDescent="0.25">
      <c r="A817" s="6">
        <v>1998</v>
      </c>
      <c r="B817" s="6" t="s">
        <v>1223</v>
      </c>
      <c r="C817" s="6" t="s">
        <v>1224</v>
      </c>
      <c r="D817" s="21">
        <v>44187</v>
      </c>
      <c r="E817" s="7" t="s">
        <v>27</v>
      </c>
      <c r="F817" s="7">
        <v>641</v>
      </c>
      <c r="G817" s="7">
        <v>773</v>
      </c>
      <c r="H817" s="7">
        <v>12</v>
      </c>
      <c r="I817" s="10" t="s">
        <v>30</v>
      </c>
      <c r="J817" s="9">
        <v>15000</v>
      </c>
      <c r="K817" s="43"/>
      <c r="L817" s="44"/>
      <c r="M817" s="18"/>
      <c r="N817" s="45"/>
      <c r="O817" s="45"/>
      <c r="P817" s="45"/>
      <c r="Q817" s="23">
        <v>44552</v>
      </c>
      <c r="R817" s="9">
        <v>3138</v>
      </c>
      <c r="S817" s="108">
        <v>15000</v>
      </c>
      <c r="U817" s="40">
        <f t="shared" si="16"/>
        <v>18687710.34</v>
      </c>
      <c r="Y817" s="65"/>
      <c r="Z817" s="35"/>
      <c r="AA817" s="34"/>
    </row>
    <row r="818" spans="1:27" ht="15.75" x14ac:dyDescent="0.25">
      <c r="A818" s="6">
        <v>1145</v>
      </c>
      <c r="B818" s="6" t="s">
        <v>669</v>
      </c>
      <c r="C818" s="6" t="s">
        <v>670</v>
      </c>
      <c r="D818" s="21">
        <v>44187</v>
      </c>
      <c r="E818" s="7" t="s">
        <v>27</v>
      </c>
      <c r="F818" s="7">
        <v>520</v>
      </c>
      <c r="G818" s="7">
        <v>774</v>
      </c>
      <c r="H818" s="7">
        <v>12</v>
      </c>
      <c r="I818" s="10" t="s">
        <v>30</v>
      </c>
      <c r="J818" s="9">
        <v>7000</v>
      </c>
      <c r="K818" s="43"/>
      <c r="L818" s="44"/>
      <c r="M818" s="18"/>
      <c r="N818" s="45"/>
      <c r="O818" s="45"/>
      <c r="P818" s="45"/>
      <c r="Q818" s="23">
        <v>44552</v>
      </c>
      <c r="R818" s="9">
        <v>3143</v>
      </c>
      <c r="S818" s="108">
        <v>7000</v>
      </c>
      <c r="U818" s="40">
        <f t="shared" si="16"/>
        <v>18694710.34</v>
      </c>
      <c r="Y818" s="65"/>
      <c r="Z818" s="35"/>
      <c r="AA818" s="34"/>
    </row>
    <row r="819" spans="1:27" ht="15.75" x14ac:dyDescent="0.25">
      <c r="A819" s="6">
        <v>2002</v>
      </c>
      <c r="B819" s="6" t="s">
        <v>345</v>
      </c>
      <c r="D819" s="21"/>
      <c r="G819" s="7">
        <v>775</v>
      </c>
      <c r="H819" s="7"/>
      <c r="K819" s="43"/>
      <c r="L819" s="44"/>
      <c r="M819" s="18"/>
      <c r="N819" s="45"/>
      <c r="O819" s="45"/>
      <c r="P819" s="45"/>
      <c r="U819" s="40">
        <f t="shared" si="16"/>
        <v>18694710.34</v>
      </c>
      <c r="Y819" s="65"/>
      <c r="Z819" s="35"/>
      <c r="AA819" s="34"/>
    </row>
    <row r="820" spans="1:27" ht="15.75" x14ac:dyDescent="0.25">
      <c r="A820" s="6">
        <v>2002</v>
      </c>
      <c r="B820" s="6" t="s">
        <v>1225</v>
      </c>
      <c r="C820" s="6" t="s">
        <v>1226</v>
      </c>
      <c r="D820" s="21">
        <v>44187</v>
      </c>
      <c r="E820" s="7" t="s">
        <v>27</v>
      </c>
      <c r="F820" s="7">
        <v>542</v>
      </c>
      <c r="G820" s="7">
        <v>776</v>
      </c>
      <c r="H820" s="7">
        <v>6</v>
      </c>
      <c r="I820" s="10" t="s">
        <v>30</v>
      </c>
      <c r="J820" s="9">
        <v>50000</v>
      </c>
      <c r="K820" s="43"/>
      <c r="L820" s="44"/>
      <c r="M820" s="18"/>
      <c r="N820" s="45"/>
      <c r="O820" s="45"/>
      <c r="P820" s="45"/>
      <c r="Q820" s="23">
        <v>44369</v>
      </c>
      <c r="R820" s="9">
        <v>2412</v>
      </c>
      <c r="S820" s="108">
        <v>50000</v>
      </c>
      <c r="U820" s="40">
        <f t="shared" si="16"/>
        <v>18744710.34</v>
      </c>
      <c r="Y820" s="65"/>
      <c r="Z820" s="35"/>
      <c r="AA820" s="34"/>
    </row>
    <row r="821" spans="1:27" ht="15.75" x14ac:dyDescent="0.25">
      <c r="A821" s="6">
        <v>2004</v>
      </c>
      <c r="B821" s="6" t="s">
        <v>1227</v>
      </c>
      <c r="C821" s="6" t="s">
        <v>1228</v>
      </c>
      <c r="D821" s="21">
        <v>44187</v>
      </c>
      <c r="E821" s="7" t="s">
        <v>27</v>
      </c>
      <c r="F821" s="7">
        <v>657</v>
      </c>
      <c r="G821" s="7">
        <v>777</v>
      </c>
      <c r="H821" s="7">
        <v>12</v>
      </c>
      <c r="I821" s="10" t="s">
        <v>30</v>
      </c>
      <c r="J821" s="9">
        <v>1050</v>
      </c>
      <c r="K821" s="43"/>
      <c r="L821" s="44"/>
      <c r="M821" s="18"/>
      <c r="N821" s="45"/>
      <c r="O821" s="45"/>
      <c r="P821" s="45"/>
      <c r="Q821" s="23">
        <v>44911</v>
      </c>
      <c r="R821" s="9">
        <v>3954</v>
      </c>
      <c r="S821" s="108">
        <v>1050</v>
      </c>
      <c r="U821" s="40">
        <f t="shared" si="16"/>
        <v>18745760.34</v>
      </c>
      <c r="Y821" s="65"/>
      <c r="Z821" s="35"/>
      <c r="AA821" s="34"/>
    </row>
    <row r="822" spans="1:27" ht="15.75" x14ac:dyDescent="0.25">
      <c r="A822" s="6">
        <v>1165</v>
      </c>
      <c r="B822" s="6" t="s">
        <v>1229</v>
      </c>
      <c r="C822" s="6" t="s">
        <v>1230</v>
      </c>
      <c r="D822" s="21">
        <v>44188</v>
      </c>
      <c r="E822" s="7" t="s">
        <v>27</v>
      </c>
      <c r="F822" s="7">
        <v>545</v>
      </c>
      <c r="G822" s="7">
        <v>778</v>
      </c>
      <c r="H822" s="7">
        <v>12</v>
      </c>
      <c r="I822" s="10" t="s">
        <v>30</v>
      </c>
      <c r="J822" s="9">
        <v>1117</v>
      </c>
      <c r="K822" s="43"/>
      <c r="L822" s="44"/>
      <c r="M822" s="18"/>
      <c r="N822" s="45"/>
      <c r="O822" s="45"/>
      <c r="P822" s="45"/>
      <c r="Q822" s="23">
        <v>44553</v>
      </c>
      <c r="R822" s="9">
        <v>3176</v>
      </c>
      <c r="S822" s="108">
        <v>1117</v>
      </c>
      <c r="U822" s="40">
        <f t="shared" si="16"/>
        <v>18746877.34</v>
      </c>
      <c r="Y822" s="65"/>
      <c r="Z822" s="35"/>
      <c r="AA822" s="34"/>
    </row>
    <row r="823" spans="1:27" ht="15.75" x14ac:dyDescent="0.25">
      <c r="A823" s="6">
        <v>1875</v>
      </c>
      <c r="B823" s="6" t="s">
        <v>1147</v>
      </c>
      <c r="C823" s="6" t="s">
        <v>1231</v>
      </c>
      <c r="D823" s="21">
        <v>44188</v>
      </c>
      <c r="E823" s="7" t="s">
        <v>27</v>
      </c>
      <c r="F823" s="7">
        <v>661</v>
      </c>
      <c r="G823" s="7">
        <v>779</v>
      </c>
      <c r="H823" s="7">
        <v>12</v>
      </c>
      <c r="I823" s="10" t="s">
        <v>30</v>
      </c>
      <c r="J823" s="9">
        <v>50000</v>
      </c>
      <c r="K823" s="43"/>
      <c r="L823" s="44"/>
      <c r="M823" s="18"/>
      <c r="N823" s="45"/>
      <c r="O823" s="45"/>
      <c r="P823" s="45"/>
      <c r="Q823" s="23">
        <v>44553</v>
      </c>
      <c r="R823" s="9">
        <v>3154</v>
      </c>
      <c r="S823" s="108">
        <v>50000</v>
      </c>
      <c r="U823" s="40">
        <f t="shared" si="16"/>
        <v>18796877.34</v>
      </c>
      <c r="Y823" s="65"/>
      <c r="Z823" s="35"/>
      <c r="AA823" s="34"/>
    </row>
    <row r="824" spans="1:27" ht="15.75" x14ac:dyDescent="0.25">
      <c r="A824" s="6">
        <v>2006</v>
      </c>
      <c r="B824" s="6" t="s">
        <v>1232</v>
      </c>
      <c r="C824" s="6" t="s">
        <v>1233</v>
      </c>
      <c r="D824" s="21">
        <v>44188</v>
      </c>
      <c r="E824" s="7" t="s">
        <v>27</v>
      </c>
      <c r="F824" s="7">
        <v>551</v>
      </c>
      <c r="G824" s="7">
        <v>780</v>
      </c>
      <c r="H824" s="7">
        <v>12</v>
      </c>
      <c r="I824" s="10" t="s">
        <v>30</v>
      </c>
      <c r="J824" s="9">
        <v>2000</v>
      </c>
      <c r="K824" s="43"/>
      <c r="L824" s="44"/>
      <c r="M824" s="18"/>
      <c r="N824" s="45"/>
      <c r="O824" s="45"/>
      <c r="P824" s="45"/>
      <c r="Q824" s="23">
        <v>44553</v>
      </c>
      <c r="R824" s="9">
        <v>3156</v>
      </c>
      <c r="S824" s="108">
        <v>2000</v>
      </c>
      <c r="U824" s="40">
        <f t="shared" si="16"/>
        <v>18798877.34</v>
      </c>
      <c r="Y824" s="65"/>
      <c r="Z824" s="35"/>
      <c r="AA824" s="34"/>
    </row>
    <row r="825" spans="1:27" ht="15.75" x14ac:dyDescent="0.25">
      <c r="A825" s="6">
        <v>2008</v>
      </c>
      <c r="B825" s="6" t="s">
        <v>1234</v>
      </c>
      <c r="C825" s="6" t="s">
        <v>1235</v>
      </c>
      <c r="D825" s="21">
        <v>44188</v>
      </c>
      <c r="E825" s="7" t="s">
        <v>27</v>
      </c>
      <c r="F825" s="7">
        <v>555</v>
      </c>
      <c r="G825" s="7">
        <v>781</v>
      </c>
      <c r="H825" s="7">
        <v>12</v>
      </c>
      <c r="I825" s="10" t="s">
        <v>30</v>
      </c>
      <c r="J825" s="9">
        <v>2000</v>
      </c>
      <c r="K825" s="43"/>
      <c r="L825" s="44"/>
      <c r="M825" s="18"/>
      <c r="N825" s="45"/>
      <c r="O825" s="45"/>
      <c r="P825" s="45"/>
      <c r="Q825" s="23">
        <v>44553</v>
      </c>
      <c r="R825" s="9">
        <v>4845</v>
      </c>
      <c r="S825" s="108">
        <v>2000</v>
      </c>
      <c r="U825" s="40">
        <f t="shared" si="16"/>
        <v>18800877.34</v>
      </c>
      <c r="Y825" s="65"/>
      <c r="Z825" s="35"/>
      <c r="AA825" s="34"/>
    </row>
    <row r="826" spans="1:27" ht="15.75" x14ac:dyDescent="0.25">
      <c r="A826" s="6">
        <v>2009</v>
      </c>
      <c r="B826" s="6" t="s">
        <v>1236</v>
      </c>
      <c r="C826" s="6" t="s">
        <v>1237</v>
      </c>
      <c r="D826" s="21">
        <v>44188</v>
      </c>
      <c r="E826" s="7" t="s">
        <v>27</v>
      </c>
      <c r="F826" s="7">
        <v>560</v>
      </c>
      <c r="G826" s="7">
        <v>782</v>
      </c>
      <c r="H826" s="7">
        <v>6</v>
      </c>
      <c r="I826" s="10" t="s">
        <v>30</v>
      </c>
      <c r="J826" s="9">
        <v>4000</v>
      </c>
      <c r="K826" s="43"/>
      <c r="L826" s="44"/>
      <c r="M826" s="18"/>
      <c r="N826" s="45"/>
      <c r="O826" s="45"/>
      <c r="P826" s="45"/>
      <c r="Q826" s="23">
        <v>44370</v>
      </c>
      <c r="R826" s="9">
        <v>2420</v>
      </c>
      <c r="S826" s="108">
        <v>4000</v>
      </c>
      <c r="U826" s="40">
        <f t="shared" si="16"/>
        <v>18804877.34</v>
      </c>
      <c r="Y826" s="65"/>
      <c r="Z826" s="35"/>
      <c r="AA826" s="34"/>
    </row>
    <row r="827" spans="1:27" ht="15.75" x14ac:dyDescent="0.25">
      <c r="A827" s="6">
        <v>2011</v>
      </c>
      <c r="B827" s="6" t="s">
        <v>345</v>
      </c>
      <c r="D827" s="21"/>
      <c r="G827" s="7">
        <v>783</v>
      </c>
      <c r="H827" s="7"/>
      <c r="K827" s="43"/>
      <c r="L827" s="44"/>
      <c r="M827" s="18"/>
      <c r="N827" s="45"/>
      <c r="O827" s="45"/>
      <c r="P827" s="45"/>
      <c r="U827" s="40">
        <f t="shared" si="16"/>
        <v>18804877.34</v>
      </c>
      <c r="Y827" s="65"/>
      <c r="Z827" s="35"/>
      <c r="AA827" s="34"/>
    </row>
    <row r="828" spans="1:27" ht="15.75" x14ac:dyDescent="0.25">
      <c r="A828" s="6">
        <v>2011</v>
      </c>
      <c r="B828" s="6" t="s">
        <v>1238</v>
      </c>
      <c r="C828" s="6" t="s">
        <v>1237</v>
      </c>
      <c r="D828" s="21">
        <v>44188</v>
      </c>
      <c r="E828" s="7" t="s">
        <v>27</v>
      </c>
      <c r="F828" s="7">
        <v>561</v>
      </c>
      <c r="G828" s="7">
        <v>784</v>
      </c>
      <c r="H828" s="7">
        <v>6</v>
      </c>
      <c r="I828" s="10" t="s">
        <v>30</v>
      </c>
      <c r="J828" s="9">
        <v>30000</v>
      </c>
      <c r="K828" s="43"/>
      <c r="L828" s="44"/>
      <c r="M828" s="18"/>
      <c r="N828" s="45"/>
      <c r="O828" s="45"/>
      <c r="P828" s="45"/>
      <c r="Q828" s="23">
        <v>44370</v>
      </c>
      <c r="R828" s="9">
        <v>2419</v>
      </c>
      <c r="S828" s="108">
        <v>30000</v>
      </c>
      <c r="U828" s="40">
        <f t="shared" si="16"/>
        <v>18834877.34</v>
      </c>
      <c r="Y828" s="65"/>
      <c r="Z828" s="35"/>
      <c r="AA828" s="34"/>
    </row>
    <row r="829" spans="1:27" ht="15.75" x14ac:dyDescent="0.25">
      <c r="A829" s="6" t="s">
        <v>1239</v>
      </c>
      <c r="B829" s="6" t="s">
        <v>1240</v>
      </c>
      <c r="C829" s="6" t="s">
        <v>1241</v>
      </c>
      <c r="D829" s="21">
        <v>44188</v>
      </c>
      <c r="E829" s="7" t="s">
        <v>27</v>
      </c>
      <c r="F829" s="7">
        <v>674</v>
      </c>
      <c r="G829" s="7">
        <v>785</v>
      </c>
      <c r="H829" s="7">
        <v>6</v>
      </c>
      <c r="I829" s="10" t="s">
        <v>30</v>
      </c>
      <c r="J829" s="9">
        <v>10000</v>
      </c>
      <c r="K829" s="43"/>
      <c r="L829" s="44"/>
      <c r="M829" s="18"/>
      <c r="N829" s="45"/>
      <c r="O829" s="45"/>
      <c r="P829" s="45"/>
      <c r="Q829" s="23">
        <v>44965</v>
      </c>
      <c r="R829" s="9">
        <v>8658</v>
      </c>
      <c r="S829" s="108">
        <v>10000</v>
      </c>
      <c r="U829" s="40">
        <f t="shared" si="16"/>
        <v>18844877.34</v>
      </c>
      <c r="Y829" s="65"/>
      <c r="Z829" s="35"/>
      <c r="AA829" s="34"/>
    </row>
    <row r="830" spans="1:27" ht="15.75" x14ac:dyDescent="0.25">
      <c r="A830" s="6">
        <v>2013</v>
      </c>
      <c r="B830" s="6" t="s">
        <v>1242</v>
      </c>
      <c r="D830" s="21">
        <v>44188</v>
      </c>
      <c r="E830" s="7" t="s">
        <v>27</v>
      </c>
      <c r="F830" s="7">
        <v>575</v>
      </c>
      <c r="G830" s="7">
        <v>786</v>
      </c>
      <c r="H830" s="7">
        <v>12</v>
      </c>
      <c r="I830" s="10" t="s">
        <v>30</v>
      </c>
      <c r="J830" s="9">
        <v>2000</v>
      </c>
      <c r="K830" s="43"/>
      <c r="L830" s="44"/>
      <c r="M830" s="18"/>
      <c r="N830" s="45"/>
      <c r="O830" s="45"/>
      <c r="P830" s="45"/>
      <c r="Q830" s="23">
        <v>44641</v>
      </c>
      <c r="R830" s="9">
        <v>786</v>
      </c>
      <c r="S830" s="108">
        <v>2000</v>
      </c>
      <c r="U830" s="40">
        <f t="shared" si="16"/>
        <v>18846877.34</v>
      </c>
      <c r="Y830" s="65"/>
      <c r="Z830" s="35"/>
      <c r="AA830" s="34"/>
    </row>
    <row r="831" spans="1:27" ht="15.75" x14ac:dyDescent="0.25">
      <c r="A831" s="6">
        <v>1172</v>
      </c>
      <c r="B831" s="6" t="s">
        <v>1243</v>
      </c>
      <c r="C831" s="6" t="s">
        <v>706</v>
      </c>
      <c r="D831" s="21">
        <v>44189</v>
      </c>
      <c r="E831" s="7" t="s">
        <v>27</v>
      </c>
      <c r="F831" s="7">
        <v>702</v>
      </c>
      <c r="G831" s="7">
        <v>787</v>
      </c>
      <c r="H831" s="7">
        <v>6</v>
      </c>
      <c r="I831" s="10" t="s">
        <v>30</v>
      </c>
      <c r="J831" s="9">
        <v>3300</v>
      </c>
      <c r="K831" s="43"/>
      <c r="L831" s="44"/>
      <c r="M831" s="18"/>
      <c r="N831" s="45"/>
      <c r="O831" s="45"/>
      <c r="P831" s="45"/>
      <c r="Q831" s="23">
        <v>44371</v>
      </c>
      <c r="R831" s="9">
        <v>2430</v>
      </c>
      <c r="S831" s="108">
        <v>3300</v>
      </c>
      <c r="U831" s="40">
        <f t="shared" si="16"/>
        <v>18850177.34</v>
      </c>
      <c r="Y831" s="65"/>
      <c r="Z831" s="35"/>
      <c r="AA831" s="34"/>
    </row>
    <row r="832" spans="1:27" ht="15.75" x14ac:dyDescent="0.25">
      <c r="A832" s="6">
        <v>2001</v>
      </c>
      <c r="B832" s="6" t="s">
        <v>1244</v>
      </c>
      <c r="C832" s="6" t="s">
        <v>1245</v>
      </c>
      <c r="D832" s="21">
        <v>44189</v>
      </c>
      <c r="E832" s="7" t="s">
        <v>27</v>
      </c>
      <c r="F832" s="7">
        <v>704</v>
      </c>
      <c r="G832" s="7">
        <v>788</v>
      </c>
      <c r="H832" s="7">
        <v>12</v>
      </c>
      <c r="I832" s="10" t="s">
        <v>30</v>
      </c>
      <c r="J832" s="9">
        <v>25000</v>
      </c>
      <c r="K832" s="43"/>
      <c r="L832" s="44"/>
      <c r="M832" s="18"/>
      <c r="N832" s="45"/>
      <c r="O832" s="45"/>
      <c r="P832" s="45"/>
      <c r="Q832" s="23">
        <v>44554</v>
      </c>
      <c r="R832" s="9">
        <v>3181</v>
      </c>
      <c r="S832" s="108">
        <v>25000</v>
      </c>
      <c r="U832" s="40">
        <f t="shared" si="16"/>
        <v>18875177.34</v>
      </c>
      <c r="Y832" s="65"/>
      <c r="Z832" s="35"/>
      <c r="AA832" s="34"/>
    </row>
    <row r="833" spans="1:27" ht="15.75" x14ac:dyDescent="0.25">
      <c r="A833" s="6">
        <v>2019</v>
      </c>
      <c r="B833" s="6" t="s">
        <v>1246</v>
      </c>
      <c r="C833" s="6" t="s">
        <v>1247</v>
      </c>
      <c r="D833" s="21">
        <v>44189</v>
      </c>
      <c r="E833" s="7" t="s">
        <v>27</v>
      </c>
      <c r="F833" s="7">
        <v>591</v>
      </c>
      <c r="G833" s="7">
        <v>789</v>
      </c>
      <c r="H833" s="7">
        <v>6</v>
      </c>
      <c r="I833" s="10" t="s">
        <v>30</v>
      </c>
      <c r="J833" s="9">
        <v>10000</v>
      </c>
      <c r="K833" s="43"/>
      <c r="L833" s="44"/>
      <c r="M833" s="18"/>
      <c r="N833" s="45"/>
      <c r="O833" s="45"/>
      <c r="P833" s="45"/>
      <c r="Q833" s="23">
        <v>44372</v>
      </c>
      <c r="R833" s="9">
        <v>1496</v>
      </c>
      <c r="S833" s="108">
        <v>10000</v>
      </c>
      <c r="U833" s="40">
        <f t="shared" si="16"/>
        <v>18885177.34</v>
      </c>
      <c r="Y833" s="65"/>
      <c r="Z833" s="35"/>
      <c r="AA833" s="34"/>
    </row>
    <row r="834" spans="1:27" ht="15.75" x14ac:dyDescent="0.25">
      <c r="A834" s="6">
        <v>663</v>
      </c>
      <c r="B834" s="6" t="s">
        <v>490</v>
      </c>
      <c r="C834" s="6" t="s">
        <v>573</v>
      </c>
      <c r="D834" s="21">
        <v>44189</v>
      </c>
      <c r="E834" s="7" t="s">
        <v>27</v>
      </c>
      <c r="F834" s="7">
        <v>718</v>
      </c>
      <c r="G834" s="7">
        <v>790</v>
      </c>
      <c r="H834" s="7">
        <v>6</v>
      </c>
      <c r="I834" s="10" t="s">
        <v>30</v>
      </c>
      <c r="J834" s="9">
        <v>30000</v>
      </c>
      <c r="K834" s="43"/>
      <c r="L834" s="44"/>
      <c r="M834" s="18"/>
      <c r="N834" s="45"/>
      <c r="O834" s="45"/>
      <c r="P834" s="45"/>
      <c r="Q834" s="23">
        <v>44371</v>
      </c>
      <c r="R834" s="9">
        <v>2427</v>
      </c>
      <c r="S834" s="108">
        <v>30000</v>
      </c>
      <c r="U834" s="40">
        <f t="shared" si="16"/>
        <v>18915177.34</v>
      </c>
      <c r="Y834" s="120"/>
      <c r="Z834" s="35"/>
      <c r="AA834" s="34"/>
    </row>
    <row r="835" spans="1:27" ht="15.75" x14ac:dyDescent="0.25">
      <c r="A835" s="6">
        <v>12</v>
      </c>
      <c r="B835" s="6" t="s">
        <v>946</v>
      </c>
      <c r="C835" s="6" t="s">
        <v>947</v>
      </c>
      <c r="D835" s="21">
        <v>44191</v>
      </c>
      <c r="E835" s="7" t="s">
        <v>27</v>
      </c>
      <c r="F835" s="7">
        <v>727</v>
      </c>
      <c r="G835" s="7">
        <v>791</v>
      </c>
      <c r="H835" s="7">
        <v>6</v>
      </c>
      <c r="I835" s="10" t="s">
        <v>30</v>
      </c>
      <c r="J835" s="9">
        <v>100000</v>
      </c>
      <c r="K835" s="43"/>
      <c r="L835" s="44"/>
      <c r="M835" s="18"/>
      <c r="N835" s="45"/>
      <c r="O835" s="45"/>
      <c r="P835" s="45"/>
      <c r="Q835" s="23">
        <v>44373</v>
      </c>
      <c r="R835" s="9">
        <v>1505</v>
      </c>
      <c r="S835" s="108">
        <v>100000</v>
      </c>
      <c r="U835" s="40">
        <f t="shared" si="16"/>
        <v>19015177.34</v>
      </c>
      <c r="Y835" s="121"/>
      <c r="Z835" s="35"/>
      <c r="AA835" s="34"/>
    </row>
    <row r="836" spans="1:27" ht="15.75" x14ac:dyDescent="0.25">
      <c r="A836" s="6">
        <v>1179</v>
      </c>
      <c r="B836" s="6" t="s">
        <v>1248</v>
      </c>
      <c r="C836" s="6" t="s">
        <v>712</v>
      </c>
      <c r="D836" s="21">
        <v>44193</v>
      </c>
      <c r="E836" s="7" t="s">
        <v>27</v>
      </c>
      <c r="F836" s="7">
        <v>750</v>
      </c>
      <c r="G836" s="7">
        <v>792</v>
      </c>
      <c r="H836" s="7">
        <v>12</v>
      </c>
      <c r="I836" s="10" t="s">
        <v>30</v>
      </c>
      <c r="J836" s="9">
        <v>30000</v>
      </c>
      <c r="K836" s="43"/>
      <c r="L836" s="44"/>
      <c r="M836" s="18"/>
      <c r="N836" s="45"/>
      <c r="O836" s="45"/>
      <c r="P836" s="45"/>
      <c r="Q836" s="23">
        <v>44558</v>
      </c>
      <c r="R836" s="9">
        <v>4888</v>
      </c>
      <c r="S836" s="108">
        <v>30000</v>
      </c>
      <c r="U836" s="40">
        <f t="shared" si="16"/>
        <v>19045177.34</v>
      </c>
      <c r="Y836" s="121"/>
      <c r="Z836" s="35"/>
      <c r="AA836" s="34"/>
    </row>
    <row r="837" spans="1:27" ht="15.75" x14ac:dyDescent="0.25">
      <c r="A837" s="6">
        <v>2029</v>
      </c>
      <c r="B837" s="6" t="s">
        <v>1249</v>
      </c>
      <c r="C837" s="6" t="s">
        <v>1250</v>
      </c>
      <c r="D837" s="21">
        <v>44193</v>
      </c>
      <c r="E837" s="7" t="s">
        <v>27</v>
      </c>
      <c r="F837" s="7">
        <v>620</v>
      </c>
      <c r="G837" s="7">
        <v>793</v>
      </c>
      <c r="H837" s="7">
        <v>12</v>
      </c>
      <c r="I837" s="10" t="s">
        <v>30</v>
      </c>
      <c r="J837" s="9">
        <v>1000</v>
      </c>
      <c r="K837" s="43"/>
      <c r="L837" s="44"/>
      <c r="M837" s="18"/>
      <c r="N837" s="45"/>
      <c r="O837" s="45"/>
      <c r="P837" s="45"/>
      <c r="Q837" s="23">
        <v>44578</v>
      </c>
      <c r="R837" s="9">
        <v>3535</v>
      </c>
      <c r="S837" s="108">
        <v>1000</v>
      </c>
      <c r="U837" s="40">
        <f t="shared" si="16"/>
        <v>19046177.34</v>
      </c>
      <c r="Y837" s="120"/>
      <c r="Z837" s="35"/>
      <c r="AA837" s="34"/>
    </row>
    <row r="838" spans="1:27" ht="15.75" x14ac:dyDescent="0.25">
      <c r="A838" s="6">
        <v>1584</v>
      </c>
      <c r="B838" s="6" t="s">
        <v>938</v>
      </c>
      <c r="C838" s="6" t="s">
        <v>939</v>
      </c>
      <c r="D838" s="21">
        <v>44195</v>
      </c>
      <c r="E838" s="7" t="s">
        <v>27</v>
      </c>
      <c r="F838" s="7">
        <v>640</v>
      </c>
      <c r="G838" s="7">
        <v>794</v>
      </c>
      <c r="H838" s="7">
        <v>6</v>
      </c>
      <c r="I838" s="10" t="s">
        <v>30</v>
      </c>
      <c r="J838" s="9">
        <v>10000</v>
      </c>
      <c r="K838" s="43"/>
      <c r="L838" s="44"/>
      <c r="M838" s="18"/>
      <c r="N838" s="45"/>
      <c r="O838" s="45"/>
      <c r="P838" s="45"/>
      <c r="Q838" s="23">
        <v>44378</v>
      </c>
      <c r="R838" s="9">
        <v>1556</v>
      </c>
      <c r="S838" s="108">
        <v>10000</v>
      </c>
      <c r="U838" s="40">
        <f t="shared" si="16"/>
        <v>19056177.34</v>
      </c>
      <c r="Y838" s="121"/>
      <c r="Z838" s="35"/>
      <c r="AA838" s="34"/>
    </row>
    <row r="839" spans="1:27" ht="15.75" x14ac:dyDescent="0.25">
      <c r="A839" s="6">
        <v>1188</v>
      </c>
      <c r="B839" s="6" t="s">
        <v>725</v>
      </c>
      <c r="C839" s="6" t="s">
        <v>1251</v>
      </c>
      <c r="D839" s="21">
        <v>44195</v>
      </c>
      <c r="E839" s="7" t="s">
        <v>27</v>
      </c>
      <c r="F839" s="7">
        <v>786</v>
      </c>
      <c r="G839" s="7">
        <v>795</v>
      </c>
      <c r="H839" s="7">
        <v>12</v>
      </c>
      <c r="I839" s="10" t="s">
        <v>30</v>
      </c>
      <c r="J839" s="9">
        <v>235000</v>
      </c>
      <c r="K839" s="43"/>
      <c r="L839" s="44"/>
      <c r="M839" s="18"/>
      <c r="N839" s="45"/>
      <c r="O839" s="45"/>
      <c r="P839" s="45"/>
      <c r="Q839" s="23">
        <v>44560</v>
      </c>
      <c r="R839" s="9">
        <v>3247</v>
      </c>
      <c r="S839" s="108">
        <v>235000</v>
      </c>
      <c r="U839" s="40">
        <f t="shared" si="16"/>
        <v>19291177.34</v>
      </c>
      <c r="Y839" s="121"/>
      <c r="Z839" s="35"/>
      <c r="AA839" s="34"/>
    </row>
    <row r="840" spans="1:27" ht="15.75" x14ac:dyDescent="0.25">
      <c r="A840" s="6">
        <v>1894</v>
      </c>
      <c r="B840" s="6" t="s">
        <v>1252</v>
      </c>
      <c r="C840" s="6" t="s">
        <v>1253</v>
      </c>
      <c r="D840" s="21">
        <v>44195</v>
      </c>
      <c r="E840" s="7" t="s">
        <v>27</v>
      </c>
      <c r="F840" s="7">
        <v>791</v>
      </c>
      <c r="G840" s="7">
        <v>796</v>
      </c>
      <c r="H840" s="7">
        <v>6</v>
      </c>
      <c r="I840" s="10" t="s">
        <v>30</v>
      </c>
      <c r="J840" s="9">
        <v>300000</v>
      </c>
      <c r="K840" s="43"/>
      <c r="L840" s="44"/>
      <c r="M840" s="18"/>
      <c r="N840" s="45"/>
      <c r="O840" s="45"/>
      <c r="P840" s="45"/>
      <c r="Q840" s="23">
        <v>44382</v>
      </c>
      <c r="R840" s="9">
        <v>1589</v>
      </c>
      <c r="S840" s="108">
        <v>300000</v>
      </c>
      <c r="U840" s="40">
        <f t="shared" si="16"/>
        <v>19591177.34</v>
      </c>
      <c r="W840" s="97">
        <v>43800</v>
      </c>
      <c r="Y840" s="65"/>
      <c r="Z840" s="35"/>
      <c r="AA840" s="34"/>
    </row>
  </sheetData>
  <sheetProtection formatCells="0"/>
  <autoFilter ref="A6:AA840" xr:uid="{00000000-0001-0000-0000-000000000000}"/>
  <mergeCells count="11">
    <mergeCell ref="A1:V1"/>
    <mergeCell ref="A2:V2"/>
    <mergeCell ref="A3:V3"/>
    <mergeCell ref="H4:T4"/>
    <mergeCell ref="Q5:R5"/>
    <mergeCell ref="S5:T5"/>
    <mergeCell ref="A4:F4"/>
    <mergeCell ref="U4:U5"/>
    <mergeCell ref="A5:B5"/>
    <mergeCell ref="D5:J5"/>
    <mergeCell ref="K5:P5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SAN_GASPAR_R.L.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JULIANA LAYNEZ</cp:lastModifiedBy>
  <dcterms:created xsi:type="dcterms:W3CDTF">2018-12-20T21:38:30Z</dcterms:created>
  <dcterms:modified xsi:type="dcterms:W3CDTF">2026-09-16T21:50:51Z</dcterms:modified>
</cp:coreProperties>
</file>