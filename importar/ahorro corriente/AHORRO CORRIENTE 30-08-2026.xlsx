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2b2627b8da2b2/Desktop/"/>
    </mc:Choice>
  </mc:AlternateContent>
  <xr:revisionPtr revIDLastSave="9" documentId="13_ncr:1_{356436A1-9422-4CA0-8F9D-A349B0D9732B}" xr6:coauthVersionLast="47" xr6:coauthVersionMax="47" xr10:uidLastSave="{315AB618-E101-4784-977A-531C8B5E8C63}"/>
  <bookViews>
    <workbookView xWindow="-120" yWindow="-120" windowWidth="29040" windowHeight="15720" activeTab="2" xr2:uid="{73DE7178-EDCE-438C-B7D9-BEA727B642B1}"/>
  </bookViews>
  <sheets>
    <sheet name="Gráfico1" sheetId="2" r:id="rId1"/>
    <sheet name="Gráfico2" sheetId="3" r:id="rId2"/>
    <sheet name="AHORRO ENERO 2026" sheetId="1" r:id="rId3"/>
  </sheets>
  <definedNames>
    <definedName name="_xlnm._FilterDatabase" localSheetId="2" hidden="1">'AHORRO ENERO 2026'!$B$3:$J$3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2" i="1" l="1"/>
  <c r="I682" i="1" l="1"/>
  <c r="L678" i="1" l="1"/>
  <c r="J637" i="1"/>
  <c r="J638" i="1"/>
  <c r="J639" i="1"/>
  <c r="J659" i="1"/>
  <c r="J660" i="1"/>
  <c r="J661" i="1"/>
  <c r="J662" i="1"/>
  <c r="J663" i="1"/>
  <c r="J664" i="1"/>
  <c r="J665" i="1"/>
  <c r="J657" i="1"/>
  <c r="J658" i="1"/>
  <c r="J656" i="1"/>
  <c r="K678" i="1"/>
  <c r="J678" i="1"/>
  <c r="J654" i="1"/>
  <c r="J65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51" i="1"/>
  <c r="J652" i="1"/>
  <c r="J653" i="1"/>
  <c r="J649" i="1"/>
  <c r="J647" i="1"/>
  <c r="J648" i="1"/>
  <c r="J640" i="1"/>
  <c r="J641" i="1"/>
  <c r="J642" i="1"/>
  <c r="J643" i="1"/>
  <c r="J644" i="1"/>
  <c r="J645" i="1"/>
  <c r="J646" i="1"/>
  <c r="J650" i="1"/>
  <c r="H679" i="1"/>
  <c r="I679" i="1"/>
  <c r="J630" i="1"/>
  <c r="J631" i="1"/>
  <c r="J632" i="1"/>
  <c r="J633" i="1"/>
  <c r="J634" i="1"/>
  <c r="J635" i="1"/>
  <c r="J636" i="1"/>
  <c r="J625" i="1"/>
  <c r="J604" i="1"/>
  <c r="J605" i="1"/>
  <c r="J606" i="1"/>
  <c r="J607" i="1"/>
  <c r="J608" i="1"/>
  <c r="J610" i="1"/>
  <c r="J611" i="1"/>
  <c r="J612" i="1"/>
  <c r="J613" i="1"/>
  <c r="J609" i="1"/>
  <c r="J616" i="1"/>
  <c r="J617" i="1"/>
  <c r="J618" i="1"/>
  <c r="J619" i="1"/>
  <c r="J620" i="1"/>
  <c r="J621" i="1"/>
  <c r="J622" i="1"/>
  <c r="J623" i="1"/>
  <c r="J624" i="1"/>
  <c r="J626" i="1"/>
  <c r="J627" i="1"/>
  <c r="J628" i="1"/>
  <c r="J629" i="1"/>
  <c r="J599" i="1"/>
  <c r="J600" i="1"/>
  <c r="J601" i="1"/>
  <c r="J602" i="1"/>
  <c r="J591" i="1"/>
  <c r="J592" i="1"/>
  <c r="J593" i="1"/>
  <c r="J594" i="1"/>
  <c r="J595" i="1"/>
  <c r="J596" i="1"/>
  <c r="J590" i="1" l="1"/>
  <c r="J587" i="1"/>
  <c r="J588" i="1"/>
  <c r="J589" i="1"/>
  <c r="L484" i="1"/>
  <c r="K484" i="1"/>
  <c r="L576" i="1"/>
  <c r="K576" i="1"/>
  <c r="J586" i="1"/>
  <c r="J579" i="1"/>
  <c r="J580" i="1"/>
  <c r="J581" i="1"/>
  <c r="J583" i="1"/>
  <c r="J584" i="1"/>
  <c r="J585" i="1"/>
  <c r="J597" i="1"/>
  <c r="J598" i="1"/>
  <c r="J603" i="1"/>
  <c r="J614" i="1"/>
  <c r="J615" i="1"/>
  <c r="J577" i="1"/>
  <c r="J578" i="1"/>
  <c r="J582" i="1"/>
  <c r="J521" i="1"/>
  <c r="J522" i="1"/>
  <c r="J523" i="1"/>
  <c r="J516" i="1"/>
  <c r="J517" i="1"/>
  <c r="J518" i="1"/>
  <c r="J559" i="1" l="1"/>
  <c r="J524" i="1"/>
  <c r="J525" i="1"/>
  <c r="J526" i="1"/>
  <c r="J520" i="1"/>
  <c r="J519" i="1"/>
  <c r="J510" i="1"/>
  <c r="J511" i="1"/>
  <c r="J512" i="1"/>
  <c r="J513" i="1"/>
  <c r="J514" i="1"/>
  <c r="J515" i="1"/>
  <c r="J501" i="1"/>
  <c r="J502" i="1"/>
  <c r="J503" i="1"/>
  <c r="J504" i="1"/>
  <c r="J500" i="1"/>
  <c r="J549" i="1"/>
  <c r="J550" i="1"/>
  <c r="J551" i="1"/>
  <c r="J552" i="1"/>
  <c r="J553" i="1"/>
  <c r="J554" i="1"/>
  <c r="J555" i="1"/>
  <c r="J556" i="1"/>
  <c r="J557" i="1"/>
  <c r="J558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47" i="1"/>
  <c r="J548" i="1"/>
  <c r="J529" i="1"/>
  <c r="J527" i="1"/>
  <c r="J528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488" i="1"/>
  <c r="J506" i="1"/>
  <c r="J507" i="1"/>
  <c r="J508" i="1"/>
  <c r="J509" i="1"/>
  <c r="J486" i="1"/>
  <c r="J487" i="1"/>
  <c r="J489" i="1"/>
  <c r="J490" i="1"/>
  <c r="J491" i="1"/>
  <c r="J492" i="1"/>
  <c r="J493" i="1"/>
  <c r="J494" i="1"/>
  <c r="J495" i="1"/>
  <c r="J496" i="1"/>
  <c r="J497" i="1"/>
  <c r="J498" i="1"/>
  <c r="J499" i="1"/>
  <c r="J505" i="1"/>
  <c r="J456" i="1"/>
  <c r="J457" i="1"/>
  <c r="J406" i="1"/>
  <c r="J396" i="1"/>
  <c r="J397" i="1"/>
  <c r="J483" i="1"/>
  <c r="J484" i="1"/>
  <c r="J485" i="1"/>
  <c r="J449" i="1"/>
  <c r="J450" i="1"/>
  <c r="J441" i="1"/>
  <c r="J442" i="1"/>
  <c r="J425" i="1"/>
  <c r="J398" i="1"/>
  <c r="J476" i="1"/>
  <c r="J475" i="1"/>
  <c r="J474" i="1"/>
  <c r="J473" i="1"/>
  <c r="J470" i="1"/>
  <c r="J471" i="1"/>
  <c r="J472" i="1"/>
  <c r="J477" i="1"/>
  <c r="J478" i="1"/>
  <c r="J479" i="1"/>
  <c r="J480" i="1"/>
  <c r="J481" i="1"/>
  <c r="J482" i="1"/>
  <c r="J459" i="1"/>
  <c r="J460" i="1"/>
  <c r="J461" i="1"/>
  <c r="J462" i="1"/>
  <c r="J463" i="1"/>
  <c r="J464" i="1"/>
  <c r="J465" i="1"/>
  <c r="J466" i="1"/>
  <c r="J467" i="1"/>
  <c r="J468" i="1"/>
  <c r="J469" i="1"/>
  <c r="J451" i="1"/>
  <c r="J452" i="1"/>
  <c r="J453" i="1"/>
  <c r="J454" i="1"/>
  <c r="J455" i="1"/>
  <c r="J447" i="1"/>
  <c r="J448" i="1"/>
  <c r="J458" i="1"/>
  <c r="J443" i="1"/>
  <c r="J444" i="1"/>
  <c r="J445" i="1"/>
  <c r="J438" i="1"/>
  <c r="J439" i="1"/>
  <c r="J440" i="1"/>
  <c r="J433" i="1"/>
  <c r="J434" i="1"/>
  <c r="J437" i="1"/>
  <c r="J446" i="1"/>
  <c r="J209" i="1"/>
  <c r="J423" i="1"/>
  <c r="J422" i="1"/>
  <c r="J424" i="1"/>
  <c r="J426" i="1"/>
  <c r="J427" i="1"/>
  <c r="J428" i="1"/>
  <c r="J421" i="1"/>
  <c r="J429" i="1"/>
  <c r="J430" i="1"/>
  <c r="J431" i="1"/>
  <c r="J432" i="1"/>
  <c r="J413" i="1"/>
  <c r="J414" i="1"/>
  <c r="J415" i="1"/>
  <c r="J416" i="1"/>
  <c r="J417" i="1"/>
  <c r="J418" i="1"/>
  <c r="J419" i="1"/>
  <c r="J420" i="1"/>
  <c r="J410" i="1"/>
  <c r="J411" i="1"/>
  <c r="J412" i="1"/>
  <c r="J401" i="1"/>
  <c r="J404" i="1"/>
  <c r="J388" i="1"/>
  <c r="J387" i="1"/>
  <c r="J399" i="1"/>
  <c r="J400" i="1"/>
  <c r="J402" i="1"/>
  <c r="J403" i="1"/>
  <c r="J405" i="1"/>
  <c r="J407" i="1"/>
  <c r="J408" i="1"/>
  <c r="J409" i="1"/>
  <c r="K377" i="1"/>
  <c r="J381" i="1"/>
  <c r="J382" i="1"/>
  <c r="J383" i="1"/>
  <c r="J384" i="1"/>
  <c r="J385" i="1"/>
  <c r="J386" i="1"/>
  <c r="J379" i="1"/>
  <c r="J380" i="1"/>
  <c r="J389" i="1"/>
  <c r="J390" i="1"/>
  <c r="J391" i="1"/>
  <c r="J392" i="1"/>
  <c r="J393" i="1"/>
  <c r="J394" i="1"/>
  <c r="J395" i="1"/>
  <c r="J378" i="1"/>
  <c r="J374" i="1"/>
  <c r="L377" i="1"/>
  <c r="J377" i="1"/>
  <c r="J376" i="1"/>
  <c r="J370" i="1"/>
  <c r="J367" i="1"/>
  <c r="J368" i="1"/>
  <c r="J369" i="1"/>
  <c r="J371" i="1"/>
  <c r="J372" i="1"/>
  <c r="J373" i="1"/>
  <c r="J375" i="1"/>
  <c r="J357" i="1"/>
  <c r="J358" i="1"/>
  <c r="J359" i="1"/>
  <c r="J360" i="1"/>
  <c r="J361" i="1"/>
  <c r="J356" i="1"/>
  <c r="J362" i="1"/>
  <c r="J363" i="1"/>
  <c r="J364" i="1"/>
  <c r="J365" i="1"/>
  <c r="J366" i="1"/>
  <c r="J347" i="1"/>
  <c r="J348" i="1"/>
  <c r="J343" i="1"/>
  <c r="J327" i="1"/>
  <c r="J328" i="1"/>
  <c r="J344" i="1"/>
  <c r="J345" i="1"/>
  <c r="J325" i="1"/>
  <c r="J324" i="1"/>
  <c r="J321" i="1"/>
  <c r="J322" i="1"/>
  <c r="J315" i="1"/>
  <c r="J342" i="1"/>
  <c r="J346" i="1"/>
  <c r="J349" i="1"/>
  <c r="J350" i="1"/>
  <c r="J351" i="1"/>
  <c r="J352" i="1"/>
  <c r="J353" i="1"/>
  <c r="J354" i="1"/>
  <c r="J355" i="1"/>
  <c r="J334" i="1"/>
  <c r="J333" i="1"/>
  <c r="J335" i="1"/>
  <c r="J336" i="1"/>
  <c r="J337" i="1"/>
  <c r="J338" i="1"/>
  <c r="J339" i="1"/>
  <c r="J340" i="1"/>
  <c r="J341" i="1"/>
  <c r="J319" i="1"/>
  <c r="J326" i="1"/>
  <c r="J323" i="1"/>
  <c r="J320" i="1"/>
  <c r="J318" i="1"/>
  <c r="J317" i="1"/>
  <c r="J329" i="1"/>
  <c r="J330" i="1"/>
  <c r="L58" i="1"/>
  <c r="K58" i="1"/>
  <c r="L266" i="1"/>
  <c r="K266" i="1"/>
  <c r="L201" i="1"/>
  <c r="K201" i="1"/>
  <c r="L130" i="1"/>
  <c r="K130" i="1"/>
  <c r="J186" i="1"/>
  <c r="J159" i="1"/>
  <c r="J156" i="1"/>
  <c r="J155" i="1"/>
  <c r="J154" i="1"/>
  <c r="J152" i="1"/>
  <c r="J153" i="1"/>
  <c r="J157" i="1"/>
  <c r="J160" i="1"/>
  <c r="J162" i="1"/>
  <c r="J163" i="1"/>
  <c r="J164" i="1"/>
  <c r="J158" i="1"/>
  <c r="J29" i="1" l="1"/>
  <c r="J30" i="1"/>
  <c r="J314" i="1"/>
  <c r="J316" i="1"/>
  <c r="J313" i="1"/>
  <c r="J331" i="1"/>
  <c r="J332" i="1"/>
  <c r="J303" i="1"/>
  <c r="J311" i="1"/>
  <c r="J310" i="1"/>
  <c r="J309" i="1"/>
  <c r="J308" i="1"/>
  <c r="J307" i="1"/>
  <c r="J306" i="1"/>
  <c r="J305" i="1"/>
  <c r="J304" i="1"/>
  <c r="J302" i="1"/>
  <c r="J301" i="1"/>
  <c r="J300" i="1"/>
  <c r="J299" i="1"/>
  <c r="J297" i="1"/>
  <c r="J298" i="1"/>
  <c r="J288" i="1"/>
  <c r="J289" i="1"/>
  <c r="J290" i="1"/>
  <c r="J291" i="1"/>
  <c r="J292" i="1"/>
  <c r="J293" i="1"/>
  <c r="J294" i="1"/>
  <c r="J295" i="1"/>
  <c r="J296" i="1"/>
  <c r="J281" i="1"/>
  <c r="J277" i="1"/>
  <c r="J278" i="1"/>
  <c r="J279" i="1"/>
  <c r="J280" i="1"/>
  <c r="J282" i="1"/>
  <c r="J283" i="1"/>
  <c r="J284" i="1"/>
  <c r="J285" i="1"/>
  <c r="J286" i="1"/>
  <c r="J287" i="1"/>
  <c r="J270" i="1"/>
  <c r="J271" i="1"/>
  <c r="J272" i="1"/>
  <c r="J273" i="1"/>
  <c r="J274" i="1"/>
  <c r="J275" i="1"/>
  <c r="J276" i="1"/>
  <c r="J222" i="1"/>
  <c r="J229" i="1"/>
  <c r="J210" i="1"/>
  <c r="J203" i="1"/>
  <c r="J263" i="1"/>
  <c r="J264" i="1"/>
  <c r="J265" i="1"/>
  <c r="J266" i="1"/>
  <c r="J267" i="1"/>
  <c r="J268" i="1"/>
  <c r="J269" i="1"/>
  <c r="J256" i="1"/>
  <c r="J257" i="1"/>
  <c r="J258" i="1"/>
  <c r="J259" i="1"/>
  <c r="J260" i="1"/>
  <c r="J255" i="1"/>
  <c r="J254" i="1"/>
  <c r="J250" i="1"/>
  <c r="J252" i="1"/>
  <c r="J253" i="1"/>
  <c r="J251" i="1"/>
  <c r="J243" i="1"/>
  <c r="J244" i="1"/>
  <c r="J245" i="1"/>
  <c r="J246" i="1"/>
  <c r="J247" i="1"/>
  <c r="J248" i="1"/>
  <c r="J249" i="1"/>
  <c r="J239" i="1"/>
  <c r="J240" i="1"/>
  <c r="J241" i="1"/>
  <c r="J242" i="1"/>
  <c r="J261" i="1"/>
  <c r="J262" i="1"/>
  <c r="J238" i="1"/>
  <c r="J227" i="1"/>
  <c r="J228" i="1"/>
  <c r="J230" i="1"/>
  <c r="J231" i="1"/>
  <c r="J232" i="1"/>
  <c r="J233" i="1"/>
  <c r="J234" i="1"/>
  <c r="J226" i="1"/>
  <c r="J211" i="1"/>
  <c r="J212" i="1"/>
  <c r="J213" i="1"/>
  <c r="J214" i="1"/>
  <c r="J215" i="1"/>
  <c r="J216" i="1"/>
  <c r="J217" i="1"/>
  <c r="J218" i="1"/>
  <c r="J219" i="1"/>
  <c r="J220" i="1"/>
  <c r="J221" i="1"/>
  <c r="J223" i="1"/>
  <c r="J224" i="1"/>
  <c r="J225" i="1"/>
  <c r="J235" i="1"/>
  <c r="J236" i="1"/>
  <c r="J208" i="1"/>
  <c r="J205" i="1"/>
  <c r="J207" i="1"/>
  <c r="J206" i="1"/>
  <c r="J204" i="1"/>
  <c r="J202" i="1"/>
  <c r="J201" i="1"/>
  <c r="J200" i="1"/>
  <c r="J199" i="1"/>
  <c r="J198" i="1"/>
  <c r="J197" i="1"/>
  <c r="J196" i="1"/>
  <c r="J194" i="1"/>
  <c r="J193" i="1"/>
  <c r="J192" i="1"/>
  <c r="J191" i="1"/>
  <c r="J190" i="1"/>
  <c r="J189" i="1"/>
  <c r="J188" i="1"/>
  <c r="J187" i="1"/>
  <c r="J185" i="1"/>
  <c r="J184" i="1"/>
  <c r="J182" i="1"/>
  <c r="J181" i="1"/>
  <c r="J180" i="1"/>
  <c r="J179" i="1"/>
  <c r="J178" i="1"/>
  <c r="J177" i="1"/>
  <c r="J176" i="1"/>
  <c r="J175" i="1"/>
  <c r="J174" i="1"/>
  <c r="J172" i="1"/>
  <c r="J171" i="1"/>
  <c r="J170" i="1"/>
  <c r="J169" i="1"/>
  <c r="J168" i="1"/>
  <c r="J167" i="1"/>
  <c r="J237" i="1"/>
  <c r="G679" i="1"/>
  <c r="J679" i="1" s="1"/>
  <c r="J5" i="1"/>
  <c r="J4" i="1"/>
  <c r="J8" i="1"/>
  <c r="J7" i="1"/>
  <c r="J6" i="1"/>
  <c r="J13" i="1"/>
  <c r="J12" i="1"/>
  <c r="J11" i="1"/>
  <c r="J10" i="1"/>
  <c r="J9" i="1"/>
  <c r="J165" i="1"/>
  <c r="J166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<sst xmlns="http://schemas.openxmlformats.org/spreadsheetml/2006/main" count="2294" uniqueCount="405">
  <si>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</si>
  <si>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</si>
  <si>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</si>
  <si>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</si>
  <si>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</si>
  <si>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</si>
  <si>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</si>
  <si>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</si>
  <si>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</si>
  <si>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>NO DE CUENTA</t>
  </si>
  <si>
    <t>AGENCA CHAJUL</t>
  </si>
  <si>
    <t>AHORRO CORRIENTE</t>
  </si>
  <si>
    <t>1-1221-5-1</t>
  </si>
  <si>
    <t>IGLESIA EVANGELICA MISION JESUS FUENTE DE VIDA JUIL</t>
  </si>
  <si>
    <t>148-5-1</t>
  </si>
  <si>
    <t>AGENCIA CHAJUL</t>
  </si>
  <si>
    <t>MARIA RIVERA ESCOBAR</t>
  </si>
  <si>
    <t>415-5-1</t>
  </si>
  <si>
    <t>MARIA CECILIA IJOM RIVERA</t>
  </si>
  <si>
    <t>2-4-5-1</t>
  </si>
  <si>
    <t>LORENZA RAQUEL PANTZAY SANCHEZ</t>
  </si>
  <si>
    <t>2-17-5-1</t>
  </si>
  <si>
    <t>GASPAR ESCOBAR CABA</t>
  </si>
  <si>
    <t>2-77-5-1</t>
  </si>
  <si>
    <t>JUANA SANCHEZ CABA DE BRITO</t>
  </si>
  <si>
    <t>2-163-5-1</t>
  </si>
  <si>
    <t>DOMINGO MENDOZA ASICONA</t>
  </si>
  <si>
    <t>2-34-5-1</t>
  </si>
  <si>
    <t>SEBASTIAN ELIAS PANTZAY SANCHEZ</t>
  </si>
  <si>
    <t>2-62-5-1</t>
  </si>
  <si>
    <t>2-38-5-1</t>
  </si>
  <si>
    <t>ROSA RAYMUNDO ANAY</t>
  </si>
  <si>
    <t>2-165-5-1</t>
  </si>
  <si>
    <t>JUAN MATEO RAYMUNDO</t>
  </si>
  <si>
    <t>2-167-5-1</t>
  </si>
  <si>
    <t>ROSA DIAZ SANCHEZ</t>
  </si>
  <si>
    <t>2-56-5-1</t>
  </si>
  <si>
    <t>MARIA ESCOBAR PACHECO</t>
  </si>
  <si>
    <t>2-170-5-1</t>
  </si>
  <si>
    <t>MARIA GASPAR TOMAS DE PASCUAL</t>
  </si>
  <si>
    <t>2-168-5-1</t>
  </si>
  <si>
    <t>ANTONIO ROBERTO CABA XINIC</t>
  </si>
  <si>
    <t>2-53-5-1</t>
  </si>
  <si>
    <t>ELENA CABA CABA</t>
  </si>
  <si>
    <t>2-172-5-1</t>
  </si>
  <si>
    <t>PABLO MO BATZ</t>
  </si>
  <si>
    <t>2-171-5-1</t>
  </si>
  <si>
    <t>JACINTA CANAY RIVERA DE IJOM</t>
  </si>
  <si>
    <t>2-173-5-1</t>
  </si>
  <si>
    <t>MARIA RAMIREZ HU</t>
  </si>
  <si>
    <t>2-174-5-1</t>
  </si>
  <si>
    <t>MARGARITA CANAY ASICONA DE MATEO</t>
  </si>
  <si>
    <t>2-95-5-1</t>
  </si>
  <si>
    <t>JACINTA OFELIA PACHECO IJOM</t>
  </si>
  <si>
    <t>2-176-5-1</t>
  </si>
  <si>
    <t>DOMINGO PACHECO PEREZ</t>
  </si>
  <si>
    <t>2-43-5-1</t>
  </si>
  <si>
    <t>ANA SANCHEZ CABA</t>
  </si>
  <si>
    <t>2-3-5-1</t>
  </si>
  <si>
    <t>DIEGO LAYNEZ ASICONA</t>
  </si>
  <si>
    <t>2-178-5-1</t>
  </si>
  <si>
    <t>MARIA ASICONA ESCOBAR</t>
  </si>
  <si>
    <t>2-42-5-1</t>
  </si>
  <si>
    <t>ELENA CABA RIVERA</t>
  </si>
  <si>
    <t>2-177-5-1</t>
  </si>
  <si>
    <t>2-105-5-1</t>
  </si>
  <si>
    <t>MARIA MENDOZA CABA DE RAYMUNDO</t>
  </si>
  <si>
    <t>2-147-5-1</t>
  </si>
  <si>
    <t>BARTOLOME RIVERA RAMIREZ</t>
  </si>
  <si>
    <t>2-166-5-1</t>
  </si>
  <si>
    <t>JUANA RAMIREZ LAYNEZ</t>
  </si>
  <si>
    <t>1-588-5-1</t>
  </si>
  <si>
    <t>MANUEL ELIAS CABA CABA</t>
  </si>
  <si>
    <t>JUANA CANAY MENDEZ DE SANCHEZ</t>
  </si>
  <si>
    <t>MARGARITA CABA CANAY</t>
  </si>
  <si>
    <t>2-148-5-1</t>
  </si>
  <si>
    <t>2-13-5-1</t>
  </si>
  <si>
    <t>2-50-5-1</t>
  </si>
  <si>
    <t>2-7-5-1</t>
  </si>
  <si>
    <t>MARIA LAYNEZ RAMIREZ</t>
  </si>
  <si>
    <t>2-41-5-1</t>
  </si>
  <si>
    <t>MARGARITA RIVERA HU</t>
  </si>
  <si>
    <t>2-99-5-1</t>
  </si>
  <si>
    <t>ROSA TELIS MATEO</t>
  </si>
  <si>
    <t>2-19-5-1</t>
  </si>
  <si>
    <t>MARGARITA RIVERA ESCOBAR</t>
  </si>
  <si>
    <t>2-18-5-1</t>
  </si>
  <si>
    <t>MARIA MATEO IJOM</t>
  </si>
  <si>
    <t>2-149-5-1</t>
  </si>
  <si>
    <t>DOMINGO MENDOZA CABA</t>
  </si>
  <si>
    <t>2-49-5-1</t>
  </si>
  <si>
    <t>MANUELA YESSICA SANCHEZ ORTEGA</t>
  </si>
  <si>
    <t>2-181-5-1</t>
  </si>
  <si>
    <t>ROSA GUZMAN RAMIREZ</t>
  </si>
  <si>
    <t>2-132-5-1</t>
  </si>
  <si>
    <t>MELCHOR LAYNEZ ASICONA</t>
  </si>
  <si>
    <t>PETRONILA GUZMAN RAMIREZ</t>
  </si>
  <si>
    <t>2-179-5-1</t>
  </si>
  <si>
    <t>MARIA CABA CABA</t>
  </si>
  <si>
    <t>2-113-5-1</t>
  </si>
  <si>
    <t>1-415-5-1</t>
  </si>
  <si>
    <t>94-5-1</t>
  </si>
  <si>
    <t>ROSA CABA RAMIREZ</t>
  </si>
  <si>
    <t>2-182-5-1</t>
  </si>
  <si>
    <t>2-25-5-1</t>
  </si>
  <si>
    <t>VICENTE LAYNEZ CABA</t>
  </si>
  <si>
    <t>2-78-5-1</t>
  </si>
  <si>
    <t>ELENA CABA VI DE CABA</t>
  </si>
  <si>
    <t>2-9-5-1</t>
  </si>
  <si>
    <t>LUCAS ASICONA SANCHEZ</t>
  </si>
  <si>
    <t>2-140-5-1</t>
  </si>
  <si>
    <t>MARIA ANAY IJOM</t>
  </si>
  <si>
    <t>2-183-5-1</t>
  </si>
  <si>
    <t>ROSA ASICONA ASICONA DE RAMIREZ</t>
  </si>
  <si>
    <t>2-184-5-1</t>
  </si>
  <si>
    <t>DIONICIO ESTEBAN SANCHEZ ORTEGA</t>
  </si>
  <si>
    <t>2-185-5-1</t>
  </si>
  <si>
    <t>MARIA MAGALI SANCHEZ CANAY</t>
  </si>
  <si>
    <t>2-186-5-1</t>
  </si>
  <si>
    <t>MARIA CANAY ASICONA</t>
  </si>
  <si>
    <t>2-187-5-1</t>
  </si>
  <si>
    <t xml:space="preserve">JUAN DIAZ HERNANDEZ </t>
  </si>
  <si>
    <t>2-188-5-1</t>
  </si>
  <si>
    <t>MANUELA OFELIA LAYNEZ DEL BARRIO DE GUZMAN</t>
  </si>
  <si>
    <t>2-190-5-1</t>
  </si>
  <si>
    <t>MARIA RIVER NUNAL</t>
  </si>
  <si>
    <t>2-26-5-1</t>
  </si>
  <si>
    <t>MANUELA PACHECO SANCHEZ</t>
  </si>
  <si>
    <t>1-189-5-1</t>
  </si>
  <si>
    <t>MAGDALENA MENDOZA RIVERA</t>
  </si>
  <si>
    <t>2-191-5-1</t>
  </si>
  <si>
    <t>ROSA BECA CABA DE BECA</t>
  </si>
  <si>
    <t>2-192-5-1</t>
  </si>
  <si>
    <t>AURA MARINA ANTONIA LAYNEZ DEL BARRIO</t>
  </si>
  <si>
    <t>2-193-5-1</t>
  </si>
  <si>
    <t>TERESA LAYNEZ ASICONA</t>
  </si>
  <si>
    <t>ROSA RAUMUNDO ANAY</t>
  </si>
  <si>
    <t>2-195-5-1</t>
  </si>
  <si>
    <t>MARIA IJOM RIVERA</t>
  </si>
  <si>
    <t>1-530-5-1</t>
  </si>
  <si>
    <t>JACINTO CHAVEZ RAYMUNDO</t>
  </si>
  <si>
    <t>2-198-5-1</t>
  </si>
  <si>
    <t>PEDRO DEL BARRIO ANAY</t>
  </si>
  <si>
    <t>2-201-5-1</t>
  </si>
  <si>
    <t>CATARINA LOPEZ VI DE VI</t>
  </si>
  <si>
    <t>2-205-5-1</t>
  </si>
  <si>
    <t>PEDRO LUIS TOMA LUX</t>
  </si>
  <si>
    <t>2-203-5-1</t>
  </si>
  <si>
    <t>CRISTINA ELIZABETH CAAL TUM DE TOMA</t>
  </si>
  <si>
    <t>2-197-5-1</t>
  </si>
  <si>
    <t>MANUEL CABA DEL BARRIO DE CABA</t>
  </si>
  <si>
    <t>2-196-5-1</t>
  </si>
  <si>
    <t>MARIA SANCHEZ RIVERA DE CABA</t>
  </si>
  <si>
    <t>2-199-5-1</t>
  </si>
  <si>
    <t>PEDRO ASICONA CABA</t>
  </si>
  <si>
    <t>1-100-5-1</t>
  </si>
  <si>
    <t>JOSE TERRAZA GALLEGO</t>
  </si>
  <si>
    <t>ELENA OFELIA VI DE CABA</t>
  </si>
  <si>
    <t>2-2-5-1</t>
  </si>
  <si>
    <t>JUANA HU GLINDO</t>
  </si>
  <si>
    <t xml:space="preserve">PETRONILA PEREZ CANAY DE IJOM </t>
  </si>
  <si>
    <t>2-83-5-1</t>
  </si>
  <si>
    <t>ELSA MANUELA BOP MO DE CABA</t>
  </si>
  <si>
    <t>2-11-5-1</t>
  </si>
  <si>
    <t>FRANCISCO LAYNEZ RIVERA</t>
  </si>
  <si>
    <t>2-10-5-1</t>
  </si>
  <si>
    <t>MARIA HU MENDEZ</t>
  </si>
  <si>
    <t>2-100-5-1</t>
  </si>
  <si>
    <t>CATARINA CHEL HERMOZO</t>
  </si>
  <si>
    <t>MIGUEL ASICONA LAYNEZ</t>
  </si>
  <si>
    <t>2-200-5-1</t>
  </si>
  <si>
    <t>MARGARITA OFELIA LOPEZ LAYNEZ</t>
  </si>
  <si>
    <t>MIGUEL RAMIREZ IJOM</t>
  </si>
  <si>
    <t>2-141-5-1</t>
  </si>
  <si>
    <t>TERESA ASICONA ANAY</t>
  </si>
  <si>
    <t>MARGARITA LUX LAYNEZ</t>
  </si>
  <si>
    <t>PEDRO LAYNEZ ORTEGA</t>
  </si>
  <si>
    <t>2-207-5-1</t>
  </si>
  <si>
    <t>2-208-5-1</t>
  </si>
  <si>
    <t>MARGARITA VERONICA RAMIREZ LUX</t>
  </si>
  <si>
    <t>2-67-5-1</t>
  </si>
  <si>
    <t>ANDRES BRITO CHEL</t>
  </si>
  <si>
    <t>1-427-5-1</t>
  </si>
  <si>
    <t>MARGARITA LAYNEZ LAYNEZ</t>
  </si>
  <si>
    <t>1-273-5-1</t>
  </si>
  <si>
    <t>MAGDALENA RIVERA MENDOZA</t>
  </si>
  <si>
    <t>NUMERO DE RECIBO</t>
  </si>
  <si>
    <t>206-5-1</t>
  </si>
  <si>
    <t>ROSA RAMIREZ ORTEGA</t>
  </si>
  <si>
    <t>1-1040-5-1</t>
  </si>
  <si>
    <t>JUANA IJOM RAMIREZ</t>
  </si>
  <si>
    <t>MATEO CANAY ASICONA Y JUANA CLARITA LAYNEZ DEL BARRIO</t>
  </si>
  <si>
    <t>2-204-5-1</t>
  </si>
  <si>
    <t>JUAN ESCOBAR CHAVEZ</t>
  </si>
  <si>
    <t>53-5-1</t>
  </si>
  <si>
    <t>145-5-1</t>
  </si>
  <si>
    <t>193-5-1</t>
  </si>
  <si>
    <t xml:space="preserve">TERESA LAYNEZ ASICONA </t>
  </si>
  <si>
    <t>48-5-1</t>
  </si>
  <si>
    <t xml:space="preserve">TERESA KIMBERLY CABA SANCHEZ </t>
  </si>
  <si>
    <t>184-5-2</t>
  </si>
  <si>
    <t>MTEO CANAY ASICONA Y JUANA CLARITA LAY</t>
  </si>
  <si>
    <t>428-5-1</t>
  </si>
  <si>
    <t xml:space="preserve">ROSA LAYNEZ RAMISREZ DE LAYNEZ </t>
  </si>
  <si>
    <t>59-5-1</t>
  </si>
  <si>
    <t xml:space="preserve">TOMAS ASICONA LAYNEZ </t>
  </si>
  <si>
    <t xml:space="preserve">MANUEL LAYNEZ ASICONA </t>
  </si>
  <si>
    <t>56-5-1</t>
  </si>
  <si>
    <t xml:space="preserve">MARIA ESCOBAR PACHECO </t>
  </si>
  <si>
    <t>192-5-1</t>
  </si>
  <si>
    <t>AURA MARINA ANTONIA LAYNEZ DEL BARRIOAHORRO CORRIENTE</t>
  </si>
  <si>
    <t>147-5-1</t>
  </si>
  <si>
    <t>105-5-1</t>
  </si>
  <si>
    <t xml:space="preserve">  1221-5-1             </t>
  </si>
  <si>
    <t>95-5-1</t>
  </si>
  <si>
    <t>165-5-1</t>
  </si>
  <si>
    <t xml:space="preserve">MARTA MARICELA ESCOBAR PEREZ </t>
  </si>
  <si>
    <t>149-5-1</t>
  </si>
  <si>
    <t>38-5-1</t>
  </si>
  <si>
    <t>177-5-1</t>
  </si>
  <si>
    <t>215-5-1</t>
  </si>
  <si>
    <t xml:space="preserve">PETRONA PEREZ RAYMUNDO </t>
  </si>
  <si>
    <t>216-5-1</t>
  </si>
  <si>
    <t xml:space="preserve">ANA PACHECO DIAZ </t>
  </si>
  <si>
    <t xml:space="preserve">IGNACIO RAMIREZ IJOM </t>
  </si>
  <si>
    <t>588-5-1</t>
  </si>
  <si>
    <t>190-5-1</t>
  </si>
  <si>
    <t xml:space="preserve">MARIA RIVERA NUNAL </t>
  </si>
  <si>
    <t>178-5-1</t>
  </si>
  <si>
    <t xml:space="preserve"> 49-5-1</t>
  </si>
  <si>
    <t>MANUELA YESSICA  SANCHZ CABA</t>
  </si>
  <si>
    <t>102-5-1</t>
  </si>
  <si>
    <t>ANA BEATRIZ TELIZ MATEO</t>
  </si>
  <si>
    <t>99-5-1</t>
  </si>
  <si>
    <t>93-5-1</t>
  </si>
  <si>
    <t>MARIA CABA PACHECO MENDOZA</t>
  </si>
  <si>
    <t>185-5-2</t>
  </si>
  <si>
    <t>144-5-1</t>
  </si>
  <si>
    <t>218-5-1</t>
  </si>
  <si>
    <t>MARIA JULIANA LAYNEZ LAYNEZ</t>
  </si>
  <si>
    <t>219-5-1</t>
  </si>
  <si>
    <t>GASPAR WALTER RAYMUNDO MENDOZA</t>
  </si>
  <si>
    <t>220-5-1</t>
  </si>
  <si>
    <t>MARIA DIAZ RIVERA DE RAYMUNDO</t>
  </si>
  <si>
    <t>142-5-1</t>
  </si>
  <si>
    <t>MARIA BATZ ORTEGA</t>
  </si>
  <si>
    <t>151-5-1</t>
  </si>
  <si>
    <t>MARGARITA SANCHEZ LAYNEZ DEL BARRIO</t>
  </si>
  <si>
    <t>222-5-1</t>
  </si>
  <si>
    <t>ANA ESCOBAR RIVERA</t>
  </si>
  <si>
    <t>IGBACIO RAMIREZ IJOM</t>
  </si>
  <si>
    <t xml:space="preserve">164-5-1 </t>
  </si>
  <si>
    <t>140-5-1</t>
  </si>
  <si>
    <t>163-5-1</t>
  </si>
  <si>
    <t xml:space="preserve">DOMINGO MENDOZA ASICONA </t>
  </si>
  <si>
    <t>224-5-1</t>
  </si>
  <si>
    <t>CONCEPCION IJOM SANCHEZ DE PACHECO</t>
  </si>
  <si>
    <t>MARIA CABA PACHECO DE MENDOZA</t>
  </si>
  <si>
    <t>223-5-1</t>
  </si>
  <si>
    <t>MARGARITA MENDOZA CABA DE TELIS</t>
  </si>
  <si>
    <t>225-5-1</t>
  </si>
  <si>
    <t>TERESA DEISY MATEO ZUÑIGA</t>
  </si>
  <si>
    <t>77-5-1</t>
  </si>
  <si>
    <t>207-5-1</t>
  </si>
  <si>
    <t>273-5-1</t>
  </si>
  <si>
    <t>MAGDALENA RIVERA MENDOZA DE IJOM</t>
  </si>
  <si>
    <t>228-5-1</t>
  </si>
  <si>
    <t xml:space="preserve">ROSA LAYNEZ ESCOBAR </t>
  </si>
  <si>
    <t>229-5-1</t>
  </si>
  <si>
    <t>ELEAZAR SEBASTIAN CABA LAYNEZ</t>
  </si>
  <si>
    <t>632-5-1</t>
  </si>
  <si>
    <t>MANUEL PACHECO ASICONA</t>
  </si>
  <si>
    <t>49-5-1</t>
  </si>
  <si>
    <t>YESSICA SANCHEZ CABA</t>
  </si>
  <si>
    <t>189-5-1</t>
  </si>
  <si>
    <t>34-5-1</t>
  </si>
  <si>
    <t>2-14-5-1</t>
  </si>
  <si>
    <t>TERESA ASICONA ASICONA</t>
  </si>
  <si>
    <t>ROSA LOPEZ LAYNEZ</t>
  </si>
  <si>
    <t>213-5-1</t>
  </si>
  <si>
    <t>TOTAL DE AHORRO CORRIENTE DEL MES DE ABRIL 2026</t>
  </si>
  <si>
    <t>IRMA ROSELIA AGUSTIN LOPEZ DE SANCHEZ</t>
  </si>
  <si>
    <t>MARIA SANCHEZ DIAZ</t>
  </si>
  <si>
    <t>IGLESIA EVANGELICA 1 MISION JESUS FUENTE DE VIDA JUIL</t>
  </si>
  <si>
    <t>TERESA ASICONA RAMOS DE LOPEZ</t>
  </si>
  <si>
    <t>MARIA ASICONA ASICONA DE IJOM</t>
  </si>
  <si>
    <t>DOMINGO  LOPEZ MATEO</t>
  </si>
  <si>
    <t>MARIA YULA LAYNEZ</t>
  </si>
  <si>
    <t>ANTONIO ISAAC CABA LAYNEZ</t>
  </si>
  <si>
    <t>ROSY MARICELDA CALEL IMUL</t>
  </si>
  <si>
    <t>DOMINDO MENDOZA CABA</t>
  </si>
  <si>
    <t>MARIA ANASTACIA LAYNEZ CABA</t>
  </si>
  <si>
    <t>CATARINA CHEL HERMOSO</t>
  </si>
  <si>
    <t>MARIA MARTA CABA MO</t>
  </si>
  <si>
    <t>JUANA CRUZ TORREZ DE PEREZ</t>
  </si>
  <si>
    <t>ANA RAMIREZ LAYNEZ</t>
  </si>
  <si>
    <t xml:space="preserve">TERESA LAYNES ASICONA </t>
  </si>
  <si>
    <t>MARTA CABA MATEO</t>
  </si>
  <si>
    <t>MAGDALENA BRITO SOLIZ</t>
  </si>
  <si>
    <t>JUANA SANCHEZ CEDILLO</t>
  </si>
  <si>
    <t xml:space="preserve">ANA MENDOZA ESCOBAR </t>
  </si>
  <si>
    <t xml:space="preserve"> </t>
  </si>
  <si>
    <t>MARIA MENDOZA LAYNEZ DE ANAY</t>
  </si>
  <si>
    <t>ELENA CABA  RIVERA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</si>
  <si>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</si>
  <si>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</si>
  <si>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TEREZA RIVERA CHIVAZ</t>
  </si>
  <si>
    <t>CATARINA PACHECO CABA DE MATEO</t>
  </si>
  <si>
    <t>NICOLAS CABA SOLANO</t>
  </si>
  <si>
    <t>ROMUALDO MATEO SANTIAGO</t>
  </si>
  <si>
    <t>CRISTINA TERESA ASICONA RIVERA</t>
  </si>
  <si>
    <t>DP</t>
  </si>
  <si>
    <t>RT</t>
  </si>
  <si>
    <t>IGLESIA EVANGALICA MISION JESUS FUENTE DE VISA JUIL</t>
  </si>
  <si>
    <t>MARIA AMILIA ASICONA DIAZ DE MATEO</t>
  </si>
  <si>
    <t>JUANA MENDOZA CABA DE RIVERA</t>
  </si>
  <si>
    <t>MARTA CABA CABA</t>
  </si>
  <si>
    <t>DOMINGO GREGORIO IJOM ANAY</t>
  </si>
  <si>
    <t xml:space="preserve">DOMINGO MENDOZA CABA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</si>
  <si>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</si>
  <si>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CATARINA MENDOZA LAYNEZ</t>
  </si>
  <si>
    <t>PEDRO  LUIS TOMA LUX</t>
  </si>
  <si>
    <t>DIEGO RIVERA RAMOZ</t>
  </si>
  <si>
    <t>MARIA CESIA PACHECO RIVERA</t>
  </si>
  <si>
    <t xml:space="preserve">ANDRES RIVERA ESCOBAR </t>
  </si>
  <si>
    <t>LUCIA CABA CANAY DE CABA</t>
  </si>
  <si>
    <t>JUANA ESPERANZA XINIC SANTIAGO</t>
  </si>
  <si>
    <t>MARIA ANAY ESCOBAR</t>
  </si>
  <si>
    <t>MARIA RAMIREZ LOPEZ</t>
  </si>
  <si>
    <t>MANUELA ORTEGA BOP</t>
  </si>
  <si>
    <t>DIEGO CHAVEZ RIVERA</t>
  </si>
  <si>
    <t>MADGALENA MENDOZA RIVERA</t>
  </si>
  <si>
    <t xml:space="preserve">  </t>
  </si>
  <si>
    <t xml:space="preserve">                                            </t>
  </si>
  <si>
    <t xml:space="preserve">MATEO CANAY ASICONA </t>
  </si>
  <si>
    <t>TERESA LAYNEZ LAYNEZ</t>
  </si>
  <si>
    <t>MANUELA YESSICA SANCHEZ CABA</t>
  </si>
  <si>
    <t>MARGARITA SANCHEZ RAMIREZ</t>
  </si>
  <si>
    <t>FRANCISCO PASCUAL PEDRO</t>
  </si>
  <si>
    <t>MARGARITA CABA CABA DE HERMANDEZ</t>
  </si>
  <si>
    <t>FRANCISCO IJOM LOPEZ</t>
  </si>
  <si>
    <t>PEDRO SANTIAGO CABA RAYMUNDO</t>
  </si>
  <si>
    <t>NILA CECILIA LAYNEZ ASICONA</t>
  </si>
  <si>
    <t>MARIA GUZMAN RIVERA</t>
  </si>
  <si>
    <t>MARIA CABA CANAY</t>
  </si>
  <si>
    <t>ANA MENDOZA ESCOBAR DE GALLEGA</t>
  </si>
  <si>
    <t>JUANA HERNANDEZ DEL BARRIO</t>
  </si>
  <si>
    <t xml:space="preserve">TERESA ASICONA ASICONA </t>
  </si>
  <si>
    <t>MATEO CANAY ASICOANA</t>
  </si>
  <si>
    <t>MATEO CANAY ASICONA</t>
  </si>
  <si>
    <t>DIEGO PEREZ TORREZ</t>
  </si>
  <si>
    <t>JUAN SANCHEZ LAYNEZ</t>
  </si>
  <si>
    <t>PEDRO ISAAC RIVERA CANAY</t>
  </si>
  <si>
    <t>ANA US CANTRERAS DE CARDONA</t>
  </si>
  <si>
    <t>FRANCISCO CABA RIVERA</t>
  </si>
  <si>
    <t>FRANCISCO RAMIREZ CABA</t>
  </si>
  <si>
    <t>PEDRO LUIS TOMAS LUX</t>
  </si>
  <si>
    <t>MARGARITA CABA CABAY</t>
  </si>
  <si>
    <t>ROSA LAYNEZ RAMIREZ DE LAYNEZ</t>
  </si>
  <si>
    <t>JUANA RIVERA CABA DE GUZMAN</t>
  </si>
  <si>
    <t>JOSEFA LAYNEZ CABA</t>
  </si>
  <si>
    <t>TERESA REGINA CHAVEZ ESCOBAR DE ESCOBAR</t>
  </si>
  <si>
    <t>MATEO CANAY AISCONA Y JUANA CLARITA LAYNEZ DEL BARRIO</t>
  </si>
  <si>
    <t>PATROCINIO ROMUALDO XINIC SANTIAGO</t>
  </si>
  <si>
    <t>DOMINGO SANCHEZ LAYNEZ</t>
  </si>
  <si>
    <t>FRANCISCO SANCHEZ LAYNEZ</t>
  </si>
  <si>
    <t>PEDRO MENDOZA ANAY</t>
  </si>
  <si>
    <t>MATEO ASICONA Y JUANA CLARITA LAYNEZ DEL BARRIO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</si>
  <si>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</si>
  <si>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RONY TOMAS CABA LAYNEZ</t>
  </si>
  <si>
    <t>ANTONIO RIVERA CABA</t>
  </si>
  <si>
    <t>TERESA CANA ESCOBAR</t>
  </si>
  <si>
    <t>FRANCISCO COBO CABA</t>
  </si>
  <si>
    <t>CIPRIANO BOP PEREZ Y ENRIQUE ANTONIO SOLANO CABA</t>
  </si>
  <si>
    <t>MARIA GUZMAN LAYNEZ</t>
  </si>
  <si>
    <t>MARIA CECILIA SANCHEZ VI</t>
  </si>
  <si>
    <t>JUA SANCHEZ LAYNEZ</t>
  </si>
  <si>
    <t>PABLO ESCOBAR CHAVEZ</t>
  </si>
  <si>
    <t>FELICIANA PEREZ BERNAL</t>
  </si>
  <si>
    <t>SALVADOR RAMIREZ LAINEZ</t>
  </si>
  <si>
    <t xml:space="preserve">TOMAS CABA CABA </t>
  </si>
  <si>
    <t>JACINTA IJOM ASICONA</t>
  </si>
  <si>
    <t>MARIA ADELINA JOVITA CABA CANAY DE ZUÑIGA</t>
  </si>
  <si>
    <t>ROSA RAMIREZ LAYNEZ</t>
  </si>
  <si>
    <t>TERESA ELVIA BERNAL RIVERA</t>
  </si>
  <si>
    <t>MANUEL PACHECO ASOCONA</t>
  </si>
  <si>
    <t xml:space="preserve">CIPRIANO BOP PEREZ </t>
  </si>
  <si>
    <t>GASPAR ROBERTO MENDOZA AVILES</t>
  </si>
  <si>
    <t>ROSA CAROLINA CABA LAYNEZ</t>
  </si>
  <si>
    <t>ROSA IMUL TIU DE CALEL</t>
  </si>
  <si>
    <t xml:space="preserve">MARTA CABA MATEO </t>
  </si>
  <si>
    <t>JUANA HU GALINDO</t>
  </si>
  <si>
    <t>CATARINA BRITO CORIO DE BERNAL</t>
  </si>
  <si>
    <t>ELEUTERIA LUCIA CABA CANAY</t>
  </si>
  <si>
    <t>MARTA MARIA CABA CABA</t>
  </si>
  <si>
    <t>MARIA CANAY ASICONA DE SANCHEZ</t>
  </si>
  <si>
    <t>JUAN CEDILLO HERMOSO</t>
  </si>
  <si>
    <t>TERESA CABA ESCOBAR</t>
  </si>
  <si>
    <t>TERESA ASICONA  ASICONA</t>
  </si>
  <si>
    <t>TOMAS CHAMAY DE LA CRUZ</t>
  </si>
  <si>
    <t>ANA DIONICIA ASICONA ASICONA</t>
  </si>
  <si>
    <t>PEDRO PACHECO CABA</t>
  </si>
  <si>
    <t>SEBASTIAN SAMBRANO LOPEZ</t>
  </si>
  <si>
    <t>MIGUEL GOMEZ GOMEZ</t>
  </si>
  <si>
    <t>MARIA CABA ASICONA DE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</si>
</sst>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8" borderId="1" xfId="0" applyNumberFormat="1" applyFill="1" applyBorder="1"/>
    <xf numFmtId="44" fontId="0" fillId="9" borderId="1" xfId="0" applyNumberFormat="1" applyFill="1" applyBorder="1"/>
    <xf numFmtId="44" fontId="0" fillId="10" borderId="1" xfId="0" applyNumberFormat="1" applyFill="1" applyBorder="1"/>
    <xf numFmtId="0" fontId="0" fillId="11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44" fontId="0" fillId="12" borderId="1" xfId="0" applyNumberFormat="1" applyFill="1" applyBorder="1"/>
    <xf numFmtId="44" fontId="0" fillId="11" borderId="1" xfId="0" applyNumberFormat="1" applyFill="1" applyBorder="1"/>
    <xf numFmtId="44" fontId="3" fillId="0" borderId="1" xfId="0" applyNumberFormat="1" applyFont="1" applyBorder="1"/>
    <xf numFmtId="0" fontId="3" fillId="0" borderId="0" xfId="0" applyFont="1"/>
    <xf numFmtId="44" fontId="2" fillId="0" borderId="0" xfId="0" applyNumberFormat="1" applyFont="1"/>
    <xf numFmtId="44" fontId="0" fillId="13" borderId="1" xfId="0" applyNumberFormat="1" applyFill="1" applyBorder="1"/>
    <xf numFmtId="44" fontId="0" fillId="0" borderId="1" xfId="0" quotePrefix="1" applyNumberFormat="1" applyBorder="1"/>
    <xf numFmtId="0" fontId="0" fillId="11" borderId="1" xfId="0" applyFill="1" applyBorder="1"/>
    <xf numFmtId="0" fontId="0" fillId="11" borderId="0" xfId="0" applyFill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2026'!$F$1:$F$3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CUENTA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2026'!$A$4:$E$679</c:f>
              <c:multiLvlStrCache>
                <c:ptCount val="67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3">
                    <c:v>MANUELA YESSICA SANCHEZ CABA</c:v>
                  </c:pt>
                  <c:pt idx="634">
                    <c:v>IGLESIA EVANGALICA MISION JESUS FUENTE DE VISA JUIL</c:v>
                  </c:pt>
                  <c:pt idx="635">
                    <c:v>MARIA RAMIREZ HU</c:v>
                  </c:pt>
                  <c:pt idx="636">
                    <c:v>TERESA ASICONA ASICONA </c:v>
                  </c:pt>
                  <c:pt idx="637">
                    <c:v>MARIA DIAZ RIVERA DE RAYMUNDO</c:v>
                  </c:pt>
                  <c:pt idx="638">
                    <c:v>PEDRO LUIS TOMAS LUX</c:v>
                  </c:pt>
                  <c:pt idx="639">
                    <c:v>LORENZA RAQUEL PANTZAY SANCHEZ</c:v>
                  </c:pt>
                  <c:pt idx="640">
                    <c:v>IGLESIA EVANGALICA MISION JESUS FUENTE DE VISA JUIL</c:v>
                  </c:pt>
                  <c:pt idx="641">
                    <c:v>MARIA DIAZ RIVERA DE RAYMUNDO</c:v>
                  </c:pt>
                  <c:pt idx="642">
                    <c:v>TERESA ASICONA  ASICONA</c:v>
                  </c:pt>
                  <c:pt idx="643">
                    <c:v>JACINTA OFELIA PACHECO IJOM</c:v>
                  </c:pt>
                  <c:pt idx="644">
                    <c:v>MATEO CANAY ASICONA Y JUANA CLARITA LAYNEZ DEL BARRIO</c:v>
                  </c:pt>
                  <c:pt idx="645">
                    <c:v>ROSA IMUL TIU DE CALEL</c:v>
                  </c:pt>
                  <c:pt idx="646">
                    <c:v>ELENA CABA CABA</c:v>
                  </c:pt>
                  <c:pt idx="647">
                    <c:v>MARIA JULIANA LAYNEZ LAYNEZ</c:v>
                  </c:pt>
                  <c:pt idx="648">
                    <c:v>MARGARITA CABA CANAY</c:v>
                  </c:pt>
                  <c:pt idx="649">
                    <c:v>ROSA RAYMUNDO ANAY</c:v>
                  </c:pt>
                  <c:pt idx="650">
                    <c:v>ROSA RAYMUNDO ANAY</c:v>
                  </c:pt>
                  <c:pt idx="651">
                    <c:v>MAGDALENA MENDOZA RIVERA</c:v>
                  </c:pt>
                  <c:pt idx="652">
                    <c:v>ROSA RAYMUNDO ANAY</c:v>
                  </c:pt>
                  <c:pt idx="653">
                    <c:v>TERESA ASICONA ASICONA</c:v>
                  </c:pt>
                  <c:pt idx="654">
                    <c:v>ANTONIO RIVERA CABA</c:v>
                  </c:pt>
                  <c:pt idx="655">
                    <c:v>GASPAR WALTER RAYMUNDO MENDOZA</c:v>
                  </c:pt>
                  <c:pt idx="656">
                    <c:v>IGLESIA EVANGALICA MISION JESUS FUENTE DE VISA JUIL</c:v>
                  </c:pt>
                  <c:pt idx="657">
                    <c:v>ROSA RAYMUNDO ANAY</c:v>
                  </c:pt>
                  <c:pt idx="658">
                    <c:v>TERESA CABA ESCOBAR</c:v>
                  </c:pt>
                  <c:pt idx="659">
                    <c:v>TOMAS CHAMAY DE LA CRUZ</c:v>
                  </c:pt>
                  <c:pt idx="660">
                    <c:v>MARIA ESCOBAR PACHECO</c:v>
                  </c:pt>
                  <c:pt idx="661">
                    <c:v>VICENTE LAYNEZ CABA</c:v>
                  </c:pt>
                  <c:pt idx="662">
                    <c:v>ANA DIONICIA ASICONA ASICONA</c:v>
                  </c:pt>
                  <c:pt idx="663">
                    <c:v>PEDRO PACHECO CABA</c:v>
                  </c:pt>
                  <c:pt idx="664">
                    <c:v>SEBASTIAN SAMBRANO LOPEZ</c:v>
                  </c:pt>
                  <c:pt idx="665">
                    <c:v>MIGUEL GOMEZ GOMEZ</c:v>
                  </c:pt>
                  <c:pt idx="666">
                    <c:v>MARIA CABA ASICONA DE CABA</c:v>
                  </c:pt>
                  <c:pt idx="667">
                    <c:v>MARIA RIVERA ESCOBAR</c:v>
                  </c:pt>
                  <c:pt idx="668">
                    <c:v>MARIA YULA LAYNEZ</c:v>
                  </c:pt>
                  <c:pt idx="669">
                    <c:v>ANA ESCOBAR RIVERA</c:v>
                  </c:pt>
                  <c:pt idx="670">
                    <c:v>ROSA LAYNEZ ESCOBAR </c:v>
                  </c:pt>
                  <c:pt idx="671">
                    <c:v>DOMINGO GREGORIO IJOM ANAY</c:v>
                  </c:pt>
                  <c:pt idx="672">
                    <c:v>MIGUEL RAMIREZ IJOM</c:v>
                  </c:pt>
                  <c:pt idx="673">
                    <c:v>TERESA ASICONA ASICONA</c:v>
                  </c:pt>
                  <c:pt idx="67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  <c:pt idx="633">
                    <c:v>AGENCIA CHAJUL</c:v>
                  </c:pt>
                  <c:pt idx="634">
                    <c:v>AGENCIA CHAJUL</c:v>
                  </c:pt>
                  <c:pt idx="635">
                    <c:v>AGENCIA CHAJUL</c:v>
                  </c:pt>
                  <c:pt idx="636">
                    <c:v>AGENCIA CHAJUL</c:v>
                  </c:pt>
                  <c:pt idx="637">
                    <c:v>AGENCIA CHAJUL</c:v>
                  </c:pt>
                  <c:pt idx="638">
                    <c:v>AGENCIA CHAJUL</c:v>
                  </c:pt>
                  <c:pt idx="639">
                    <c:v>AGENCIA CHAJUL</c:v>
                  </c:pt>
                  <c:pt idx="640">
                    <c:v>AGENCIA CHAJUL</c:v>
                  </c:pt>
                  <c:pt idx="641">
                    <c:v>AGENCIA CHAJUL</c:v>
                  </c:pt>
                  <c:pt idx="642">
                    <c:v>AGENCIA CHAJUL</c:v>
                  </c:pt>
                  <c:pt idx="643">
                    <c:v>AGENCIA CHAJUL</c:v>
                  </c:pt>
                  <c:pt idx="644">
                    <c:v>AGENCIA CHAJUL</c:v>
                  </c:pt>
                  <c:pt idx="645">
                    <c:v>AGENCIA CHAJUL</c:v>
                  </c:pt>
                  <c:pt idx="646">
                    <c:v>AGENCIA CHAJUL</c:v>
                  </c:pt>
                  <c:pt idx="647">
                    <c:v>AGENCIA CHAJUL</c:v>
                  </c:pt>
                  <c:pt idx="648">
                    <c:v>AGENCIA CHAJUL</c:v>
                  </c:pt>
                  <c:pt idx="649">
                    <c:v>AGENCIA CHAJUL</c:v>
                  </c:pt>
                  <c:pt idx="650">
                    <c:v>AGENCIA CHAJUL</c:v>
                  </c:pt>
                  <c:pt idx="651">
                    <c:v>AGENCIA CHAJUL</c:v>
                  </c:pt>
                  <c:pt idx="652">
                    <c:v>AGENCIA CHAJUL</c:v>
                  </c:pt>
                  <c:pt idx="653">
                    <c:v>AGENCIA CHAJUL</c:v>
                  </c:pt>
                  <c:pt idx="654">
                    <c:v>AGENCIA CHAJUL</c:v>
                  </c:pt>
                  <c:pt idx="655">
                    <c:v>AGENCIA CHAJUL</c:v>
                  </c:pt>
                  <c:pt idx="656">
                    <c:v>AGENCIA CHAJUL</c:v>
                  </c:pt>
                  <c:pt idx="657">
                    <c:v>AGENCIA CHAJUL</c:v>
                  </c:pt>
                  <c:pt idx="658">
                    <c:v>AGENCIA CHAJUL</c:v>
                  </c:pt>
                  <c:pt idx="659">
                    <c:v>AGENCIA CHAJUL</c:v>
                  </c:pt>
                  <c:pt idx="660">
                    <c:v>AGENCIA CHAJUL</c:v>
                  </c:pt>
                  <c:pt idx="661">
                    <c:v>AGENCIA CHAJUL</c:v>
                  </c:pt>
                  <c:pt idx="662">
                    <c:v>AGENCIA CHAJUL</c:v>
                  </c:pt>
                  <c:pt idx="663">
                    <c:v>AGENCIA CHAJUL</c:v>
                  </c:pt>
                  <c:pt idx="664">
                    <c:v>AGENCIA CHAJUL</c:v>
                  </c:pt>
                  <c:pt idx="665">
                    <c:v>AGENCIA CHAJUL</c:v>
                  </c:pt>
                  <c:pt idx="666">
                    <c:v>AGENCIA CHAJUL</c:v>
                  </c:pt>
                  <c:pt idx="667">
                    <c:v>AGENCIA CHAJUL</c:v>
                  </c:pt>
                  <c:pt idx="668">
                    <c:v>AGENCIA CHAJUL</c:v>
                  </c:pt>
                  <c:pt idx="669">
                    <c:v>AGENCIA CHAJUL</c:v>
                  </c:pt>
                  <c:pt idx="670">
                    <c:v>AGENCIA CHAJUL</c:v>
                  </c:pt>
                  <c:pt idx="671">
                    <c:v>AGENCIA CHAJUL</c:v>
                  </c:pt>
                  <c:pt idx="672">
                    <c:v>AGENCIA CHAJUL</c:v>
                  </c:pt>
                  <c:pt idx="673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  <c:pt idx="633">
                    <c:v>3542</c:v>
                  </c:pt>
                  <c:pt idx="634">
                    <c:v>3543</c:v>
                  </c:pt>
                  <c:pt idx="635">
                    <c:v>3544</c:v>
                  </c:pt>
                  <c:pt idx="636">
                    <c:v>949</c:v>
                  </c:pt>
                  <c:pt idx="637">
                    <c:v>950</c:v>
                  </c:pt>
                  <c:pt idx="638">
                    <c:v>951</c:v>
                  </c:pt>
                  <c:pt idx="639">
                    <c:v>952</c:v>
                  </c:pt>
                  <c:pt idx="640">
                    <c:v>3546</c:v>
                  </c:pt>
                  <c:pt idx="641">
                    <c:v>3547</c:v>
                  </c:pt>
                  <c:pt idx="642">
                    <c:v>953</c:v>
                  </c:pt>
                  <c:pt idx="643">
                    <c:v>954</c:v>
                  </c:pt>
                  <c:pt idx="644">
                    <c:v>955</c:v>
                  </c:pt>
                  <c:pt idx="645">
                    <c:v>3548</c:v>
                  </c:pt>
                  <c:pt idx="646">
                    <c:v>3549</c:v>
                  </c:pt>
                  <c:pt idx="647">
                    <c:v>957</c:v>
                  </c:pt>
                  <c:pt idx="648">
                    <c:v>3559</c:v>
                  </c:pt>
                  <c:pt idx="649">
                    <c:v>3560</c:v>
                  </c:pt>
                  <c:pt idx="650">
                    <c:v>3561</c:v>
                  </c:pt>
                  <c:pt idx="651">
                    <c:v>3565</c:v>
                  </c:pt>
                  <c:pt idx="652">
                    <c:v>958</c:v>
                  </c:pt>
                  <c:pt idx="653">
                    <c:v>959</c:v>
                  </c:pt>
                  <c:pt idx="654">
                    <c:v>960</c:v>
                  </c:pt>
                  <c:pt idx="655">
                    <c:v>961</c:v>
                  </c:pt>
                  <c:pt idx="656">
                    <c:v>962</c:v>
                  </c:pt>
                  <c:pt idx="657">
                    <c:v>963</c:v>
                  </c:pt>
                  <c:pt idx="658">
                    <c:v>964</c:v>
                  </c:pt>
                  <c:pt idx="659">
                    <c:v>3580</c:v>
                  </c:pt>
                  <c:pt idx="660">
                    <c:v>3582</c:v>
                  </c:pt>
                  <c:pt idx="661">
                    <c:v>3583</c:v>
                  </c:pt>
                  <c:pt idx="662">
                    <c:v>3584</c:v>
                  </c:pt>
                  <c:pt idx="663">
                    <c:v>3586</c:v>
                  </c:pt>
                  <c:pt idx="664">
                    <c:v>3590</c:v>
                  </c:pt>
                  <c:pt idx="665">
                    <c:v>3593</c:v>
                  </c:pt>
                  <c:pt idx="666">
                    <c:v>3600</c:v>
                  </c:pt>
                  <c:pt idx="667">
                    <c:v>3601</c:v>
                  </c:pt>
                  <c:pt idx="668">
                    <c:v>3602</c:v>
                  </c:pt>
                  <c:pt idx="669">
                    <c:v>968</c:v>
                  </c:pt>
                  <c:pt idx="670">
                    <c:v>970</c:v>
                  </c:pt>
                  <c:pt idx="671">
                    <c:v>971</c:v>
                  </c:pt>
                  <c:pt idx="672">
                    <c:v>972</c:v>
                  </c:pt>
                  <c:pt idx="673">
                    <c:v>973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  <c:pt idx="573">
                    <c:v>3/08/2026</c:v>
                  </c:pt>
                  <c:pt idx="574">
                    <c:v>3/08/2026</c:v>
                  </c:pt>
                  <c:pt idx="575">
                    <c:v>3/08/2026</c:v>
                  </c:pt>
                  <c:pt idx="576">
                    <c:v>4/08/2026</c:v>
                  </c:pt>
                  <c:pt idx="577">
                    <c:v>4/08/2026</c:v>
                  </c:pt>
                  <c:pt idx="578">
                    <c:v>4/08/2026</c:v>
                  </c:pt>
                  <c:pt idx="579">
                    <c:v>4/08/2026</c:v>
                  </c:pt>
                  <c:pt idx="580">
                    <c:v>4/08/2026</c:v>
                  </c:pt>
                  <c:pt idx="581">
                    <c:v>4/08/2026</c:v>
                  </c:pt>
                  <c:pt idx="582">
                    <c:v>4/08/2026</c:v>
                  </c:pt>
                  <c:pt idx="583">
                    <c:v>4/08/2026</c:v>
                  </c:pt>
                  <c:pt idx="584">
                    <c:v>5/08/2026</c:v>
                  </c:pt>
                  <c:pt idx="585">
                    <c:v>5/08/2026</c:v>
                  </c:pt>
                  <c:pt idx="586">
                    <c:v>5/08/2026</c:v>
                  </c:pt>
                  <c:pt idx="587">
                    <c:v>5/08/2026</c:v>
                  </c:pt>
                  <c:pt idx="588">
                    <c:v>6/08/2026</c:v>
                  </c:pt>
                  <c:pt idx="589">
                    <c:v>6/08/2026</c:v>
                  </c:pt>
                  <c:pt idx="590">
                    <c:v>6/08/2026</c:v>
                  </c:pt>
                  <c:pt idx="591">
                    <c:v>7/08/2026</c:v>
                  </c:pt>
                  <c:pt idx="592">
                    <c:v>7/08/2026</c:v>
                  </c:pt>
                  <c:pt idx="593">
                    <c:v>7/08/2026</c:v>
                  </c:pt>
                  <c:pt idx="594">
                    <c:v>8/08/2026</c:v>
                  </c:pt>
                  <c:pt idx="595">
                    <c:v>8/08/2026</c:v>
                  </c:pt>
                  <c:pt idx="596">
                    <c:v>8/08/2026</c:v>
                  </c:pt>
                  <c:pt idx="597">
                    <c:v>8/08/2026</c:v>
                  </c:pt>
                  <c:pt idx="598">
                    <c:v>10/08/2026</c:v>
                  </c:pt>
                  <c:pt idx="599">
                    <c:v>10/08/2026</c:v>
                  </c:pt>
                  <c:pt idx="600">
                    <c:v>11/08/2026</c:v>
                  </c:pt>
                  <c:pt idx="601">
                    <c:v>11/08/2026</c:v>
                  </c:pt>
                  <c:pt idx="602">
                    <c:v>11/08/2026</c:v>
                  </c:pt>
                  <c:pt idx="603">
                    <c:v>12/08/2026</c:v>
                  </c:pt>
                  <c:pt idx="604">
                    <c:v>12/08/2026</c:v>
                  </c:pt>
                  <c:pt idx="605">
                    <c:v>12/08/2026</c:v>
                  </c:pt>
                  <c:pt idx="606">
                    <c:v>12/08/2026</c:v>
                  </c:pt>
                  <c:pt idx="607">
                    <c:v>13/08/2026</c:v>
                  </c:pt>
                  <c:pt idx="608">
                    <c:v>13/08/2026</c:v>
                  </c:pt>
                  <c:pt idx="609">
                    <c:v>13/08/2026</c:v>
                  </c:pt>
                  <c:pt idx="610">
                    <c:v>13/08/2026</c:v>
                  </c:pt>
                  <c:pt idx="611">
                    <c:v>13/08/2026</c:v>
                  </c:pt>
                  <c:pt idx="612">
                    <c:v>14/08/2026</c:v>
                  </c:pt>
                  <c:pt idx="613">
                    <c:v>14/08/2026</c:v>
                  </c:pt>
                  <c:pt idx="614">
                    <c:v>14/08/2026</c:v>
                  </c:pt>
                  <c:pt idx="615">
                    <c:v>14/08/2026</c:v>
                  </c:pt>
                  <c:pt idx="616">
                    <c:v>15/08/2026</c:v>
                  </c:pt>
                  <c:pt idx="617">
                    <c:v>15/08/2026</c:v>
                  </c:pt>
                  <c:pt idx="618">
                    <c:v>15/08/2026</c:v>
                  </c:pt>
                  <c:pt idx="619">
                    <c:v>15/08/2026</c:v>
                  </c:pt>
                  <c:pt idx="620">
                    <c:v>17/08/2026</c:v>
                  </c:pt>
                  <c:pt idx="621">
                    <c:v>17/08/2026</c:v>
                  </c:pt>
                  <c:pt idx="622">
                    <c:v>17/08/2026</c:v>
                  </c:pt>
                  <c:pt idx="623">
                    <c:v>17/08/2026</c:v>
                  </c:pt>
                  <c:pt idx="624">
                    <c:v>17/08/2026</c:v>
                  </c:pt>
                  <c:pt idx="625">
                    <c:v>18/08/2026</c:v>
                  </c:pt>
                  <c:pt idx="626">
                    <c:v>18/08/2026</c:v>
                  </c:pt>
                  <c:pt idx="627">
                    <c:v>18/08/2026</c:v>
                  </c:pt>
                  <c:pt idx="628">
                    <c:v>18/08/2026</c:v>
                  </c:pt>
                  <c:pt idx="629">
                    <c:v>19/08/2026</c:v>
                  </c:pt>
                  <c:pt idx="630">
                    <c:v>19/08/2026</c:v>
                  </c:pt>
                  <c:pt idx="631">
                    <c:v>20/08/2026</c:v>
                  </c:pt>
                  <c:pt idx="632">
                    <c:v>20/08/2026</c:v>
                  </c:pt>
                  <c:pt idx="633">
                    <c:v>21/08/2026</c:v>
                  </c:pt>
                  <c:pt idx="634">
                    <c:v>21/08/2026</c:v>
                  </c:pt>
                  <c:pt idx="635">
                    <c:v>21/08/2026</c:v>
                  </c:pt>
                  <c:pt idx="636">
                    <c:v>21/08/2026</c:v>
                  </c:pt>
                  <c:pt idx="637">
                    <c:v>21/08/2026</c:v>
                  </c:pt>
                  <c:pt idx="638">
                    <c:v>21/08/2026</c:v>
                  </c:pt>
                  <c:pt idx="639">
                    <c:v>21/08/2026</c:v>
                  </c:pt>
                  <c:pt idx="640">
                    <c:v>22/08/2026</c:v>
                  </c:pt>
                  <c:pt idx="641">
                    <c:v>22/08/2026</c:v>
                  </c:pt>
                  <c:pt idx="642">
                    <c:v>22/08/2026</c:v>
                  </c:pt>
                  <c:pt idx="643">
                    <c:v>22/08/2026</c:v>
                  </c:pt>
                  <c:pt idx="644">
                    <c:v>22/08/2026</c:v>
                  </c:pt>
                  <c:pt idx="645">
                    <c:v>24/08/2026</c:v>
                  </c:pt>
                  <c:pt idx="646">
                    <c:v>24/08/2026</c:v>
                  </c:pt>
                  <c:pt idx="647">
                    <c:v>24/08/2026</c:v>
                  </c:pt>
                  <c:pt idx="648">
                    <c:v>25/08/2026</c:v>
                  </c:pt>
                  <c:pt idx="649">
                    <c:v>25/08/2026</c:v>
                  </c:pt>
                  <c:pt idx="650">
                    <c:v>25/08/2026</c:v>
                  </c:pt>
                  <c:pt idx="651">
                    <c:v>25/08/2026</c:v>
                  </c:pt>
                  <c:pt idx="652">
                    <c:v>25/08/2026</c:v>
                  </c:pt>
                  <c:pt idx="653">
                    <c:v>25/08/2026</c:v>
                  </c:pt>
                  <c:pt idx="654">
                    <c:v>25/08/2026</c:v>
                  </c:pt>
                  <c:pt idx="655">
                    <c:v>26/08/2026</c:v>
                  </c:pt>
                  <c:pt idx="656">
                    <c:v>27/08/2026</c:v>
                  </c:pt>
                  <c:pt idx="657">
                    <c:v>27/08/2026</c:v>
                  </c:pt>
                  <c:pt idx="658">
                    <c:v>27/08/2026</c:v>
                  </c:pt>
                  <c:pt idx="659">
                    <c:v>28/08/2026</c:v>
                  </c:pt>
                  <c:pt idx="660">
                    <c:v>28/08/2026</c:v>
                  </c:pt>
                  <c:pt idx="661">
                    <c:v>28/08/2026</c:v>
                  </c:pt>
                  <c:pt idx="662">
                    <c:v>28/08/2026</c:v>
                  </c:pt>
                  <c:pt idx="663">
                    <c:v>28/08/2026</c:v>
                  </c:pt>
                  <c:pt idx="664">
                    <c:v>28/08/2026</c:v>
                  </c:pt>
                  <c:pt idx="665">
                    <c:v>28/08/2026</c:v>
                  </c:pt>
                  <c:pt idx="666">
                    <c:v>28/08/2026</c:v>
                  </c:pt>
                  <c:pt idx="667">
                    <c:v>28/05/2026</c:v>
                  </c:pt>
                  <c:pt idx="668">
                    <c:v>28/08/2026</c:v>
                  </c:pt>
                  <c:pt idx="669">
                    <c:v>28/08/2026</c:v>
                  </c:pt>
                  <c:pt idx="670">
                    <c:v>28/08/2026</c:v>
                  </c:pt>
                  <c:pt idx="671">
                    <c:v>28/08/2026</c:v>
                  </c:pt>
                  <c:pt idx="672">
                    <c:v>28/08/2026</c:v>
                  </c:pt>
                  <c:pt idx="673">
                    <c:v>31/08/2026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  <c:pt idx="641">
                    <c:v> </c:v>
                  </c:pt>
                </c:lvl>
              </c:multiLvlStrCache>
            </c:multiLvlStrRef>
          </c:cat>
          <c:val>
            <c:numRef>
              <c:f>'AHORRO ENERO 2026'!$F$4:$F$679</c:f>
              <c:numCache>
                <c:formatCode>General</c:formatCode>
                <c:ptCount val="6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5-4515-BD66-D3DD33911682}"/>
            </c:ext>
          </c:extLst>
        </c:ser>
        <c:ser>
          <c:idx val="1"/>
          <c:order val="1"/>
          <c:tx>
            <c:strRef>
              <c:f>'AHORRO ENERO 2026'!$G$1:$G$3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SALDO_INICIAL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2026'!$A$4:$E$679</c:f>
              <c:multiLvlStrCache>
                <c:ptCount val="67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3">
                    <c:v>MANUELA YESSICA SANCHEZ CABA</c:v>
                  </c:pt>
                  <c:pt idx="634">
                    <c:v>IGLESIA EVANGALICA MISION JESUS FUENTE DE VISA JUIL</c:v>
                  </c:pt>
                  <c:pt idx="635">
                    <c:v>MARIA RAMIREZ HU</c:v>
                  </c:pt>
                  <c:pt idx="636">
                    <c:v>TERESA ASICONA ASICONA </c:v>
                  </c:pt>
                  <c:pt idx="637">
                    <c:v>MARIA DIAZ RIVERA DE RAYMUNDO</c:v>
                  </c:pt>
                  <c:pt idx="638">
                    <c:v>PEDRO LUIS TOMAS LUX</c:v>
                  </c:pt>
                  <c:pt idx="639">
                    <c:v>LORENZA RAQUEL PANTZAY SANCHEZ</c:v>
                  </c:pt>
                  <c:pt idx="640">
                    <c:v>IGLESIA EVANGALICA MISION JESUS FUENTE DE VISA JUIL</c:v>
                  </c:pt>
                  <c:pt idx="641">
                    <c:v>MARIA DIAZ RIVERA DE RAYMUNDO</c:v>
                  </c:pt>
                  <c:pt idx="642">
                    <c:v>TERESA ASICONA  ASICONA</c:v>
                  </c:pt>
                  <c:pt idx="643">
                    <c:v>JACINTA OFELIA PACHECO IJOM</c:v>
                  </c:pt>
                  <c:pt idx="644">
                    <c:v>MATEO CANAY ASICONA Y JUANA CLARITA LAYNEZ DEL BARRIO</c:v>
                  </c:pt>
                  <c:pt idx="645">
                    <c:v>ROSA IMUL TIU DE CALEL</c:v>
                  </c:pt>
                  <c:pt idx="646">
                    <c:v>ELENA CABA CABA</c:v>
                  </c:pt>
                  <c:pt idx="647">
                    <c:v>MARIA JULIANA LAYNEZ LAYNEZ</c:v>
                  </c:pt>
                  <c:pt idx="648">
                    <c:v>MARGARITA CABA CANAY</c:v>
                  </c:pt>
                  <c:pt idx="649">
                    <c:v>ROSA RAYMUNDO ANAY</c:v>
                  </c:pt>
                  <c:pt idx="650">
                    <c:v>ROSA RAYMUNDO ANAY</c:v>
                  </c:pt>
                  <c:pt idx="651">
                    <c:v>MAGDALENA MENDOZA RIVERA</c:v>
                  </c:pt>
                  <c:pt idx="652">
                    <c:v>ROSA RAYMUNDO ANAY</c:v>
                  </c:pt>
                  <c:pt idx="653">
                    <c:v>TERESA ASICONA ASICONA</c:v>
                  </c:pt>
                  <c:pt idx="654">
                    <c:v>ANTONIO RIVERA CABA</c:v>
                  </c:pt>
                  <c:pt idx="655">
                    <c:v>GASPAR WALTER RAYMUNDO MENDOZA</c:v>
                  </c:pt>
                  <c:pt idx="656">
                    <c:v>IGLESIA EVANGALICA MISION JESUS FUENTE DE VISA JUIL</c:v>
                  </c:pt>
                  <c:pt idx="657">
                    <c:v>ROSA RAYMUNDO ANAY</c:v>
                  </c:pt>
                  <c:pt idx="658">
                    <c:v>TERESA CABA ESCOBAR</c:v>
                  </c:pt>
                  <c:pt idx="659">
                    <c:v>TOMAS CHAMAY DE LA CRUZ</c:v>
                  </c:pt>
                  <c:pt idx="660">
                    <c:v>MARIA ESCOBAR PACHECO</c:v>
                  </c:pt>
                  <c:pt idx="661">
                    <c:v>VICENTE LAYNEZ CABA</c:v>
                  </c:pt>
                  <c:pt idx="662">
                    <c:v>ANA DIONICIA ASICONA ASICONA</c:v>
                  </c:pt>
                  <c:pt idx="663">
                    <c:v>PEDRO PACHECO CABA</c:v>
                  </c:pt>
                  <c:pt idx="664">
                    <c:v>SEBASTIAN SAMBRANO LOPEZ</c:v>
                  </c:pt>
                  <c:pt idx="665">
                    <c:v>MIGUEL GOMEZ GOMEZ</c:v>
                  </c:pt>
                  <c:pt idx="666">
                    <c:v>MARIA CABA ASICONA DE CABA</c:v>
                  </c:pt>
                  <c:pt idx="667">
                    <c:v>MARIA RIVERA ESCOBAR</c:v>
                  </c:pt>
                  <c:pt idx="668">
                    <c:v>MARIA YULA LAYNEZ</c:v>
                  </c:pt>
                  <c:pt idx="669">
                    <c:v>ANA ESCOBAR RIVERA</c:v>
                  </c:pt>
                  <c:pt idx="670">
                    <c:v>ROSA LAYNEZ ESCOBAR </c:v>
                  </c:pt>
                  <c:pt idx="671">
                    <c:v>DOMINGO GREGORIO IJOM ANAY</c:v>
                  </c:pt>
                  <c:pt idx="672">
                    <c:v>MIGUEL RAMIREZ IJOM</c:v>
                  </c:pt>
                  <c:pt idx="673">
                    <c:v>TERESA ASICONA ASICONA</c:v>
                  </c:pt>
                  <c:pt idx="67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  <c:pt idx="633">
                    <c:v>AGENCIA CHAJUL</c:v>
                  </c:pt>
                  <c:pt idx="634">
                    <c:v>AGENCIA CHAJUL</c:v>
                  </c:pt>
                  <c:pt idx="635">
                    <c:v>AGENCIA CHAJUL</c:v>
                  </c:pt>
                  <c:pt idx="636">
                    <c:v>AGENCIA CHAJUL</c:v>
                  </c:pt>
                  <c:pt idx="637">
                    <c:v>AGENCIA CHAJUL</c:v>
                  </c:pt>
                  <c:pt idx="638">
                    <c:v>AGENCIA CHAJUL</c:v>
                  </c:pt>
                  <c:pt idx="639">
                    <c:v>AGENCIA CHAJUL</c:v>
                  </c:pt>
                  <c:pt idx="640">
                    <c:v>AGENCIA CHAJUL</c:v>
                  </c:pt>
                  <c:pt idx="641">
                    <c:v>AGENCIA CHAJUL</c:v>
                  </c:pt>
                  <c:pt idx="642">
                    <c:v>AGENCIA CHAJUL</c:v>
                  </c:pt>
                  <c:pt idx="643">
                    <c:v>AGENCIA CHAJUL</c:v>
                  </c:pt>
                  <c:pt idx="644">
                    <c:v>AGENCIA CHAJUL</c:v>
                  </c:pt>
                  <c:pt idx="645">
                    <c:v>AGENCIA CHAJUL</c:v>
                  </c:pt>
                  <c:pt idx="646">
                    <c:v>AGENCIA CHAJUL</c:v>
                  </c:pt>
                  <c:pt idx="647">
                    <c:v>AGENCIA CHAJUL</c:v>
                  </c:pt>
                  <c:pt idx="648">
                    <c:v>AGENCIA CHAJUL</c:v>
                  </c:pt>
                  <c:pt idx="649">
                    <c:v>AGENCIA CHAJUL</c:v>
                  </c:pt>
                  <c:pt idx="650">
                    <c:v>AGENCIA CHAJUL</c:v>
                  </c:pt>
                  <c:pt idx="651">
                    <c:v>AGENCIA CHAJUL</c:v>
                  </c:pt>
                  <c:pt idx="652">
                    <c:v>AGENCIA CHAJUL</c:v>
                  </c:pt>
                  <c:pt idx="653">
                    <c:v>AGENCIA CHAJUL</c:v>
                  </c:pt>
                  <c:pt idx="654">
                    <c:v>AGENCIA CHAJUL</c:v>
                  </c:pt>
                  <c:pt idx="655">
                    <c:v>AGENCIA CHAJUL</c:v>
                  </c:pt>
                  <c:pt idx="656">
                    <c:v>AGENCIA CHAJUL</c:v>
                  </c:pt>
                  <c:pt idx="657">
                    <c:v>AGENCIA CHAJUL</c:v>
                  </c:pt>
                  <c:pt idx="658">
                    <c:v>AGENCIA CHAJUL</c:v>
                  </c:pt>
                  <c:pt idx="659">
                    <c:v>AGENCIA CHAJUL</c:v>
                  </c:pt>
                  <c:pt idx="660">
                    <c:v>AGENCIA CHAJUL</c:v>
                  </c:pt>
                  <c:pt idx="661">
                    <c:v>AGENCIA CHAJUL</c:v>
                  </c:pt>
                  <c:pt idx="662">
                    <c:v>AGENCIA CHAJUL</c:v>
                  </c:pt>
                  <c:pt idx="663">
                    <c:v>AGENCIA CHAJUL</c:v>
                  </c:pt>
                  <c:pt idx="664">
                    <c:v>AGENCIA CHAJUL</c:v>
                  </c:pt>
                  <c:pt idx="665">
                    <c:v>AGENCIA CHAJUL</c:v>
                  </c:pt>
                  <c:pt idx="666">
                    <c:v>AGENCIA CHAJUL</c:v>
                  </c:pt>
                  <c:pt idx="667">
                    <c:v>AGENCIA CHAJUL</c:v>
                  </c:pt>
                  <c:pt idx="668">
                    <c:v>AGENCIA CHAJUL</c:v>
                  </c:pt>
                  <c:pt idx="669">
                    <c:v>AGENCIA CHAJUL</c:v>
                  </c:pt>
                  <c:pt idx="670">
                    <c:v>AGENCIA CHAJUL</c:v>
                  </c:pt>
                  <c:pt idx="671">
                    <c:v>AGENCIA CHAJUL</c:v>
                  </c:pt>
                  <c:pt idx="672">
                    <c:v>AGENCIA CHAJUL</c:v>
                  </c:pt>
                  <c:pt idx="673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  <c:pt idx="633">
                    <c:v>3542</c:v>
                  </c:pt>
                  <c:pt idx="634">
                    <c:v>3543</c:v>
                  </c:pt>
                  <c:pt idx="635">
                    <c:v>3544</c:v>
                  </c:pt>
                  <c:pt idx="636">
                    <c:v>949</c:v>
                  </c:pt>
                  <c:pt idx="637">
                    <c:v>950</c:v>
                  </c:pt>
                  <c:pt idx="638">
                    <c:v>951</c:v>
                  </c:pt>
                  <c:pt idx="639">
                    <c:v>952</c:v>
                  </c:pt>
                  <c:pt idx="640">
                    <c:v>3546</c:v>
                  </c:pt>
                  <c:pt idx="641">
                    <c:v>3547</c:v>
                  </c:pt>
                  <c:pt idx="642">
                    <c:v>953</c:v>
                  </c:pt>
                  <c:pt idx="643">
                    <c:v>954</c:v>
                  </c:pt>
                  <c:pt idx="644">
                    <c:v>955</c:v>
                  </c:pt>
                  <c:pt idx="645">
                    <c:v>3548</c:v>
                  </c:pt>
                  <c:pt idx="646">
                    <c:v>3549</c:v>
                  </c:pt>
                  <c:pt idx="647">
                    <c:v>957</c:v>
                  </c:pt>
                  <c:pt idx="648">
                    <c:v>3559</c:v>
                  </c:pt>
                  <c:pt idx="649">
                    <c:v>3560</c:v>
                  </c:pt>
                  <c:pt idx="650">
                    <c:v>3561</c:v>
                  </c:pt>
                  <c:pt idx="651">
                    <c:v>3565</c:v>
                  </c:pt>
                  <c:pt idx="652">
                    <c:v>958</c:v>
                  </c:pt>
                  <c:pt idx="653">
                    <c:v>959</c:v>
                  </c:pt>
                  <c:pt idx="654">
                    <c:v>960</c:v>
                  </c:pt>
                  <c:pt idx="655">
                    <c:v>961</c:v>
                  </c:pt>
                  <c:pt idx="656">
                    <c:v>962</c:v>
                  </c:pt>
                  <c:pt idx="657">
                    <c:v>963</c:v>
                  </c:pt>
                  <c:pt idx="658">
                    <c:v>964</c:v>
                  </c:pt>
                  <c:pt idx="659">
                    <c:v>3580</c:v>
                  </c:pt>
                  <c:pt idx="660">
                    <c:v>3582</c:v>
                  </c:pt>
                  <c:pt idx="661">
                    <c:v>3583</c:v>
                  </c:pt>
                  <c:pt idx="662">
                    <c:v>3584</c:v>
                  </c:pt>
                  <c:pt idx="663">
                    <c:v>3586</c:v>
                  </c:pt>
                  <c:pt idx="664">
                    <c:v>3590</c:v>
                  </c:pt>
                  <c:pt idx="665">
                    <c:v>3593</c:v>
                  </c:pt>
                  <c:pt idx="666">
                    <c:v>3600</c:v>
                  </c:pt>
                  <c:pt idx="667">
                    <c:v>3601</c:v>
                  </c:pt>
                  <c:pt idx="668">
                    <c:v>3602</c:v>
                  </c:pt>
                  <c:pt idx="669">
                    <c:v>968</c:v>
                  </c:pt>
                  <c:pt idx="670">
                    <c:v>970</c:v>
                  </c:pt>
                  <c:pt idx="671">
                    <c:v>971</c:v>
                  </c:pt>
                  <c:pt idx="672">
                    <c:v>972</c:v>
                  </c:pt>
                  <c:pt idx="673">
                    <c:v>973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  <c:pt idx="573">
                    <c:v>3/08/2026</c:v>
                  </c:pt>
                  <c:pt idx="574">
                    <c:v>3/08/2026</c:v>
                  </c:pt>
                  <c:pt idx="575">
                    <c:v>3/08/2026</c:v>
                  </c:pt>
                  <c:pt idx="576">
                    <c:v>4/08/2026</c:v>
                  </c:pt>
                  <c:pt idx="577">
                    <c:v>4/08/2026</c:v>
                  </c:pt>
                  <c:pt idx="578">
                    <c:v>4/08/2026</c:v>
                  </c:pt>
                  <c:pt idx="579">
                    <c:v>4/08/2026</c:v>
                  </c:pt>
                  <c:pt idx="580">
                    <c:v>4/08/2026</c:v>
                  </c:pt>
                  <c:pt idx="581">
                    <c:v>4/08/2026</c:v>
                  </c:pt>
                  <c:pt idx="582">
                    <c:v>4/08/2026</c:v>
                  </c:pt>
                  <c:pt idx="583">
                    <c:v>4/08/2026</c:v>
                  </c:pt>
                  <c:pt idx="584">
                    <c:v>5/08/2026</c:v>
                  </c:pt>
                  <c:pt idx="585">
                    <c:v>5/08/2026</c:v>
                  </c:pt>
                  <c:pt idx="586">
                    <c:v>5/08/2026</c:v>
                  </c:pt>
                  <c:pt idx="587">
                    <c:v>5/08/2026</c:v>
                  </c:pt>
                  <c:pt idx="588">
                    <c:v>6/08/2026</c:v>
                  </c:pt>
                  <c:pt idx="589">
                    <c:v>6/08/2026</c:v>
                  </c:pt>
                  <c:pt idx="590">
                    <c:v>6/08/2026</c:v>
                  </c:pt>
                  <c:pt idx="591">
                    <c:v>7/08/2026</c:v>
                  </c:pt>
                  <c:pt idx="592">
                    <c:v>7/08/2026</c:v>
                  </c:pt>
                  <c:pt idx="593">
                    <c:v>7/08/2026</c:v>
                  </c:pt>
                  <c:pt idx="594">
                    <c:v>8/08/2026</c:v>
                  </c:pt>
                  <c:pt idx="595">
                    <c:v>8/08/2026</c:v>
                  </c:pt>
                  <c:pt idx="596">
                    <c:v>8/08/2026</c:v>
                  </c:pt>
                  <c:pt idx="597">
                    <c:v>8/08/2026</c:v>
                  </c:pt>
                  <c:pt idx="598">
                    <c:v>10/08/2026</c:v>
                  </c:pt>
                  <c:pt idx="599">
                    <c:v>10/08/2026</c:v>
                  </c:pt>
                  <c:pt idx="600">
                    <c:v>11/08/2026</c:v>
                  </c:pt>
                  <c:pt idx="601">
                    <c:v>11/08/2026</c:v>
                  </c:pt>
                  <c:pt idx="602">
                    <c:v>11/08/2026</c:v>
                  </c:pt>
                  <c:pt idx="603">
                    <c:v>12/08/2026</c:v>
                  </c:pt>
                  <c:pt idx="604">
                    <c:v>12/08/2026</c:v>
                  </c:pt>
                  <c:pt idx="605">
                    <c:v>12/08/2026</c:v>
                  </c:pt>
                  <c:pt idx="606">
                    <c:v>12/08/2026</c:v>
                  </c:pt>
                  <c:pt idx="607">
                    <c:v>13/08/2026</c:v>
                  </c:pt>
                  <c:pt idx="608">
                    <c:v>13/08/2026</c:v>
                  </c:pt>
                  <c:pt idx="609">
                    <c:v>13/08/2026</c:v>
                  </c:pt>
                  <c:pt idx="610">
                    <c:v>13/08/2026</c:v>
                  </c:pt>
                  <c:pt idx="611">
                    <c:v>13/08/2026</c:v>
                  </c:pt>
                  <c:pt idx="612">
                    <c:v>14/08/2026</c:v>
                  </c:pt>
                  <c:pt idx="613">
                    <c:v>14/08/2026</c:v>
                  </c:pt>
                  <c:pt idx="614">
                    <c:v>14/08/2026</c:v>
                  </c:pt>
                  <c:pt idx="615">
                    <c:v>14/08/2026</c:v>
                  </c:pt>
                  <c:pt idx="616">
                    <c:v>15/08/2026</c:v>
                  </c:pt>
                  <c:pt idx="617">
                    <c:v>15/08/2026</c:v>
                  </c:pt>
                  <c:pt idx="618">
                    <c:v>15/08/2026</c:v>
                  </c:pt>
                  <c:pt idx="619">
                    <c:v>15/08/2026</c:v>
                  </c:pt>
                  <c:pt idx="620">
                    <c:v>17/08/2026</c:v>
                  </c:pt>
                  <c:pt idx="621">
                    <c:v>17/08/2026</c:v>
                  </c:pt>
                  <c:pt idx="622">
                    <c:v>17/08/2026</c:v>
                  </c:pt>
                  <c:pt idx="623">
                    <c:v>17/08/2026</c:v>
                  </c:pt>
                  <c:pt idx="624">
                    <c:v>17/08/2026</c:v>
                  </c:pt>
                  <c:pt idx="625">
                    <c:v>18/08/2026</c:v>
                  </c:pt>
                  <c:pt idx="626">
                    <c:v>18/08/2026</c:v>
                  </c:pt>
                  <c:pt idx="627">
                    <c:v>18/08/2026</c:v>
                  </c:pt>
                  <c:pt idx="628">
                    <c:v>18/08/2026</c:v>
                  </c:pt>
                  <c:pt idx="629">
                    <c:v>19/08/2026</c:v>
                  </c:pt>
                  <c:pt idx="630">
                    <c:v>19/08/2026</c:v>
                  </c:pt>
                  <c:pt idx="631">
                    <c:v>20/08/2026</c:v>
                  </c:pt>
                  <c:pt idx="632">
                    <c:v>20/08/2026</c:v>
                  </c:pt>
                  <c:pt idx="633">
                    <c:v>21/08/2026</c:v>
                  </c:pt>
                  <c:pt idx="634">
                    <c:v>21/08/2026</c:v>
                  </c:pt>
                  <c:pt idx="635">
                    <c:v>21/08/2026</c:v>
                  </c:pt>
                  <c:pt idx="636">
                    <c:v>21/08/2026</c:v>
                  </c:pt>
                  <c:pt idx="637">
                    <c:v>21/08/2026</c:v>
                  </c:pt>
                  <c:pt idx="638">
                    <c:v>21/08/2026</c:v>
                  </c:pt>
                  <c:pt idx="639">
                    <c:v>21/08/2026</c:v>
                  </c:pt>
                  <c:pt idx="640">
                    <c:v>22/08/2026</c:v>
                  </c:pt>
                  <c:pt idx="641">
                    <c:v>22/08/2026</c:v>
                  </c:pt>
                  <c:pt idx="642">
                    <c:v>22/08/2026</c:v>
                  </c:pt>
                  <c:pt idx="643">
                    <c:v>22/08/2026</c:v>
                  </c:pt>
                  <c:pt idx="644">
                    <c:v>22/08/2026</c:v>
                  </c:pt>
                  <c:pt idx="645">
                    <c:v>24/08/2026</c:v>
                  </c:pt>
                  <c:pt idx="646">
                    <c:v>24/08/2026</c:v>
                  </c:pt>
                  <c:pt idx="647">
                    <c:v>24/08/2026</c:v>
                  </c:pt>
                  <c:pt idx="648">
                    <c:v>25/08/2026</c:v>
                  </c:pt>
                  <c:pt idx="649">
                    <c:v>25/08/2026</c:v>
                  </c:pt>
                  <c:pt idx="650">
                    <c:v>25/08/2026</c:v>
                  </c:pt>
                  <c:pt idx="651">
                    <c:v>25/08/2026</c:v>
                  </c:pt>
                  <c:pt idx="652">
                    <c:v>25/08/2026</c:v>
                  </c:pt>
                  <c:pt idx="653">
                    <c:v>25/08/2026</c:v>
                  </c:pt>
                  <c:pt idx="654">
                    <c:v>25/08/2026</c:v>
                  </c:pt>
                  <c:pt idx="655">
                    <c:v>26/08/2026</c:v>
                  </c:pt>
                  <c:pt idx="656">
                    <c:v>27/08/2026</c:v>
                  </c:pt>
                  <c:pt idx="657">
                    <c:v>27/08/2026</c:v>
                  </c:pt>
                  <c:pt idx="658">
                    <c:v>27/08/2026</c:v>
                  </c:pt>
                  <c:pt idx="659">
                    <c:v>28/08/2026</c:v>
                  </c:pt>
                  <c:pt idx="660">
                    <c:v>28/08/2026</c:v>
                  </c:pt>
                  <c:pt idx="661">
                    <c:v>28/08/2026</c:v>
                  </c:pt>
                  <c:pt idx="662">
                    <c:v>28/08/2026</c:v>
                  </c:pt>
                  <c:pt idx="663">
                    <c:v>28/08/2026</c:v>
                  </c:pt>
                  <c:pt idx="664">
                    <c:v>28/08/2026</c:v>
                  </c:pt>
                  <c:pt idx="665">
                    <c:v>28/08/2026</c:v>
                  </c:pt>
                  <c:pt idx="666">
                    <c:v>28/08/2026</c:v>
                  </c:pt>
                  <c:pt idx="667">
                    <c:v>28/05/2026</c:v>
                  </c:pt>
                  <c:pt idx="668">
                    <c:v>28/08/2026</c:v>
                  </c:pt>
                  <c:pt idx="669">
                    <c:v>28/08/2026</c:v>
                  </c:pt>
                  <c:pt idx="670">
                    <c:v>28/08/2026</c:v>
                  </c:pt>
                  <c:pt idx="671">
                    <c:v>28/08/2026</c:v>
                  </c:pt>
                  <c:pt idx="672">
                    <c:v>28/08/2026</c:v>
                  </c:pt>
                  <c:pt idx="673">
                    <c:v>31/08/2026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  <c:pt idx="641">
                    <c:v> </c:v>
                  </c:pt>
                </c:lvl>
              </c:multiLvlStrCache>
            </c:multiLvlStrRef>
          </c:cat>
          <c:val>
            <c:numRef>
              <c:f>'AHORRO ENERO 2026'!$G$4:$G$679</c:f>
              <c:numCache>
                <c:formatCode>_("Q"* #,##0.00_);_("Q"* \(#,##0.00\);_("Q"* "-"??_);_(@_)</c:formatCode>
                <c:ptCount val="676"/>
                <c:pt idx="0">
                  <c:v>0</c:v>
                </c:pt>
                <c:pt idx="55">
                  <c:v>0</c:v>
                </c:pt>
                <c:pt idx="127">
                  <c:v>0</c:v>
                </c:pt>
                <c:pt idx="6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5-4515-BD66-D3DD33911682}"/>
            </c:ext>
          </c:extLst>
        </c:ser>
        <c:ser>
          <c:idx val="2"/>
          <c:order val="2"/>
          <c:tx>
            <c:strRef>
              <c:f>'AHORRO ENERO 2026'!$H$1:$H$3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DEPOSITOS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2026'!$A$4:$E$679</c:f>
              <c:multiLvlStrCache>
                <c:ptCount val="67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3">
                    <c:v>MANUELA YESSICA SANCHEZ CABA</c:v>
                  </c:pt>
                  <c:pt idx="634">
                    <c:v>IGLESIA EVANGALICA MISION JESUS FUENTE DE VISA JUIL</c:v>
                  </c:pt>
                  <c:pt idx="635">
                    <c:v>MARIA RAMIREZ HU</c:v>
                  </c:pt>
                  <c:pt idx="636">
                    <c:v>TERESA ASICONA ASICONA </c:v>
                  </c:pt>
                  <c:pt idx="637">
                    <c:v>MARIA DIAZ RIVERA DE RAYMUNDO</c:v>
                  </c:pt>
                  <c:pt idx="638">
                    <c:v>PEDRO LUIS TOMAS LUX</c:v>
                  </c:pt>
                  <c:pt idx="639">
                    <c:v>LORENZA RAQUEL PANTZAY SANCHEZ</c:v>
                  </c:pt>
                  <c:pt idx="640">
                    <c:v>IGLESIA EVANGALICA MISION JESUS FUENTE DE VISA JUIL</c:v>
                  </c:pt>
                  <c:pt idx="641">
                    <c:v>MARIA DIAZ RIVERA DE RAYMUNDO</c:v>
                  </c:pt>
                  <c:pt idx="642">
                    <c:v>TERESA ASICONA  ASICONA</c:v>
                  </c:pt>
                  <c:pt idx="643">
                    <c:v>JACINTA OFELIA PACHECO IJOM</c:v>
                  </c:pt>
                  <c:pt idx="644">
                    <c:v>MATEO CANAY ASICONA Y JUANA CLARITA LAYNEZ DEL BARRIO</c:v>
                  </c:pt>
                  <c:pt idx="645">
                    <c:v>ROSA IMUL TIU DE CALEL</c:v>
                  </c:pt>
                  <c:pt idx="646">
                    <c:v>ELENA CABA CABA</c:v>
                  </c:pt>
                  <c:pt idx="647">
                    <c:v>MARIA JULIANA LAYNEZ LAYNEZ</c:v>
                  </c:pt>
                  <c:pt idx="648">
                    <c:v>MARGARITA CABA CANAY</c:v>
                  </c:pt>
                  <c:pt idx="649">
                    <c:v>ROSA RAYMUNDO ANAY</c:v>
                  </c:pt>
                  <c:pt idx="650">
                    <c:v>ROSA RAYMUNDO ANAY</c:v>
                  </c:pt>
                  <c:pt idx="651">
                    <c:v>MAGDALENA MENDOZA RIVERA</c:v>
                  </c:pt>
                  <c:pt idx="652">
                    <c:v>ROSA RAYMUNDO ANAY</c:v>
                  </c:pt>
                  <c:pt idx="653">
                    <c:v>TERESA ASICONA ASICONA</c:v>
                  </c:pt>
                  <c:pt idx="654">
                    <c:v>ANTONIO RIVERA CABA</c:v>
                  </c:pt>
                  <c:pt idx="655">
                    <c:v>GASPAR WALTER RAYMUNDO MENDOZA</c:v>
                  </c:pt>
                  <c:pt idx="656">
                    <c:v>IGLESIA EVANGALICA MISION JESUS FUENTE DE VISA JUIL</c:v>
                  </c:pt>
                  <c:pt idx="657">
                    <c:v>ROSA RAYMUNDO ANAY</c:v>
                  </c:pt>
                  <c:pt idx="658">
                    <c:v>TERESA CABA ESCOBAR</c:v>
                  </c:pt>
                  <c:pt idx="659">
                    <c:v>TOMAS CHAMAY DE LA CRUZ</c:v>
                  </c:pt>
                  <c:pt idx="660">
                    <c:v>MARIA ESCOBAR PACHECO</c:v>
                  </c:pt>
                  <c:pt idx="661">
                    <c:v>VICENTE LAYNEZ CABA</c:v>
                  </c:pt>
                  <c:pt idx="662">
                    <c:v>ANA DIONICIA ASICONA ASICONA</c:v>
                  </c:pt>
                  <c:pt idx="663">
                    <c:v>PEDRO PACHECO CABA</c:v>
                  </c:pt>
                  <c:pt idx="664">
                    <c:v>SEBASTIAN SAMBRANO LOPEZ</c:v>
                  </c:pt>
                  <c:pt idx="665">
                    <c:v>MIGUEL GOMEZ GOMEZ</c:v>
                  </c:pt>
                  <c:pt idx="666">
                    <c:v>MARIA CABA ASICONA DE CABA</c:v>
                  </c:pt>
                  <c:pt idx="667">
                    <c:v>MARIA RIVERA ESCOBAR</c:v>
                  </c:pt>
                  <c:pt idx="668">
                    <c:v>MARIA YULA LAYNEZ</c:v>
                  </c:pt>
                  <c:pt idx="669">
                    <c:v>ANA ESCOBAR RIVERA</c:v>
                  </c:pt>
                  <c:pt idx="670">
                    <c:v>ROSA LAYNEZ ESCOBAR </c:v>
                  </c:pt>
                  <c:pt idx="671">
                    <c:v>DOMINGO GREGORIO IJOM ANAY</c:v>
                  </c:pt>
                  <c:pt idx="672">
                    <c:v>MIGUEL RAMIREZ IJOM</c:v>
                  </c:pt>
                  <c:pt idx="673">
                    <c:v>TERESA ASICONA ASICONA</c:v>
                  </c:pt>
                  <c:pt idx="67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  <c:pt idx="633">
                    <c:v>AGENCIA CHAJUL</c:v>
                  </c:pt>
                  <c:pt idx="634">
                    <c:v>AGENCIA CHAJUL</c:v>
                  </c:pt>
                  <c:pt idx="635">
                    <c:v>AGENCIA CHAJUL</c:v>
                  </c:pt>
                  <c:pt idx="636">
                    <c:v>AGENCIA CHAJUL</c:v>
                  </c:pt>
                  <c:pt idx="637">
                    <c:v>AGENCIA CHAJUL</c:v>
                  </c:pt>
                  <c:pt idx="638">
                    <c:v>AGENCIA CHAJUL</c:v>
                  </c:pt>
                  <c:pt idx="639">
                    <c:v>AGENCIA CHAJUL</c:v>
                  </c:pt>
                  <c:pt idx="640">
                    <c:v>AGENCIA CHAJUL</c:v>
                  </c:pt>
                  <c:pt idx="641">
                    <c:v>AGENCIA CHAJUL</c:v>
                  </c:pt>
                  <c:pt idx="642">
                    <c:v>AGENCIA CHAJUL</c:v>
                  </c:pt>
                  <c:pt idx="643">
                    <c:v>AGENCIA CHAJUL</c:v>
                  </c:pt>
                  <c:pt idx="644">
                    <c:v>AGENCIA CHAJUL</c:v>
                  </c:pt>
                  <c:pt idx="645">
                    <c:v>AGENCIA CHAJUL</c:v>
                  </c:pt>
                  <c:pt idx="646">
                    <c:v>AGENCIA CHAJUL</c:v>
                  </c:pt>
                  <c:pt idx="647">
                    <c:v>AGENCIA CHAJUL</c:v>
                  </c:pt>
                  <c:pt idx="648">
                    <c:v>AGENCIA CHAJUL</c:v>
                  </c:pt>
                  <c:pt idx="649">
                    <c:v>AGENCIA CHAJUL</c:v>
                  </c:pt>
                  <c:pt idx="650">
                    <c:v>AGENCIA CHAJUL</c:v>
                  </c:pt>
                  <c:pt idx="651">
                    <c:v>AGENCIA CHAJUL</c:v>
                  </c:pt>
                  <c:pt idx="652">
                    <c:v>AGENCIA CHAJUL</c:v>
                  </c:pt>
                  <c:pt idx="653">
                    <c:v>AGENCIA CHAJUL</c:v>
                  </c:pt>
                  <c:pt idx="654">
                    <c:v>AGENCIA CHAJUL</c:v>
                  </c:pt>
                  <c:pt idx="655">
                    <c:v>AGENCIA CHAJUL</c:v>
                  </c:pt>
                  <c:pt idx="656">
                    <c:v>AGENCIA CHAJUL</c:v>
                  </c:pt>
                  <c:pt idx="657">
                    <c:v>AGENCIA CHAJUL</c:v>
                  </c:pt>
                  <c:pt idx="658">
                    <c:v>AGENCIA CHAJUL</c:v>
                  </c:pt>
                  <c:pt idx="659">
                    <c:v>AGENCIA CHAJUL</c:v>
                  </c:pt>
                  <c:pt idx="660">
                    <c:v>AGENCIA CHAJUL</c:v>
                  </c:pt>
                  <c:pt idx="661">
                    <c:v>AGENCIA CHAJUL</c:v>
                  </c:pt>
                  <c:pt idx="662">
                    <c:v>AGENCIA CHAJUL</c:v>
                  </c:pt>
                  <c:pt idx="663">
                    <c:v>AGENCIA CHAJUL</c:v>
                  </c:pt>
                  <c:pt idx="664">
                    <c:v>AGENCIA CHAJUL</c:v>
                  </c:pt>
                  <c:pt idx="665">
                    <c:v>AGENCIA CHAJUL</c:v>
                  </c:pt>
                  <c:pt idx="666">
                    <c:v>AGENCIA CHAJUL</c:v>
                  </c:pt>
                  <c:pt idx="667">
                    <c:v>AGENCIA CHAJUL</c:v>
                  </c:pt>
                  <c:pt idx="668">
                    <c:v>AGENCIA CHAJUL</c:v>
                  </c:pt>
                  <c:pt idx="669">
                    <c:v>AGENCIA CHAJUL</c:v>
                  </c:pt>
                  <c:pt idx="670">
                    <c:v>AGENCIA CHAJUL</c:v>
                  </c:pt>
                  <c:pt idx="671">
                    <c:v>AGENCIA CHAJUL</c:v>
                  </c:pt>
                  <c:pt idx="672">
                    <c:v>AGENCIA CHAJUL</c:v>
                  </c:pt>
                  <c:pt idx="673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  <c:pt idx="633">
                    <c:v>3542</c:v>
                  </c:pt>
                  <c:pt idx="634">
                    <c:v>3543</c:v>
                  </c:pt>
                  <c:pt idx="635">
                    <c:v>3544</c:v>
                  </c:pt>
                  <c:pt idx="636">
                    <c:v>949</c:v>
                  </c:pt>
                  <c:pt idx="637">
                    <c:v>950</c:v>
                  </c:pt>
                  <c:pt idx="638">
                    <c:v>951</c:v>
                  </c:pt>
                  <c:pt idx="639">
                    <c:v>952</c:v>
                  </c:pt>
                  <c:pt idx="640">
                    <c:v>3546</c:v>
                  </c:pt>
                  <c:pt idx="641">
                    <c:v>3547</c:v>
                  </c:pt>
                  <c:pt idx="642">
                    <c:v>953</c:v>
                  </c:pt>
                  <c:pt idx="643">
                    <c:v>954</c:v>
                  </c:pt>
                  <c:pt idx="644">
                    <c:v>955</c:v>
                  </c:pt>
                  <c:pt idx="645">
                    <c:v>3548</c:v>
                  </c:pt>
                  <c:pt idx="646">
                    <c:v>3549</c:v>
                  </c:pt>
                  <c:pt idx="647">
                    <c:v>957</c:v>
                  </c:pt>
                  <c:pt idx="648">
                    <c:v>3559</c:v>
                  </c:pt>
                  <c:pt idx="649">
                    <c:v>3560</c:v>
                  </c:pt>
                  <c:pt idx="650">
                    <c:v>3561</c:v>
                  </c:pt>
                  <c:pt idx="651">
                    <c:v>3565</c:v>
                  </c:pt>
                  <c:pt idx="652">
                    <c:v>958</c:v>
                  </c:pt>
                  <c:pt idx="653">
                    <c:v>959</c:v>
                  </c:pt>
                  <c:pt idx="654">
                    <c:v>960</c:v>
                  </c:pt>
                  <c:pt idx="655">
                    <c:v>961</c:v>
                  </c:pt>
                  <c:pt idx="656">
                    <c:v>962</c:v>
                  </c:pt>
                  <c:pt idx="657">
                    <c:v>963</c:v>
                  </c:pt>
                  <c:pt idx="658">
                    <c:v>964</c:v>
                  </c:pt>
                  <c:pt idx="659">
                    <c:v>3580</c:v>
                  </c:pt>
                  <c:pt idx="660">
                    <c:v>3582</c:v>
                  </c:pt>
                  <c:pt idx="661">
                    <c:v>3583</c:v>
                  </c:pt>
                  <c:pt idx="662">
                    <c:v>3584</c:v>
                  </c:pt>
                  <c:pt idx="663">
                    <c:v>3586</c:v>
                  </c:pt>
                  <c:pt idx="664">
                    <c:v>3590</c:v>
                  </c:pt>
                  <c:pt idx="665">
                    <c:v>3593</c:v>
                  </c:pt>
                  <c:pt idx="666">
                    <c:v>3600</c:v>
                  </c:pt>
                  <c:pt idx="667">
                    <c:v>3601</c:v>
                  </c:pt>
                  <c:pt idx="668">
                    <c:v>3602</c:v>
                  </c:pt>
                  <c:pt idx="669">
                    <c:v>968</c:v>
                  </c:pt>
                  <c:pt idx="670">
                    <c:v>970</c:v>
                  </c:pt>
                  <c:pt idx="671">
                    <c:v>971</c:v>
                  </c:pt>
                  <c:pt idx="672">
                    <c:v>972</c:v>
                  </c:pt>
                  <c:pt idx="673">
                    <c:v>973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  <c:pt idx="573">
                    <c:v>3/08/2026</c:v>
                  </c:pt>
                  <c:pt idx="574">
                    <c:v>3/08/2026</c:v>
                  </c:pt>
                  <c:pt idx="575">
                    <c:v>3/08/2026</c:v>
                  </c:pt>
                  <c:pt idx="576">
                    <c:v>4/08/2026</c:v>
                  </c:pt>
                  <c:pt idx="577">
                    <c:v>4/08/2026</c:v>
                  </c:pt>
                  <c:pt idx="578">
                    <c:v>4/08/2026</c:v>
                  </c:pt>
                  <c:pt idx="579">
                    <c:v>4/08/2026</c:v>
                  </c:pt>
                  <c:pt idx="580">
                    <c:v>4/08/2026</c:v>
                  </c:pt>
                  <c:pt idx="581">
                    <c:v>4/08/2026</c:v>
                  </c:pt>
                  <c:pt idx="582">
                    <c:v>4/08/2026</c:v>
                  </c:pt>
                  <c:pt idx="583">
                    <c:v>4/08/2026</c:v>
                  </c:pt>
                  <c:pt idx="584">
                    <c:v>5/08/2026</c:v>
                  </c:pt>
                  <c:pt idx="585">
                    <c:v>5/08/2026</c:v>
                  </c:pt>
                  <c:pt idx="586">
                    <c:v>5/08/2026</c:v>
                  </c:pt>
                  <c:pt idx="587">
                    <c:v>5/08/2026</c:v>
                  </c:pt>
                  <c:pt idx="588">
                    <c:v>6/08/2026</c:v>
                  </c:pt>
                  <c:pt idx="589">
                    <c:v>6/08/2026</c:v>
                  </c:pt>
                  <c:pt idx="590">
                    <c:v>6/08/2026</c:v>
                  </c:pt>
                  <c:pt idx="591">
                    <c:v>7/08/2026</c:v>
                  </c:pt>
                  <c:pt idx="592">
                    <c:v>7/08/2026</c:v>
                  </c:pt>
                  <c:pt idx="593">
                    <c:v>7/08/2026</c:v>
                  </c:pt>
                  <c:pt idx="594">
                    <c:v>8/08/2026</c:v>
                  </c:pt>
                  <c:pt idx="595">
                    <c:v>8/08/2026</c:v>
                  </c:pt>
                  <c:pt idx="596">
                    <c:v>8/08/2026</c:v>
                  </c:pt>
                  <c:pt idx="597">
                    <c:v>8/08/2026</c:v>
                  </c:pt>
                  <c:pt idx="598">
                    <c:v>10/08/2026</c:v>
                  </c:pt>
                  <c:pt idx="599">
                    <c:v>10/08/2026</c:v>
                  </c:pt>
                  <c:pt idx="600">
                    <c:v>11/08/2026</c:v>
                  </c:pt>
                  <c:pt idx="601">
                    <c:v>11/08/2026</c:v>
                  </c:pt>
                  <c:pt idx="602">
                    <c:v>11/08/2026</c:v>
                  </c:pt>
                  <c:pt idx="603">
                    <c:v>12/08/2026</c:v>
                  </c:pt>
                  <c:pt idx="604">
                    <c:v>12/08/2026</c:v>
                  </c:pt>
                  <c:pt idx="605">
                    <c:v>12/08/2026</c:v>
                  </c:pt>
                  <c:pt idx="606">
                    <c:v>12/08/2026</c:v>
                  </c:pt>
                  <c:pt idx="607">
                    <c:v>13/08/2026</c:v>
                  </c:pt>
                  <c:pt idx="608">
                    <c:v>13/08/2026</c:v>
                  </c:pt>
                  <c:pt idx="609">
                    <c:v>13/08/2026</c:v>
                  </c:pt>
                  <c:pt idx="610">
                    <c:v>13/08/2026</c:v>
                  </c:pt>
                  <c:pt idx="611">
                    <c:v>13/08/2026</c:v>
                  </c:pt>
                  <c:pt idx="612">
                    <c:v>14/08/2026</c:v>
                  </c:pt>
                  <c:pt idx="613">
                    <c:v>14/08/2026</c:v>
                  </c:pt>
                  <c:pt idx="614">
                    <c:v>14/08/2026</c:v>
                  </c:pt>
                  <c:pt idx="615">
                    <c:v>14/08/2026</c:v>
                  </c:pt>
                  <c:pt idx="616">
                    <c:v>15/08/2026</c:v>
                  </c:pt>
                  <c:pt idx="617">
                    <c:v>15/08/2026</c:v>
                  </c:pt>
                  <c:pt idx="618">
                    <c:v>15/08/2026</c:v>
                  </c:pt>
                  <c:pt idx="619">
                    <c:v>15/08/2026</c:v>
                  </c:pt>
                  <c:pt idx="620">
                    <c:v>17/08/2026</c:v>
                  </c:pt>
                  <c:pt idx="621">
                    <c:v>17/08/2026</c:v>
                  </c:pt>
                  <c:pt idx="622">
                    <c:v>17/08/2026</c:v>
                  </c:pt>
                  <c:pt idx="623">
                    <c:v>17/08/2026</c:v>
                  </c:pt>
                  <c:pt idx="624">
                    <c:v>17/08/2026</c:v>
                  </c:pt>
                  <c:pt idx="625">
                    <c:v>18/08/2026</c:v>
                  </c:pt>
                  <c:pt idx="626">
                    <c:v>18/08/2026</c:v>
                  </c:pt>
                  <c:pt idx="627">
                    <c:v>18/08/2026</c:v>
                  </c:pt>
                  <c:pt idx="628">
                    <c:v>18/08/2026</c:v>
                  </c:pt>
                  <c:pt idx="629">
                    <c:v>19/08/2026</c:v>
                  </c:pt>
                  <c:pt idx="630">
                    <c:v>19/08/2026</c:v>
                  </c:pt>
                  <c:pt idx="631">
                    <c:v>20/08/2026</c:v>
                  </c:pt>
                  <c:pt idx="632">
                    <c:v>20/08/2026</c:v>
                  </c:pt>
                  <c:pt idx="633">
                    <c:v>21/08/2026</c:v>
                  </c:pt>
                  <c:pt idx="634">
                    <c:v>21/08/2026</c:v>
                  </c:pt>
                  <c:pt idx="635">
                    <c:v>21/08/2026</c:v>
                  </c:pt>
                  <c:pt idx="636">
                    <c:v>21/08/2026</c:v>
                  </c:pt>
                  <c:pt idx="637">
                    <c:v>21/08/2026</c:v>
                  </c:pt>
                  <c:pt idx="638">
                    <c:v>21/08/2026</c:v>
                  </c:pt>
                  <c:pt idx="639">
                    <c:v>21/08/2026</c:v>
                  </c:pt>
                  <c:pt idx="640">
                    <c:v>22/08/2026</c:v>
                  </c:pt>
                  <c:pt idx="641">
                    <c:v>22/08/2026</c:v>
                  </c:pt>
                  <c:pt idx="642">
                    <c:v>22/08/2026</c:v>
                  </c:pt>
                  <c:pt idx="643">
                    <c:v>22/08/2026</c:v>
                  </c:pt>
                  <c:pt idx="644">
                    <c:v>22/08/2026</c:v>
                  </c:pt>
                  <c:pt idx="645">
                    <c:v>24/08/2026</c:v>
                  </c:pt>
                  <c:pt idx="646">
                    <c:v>24/08/2026</c:v>
                  </c:pt>
                  <c:pt idx="647">
                    <c:v>24/08/2026</c:v>
                  </c:pt>
                  <c:pt idx="648">
                    <c:v>25/08/2026</c:v>
                  </c:pt>
                  <c:pt idx="649">
                    <c:v>25/08/2026</c:v>
                  </c:pt>
                  <c:pt idx="650">
                    <c:v>25/08/2026</c:v>
                  </c:pt>
                  <c:pt idx="651">
                    <c:v>25/08/2026</c:v>
                  </c:pt>
                  <c:pt idx="652">
                    <c:v>25/08/2026</c:v>
                  </c:pt>
                  <c:pt idx="653">
                    <c:v>25/08/2026</c:v>
                  </c:pt>
                  <c:pt idx="654">
                    <c:v>25/08/2026</c:v>
                  </c:pt>
                  <c:pt idx="655">
                    <c:v>26/08/2026</c:v>
                  </c:pt>
                  <c:pt idx="656">
                    <c:v>27/08/2026</c:v>
                  </c:pt>
                  <c:pt idx="657">
                    <c:v>27/08/2026</c:v>
                  </c:pt>
                  <c:pt idx="658">
                    <c:v>27/08/2026</c:v>
                  </c:pt>
                  <c:pt idx="659">
                    <c:v>28/08/2026</c:v>
                  </c:pt>
                  <c:pt idx="660">
                    <c:v>28/08/2026</c:v>
                  </c:pt>
                  <c:pt idx="661">
                    <c:v>28/08/2026</c:v>
                  </c:pt>
                  <c:pt idx="662">
                    <c:v>28/08/2026</c:v>
                  </c:pt>
                  <c:pt idx="663">
                    <c:v>28/08/2026</c:v>
                  </c:pt>
                  <c:pt idx="664">
                    <c:v>28/08/2026</c:v>
                  </c:pt>
                  <c:pt idx="665">
                    <c:v>28/08/2026</c:v>
                  </c:pt>
                  <c:pt idx="666">
                    <c:v>28/08/2026</c:v>
                  </c:pt>
                  <c:pt idx="667">
                    <c:v>28/05/2026</c:v>
                  </c:pt>
                  <c:pt idx="668">
                    <c:v>28/08/2026</c:v>
                  </c:pt>
                  <c:pt idx="669">
                    <c:v>28/08/2026</c:v>
                  </c:pt>
                  <c:pt idx="670">
                    <c:v>28/08/2026</c:v>
                  </c:pt>
                  <c:pt idx="671">
                    <c:v>28/08/2026</c:v>
                  </c:pt>
                  <c:pt idx="672">
                    <c:v>28/08/2026</c:v>
                  </c:pt>
                  <c:pt idx="673">
                    <c:v>31/08/2026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  <c:pt idx="641">
                    <c:v> </c:v>
                  </c:pt>
                </c:lvl>
              </c:multiLvlStrCache>
            </c:multiLvlStrRef>
          </c:cat>
          <c:val>
            <c:numRef>
              <c:f>'AHORRO ENERO 2026'!$H$4:$H$679</c:f>
              <c:numCache>
                <c:formatCode>_("Q"* #,##0.00_);_("Q"* \(#,##0.00\);_("Q"* "-"??_);_(@_)</c:formatCode>
                <c:ptCount val="676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6">
                  <c:v>4000</c:v>
                </c:pt>
                <c:pt idx="8">
                  <c:v>500</c:v>
                </c:pt>
                <c:pt idx="10">
                  <c:v>100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9">
                  <c:v>34090.910000000003</c:v>
                </c:pt>
                <c:pt idx="20">
                  <c:v>250</c:v>
                </c:pt>
                <c:pt idx="22">
                  <c:v>500</c:v>
                </c:pt>
                <c:pt idx="23">
                  <c:v>7317.73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6">
                  <c:v>33481.39</c:v>
                </c:pt>
                <c:pt idx="37">
                  <c:v>600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6">
                  <c:v>68181.820000000007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8">
                  <c:v>30000</c:v>
                </c:pt>
                <c:pt idx="69">
                  <c:v>1000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23">
                  <c:v>4000</c:v>
                </c:pt>
                <c:pt idx="124">
                  <c:v>2840.91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5">
                  <c:v>1147.72</c:v>
                </c:pt>
                <c:pt idx="137">
                  <c:v>5000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5">
                  <c:v>1147.75</c:v>
                </c:pt>
                <c:pt idx="147">
                  <c:v>10000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5">
                  <c:v>9090.91</c:v>
                </c:pt>
                <c:pt idx="157">
                  <c:v>500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8">
                  <c:v>28409.09</c:v>
                </c:pt>
                <c:pt idx="189">
                  <c:v>2000</c:v>
                </c:pt>
                <c:pt idx="194">
                  <c:v>200</c:v>
                </c:pt>
                <c:pt idx="197">
                  <c:v>2500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5">
                  <c:v>10000</c:v>
                </c:pt>
                <c:pt idx="257">
                  <c:v>2500</c:v>
                </c:pt>
                <c:pt idx="258">
                  <c:v>17045.46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4">
                  <c:v>500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6">
                  <c:v>54679.14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5">
                  <c:v>50</c:v>
                </c:pt>
                <c:pt idx="306">
                  <c:v>100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4">
                  <c:v>1000</c:v>
                </c:pt>
                <c:pt idx="325">
                  <c:v>100</c:v>
                </c:pt>
                <c:pt idx="331">
                  <c:v>100</c:v>
                </c:pt>
                <c:pt idx="334">
                  <c:v>200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4">
                  <c:v>5630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7">
                  <c:v>100</c:v>
                </c:pt>
                <c:pt idx="360">
                  <c:v>700</c:v>
                </c:pt>
                <c:pt idx="361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91">
                  <c:v>2000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31">
                  <c:v>568.17999999999995</c:v>
                </c:pt>
                <c:pt idx="432">
                  <c:v>39772.730000000003</c:v>
                </c:pt>
                <c:pt idx="436">
                  <c:v>465.91</c:v>
                </c:pt>
                <c:pt idx="437">
                  <c:v>10000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73">
                  <c:v>1300</c:v>
                </c:pt>
                <c:pt idx="474">
                  <c:v>1000</c:v>
                </c:pt>
                <c:pt idx="479">
                  <c:v>300</c:v>
                </c:pt>
                <c:pt idx="480">
                  <c:v>10000</c:v>
                </c:pt>
                <c:pt idx="483">
                  <c:v>300</c:v>
                </c:pt>
                <c:pt idx="484">
                  <c:v>100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1">
                  <c:v>11363.64</c:v>
                </c:pt>
                <c:pt idx="492">
                  <c:v>5681.82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8">
                  <c:v>10000</c:v>
                </c:pt>
                <c:pt idx="519">
                  <c:v>10000</c:v>
                </c:pt>
                <c:pt idx="524">
                  <c:v>500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8">
                  <c:v>500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57">
                  <c:v>200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73">
                  <c:v>2100</c:v>
                </c:pt>
                <c:pt idx="574">
                  <c:v>10000</c:v>
                </c:pt>
                <c:pt idx="576">
                  <c:v>300</c:v>
                </c:pt>
                <c:pt idx="577">
                  <c:v>400</c:v>
                </c:pt>
                <c:pt idx="578">
                  <c:v>4500</c:v>
                </c:pt>
                <c:pt idx="579">
                  <c:v>500</c:v>
                </c:pt>
                <c:pt idx="580">
                  <c:v>11000</c:v>
                </c:pt>
                <c:pt idx="581">
                  <c:v>34090.910000000003</c:v>
                </c:pt>
                <c:pt idx="587">
                  <c:v>1147.73</c:v>
                </c:pt>
                <c:pt idx="592">
                  <c:v>5000</c:v>
                </c:pt>
                <c:pt idx="593">
                  <c:v>1200</c:v>
                </c:pt>
                <c:pt idx="594">
                  <c:v>4000</c:v>
                </c:pt>
                <c:pt idx="595">
                  <c:v>325</c:v>
                </c:pt>
                <c:pt idx="598">
                  <c:v>7850</c:v>
                </c:pt>
                <c:pt idx="599">
                  <c:v>800</c:v>
                </c:pt>
                <c:pt idx="603">
                  <c:v>56818.14</c:v>
                </c:pt>
                <c:pt idx="604">
                  <c:v>0.04</c:v>
                </c:pt>
                <c:pt idx="607">
                  <c:v>55000</c:v>
                </c:pt>
                <c:pt idx="608">
                  <c:v>300</c:v>
                </c:pt>
                <c:pt idx="609">
                  <c:v>45454.54</c:v>
                </c:pt>
                <c:pt idx="612">
                  <c:v>300</c:v>
                </c:pt>
                <c:pt idx="613">
                  <c:v>1144.8900000000001</c:v>
                </c:pt>
                <c:pt idx="620">
                  <c:v>11363.64</c:v>
                </c:pt>
                <c:pt idx="625">
                  <c:v>400</c:v>
                </c:pt>
                <c:pt idx="626">
                  <c:v>1144.8800000000001</c:v>
                </c:pt>
                <c:pt idx="633">
                  <c:v>600</c:v>
                </c:pt>
                <c:pt idx="634">
                  <c:v>70000</c:v>
                </c:pt>
                <c:pt idx="635">
                  <c:v>500</c:v>
                </c:pt>
                <c:pt idx="640">
                  <c:v>32477</c:v>
                </c:pt>
                <c:pt idx="641">
                  <c:v>200</c:v>
                </c:pt>
                <c:pt idx="645">
                  <c:v>800</c:v>
                </c:pt>
                <c:pt idx="646">
                  <c:v>500</c:v>
                </c:pt>
                <c:pt idx="648">
                  <c:v>10000</c:v>
                </c:pt>
                <c:pt idx="649">
                  <c:v>100</c:v>
                </c:pt>
                <c:pt idx="650">
                  <c:v>100</c:v>
                </c:pt>
                <c:pt idx="651">
                  <c:v>22727.279999999999</c:v>
                </c:pt>
                <c:pt idx="659">
                  <c:v>568.17999999999995</c:v>
                </c:pt>
                <c:pt idx="660">
                  <c:v>200</c:v>
                </c:pt>
                <c:pt idx="661">
                  <c:v>17000</c:v>
                </c:pt>
                <c:pt idx="662">
                  <c:v>1147.72</c:v>
                </c:pt>
                <c:pt idx="663">
                  <c:v>1147.72</c:v>
                </c:pt>
                <c:pt idx="664">
                  <c:v>1136.3699999999999</c:v>
                </c:pt>
                <c:pt idx="665">
                  <c:v>100</c:v>
                </c:pt>
                <c:pt idx="666">
                  <c:v>400</c:v>
                </c:pt>
                <c:pt idx="667">
                  <c:v>17500</c:v>
                </c:pt>
                <c:pt idx="668">
                  <c:v>200</c:v>
                </c:pt>
                <c:pt idx="675">
                  <c:v>3620116.3100000015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5-4515-BD66-D3DD33911682}"/>
            </c:ext>
          </c:extLst>
        </c:ser>
        <c:ser>
          <c:idx val="3"/>
          <c:order val="3"/>
          <c:tx>
            <c:strRef>
              <c:f>'AHORRO ENERO 2026'!$I$1:$I$3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RETIROS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2026'!$A$4:$E$679</c:f>
              <c:multiLvlStrCache>
                <c:ptCount val="67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3">
                    <c:v>MANUELA YESSICA SANCHEZ CABA</c:v>
                  </c:pt>
                  <c:pt idx="634">
                    <c:v>IGLESIA EVANGALICA MISION JESUS FUENTE DE VISA JUIL</c:v>
                  </c:pt>
                  <c:pt idx="635">
                    <c:v>MARIA RAMIREZ HU</c:v>
                  </c:pt>
                  <c:pt idx="636">
                    <c:v>TERESA ASICONA ASICONA </c:v>
                  </c:pt>
                  <c:pt idx="637">
                    <c:v>MARIA DIAZ RIVERA DE RAYMUNDO</c:v>
                  </c:pt>
                  <c:pt idx="638">
                    <c:v>PEDRO LUIS TOMAS LUX</c:v>
                  </c:pt>
                  <c:pt idx="639">
                    <c:v>LORENZA RAQUEL PANTZAY SANCHEZ</c:v>
                  </c:pt>
                  <c:pt idx="640">
                    <c:v>IGLESIA EVANGALICA MISION JESUS FUENTE DE VISA JUIL</c:v>
                  </c:pt>
                  <c:pt idx="641">
                    <c:v>MARIA DIAZ RIVERA DE RAYMUNDO</c:v>
                  </c:pt>
                  <c:pt idx="642">
                    <c:v>TERESA ASICONA  ASICONA</c:v>
                  </c:pt>
                  <c:pt idx="643">
                    <c:v>JACINTA OFELIA PACHECO IJOM</c:v>
                  </c:pt>
                  <c:pt idx="644">
                    <c:v>MATEO CANAY ASICONA Y JUANA CLARITA LAYNEZ DEL BARRIO</c:v>
                  </c:pt>
                  <c:pt idx="645">
                    <c:v>ROSA IMUL TIU DE CALEL</c:v>
                  </c:pt>
                  <c:pt idx="646">
                    <c:v>ELENA CABA CABA</c:v>
                  </c:pt>
                  <c:pt idx="647">
                    <c:v>MARIA JULIANA LAYNEZ LAYNEZ</c:v>
                  </c:pt>
                  <c:pt idx="648">
                    <c:v>MARGARITA CABA CANAY</c:v>
                  </c:pt>
                  <c:pt idx="649">
                    <c:v>ROSA RAYMUNDO ANAY</c:v>
                  </c:pt>
                  <c:pt idx="650">
                    <c:v>ROSA RAYMUNDO ANAY</c:v>
                  </c:pt>
                  <c:pt idx="651">
                    <c:v>MAGDALENA MENDOZA RIVERA</c:v>
                  </c:pt>
                  <c:pt idx="652">
                    <c:v>ROSA RAYMUNDO ANAY</c:v>
                  </c:pt>
                  <c:pt idx="653">
                    <c:v>TERESA ASICONA ASICONA</c:v>
                  </c:pt>
                  <c:pt idx="654">
                    <c:v>ANTONIO RIVERA CABA</c:v>
                  </c:pt>
                  <c:pt idx="655">
                    <c:v>GASPAR WALTER RAYMUNDO MENDOZA</c:v>
                  </c:pt>
                  <c:pt idx="656">
                    <c:v>IGLESIA EVANGALICA MISION JESUS FUENTE DE VISA JUIL</c:v>
                  </c:pt>
                  <c:pt idx="657">
                    <c:v>ROSA RAYMUNDO ANAY</c:v>
                  </c:pt>
                  <c:pt idx="658">
                    <c:v>TERESA CABA ESCOBAR</c:v>
                  </c:pt>
                  <c:pt idx="659">
                    <c:v>TOMAS CHAMAY DE LA CRUZ</c:v>
                  </c:pt>
                  <c:pt idx="660">
                    <c:v>MARIA ESCOBAR PACHECO</c:v>
                  </c:pt>
                  <c:pt idx="661">
                    <c:v>VICENTE LAYNEZ CABA</c:v>
                  </c:pt>
                  <c:pt idx="662">
                    <c:v>ANA DIONICIA ASICONA ASICONA</c:v>
                  </c:pt>
                  <c:pt idx="663">
                    <c:v>PEDRO PACHECO CABA</c:v>
                  </c:pt>
                  <c:pt idx="664">
                    <c:v>SEBASTIAN SAMBRANO LOPEZ</c:v>
                  </c:pt>
                  <c:pt idx="665">
                    <c:v>MIGUEL GOMEZ GOMEZ</c:v>
                  </c:pt>
                  <c:pt idx="666">
                    <c:v>MARIA CABA ASICONA DE CABA</c:v>
                  </c:pt>
                  <c:pt idx="667">
                    <c:v>MARIA RIVERA ESCOBAR</c:v>
                  </c:pt>
                  <c:pt idx="668">
                    <c:v>MARIA YULA LAYNEZ</c:v>
                  </c:pt>
                  <c:pt idx="669">
                    <c:v>ANA ESCOBAR RIVERA</c:v>
                  </c:pt>
                  <c:pt idx="670">
                    <c:v>ROSA LAYNEZ ESCOBAR </c:v>
                  </c:pt>
                  <c:pt idx="671">
                    <c:v>DOMINGO GREGORIO IJOM ANAY</c:v>
                  </c:pt>
                  <c:pt idx="672">
                    <c:v>MIGUEL RAMIREZ IJOM</c:v>
                  </c:pt>
                  <c:pt idx="673">
                    <c:v>TERESA ASICONA ASICONA</c:v>
                  </c:pt>
                  <c:pt idx="67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  <c:pt idx="633">
                    <c:v>AGENCIA CHAJUL</c:v>
                  </c:pt>
                  <c:pt idx="634">
                    <c:v>AGENCIA CHAJUL</c:v>
                  </c:pt>
                  <c:pt idx="635">
                    <c:v>AGENCIA CHAJUL</c:v>
                  </c:pt>
                  <c:pt idx="636">
                    <c:v>AGENCIA CHAJUL</c:v>
                  </c:pt>
                  <c:pt idx="637">
                    <c:v>AGENCIA CHAJUL</c:v>
                  </c:pt>
                  <c:pt idx="638">
                    <c:v>AGENCIA CHAJUL</c:v>
                  </c:pt>
                  <c:pt idx="639">
                    <c:v>AGENCIA CHAJUL</c:v>
                  </c:pt>
                  <c:pt idx="640">
                    <c:v>AGENCIA CHAJUL</c:v>
                  </c:pt>
                  <c:pt idx="641">
                    <c:v>AGENCIA CHAJUL</c:v>
                  </c:pt>
                  <c:pt idx="642">
                    <c:v>AGENCIA CHAJUL</c:v>
                  </c:pt>
                  <c:pt idx="643">
                    <c:v>AGENCIA CHAJUL</c:v>
                  </c:pt>
                  <c:pt idx="644">
                    <c:v>AGENCIA CHAJUL</c:v>
                  </c:pt>
                  <c:pt idx="645">
                    <c:v>AGENCIA CHAJUL</c:v>
                  </c:pt>
                  <c:pt idx="646">
                    <c:v>AGENCIA CHAJUL</c:v>
                  </c:pt>
                  <c:pt idx="647">
                    <c:v>AGENCIA CHAJUL</c:v>
                  </c:pt>
                  <c:pt idx="648">
                    <c:v>AGENCIA CHAJUL</c:v>
                  </c:pt>
                  <c:pt idx="649">
                    <c:v>AGENCIA CHAJUL</c:v>
                  </c:pt>
                  <c:pt idx="650">
                    <c:v>AGENCIA CHAJUL</c:v>
                  </c:pt>
                  <c:pt idx="651">
                    <c:v>AGENCIA CHAJUL</c:v>
                  </c:pt>
                  <c:pt idx="652">
                    <c:v>AGENCIA CHAJUL</c:v>
                  </c:pt>
                  <c:pt idx="653">
                    <c:v>AGENCIA CHAJUL</c:v>
                  </c:pt>
                  <c:pt idx="654">
                    <c:v>AGENCIA CHAJUL</c:v>
                  </c:pt>
                  <c:pt idx="655">
                    <c:v>AGENCIA CHAJUL</c:v>
                  </c:pt>
                  <c:pt idx="656">
                    <c:v>AGENCIA CHAJUL</c:v>
                  </c:pt>
                  <c:pt idx="657">
                    <c:v>AGENCIA CHAJUL</c:v>
                  </c:pt>
                  <c:pt idx="658">
                    <c:v>AGENCIA CHAJUL</c:v>
                  </c:pt>
                  <c:pt idx="659">
                    <c:v>AGENCIA CHAJUL</c:v>
                  </c:pt>
                  <c:pt idx="660">
                    <c:v>AGENCIA CHAJUL</c:v>
                  </c:pt>
                  <c:pt idx="661">
                    <c:v>AGENCIA CHAJUL</c:v>
                  </c:pt>
                  <c:pt idx="662">
                    <c:v>AGENCIA CHAJUL</c:v>
                  </c:pt>
                  <c:pt idx="663">
                    <c:v>AGENCIA CHAJUL</c:v>
                  </c:pt>
                  <c:pt idx="664">
                    <c:v>AGENCIA CHAJUL</c:v>
                  </c:pt>
                  <c:pt idx="665">
                    <c:v>AGENCIA CHAJUL</c:v>
                  </c:pt>
                  <c:pt idx="666">
                    <c:v>AGENCIA CHAJUL</c:v>
                  </c:pt>
                  <c:pt idx="667">
                    <c:v>AGENCIA CHAJUL</c:v>
                  </c:pt>
                  <c:pt idx="668">
                    <c:v>AGENCIA CHAJUL</c:v>
                  </c:pt>
                  <c:pt idx="669">
                    <c:v>AGENCIA CHAJUL</c:v>
                  </c:pt>
                  <c:pt idx="670">
                    <c:v>AGENCIA CHAJUL</c:v>
                  </c:pt>
                  <c:pt idx="671">
                    <c:v>AGENCIA CHAJUL</c:v>
                  </c:pt>
                  <c:pt idx="672">
                    <c:v>AGENCIA CHAJUL</c:v>
                  </c:pt>
                  <c:pt idx="673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  <c:pt idx="633">
                    <c:v>3542</c:v>
                  </c:pt>
                  <c:pt idx="634">
                    <c:v>3543</c:v>
                  </c:pt>
                  <c:pt idx="635">
                    <c:v>3544</c:v>
                  </c:pt>
                  <c:pt idx="636">
                    <c:v>949</c:v>
                  </c:pt>
                  <c:pt idx="637">
                    <c:v>950</c:v>
                  </c:pt>
                  <c:pt idx="638">
                    <c:v>951</c:v>
                  </c:pt>
                  <c:pt idx="639">
                    <c:v>952</c:v>
                  </c:pt>
                  <c:pt idx="640">
                    <c:v>3546</c:v>
                  </c:pt>
                  <c:pt idx="641">
                    <c:v>3547</c:v>
                  </c:pt>
                  <c:pt idx="642">
                    <c:v>953</c:v>
                  </c:pt>
                  <c:pt idx="643">
                    <c:v>954</c:v>
                  </c:pt>
                  <c:pt idx="644">
                    <c:v>955</c:v>
                  </c:pt>
                  <c:pt idx="645">
                    <c:v>3548</c:v>
                  </c:pt>
                  <c:pt idx="646">
                    <c:v>3549</c:v>
                  </c:pt>
                  <c:pt idx="647">
                    <c:v>957</c:v>
                  </c:pt>
                  <c:pt idx="648">
                    <c:v>3559</c:v>
                  </c:pt>
                  <c:pt idx="649">
                    <c:v>3560</c:v>
                  </c:pt>
                  <c:pt idx="650">
                    <c:v>3561</c:v>
                  </c:pt>
                  <c:pt idx="651">
                    <c:v>3565</c:v>
                  </c:pt>
                  <c:pt idx="652">
                    <c:v>958</c:v>
                  </c:pt>
                  <c:pt idx="653">
                    <c:v>959</c:v>
                  </c:pt>
                  <c:pt idx="654">
                    <c:v>960</c:v>
                  </c:pt>
                  <c:pt idx="655">
                    <c:v>961</c:v>
                  </c:pt>
                  <c:pt idx="656">
                    <c:v>962</c:v>
                  </c:pt>
                  <c:pt idx="657">
                    <c:v>963</c:v>
                  </c:pt>
                  <c:pt idx="658">
                    <c:v>964</c:v>
                  </c:pt>
                  <c:pt idx="659">
                    <c:v>3580</c:v>
                  </c:pt>
                  <c:pt idx="660">
                    <c:v>3582</c:v>
                  </c:pt>
                  <c:pt idx="661">
                    <c:v>3583</c:v>
                  </c:pt>
                  <c:pt idx="662">
                    <c:v>3584</c:v>
                  </c:pt>
                  <c:pt idx="663">
                    <c:v>3586</c:v>
                  </c:pt>
                  <c:pt idx="664">
                    <c:v>3590</c:v>
                  </c:pt>
                  <c:pt idx="665">
                    <c:v>3593</c:v>
                  </c:pt>
                  <c:pt idx="666">
                    <c:v>3600</c:v>
                  </c:pt>
                  <c:pt idx="667">
                    <c:v>3601</c:v>
                  </c:pt>
                  <c:pt idx="668">
                    <c:v>3602</c:v>
                  </c:pt>
                  <c:pt idx="669">
                    <c:v>968</c:v>
                  </c:pt>
                  <c:pt idx="670">
                    <c:v>970</c:v>
                  </c:pt>
                  <c:pt idx="671">
                    <c:v>971</c:v>
                  </c:pt>
                  <c:pt idx="672">
                    <c:v>972</c:v>
                  </c:pt>
                  <c:pt idx="673">
                    <c:v>973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  <c:pt idx="573">
                    <c:v>3/08/2026</c:v>
                  </c:pt>
                  <c:pt idx="574">
                    <c:v>3/08/2026</c:v>
                  </c:pt>
                  <c:pt idx="575">
                    <c:v>3/08/2026</c:v>
                  </c:pt>
                  <c:pt idx="576">
                    <c:v>4/08/2026</c:v>
                  </c:pt>
                  <c:pt idx="577">
                    <c:v>4/08/2026</c:v>
                  </c:pt>
                  <c:pt idx="578">
                    <c:v>4/08/2026</c:v>
                  </c:pt>
                  <c:pt idx="579">
                    <c:v>4/08/2026</c:v>
                  </c:pt>
                  <c:pt idx="580">
                    <c:v>4/08/2026</c:v>
                  </c:pt>
                  <c:pt idx="581">
                    <c:v>4/08/2026</c:v>
                  </c:pt>
                  <c:pt idx="582">
                    <c:v>4/08/2026</c:v>
                  </c:pt>
                  <c:pt idx="583">
                    <c:v>4/08/2026</c:v>
                  </c:pt>
                  <c:pt idx="584">
                    <c:v>5/08/2026</c:v>
                  </c:pt>
                  <c:pt idx="585">
                    <c:v>5/08/2026</c:v>
                  </c:pt>
                  <c:pt idx="586">
                    <c:v>5/08/2026</c:v>
                  </c:pt>
                  <c:pt idx="587">
                    <c:v>5/08/2026</c:v>
                  </c:pt>
                  <c:pt idx="588">
                    <c:v>6/08/2026</c:v>
                  </c:pt>
                  <c:pt idx="589">
                    <c:v>6/08/2026</c:v>
                  </c:pt>
                  <c:pt idx="590">
                    <c:v>6/08/2026</c:v>
                  </c:pt>
                  <c:pt idx="591">
                    <c:v>7/08/2026</c:v>
                  </c:pt>
                  <c:pt idx="592">
                    <c:v>7/08/2026</c:v>
                  </c:pt>
                  <c:pt idx="593">
                    <c:v>7/08/2026</c:v>
                  </c:pt>
                  <c:pt idx="594">
                    <c:v>8/08/2026</c:v>
                  </c:pt>
                  <c:pt idx="595">
                    <c:v>8/08/2026</c:v>
                  </c:pt>
                  <c:pt idx="596">
                    <c:v>8/08/2026</c:v>
                  </c:pt>
                  <c:pt idx="597">
                    <c:v>8/08/2026</c:v>
                  </c:pt>
                  <c:pt idx="598">
                    <c:v>10/08/2026</c:v>
                  </c:pt>
                  <c:pt idx="599">
                    <c:v>10/08/2026</c:v>
                  </c:pt>
                  <c:pt idx="600">
                    <c:v>11/08/2026</c:v>
                  </c:pt>
                  <c:pt idx="601">
                    <c:v>11/08/2026</c:v>
                  </c:pt>
                  <c:pt idx="602">
                    <c:v>11/08/2026</c:v>
                  </c:pt>
                  <c:pt idx="603">
                    <c:v>12/08/2026</c:v>
                  </c:pt>
                  <c:pt idx="604">
                    <c:v>12/08/2026</c:v>
                  </c:pt>
                  <c:pt idx="605">
                    <c:v>12/08/2026</c:v>
                  </c:pt>
                  <c:pt idx="606">
                    <c:v>12/08/2026</c:v>
                  </c:pt>
                  <c:pt idx="607">
                    <c:v>13/08/2026</c:v>
                  </c:pt>
                  <c:pt idx="608">
                    <c:v>13/08/2026</c:v>
                  </c:pt>
                  <c:pt idx="609">
                    <c:v>13/08/2026</c:v>
                  </c:pt>
                  <c:pt idx="610">
                    <c:v>13/08/2026</c:v>
                  </c:pt>
                  <c:pt idx="611">
                    <c:v>13/08/2026</c:v>
                  </c:pt>
                  <c:pt idx="612">
                    <c:v>14/08/2026</c:v>
                  </c:pt>
                  <c:pt idx="613">
                    <c:v>14/08/2026</c:v>
                  </c:pt>
                  <c:pt idx="614">
                    <c:v>14/08/2026</c:v>
                  </c:pt>
                  <c:pt idx="615">
                    <c:v>14/08/2026</c:v>
                  </c:pt>
                  <c:pt idx="616">
                    <c:v>15/08/2026</c:v>
                  </c:pt>
                  <c:pt idx="617">
                    <c:v>15/08/2026</c:v>
                  </c:pt>
                  <c:pt idx="618">
                    <c:v>15/08/2026</c:v>
                  </c:pt>
                  <c:pt idx="619">
                    <c:v>15/08/2026</c:v>
                  </c:pt>
                  <c:pt idx="620">
                    <c:v>17/08/2026</c:v>
                  </c:pt>
                  <c:pt idx="621">
                    <c:v>17/08/2026</c:v>
                  </c:pt>
                  <c:pt idx="622">
                    <c:v>17/08/2026</c:v>
                  </c:pt>
                  <c:pt idx="623">
                    <c:v>17/08/2026</c:v>
                  </c:pt>
                  <c:pt idx="624">
                    <c:v>17/08/2026</c:v>
                  </c:pt>
                  <c:pt idx="625">
                    <c:v>18/08/2026</c:v>
                  </c:pt>
                  <c:pt idx="626">
                    <c:v>18/08/2026</c:v>
                  </c:pt>
                  <c:pt idx="627">
                    <c:v>18/08/2026</c:v>
                  </c:pt>
                  <c:pt idx="628">
                    <c:v>18/08/2026</c:v>
                  </c:pt>
                  <c:pt idx="629">
                    <c:v>19/08/2026</c:v>
                  </c:pt>
                  <c:pt idx="630">
                    <c:v>19/08/2026</c:v>
                  </c:pt>
                  <c:pt idx="631">
                    <c:v>20/08/2026</c:v>
                  </c:pt>
                  <c:pt idx="632">
                    <c:v>20/08/2026</c:v>
                  </c:pt>
                  <c:pt idx="633">
                    <c:v>21/08/2026</c:v>
                  </c:pt>
                  <c:pt idx="634">
                    <c:v>21/08/2026</c:v>
                  </c:pt>
                  <c:pt idx="635">
                    <c:v>21/08/2026</c:v>
                  </c:pt>
                  <c:pt idx="636">
                    <c:v>21/08/2026</c:v>
                  </c:pt>
                  <c:pt idx="637">
                    <c:v>21/08/2026</c:v>
                  </c:pt>
                  <c:pt idx="638">
                    <c:v>21/08/2026</c:v>
                  </c:pt>
                  <c:pt idx="639">
                    <c:v>21/08/2026</c:v>
                  </c:pt>
                  <c:pt idx="640">
                    <c:v>22/08/2026</c:v>
                  </c:pt>
                  <c:pt idx="641">
                    <c:v>22/08/2026</c:v>
                  </c:pt>
                  <c:pt idx="642">
                    <c:v>22/08/2026</c:v>
                  </c:pt>
                  <c:pt idx="643">
                    <c:v>22/08/2026</c:v>
                  </c:pt>
                  <c:pt idx="644">
                    <c:v>22/08/2026</c:v>
                  </c:pt>
                  <c:pt idx="645">
                    <c:v>24/08/2026</c:v>
                  </c:pt>
                  <c:pt idx="646">
                    <c:v>24/08/2026</c:v>
                  </c:pt>
                  <c:pt idx="647">
                    <c:v>24/08/2026</c:v>
                  </c:pt>
                  <c:pt idx="648">
                    <c:v>25/08/2026</c:v>
                  </c:pt>
                  <c:pt idx="649">
                    <c:v>25/08/2026</c:v>
                  </c:pt>
                  <c:pt idx="650">
                    <c:v>25/08/2026</c:v>
                  </c:pt>
                  <c:pt idx="651">
                    <c:v>25/08/2026</c:v>
                  </c:pt>
                  <c:pt idx="652">
                    <c:v>25/08/2026</c:v>
                  </c:pt>
                  <c:pt idx="653">
                    <c:v>25/08/2026</c:v>
                  </c:pt>
                  <c:pt idx="654">
                    <c:v>25/08/2026</c:v>
                  </c:pt>
                  <c:pt idx="655">
                    <c:v>26/08/2026</c:v>
                  </c:pt>
                  <c:pt idx="656">
                    <c:v>27/08/2026</c:v>
                  </c:pt>
                  <c:pt idx="657">
                    <c:v>27/08/2026</c:v>
                  </c:pt>
                  <c:pt idx="658">
                    <c:v>27/08/2026</c:v>
                  </c:pt>
                  <c:pt idx="659">
                    <c:v>28/08/2026</c:v>
                  </c:pt>
                  <c:pt idx="660">
                    <c:v>28/08/2026</c:v>
                  </c:pt>
                  <c:pt idx="661">
                    <c:v>28/08/2026</c:v>
                  </c:pt>
                  <c:pt idx="662">
                    <c:v>28/08/2026</c:v>
                  </c:pt>
                  <c:pt idx="663">
                    <c:v>28/08/2026</c:v>
                  </c:pt>
                  <c:pt idx="664">
                    <c:v>28/08/2026</c:v>
                  </c:pt>
                  <c:pt idx="665">
                    <c:v>28/08/2026</c:v>
                  </c:pt>
                  <c:pt idx="666">
                    <c:v>28/08/2026</c:v>
                  </c:pt>
                  <c:pt idx="667">
                    <c:v>28/05/2026</c:v>
                  </c:pt>
                  <c:pt idx="668">
                    <c:v>28/08/2026</c:v>
                  </c:pt>
                  <c:pt idx="669">
                    <c:v>28/08/2026</c:v>
                  </c:pt>
                  <c:pt idx="670">
                    <c:v>28/08/2026</c:v>
                  </c:pt>
                  <c:pt idx="671">
                    <c:v>28/08/2026</c:v>
                  </c:pt>
                  <c:pt idx="672">
                    <c:v>28/08/2026</c:v>
                  </c:pt>
                  <c:pt idx="673">
                    <c:v>31/08/2026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  <c:pt idx="641">
                    <c:v> </c:v>
                  </c:pt>
                </c:lvl>
              </c:multiLvlStrCache>
            </c:multiLvlStrRef>
          </c:cat>
          <c:val>
            <c:numRef>
              <c:f>'AHORRO ENERO 2026'!$I$4:$I$679</c:f>
              <c:numCache>
                <c:formatCode>_("Q"* #,##0.00_);_("Q"* \(#,##0.00\);_("Q"* "-"??_);_(@_)</c:formatCode>
                <c:ptCount val="6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2000</c:v>
                </c:pt>
                <c:pt idx="6">
                  <c:v>0</c:v>
                </c:pt>
                <c:pt idx="7">
                  <c:v>8000</c:v>
                </c:pt>
                <c:pt idx="8">
                  <c:v>0</c:v>
                </c:pt>
                <c:pt idx="9">
                  <c:v>1150</c:v>
                </c:pt>
                <c:pt idx="11">
                  <c:v>3000</c:v>
                </c:pt>
                <c:pt idx="12">
                  <c:v>1000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1000</c:v>
                </c:pt>
                <c:pt idx="21">
                  <c:v>2000</c:v>
                </c:pt>
                <c:pt idx="24">
                  <c:v>1000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1200</c:v>
                </c:pt>
                <c:pt idx="30">
                  <c:v>3000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</c:v>
                </c:pt>
                <c:pt idx="36">
                  <c:v>0</c:v>
                </c:pt>
                <c:pt idx="37">
                  <c:v>0</c:v>
                </c:pt>
                <c:pt idx="38">
                  <c:v>1000</c:v>
                </c:pt>
                <c:pt idx="39">
                  <c:v>100</c:v>
                </c:pt>
                <c:pt idx="40">
                  <c:v>20000</c:v>
                </c:pt>
                <c:pt idx="41">
                  <c:v>21700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1000</c:v>
                </c:pt>
                <c:pt idx="53">
                  <c:v>100</c:v>
                </c:pt>
                <c:pt idx="54">
                  <c:v>600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4000</c:v>
                </c:pt>
                <c:pt idx="66">
                  <c:v>700</c:v>
                </c:pt>
                <c:pt idx="67">
                  <c:v>7470.57</c:v>
                </c:pt>
                <c:pt idx="70">
                  <c:v>700</c:v>
                </c:pt>
                <c:pt idx="71">
                  <c:v>500</c:v>
                </c:pt>
                <c:pt idx="78">
                  <c:v>5000</c:v>
                </c:pt>
                <c:pt idx="87">
                  <c:v>10000</c:v>
                </c:pt>
                <c:pt idx="94">
                  <c:v>5000</c:v>
                </c:pt>
                <c:pt idx="95">
                  <c:v>1000</c:v>
                </c:pt>
                <c:pt idx="102">
                  <c:v>7000</c:v>
                </c:pt>
                <c:pt idx="103">
                  <c:v>1200</c:v>
                </c:pt>
                <c:pt idx="118">
                  <c:v>500</c:v>
                </c:pt>
                <c:pt idx="119">
                  <c:v>500</c:v>
                </c:pt>
                <c:pt idx="120">
                  <c:v>1100.18</c:v>
                </c:pt>
                <c:pt idx="121">
                  <c:v>344.12</c:v>
                </c:pt>
                <c:pt idx="122">
                  <c:v>2000</c:v>
                </c:pt>
                <c:pt idx="125">
                  <c:v>200</c:v>
                </c:pt>
                <c:pt idx="126">
                  <c:v>1000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200</c:v>
                </c:pt>
                <c:pt idx="134">
                  <c:v>800</c:v>
                </c:pt>
                <c:pt idx="136">
                  <c:v>600</c:v>
                </c:pt>
                <c:pt idx="138">
                  <c:v>400</c:v>
                </c:pt>
                <c:pt idx="139">
                  <c:v>1000</c:v>
                </c:pt>
                <c:pt idx="140">
                  <c:v>449</c:v>
                </c:pt>
                <c:pt idx="144">
                  <c:v>150</c:v>
                </c:pt>
                <c:pt idx="146">
                  <c:v>500</c:v>
                </c:pt>
                <c:pt idx="148">
                  <c:v>200</c:v>
                </c:pt>
                <c:pt idx="153">
                  <c:v>33041</c:v>
                </c:pt>
                <c:pt idx="154">
                  <c:v>39000</c:v>
                </c:pt>
                <c:pt idx="156">
                  <c:v>10000</c:v>
                </c:pt>
                <c:pt idx="167">
                  <c:v>1000</c:v>
                </c:pt>
                <c:pt idx="169">
                  <c:v>2000</c:v>
                </c:pt>
                <c:pt idx="175">
                  <c:v>1072</c:v>
                </c:pt>
                <c:pt idx="176">
                  <c:v>500</c:v>
                </c:pt>
                <c:pt idx="177">
                  <c:v>250</c:v>
                </c:pt>
                <c:pt idx="178">
                  <c:v>1000</c:v>
                </c:pt>
                <c:pt idx="184">
                  <c:v>100</c:v>
                </c:pt>
                <c:pt idx="185">
                  <c:v>200</c:v>
                </c:pt>
                <c:pt idx="186">
                  <c:v>3000</c:v>
                </c:pt>
                <c:pt idx="187">
                  <c:v>2800</c:v>
                </c:pt>
                <c:pt idx="190">
                  <c:v>200</c:v>
                </c:pt>
                <c:pt idx="191">
                  <c:v>100</c:v>
                </c:pt>
                <c:pt idx="192">
                  <c:v>250</c:v>
                </c:pt>
                <c:pt idx="193">
                  <c:v>500</c:v>
                </c:pt>
                <c:pt idx="195">
                  <c:v>41</c:v>
                </c:pt>
                <c:pt idx="196">
                  <c:v>500</c:v>
                </c:pt>
                <c:pt idx="198">
                  <c:v>500</c:v>
                </c:pt>
                <c:pt idx="199">
                  <c:v>1000</c:v>
                </c:pt>
                <c:pt idx="206">
                  <c:v>300</c:v>
                </c:pt>
                <c:pt idx="211">
                  <c:v>1500</c:v>
                </c:pt>
                <c:pt idx="212">
                  <c:v>1700</c:v>
                </c:pt>
                <c:pt idx="223">
                  <c:v>200</c:v>
                </c:pt>
                <c:pt idx="224">
                  <c:v>400</c:v>
                </c:pt>
                <c:pt idx="225">
                  <c:v>200</c:v>
                </c:pt>
                <c:pt idx="230">
                  <c:v>200</c:v>
                </c:pt>
                <c:pt idx="231">
                  <c:v>125</c:v>
                </c:pt>
                <c:pt idx="232">
                  <c:v>1200</c:v>
                </c:pt>
                <c:pt idx="233">
                  <c:v>20000</c:v>
                </c:pt>
                <c:pt idx="238">
                  <c:v>300</c:v>
                </c:pt>
                <c:pt idx="239">
                  <c:v>228</c:v>
                </c:pt>
                <c:pt idx="243">
                  <c:v>300</c:v>
                </c:pt>
                <c:pt idx="244">
                  <c:v>1000</c:v>
                </c:pt>
                <c:pt idx="245">
                  <c:v>700</c:v>
                </c:pt>
                <c:pt idx="246">
                  <c:v>6000</c:v>
                </c:pt>
                <c:pt idx="247">
                  <c:v>5000</c:v>
                </c:pt>
                <c:pt idx="248">
                  <c:v>2000</c:v>
                </c:pt>
                <c:pt idx="253">
                  <c:v>20125.37</c:v>
                </c:pt>
                <c:pt idx="254">
                  <c:v>150</c:v>
                </c:pt>
                <c:pt idx="256">
                  <c:v>2300</c:v>
                </c:pt>
                <c:pt idx="259">
                  <c:v>1000</c:v>
                </c:pt>
                <c:pt idx="263">
                  <c:v>2000</c:v>
                </c:pt>
                <c:pt idx="270">
                  <c:v>500</c:v>
                </c:pt>
                <c:pt idx="271">
                  <c:v>1000</c:v>
                </c:pt>
                <c:pt idx="272">
                  <c:v>900</c:v>
                </c:pt>
                <c:pt idx="273">
                  <c:v>1000</c:v>
                </c:pt>
                <c:pt idx="275">
                  <c:v>1000</c:v>
                </c:pt>
                <c:pt idx="276">
                  <c:v>200</c:v>
                </c:pt>
                <c:pt idx="282">
                  <c:v>70000</c:v>
                </c:pt>
                <c:pt idx="283">
                  <c:v>1144.27</c:v>
                </c:pt>
                <c:pt idx="284">
                  <c:v>2000</c:v>
                </c:pt>
                <c:pt idx="285">
                  <c:v>600</c:v>
                </c:pt>
                <c:pt idx="287">
                  <c:v>1000</c:v>
                </c:pt>
                <c:pt idx="288">
                  <c:v>3000</c:v>
                </c:pt>
                <c:pt idx="289">
                  <c:v>1154.06</c:v>
                </c:pt>
                <c:pt idx="290">
                  <c:v>1154.06</c:v>
                </c:pt>
                <c:pt idx="291">
                  <c:v>1151.9100000000001</c:v>
                </c:pt>
                <c:pt idx="292">
                  <c:v>1152.8699999999999</c:v>
                </c:pt>
                <c:pt idx="293">
                  <c:v>1000</c:v>
                </c:pt>
                <c:pt idx="294">
                  <c:v>500</c:v>
                </c:pt>
                <c:pt idx="300">
                  <c:v>200</c:v>
                </c:pt>
                <c:pt idx="301">
                  <c:v>500</c:v>
                </c:pt>
                <c:pt idx="302">
                  <c:v>1000</c:v>
                </c:pt>
                <c:pt idx="303">
                  <c:v>12000</c:v>
                </c:pt>
                <c:pt idx="304">
                  <c:v>200</c:v>
                </c:pt>
                <c:pt idx="307">
                  <c:v>500</c:v>
                </c:pt>
                <c:pt idx="312">
                  <c:v>5000</c:v>
                </c:pt>
                <c:pt idx="313">
                  <c:v>700</c:v>
                </c:pt>
                <c:pt idx="314">
                  <c:v>10700</c:v>
                </c:pt>
                <c:pt idx="322">
                  <c:v>35</c:v>
                </c:pt>
                <c:pt idx="323">
                  <c:v>13000</c:v>
                </c:pt>
                <c:pt idx="326">
                  <c:v>300</c:v>
                </c:pt>
                <c:pt idx="327">
                  <c:v>1000</c:v>
                </c:pt>
                <c:pt idx="328">
                  <c:v>100</c:v>
                </c:pt>
                <c:pt idx="329">
                  <c:v>2500</c:v>
                </c:pt>
                <c:pt idx="330">
                  <c:v>1100</c:v>
                </c:pt>
                <c:pt idx="332">
                  <c:v>300</c:v>
                </c:pt>
                <c:pt idx="333">
                  <c:v>300</c:v>
                </c:pt>
                <c:pt idx="335">
                  <c:v>200</c:v>
                </c:pt>
                <c:pt idx="336">
                  <c:v>1000</c:v>
                </c:pt>
                <c:pt idx="337">
                  <c:v>200</c:v>
                </c:pt>
                <c:pt idx="338">
                  <c:v>1000</c:v>
                </c:pt>
                <c:pt idx="339">
                  <c:v>6000</c:v>
                </c:pt>
                <c:pt idx="343">
                  <c:v>150</c:v>
                </c:pt>
                <c:pt idx="345">
                  <c:v>3000</c:v>
                </c:pt>
                <c:pt idx="349">
                  <c:v>5000</c:v>
                </c:pt>
                <c:pt idx="350">
                  <c:v>5000</c:v>
                </c:pt>
                <c:pt idx="351">
                  <c:v>1000</c:v>
                </c:pt>
                <c:pt idx="352">
                  <c:v>200</c:v>
                </c:pt>
                <c:pt idx="356">
                  <c:v>5000</c:v>
                </c:pt>
                <c:pt idx="358">
                  <c:v>100</c:v>
                </c:pt>
                <c:pt idx="359">
                  <c:v>300</c:v>
                </c:pt>
                <c:pt idx="362">
                  <c:v>12649.32</c:v>
                </c:pt>
                <c:pt idx="363">
                  <c:v>8434.5499999999993</c:v>
                </c:pt>
                <c:pt idx="364">
                  <c:v>47885.78</c:v>
                </c:pt>
                <c:pt idx="365">
                  <c:v>1000</c:v>
                </c:pt>
                <c:pt idx="366">
                  <c:v>2000</c:v>
                </c:pt>
                <c:pt idx="371">
                  <c:v>2000</c:v>
                </c:pt>
                <c:pt idx="372">
                  <c:v>300</c:v>
                </c:pt>
                <c:pt idx="385">
                  <c:v>300</c:v>
                </c:pt>
                <c:pt idx="386">
                  <c:v>2210</c:v>
                </c:pt>
                <c:pt idx="387">
                  <c:v>23762.5</c:v>
                </c:pt>
                <c:pt idx="388">
                  <c:v>500</c:v>
                </c:pt>
                <c:pt idx="389">
                  <c:v>2000</c:v>
                </c:pt>
                <c:pt idx="390">
                  <c:v>5000</c:v>
                </c:pt>
                <c:pt idx="392">
                  <c:v>3500</c:v>
                </c:pt>
                <c:pt idx="398">
                  <c:v>310</c:v>
                </c:pt>
                <c:pt idx="399">
                  <c:v>300</c:v>
                </c:pt>
                <c:pt idx="400">
                  <c:v>500</c:v>
                </c:pt>
                <c:pt idx="401">
                  <c:v>1000</c:v>
                </c:pt>
                <c:pt idx="402">
                  <c:v>200</c:v>
                </c:pt>
                <c:pt idx="407">
                  <c:v>500</c:v>
                </c:pt>
                <c:pt idx="412">
                  <c:v>300</c:v>
                </c:pt>
                <c:pt idx="413">
                  <c:v>500</c:v>
                </c:pt>
                <c:pt idx="414">
                  <c:v>1500</c:v>
                </c:pt>
                <c:pt idx="415">
                  <c:v>500</c:v>
                </c:pt>
                <c:pt idx="416">
                  <c:v>300</c:v>
                </c:pt>
                <c:pt idx="417">
                  <c:v>500</c:v>
                </c:pt>
                <c:pt idx="423">
                  <c:v>2000</c:v>
                </c:pt>
                <c:pt idx="424">
                  <c:v>200</c:v>
                </c:pt>
                <c:pt idx="425">
                  <c:v>4000</c:v>
                </c:pt>
                <c:pt idx="426">
                  <c:v>1000</c:v>
                </c:pt>
                <c:pt idx="427">
                  <c:v>250</c:v>
                </c:pt>
                <c:pt idx="428">
                  <c:v>1000</c:v>
                </c:pt>
                <c:pt idx="429">
                  <c:v>474.18</c:v>
                </c:pt>
                <c:pt idx="430">
                  <c:v>500</c:v>
                </c:pt>
                <c:pt idx="433">
                  <c:v>400</c:v>
                </c:pt>
                <c:pt idx="434">
                  <c:v>400</c:v>
                </c:pt>
                <c:pt idx="435">
                  <c:v>7467</c:v>
                </c:pt>
                <c:pt idx="438">
                  <c:v>10000</c:v>
                </c:pt>
                <c:pt idx="439">
                  <c:v>500</c:v>
                </c:pt>
                <c:pt idx="440">
                  <c:v>21000</c:v>
                </c:pt>
                <c:pt idx="441">
                  <c:v>500</c:v>
                </c:pt>
                <c:pt idx="442">
                  <c:v>100</c:v>
                </c:pt>
                <c:pt idx="443">
                  <c:v>200</c:v>
                </c:pt>
                <c:pt idx="444">
                  <c:v>500</c:v>
                </c:pt>
                <c:pt idx="450">
                  <c:v>300</c:v>
                </c:pt>
                <c:pt idx="451">
                  <c:v>200</c:v>
                </c:pt>
                <c:pt idx="452">
                  <c:v>100</c:v>
                </c:pt>
                <c:pt idx="453">
                  <c:v>2000</c:v>
                </c:pt>
                <c:pt idx="458">
                  <c:v>400</c:v>
                </c:pt>
                <c:pt idx="459">
                  <c:v>200</c:v>
                </c:pt>
                <c:pt idx="460">
                  <c:v>400</c:v>
                </c:pt>
                <c:pt idx="461">
                  <c:v>200</c:v>
                </c:pt>
                <c:pt idx="462">
                  <c:v>9000</c:v>
                </c:pt>
                <c:pt idx="466">
                  <c:v>1000</c:v>
                </c:pt>
                <c:pt idx="467">
                  <c:v>1000</c:v>
                </c:pt>
                <c:pt idx="468">
                  <c:v>12822</c:v>
                </c:pt>
                <c:pt idx="469">
                  <c:v>11367.52</c:v>
                </c:pt>
                <c:pt idx="470">
                  <c:v>17454.13</c:v>
                </c:pt>
                <c:pt idx="471">
                  <c:v>31745.5</c:v>
                </c:pt>
                <c:pt idx="472">
                  <c:v>5495.74</c:v>
                </c:pt>
                <c:pt idx="475">
                  <c:v>37000</c:v>
                </c:pt>
                <c:pt idx="476">
                  <c:v>2955.86</c:v>
                </c:pt>
                <c:pt idx="477">
                  <c:v>300</c:v>
                </c:pt>
                <c:pt idx="478">
                  <c:v>500</c:v>
                </c:pt>
                <c:pt idx="481">
                  <c:v>35</c:v>
                </c:pt>
                <c:pt idx="482">
                  <c:v>25000</c:v>
                </c:pt>
                <c:pt idx="485">
                  <c:v>10000</c:v>
                </c:pt>
                <c:pt idx="490">
                  <c:v>500</c:v>
                </c:pt>
                <c:pt idx="493">
                  <c:v>100</c:v>
                </c:pt>
                <c:pt idx="494">
                  <c:v>400</c:v>
                </c:pt>
                <c:pt idx="495">
                  <c:v>12000</c:v>
                </c:pt>
                <c:pt idx="496">
                  <c:v>30368</c:v>
                </c:pt>
                <c:pt idx="497">
                  <c:v>400</c:v>
                </c:pt>
                <c:pt idx="498">
                  <c:v>400</c:v>
                </c:pt>
                <c:pt idx="499">
                  <c:v>3000</c:v>
                </c:pt>
                <c:pt idx="500">
                  <c:v>700</c:v>
                </c:pt>
                <c:pt idx="507">
                  <c:v>1500</c:v>
                </c:pt>
                <c:pt idx="508">
                  <c:v>300</c:v>
                </c:pt>
                <c:pt idx="509">
                  <c:v>380</c:v>
                </c:pt>
                <c:pt idx="510">
                  <c:v>1000</c:v>
                </c:pt>
                <c:pt idx="515">
                  <c:v>300</c:v>
                </c:pt>
                <c:pt idx="516">
                  <c:v>10000</c:v>
                </c:pt>
                <c:pt idx="517">
                  <c:v>5311</c:v>
                </c:pt>
                <c:pt idx="520">
                  <c:v>300</c:v>
                </c:pt>
                <c:pt idx="521">
                  <c:v>1000</c:v>
                </c:pt>
                <c:pt idx="522">
                  <c:v>500</c:v>
                </c:pt>
                <c:pt idx="523">
                  <c:v>1000</c:v>
                </c:pt>
                <c:pt idx="525">
                  <c:v>569.55999999999995</c:v>
                </c:pt>
                <c:pt idx="526">
                  <c:v>100</c:v>
                </c:pt>
                <c:pt idx="527">
                  <c:v>200</c:v>
                </c:pt>
                <c:pt idx="528">
                  <c:v>15000</c:v>
                </c:pt>
                <c:pt idx="529">
                  <c:v>500</c:v>
                </c:pt>
                <c:pt idx="530">
                  <c:v>1616.93</c:v>
                </c:pt>
                <c:pt idx="531">
                  <c:v>3000</c:v>
                </c:pt>
                <c:pt idx="537">
                  <c:v>5000</c:v>
                </c:pt>
                <c:pt idx="539">
                  <c:v>11030</c:v>
                </c:pt>
                <c:pt idx="540">
                  <c:v>2000</c:v>
                </c:pt>
                <c:pt idx="541">
                  <c:v>1600</c:v>
                </c:pt>
                <c:pt idx="545">
                  <c:v>1000</c:v>
                </c:pt>
                <c:pt idx="546">
                  <c:v>14606.91</c:v>
                </c:pt>
                <c:pt idx="547">
                  <c:v>38507.1</c:v>
                </c:pt>
                <c:pt idx="548">
                  <c:v>46759.77</c:v>
                </c:pt>
                <c:pt idx="549">
                  <c:v>14891.24</c:v>
                </c:pt>
                <c:pt idx="550">
                  <c:v>965.34</c:v>
                </c:pt>
                <c:pt idx="551">
                  <c:v>17733.86</c:v>
                </c:pt>
                <c:pt idx="552">
                  <c:v>15549.72</c:v>
                </c:pt>
                <c:pt idx="553">
                  <c:v>12298.94</c:v>
                </c:pt>
                <c:pt idx="554">
                  <c:v>772.01</c:v>
                </c:pt>
                <c:pt idx="555">
                  <c:v>1883.57</c:v>
                </c:pt>
                <c:pt idx="556">
                  <c:v>7769.39</c:v>
                </c:pt>
                <c:pt idx="558">
                  <c:v>1000</c:v>
                </c:pt>
                <c:pt idx="563">
                  <c:v>500</c:v>
                </c:pt>
                <c:pt idx="569">
                  <c:v>200</c:v>
                </c:pt>
                <c:pt idx="570">
                  <c:v>300</c:v>
                </c:pt>
                <c:pt idx="571">
                  <c:v>1000</c:v>
                </c:pt>
                <c:pt idx="572">
                  <c:v>2000</c:v>
                </c:pt>
                <c:pt idx="575">
                  <c:v>100</c:v>
                </c:pt>
                <c:pt idx="582">
                  <c:v>2200</c:v>
                </c:pt>
                <c:pt idx="583">
                  <c:v>500</c:v>
                </c:pt>
                <c:pt idx="584">
                  <c:v>700</c:v>
                </c:pt>
                <c:pt idx="585">
                  <c:v>18963.36</c:v>
                </c:pt>
                <c:pt idx="586">
                  <c:v>300</c:v>
                </c:pt>
                <c:pt idx="588">
                  <c:v>600</c:v>
                </c:pt>
                <c:pt idx="589">
                  <c:v>200</c:v>
                </c:pt>
                <c:pt idx="590">
                  <c:v>115</c:v>
                </c:pt>
                <c:pt idx="591">
                  <c:v>1700</c:v>
                </c:pt>
                <c:pt idx="596">
                  <c:v>700</c:v>
                </c:pt>
                <c:pt idx="597">
                  <c:v>100</c:v>
                </c:pt>
                <c:pt idx="600">
                  <c:v>1000</c:v>
                </c:pt>
                <c:pt idx="601">
                  <c:v>3000</c:v>
                </c:pt>
                <c:pt idx="602">
                  <c:v>700</c:v>
                </c:pt>
                <c:pt idx="605">
                  <c:v>500</c:v>
                </c:pt>
                <c:pt idx="606">
                  <c:v>200</c:v>
                </c:pt>
                <c:pt idx="610">
                  <c:v>9000</c:v>
                </c:pt>
                <c:pt idx="611">
                  <c:v>200</c:v>
                </c:pt>
                <c:pt idx="614">
                  <c:v>51000</c:v>
                </c:pt>
                <c:pt idx="615">
                  <c:v>200</c:v>
                </c:pt>
                <c:pt idx="616">
                  <c:v>5354</c:v>
                </c:pt>
                <c:pt idx="617">
                  <c:v>1200</c:v>
                </c:pt>
                <c:pt idx="618">
                  <c:v>4500</c:v>
                </c:pt>
                <c:pt idx="619">
                  <c:v>1000</c:v>
                </c:pt>
                <c:pt idx="621">
                  <c:v>11000</c:v>
                </c:pt>
                <c:pt idx="622">
                  <c:v>200</c:v>
                </c:pt>
                <c:pt idx="623">
                  <c:v>3000</c:v>
                </c:pt>
                <c:pt idx="624">
                  <c:v>300</c:v>
                </c:pt>
                <c:pt idx="627">
                  <c:v>100</c:v>
                </c:pt>
                <c:pt idx="628">
                  <c:v>4000</c:v>
                </c:pt>
                <c:pt idx="629">
                  <c:v>7654</c:v>
                </c:pt>
                <c:pt idx="630">
                  <c:v>200</c:v>
                </c:pt>
                <c:pt idx="631">
                  <c:v>6000</c:v>
                </c:pt>
                <c:pt idx="632">
                  <c:v>500</c:v>
                </c:pt>
                <c:pt idx="636">
                  <c:v>4000</c:v>
                </c:pt>
                <c:pt idx="637">
                  <c:v>300</c:v>
                </c:pt>
                <c:pt idx="638">
                  <c:v>7874.17</c:v>
                </c:pt>
                <c:pt idx="639">
                  <c:v>2000</c:v>
                </c:pt>
                <c:pt idx="642">
                  <c:v>1100</c:v>
                </c:pt>
                <c:pt idx="643">
                  <c:v>1500</c:v>
                </c:pt>
                <c:pt idx="644">
                  <c:v>300</c:v>
                </c:pt>
                <c:pt idx="647">
                  <c:v>1150</c:v>
                </c:pt>
                <c:pt idx="652">
                  <c:v>500</c:v>
                </c:pt>
                <c:pt idx="653">
                  <c:v>200</c:v>
                </c:pt>
                <c:pt idx="654">
                  <c:v>3263</c:v>
                </c:pt>
                <c:pt idx="655">
                  <c:v>400</c:v>
                </c:pt>
                <c:pt idx="656">
                  <c:v>70000</c:v>
                </c:pt>
                <c:pt idx="657">
                  <c:v>1300</c:v>
                </c:pt>
                <c:pt idx="658">
                  <c:v>500</c:v>
                </c:pt>
                <c:pt idx="669">
                  <c:v>1000</c:v>
                </c:pt>
                <c:pt idx="670">
                  <c:v>12517.81</c:v>
                </c:pt>
                <c:pt idx="671">
                  <c:v>8795.07</c:v>
                </c:pt>
                <c:pt idx="672">
                  <c:v>15488.38</c:v>
                </c:pt>
                <c:pt idx="673">
                  <c:v>150</c:v>
                </c:pt>
                <c:pt idx="675">
                  <c:v>1348045.62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5-4515-BD66-D3DD33911682}"/>
            </c:ext>
          </c:extLst>
        </c:ser>
        <c:ser>
          <c:idx val="4"/>
          <c:order val="4"/>
          <c:tx>
            <c:strRef>
              <c:f>'AHORRO ENERO 2026'!$J$1:$J$3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SALDO_FINAL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2026'!$A$4:$E$679</c:f>
              <c:multiLvlStrCache>
                <c:ptCount val="67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3">
                    <c:v>MANUELA YESSICA SANCHEZ CABA</c:v>
                  </c:pt>
                  <c:pt idx="634">
                    <c:v>IGLESIA EVANGALICA MISION JESUS FUENTE DE VISA JUIL</c:v>
                  </c:pt>
                  <c:pt idx="635">
                    <c:v>MARIA RAMIREZ HU</c:v>
                  </c:pt>
                  <c:pt idx="636">
                    <c:v>TERESA ASICONA ASICONA </c:v>
                  </c:pt>
                  <c:pt idx="637">
                    <c:v>MARIA DIAZ RIVERA DE RAYMUNDO</c:v>
                  </c:pt>
                  <c:pt idx="638">
                    <c:v>PEDRO LUIS TOMAS LUX</c:v>
                  </c:pt>
                  <c:pt idx="639">
                    <c:v>LORENZA RAQUEL PANTZAY SANCHEZ</c:v>
                  </c:pt>
                  <c:pt idx="640">
                    <c:v>IGLESIA EVANGALICA MISION JESUS FUENTE DE VISA JUIL</c:v>
                  </c:pt>
                  <c:pt idx="641">
                    <c:v>MARIA DIAZ RIVERA DE RAYMUNDO</c:v>
                  </c:pt>
                  <c:pt idx="642">
                    <c:v>TERESA ASICONA  ASICONA</c:v>
                  </c:pt>
                  <c:pt idx="643">
                    <c:v>JACINTA OFELIA PACHECO IJOM</c:v>
                  </c:pt>
                  <c:pt idx="644">
                    <c:v>MATEO CANAY ASICONA Y JUANA CLARITA LAYNEZ DEL BARRIO</c:v>
                  </c:pt>
                  <c:pt idx="645">
                    <c:v>ROSA IMUL TIU DE CALEL</c:v>
                  </c:pt>
                  <c:pt idx="646">
                    <c:v>ELENA CABA CABA</c:v>
                  </c:pt>
                  <c:pt idx="647">
                    <c:v>MARIA JULIANA LAYNEZ LAYNEZ</c:v>
                  </c:pt>
                  <c:pt idx="648">
                    <c:v>MARGARITA CABA CANAY</c:v>
                  </c:pt>
                  <c:pt idx="649">
                    <c:v>ROSA RAYMUNDO ANAY</c:v>
                  </c:pt>
                  <c:pt idx="650">
                    <c:v>ROSA RAYMUNDO ANAY</c:v>
                  </c:pt>
                  <c:pt idx="651">
                    <c:v>MAGDALENA MENDOZA RIVERA</c:v>
                  </c:pt>
                  <c:pt idx="652">
                    <c:v>ROSA RAYMUNDO ANAY</c:v>
                  </c:pt>
                  <c:pt idx="653">
                    <c:v>TERESA ASICONA ASICONA</c:v>
                  </c:pt>
                  <c:pt idx="654">
                    <c:v>ANTONIO RIVERA CABA</c:v>
                  </c:pt>
                  <c:pt idx="655">
                    <c:v>GASPAR WALTER RAYMUNDO MENDOZA</c:v>
                  </c:pt>
                  <c:pt idx="656">
                    <c:v>IGLESIA EVANGALICA MISION JESUS FUENTE DE VISA JUIL</c:v>
                  </c:pt>
                  <c:pt idx="657">
                    <c:v>ROSA RAYMUNDO ANAY</c:v>
                  </c:pt>
                  <c:pt idx="658">
                    <c:v>TERESA CABA ESCOBAR</c:v>
                  </c:pt>
                  <c:pt idx="659">
                    <c:v>TOMAS CHAMAY DE LA CRUZ</c:v>
                  </c:pt>
                  <c:pt idx="660">
                    <c:v>MARIA ESCOBAR PACHECO</c:v>
                  </c:pt>
                  <c:pt idx="661">
                    <c:v>VICENTE LAYNEZ CABA</c:v>
                  </c:pt>
                  <c:pt idx="662">
                    <c:v>ANA DIONICIA ASICONA ASICONA</c:v>
                  </c:pt>
                  <c:pt idx="663">
                    <c:v>PEDRO PACHECO CABA</c:v>
                  </c:pt>
                  <c:pt idx="664">
                    <c:v>SEBASTIAN SAMBRANO LOPEZ</c:v>
                  </c:pt>
                  <c:pt idx="665">
                    <c:v>MIGUEL GOMEZ GOMEZ</c:v>
                  </c:pt>
                  <c:pt idx="666">
                    <c:v>MARIA CABA ASICONA DE CABA</c:v>
                  </c:pt>
                  <c:pt idx="667">
                    <c:v>MARIA RIVERA ESCOBAR</c:v>
                  </c:pt>
                  <c:pt idx="668">
                    <c:v>MARIA YULA LAYNEZ</c:v>
                  </c:pt>
                  <c:pt idx="669">
                    <c:v>ANA ESCOBAR RIVERA</c:v>
                  </c:pt>
                  <c:pt idx="670">
                    <c:v>ROSA LAYNEZ ESCOBAR </c:v>
                  </c:pt>
                  <c:pt idx="671">
                    <c:v>DOMINGO GREGORIO IJOM ANAY</c:v>
                  </c:pt>
                  <c:pt idx="672">
                    <c:v>MIGUEL RAMIREZ IJOM</c:v>
                  </c:pt>
                  <c:pt idx="673">
                    <c:v>TERESA ASICONA ASICONA</c:v>
                  </c:pt>
                  <c:pt idx="67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  <c:pt idx="633">
                    <c:v>AGENCIA CHAJUL</c:v>
                  </c:pt>
                  <c:pt idx="634">
                    <c:v>AGENCIA CHAJUL</c:v>
                  </c:pt>
                  <c:pt idx="635">
                    <c:v>AGENCIA CHAJUL</c:v>
                  </c:pt>
                  <c:pt idx="636">
                    <c:v>AGENCIA CHAJUL</c:v>
                  </c:pt>
                  <c:pt idx="637">
                    <c:v>AGENCIA CHAJUL</c:v>
                  </c:pt>
                  <c:pt idx="638">
                    <c:v>AGENCIA CHAJUL</c:v>
                  </c:pt>
                  <c:pt idx="639">
                    <c:v>AGENCIA CHAJUL</c:v>
                  </c:pt>
                  <c:pt idx="640">
                    <c:v>AGENCIA CHAJUL</c:v>
                  </c:pt>
                  <c:pt idx="641">
                    <c:v>AGENCIA CHAJUL</c:v>
                  </c:pt>
                  <c:pt idx="642">
                    <c:v>AGENCIA CHAJUL</c:v>
                  </c:pt>
                  <c:pt idx="643">
                    <c:v>AGENCIA CHAJUL</c:v>
                  </c:pt>
                  <c:pt idx="644">
                    <c:v>AGENCIA CHAJUL</c:v>
                  </c:pt>
                  <c:pt idx="645">
                    <c:v>AGENCIA CHAJUL</c:v>
                  </c:pt>
                  <c:pt idx="646">
                    <c:v>AGENCIA CHAJUL</c:v>
                  </c:pt>
                  <c:pt idx="647">
                    <c:v>AGENCIA CHAJUL</c:v>
                  </c:pt>
                  <c:pt idx="648">
                    <c:v>AGENCIA CHAJUL</c:v>
                  </c:pt>
                  <c:pt idx="649">
                    <c:v>AGENCIA CHAJUL</c:v>
                  </c:pt>
                  <c:pt idx="650">
                    <c:v>AGENCIA CHAJUL</c:v>
                  </c:pt>
                  <c:pt idx="651">
                    <c:v>AGENCIA CHAJUL</c:v>
                  </c:pt>
                  <c:pt idx="652">
                    <c:v>AGENCIA CHAJUL</c:v>
                  </c:pt>
                  <c:pt idx="653">
                    <c:v>AGENCIA CHAJUL</c:v>
                  </c:pt>
                  <c:pt idx="654">
                    <c:v>AGENCIA CHAJUL</c:v>
                  </c:pt>
                  <c:pt idx="655">
                    <c:v>AGENCIA CHAJUL</c:v>
                  </c:pt>
                  <c:pt idx="656">
                    <c:v>AGENCIA CHAJUL</c:v>
                  </c:pt>
                  <c:pt idx="657">
                    <c:v>AGENCIA CHAJUL</c:v>
                  </c:pt>
                  <c:pt idx="658">
                    <c:v>AGENCIA CHAJUL</c:v>
                  </c:pt>
                  <c:pt idx="659">
                    <c:v>AGENCIA CHAJUL</c:v>
                  </c:pt>
                  <c:pt idx="660">
                    <c:v>AGENCIA CHAJUL</c:v>
                  </c:pt>
                  <c:pt idx="661">
                    <c:v>AGENCIA CHAJUL</c:v>
                  </c:pt>
                  <c:pt idx="662">
                    <c:v>AGENCIA CHAJUL</c:v>
                  </c:pt>
                  <c:pt idx="663">
                    <c:v>AGENCIA CHAJUL</c:v>
                  </c:pt>
                  <c:pt idx="664">
                    <c:v>AGENCIA CHAJUL</c:v>
                  </c:pt>
                  <c:pt idx="665">
                    <c:v>AGENCIA CHAJUL</c:v>
                  </c:pt>
                  <c:pt idx="666">
                    <c:v>AGENCIA CHAJUL</c:v>
                  </c:pt>
                  <c:pt idx="667">
                    <c:v>AGENCIA CHAJUL</c:v>
                  </c:pt>
                  <c:pt idx="668">
                    <c:v>AGENCIA CHAJUL</c:v>
                  </c:pt>
                  <c:pt idx="669">
                    <c:v>AGENCIA CHAJUL</c:v>
                  </c:pt>
                  <c:pt idx="670">
                    <c:v>AGENCIA CHAJUL</c:v>
                  </c:pt>
                  <c:pt idx="671">
                    <c:v>AGENCIA CHAJUL</c:v>
                  </c:pt>
                  <c:pt idx="672">
                    <c:v>AGENCIA CHAJUL</c:v>
                  </c:pt>
                  <c:pt idx="673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  <c:pt idx="633">
                    <c:v>3542</c:v>
                  </c:pt>
                  <c:pt idx="634">
                    <c:v>3543</c:v>
                  </c:pt>
                  <c:pt idx="635">
                    <c:v>3544</c:v>
                  </c:pt>
                  <c:pt idx="636">
                    <c:v>949</c:v>
                  </c:pt>
                  <c:pt idx="637">
                    <c:v>950</c:v>
                  </c:pt>
                  <c:pt idx="638">
                    <c:v>951</c:v>
                  </c:pt>
                  <c:pt idx="639">
                    <c:v>952</c:v>
                  </c:pt>
                  <c:pt idx="640">
                    <c:v>3546</c:v>
                  </c:pt>
                  <c:pt idx="641">
                    <c:v>3547</c:v>
                  </c:pt>
                  <c:pt idx="642">
                    <c:v>953</c:v>
                  </c:pt>
                  <c:pt idx="643">
                    <c:v>954</c:v>
                  </c:pt>
                  <c:pt idx="644">
                    <c:v>955</c:v>
                  </c:pt>
                  <c:pt idx="645">
                    <c:v>3548</c:v>
                  </c:pt>
                  <c:pt idx="646">
                    <c:v>3549</c:v>
                  </c:pt>
                  <c:pt idx="647">
                    <c:v>957</c:v>
                  </c:pt>
                  <c:pt idx="648">
                    <c:v>3559</c:v>
                  </c:pt>
                  <c:pt idx="649">
                    <c:v>3560</c:v>
                  </c:pt>
                  <c:pt idx="650">
                    <c:v>3561</c:v>
                  </c:pt>
                  <c:pt idx="651">
                    <c:v>3565</c:v>
                  </c:pt>
                  <c:pt idx="652">
                    <c:v>958</c:v>
                  </c:pt>
                  <c:pt idx="653">
                    <c:v>959</c:v>
                  </c:pt>
                  <c:pt idx="654">
                    <c:v>960</c:v>
                  </c:pt>
                  <c:pt idx="655">
                    <c:v>961</c:v>
                  </c:pt>
                  <c:pt idx="656">
                    <c:v>962</c:v>
                  </c:pt>
                  <c:pt idx="657">
                    <c:v>963</c:v>
                  </c:pt>
                  <c:pt idx="658">
                    <c:v>964</c:v>
                  </c:pt>
                  <c:pt idx="659">
                    <c:v>3580</c:v>
                  </c:pt>
                  <c:pt idx="660">
                    <c:v>3582</c:v>
                  </c:pt>
                  <c:pt idx="661">
                    <c:v>3583</c:v>
                  </c:pt>
                  <c:pt idx="662">
                    <c:v>3584</c:v>
                  </c:pt>
                  <c:pt idx="663">
                    <c:v>3586</c:v>
                  </c:pt>
                  <c:pt idx="664">
                    <c:v>3590</c:v>
                  </c:pt>
                  <c:pt idx="665">
                    <c:v>3593</c:v>
                  </c:pt>
                  <c:pt idx="666">
                    <c:v>3600</c:v>
                  </c:pt>
                  <c:pt idx="667">
                    <c:v>3601</c:v>
                  </c:pt>
                  <c:pt idx="668">
                    <c:v>3602</c:v>
                  </c:pt>
                  <c:pt idx="669">
                    <c:v>968</c:v>
                  </c:pt>
                  <c:pt idx="670">
                    <c:v>970</c:v>
                  </c:pt>
                  <c:pt idx="671">
                    <c:v>971</c:v>
                  </c:pt>
                  <c:pt idx="672">
                    <c:v>972</c:v>
                  </c:pt>
                  <c:pt idx="673">
                    <c:v>973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  <c:pt idx="573">
                    <c:v>3/08/2026</c:v>
                  </c:pt>
                  <c:pt idx="574">
                    <c:v>3/08/2026</c:v>
                  </c:pt>
                  <c:pt idx="575">
                    <c:v>3/08/2026</c:v>
                  </c:pt>
                  <c:pt idx="576">
                    <c:v>4/08/2026</c:v>
                  </c:pt>
                  <c:pt idx="577">
                    <c:v>4/08/2026</c:v>
                  </c:pt>
                  <c:pt idx="578">
                    <c:v>4/08/2026</c:v>
                  </c:pt>
                  <c:pt idx="579">
                    <c:v>4/08/2026</c:v>
                  </c:pt>
                  <c:pt idx="580">
                    <c:v>4/08/2026</c:v>
                  </c:pt>
                  <c:pt idx="581">
                    <c:v>4/08/2026</c:v>
                  </c:pt>
                  <c:pt idx="582">
                    <c:v>4/08/2026</c:v>
                  </c:pt>
                  <c:pt idx="583">
                    <c:v>4/08/2026</c:v>
                  </c:pt>
                  <c:pt idx="584">
                    <c:v>5/08/2026</c:v>
                  </c:pt>
                  <c:pt idx="585">
                    <c:v>5/08/2026</c:v>
                  </c:pt>
                  <c:pt idx="586">
                    <c:v>5/08/2026</c:v>
                  </c:pt>
                  <c:pt idx="587">
                    <c:v>5/08/2026</c:v>
                  </c:pt>
                  <c:pt idx="588">
                    <c:v>6/08/2026</c:v>
                  </c:pt>
                  <c:pt idx="589">
                    <c:v>6/08/2026</c:v>
                  </c:pt>
                  <c:pt idx="590">
                    <c:v>6/08/2026</c:v>
                  </c:pt>
                  <c:pt idx="591">
                    <c:v>7/08/2026</c:v>
                  </c:pt>
                  <c:pt idx="592">
                    <c:v>7/08/2026</c:v>
                  </c:pt>
                  <c:pt idx="593">
                    <c:v>7/08/2026</c:v>
                  </c:pt>
                  <c:pt idx="594">
                    <c:v>8/08/2026</c:v>
                  </c:pt>
                  <c:pt idx="595">
                    <c:v>8/08/2026</c:v>
                  </c:pt>
                  <c:pt idx="596">
                    <c:v>8/08/2026</c:v>
                  </c:pt>
                  <c:pt idx="597">
                    <c:v>8/08/2026</c:v>
                  </c:pt>
                  <c:pt idx="598">
                    <c:v>10/08/2026</c:v>
                  </c:pt>
                  <c:pt idx="599">
                    <c:v>10/08/2026</c:v>
                  </c:pt>
                  <c:pt idx="600">
                    <c:v>11/08/2026</c:v>
                  </c:pt>
                  <c:pt idx="601">
                    <c:v>11/08/2026</c:v>
                  </c:pt>
                  <c:pt idx="602">
                    <c:v>11/08/2026</c:v>
                  </c:pt>
                  <c:pt idx="603">
                    <c:v>12/08/2026</c:v>
                  </c:pt>
                  <c:pt idx="604">
                    <c:v>12/08/2026</c:v>
                  </c:pt>
                  <c:pt idx="605">
                    <c:v>12/08/2026</c:v>
                  </c:pt>
                  <c:pt idx="606">
                    <c:v>12/08/2026</c:v>
                  </c:pt>
                  <c:pt idx="607">
                    <c:v>13/08/2026</c:v>
                  </c:pt>
                  <c:pt idx="608">
                    <c:v>13/08/2026</c:v>
                  </c:pt>
                  <c:pt idx="609">
                    <c:v>13/08/2026</c:v>
                  </c:pt>
                  <c:pt idx="610">
                    <c:v>13/08/2026</c:v>
                  </c:pt>
                  <c:pt idx="611">
                    <c:v>13/08/2026</c:v>
                  </c:pt>
                  <c:pt idx="612">
                    <c:v>14/08/2026</c:v>
                  </c:pt>
                  <c:pt idx="613">
                    <c:v>14/08/2026</c:v>
                  </c:pt>
                  <c:pt idx="614">
                    <c:v>14/08/2026</c:v>
                  </c:pt>
                  <c:pt idx="615">
                    <c:v>14/08/2026</c:v>
                  </c:pt>
                  <c:pt idx="616">
                    <c:v>15/08/2026</c:v>
                  </c:pt>
                  <c:pt idx="617">
                    <c:v>15/08/2026</c:v>
                  </c:pt>
                  <c:pt idx="618">
                    <c:v>15/08/2026</c:v>
                  </c:pt>
                  <c:pt idx="619">
                    <c:v>15/08/2026</c:v>
                  </c:pt>
                  <c:pt idx="620">
                    <c:v>17/08/2026</c:v>
                  </c:pt>
                  <c:pt idx="621">
                    <c:v>17/08/2026</c:v>
                  </c:pt>
                  <c:pt idx="622">
                    <c:v>17/08/2026</c:v>
                  </c:pt>
                  <c:pt idx="623">
                    <c:v>17/08/2026</c:v>
                  </c:pt>
                  <c:pt idx="624">
                    <c:v>17/08/2026</c:v>
                  </c:pt>
                  <c:pt idx="625">
                    <c:v>18/08/2026</c:v>
                  </c:pt>
                  <c:pt idx="626">
                    <c:v>18/08/2026</c:v>
                  </c:pt>
                  <c:pt idx="627">
                    <c:v>18/08/2026</c:v>
                  </c:pt>
                  <c:pt idx="628">
                    <c:v>18/08/2026</c:v>
                  </c:pt>
                  <c:pt idx="629">
                    <c:v>19/08/2026</c:v>
                  </c:pt>
                  <c:pt idx="630">
                    <c:v>19/08/2026</c:v>
                  </c:pt>
                  <c:pt idx="631">
                    <c:v>20/08/2026</c:v>
                  </c:pt>
                  <c:pt idx="632">
                    <c:v>20/08/2026</c:v>
                  </c:pt>
                  <c:pt idx="633">
                    <c:v>21/08/2026</c:v>
                  </c:pt>
                  <c:pt idx="634">
                    <c:v>21/08/2026</c:v>
                  </c:pt>
                  <c:pt idx="635">
                    <c:v>21/08/2026</c:v>
                  </c:pt>
                  <c:pt idx="636">
                    <c:v>21/08/2026</c:v>
                  </c:pt>
                  <c:pt idx="637">
                    <c:v>21/08/2026</c:v>
                  </c:pt>
                  <c:pt idx="638">
                    <c:v>21/08/2026</c:v>
                  </c:pt>
                  <c:pt idx="639">
                    <c:v>21/08/2026</c:v>
                  </c:pt>
                  <c:pt idx="640">
                    <c:v>22/08/2026</c:v>
                  </c:pt>
                  <c:pt idx="641">
                    <c:v>22/08/2026</c:v>
                  </c:pt>
                  <c:pt idx="642">
                    <c:v>22/08/2026</c:v>
                  </c:pt>
                  <c:pt idx="643">
                    <c:v>22/08/2026</c:v>
                  </c:pt>
                  <c:pt idx="644">
                    <c:v>22/08/2026</c:v>
                  </c:pt>
                  <c:pt idx="645">
                    <c:v>24/08/2026</c:v>
                  </c:pt>
                  <c:pt idx="646">
                    <c:v>24/08/2026</c:v>
                  </c:pt>
                  <c:pt idx="647">
                    <c:v>24/08/2026</c:v>
                  </c:pt>
                  <c:pt idx="648">
                    <c:v>25/08/2026</c:v>
                  </c:pt>
                  <c:pt idx="649">
                    <c:v>25/08/2026</c:v>
                  </c:pt>
                  <c:pt idx="650">
                    <c:v>25/08/2026</c:v>
                  </c:pt>
                  <c:pt idx="651">
                    <c:v>25/08/2026</c:v>
                  </c:pt>
                  <c:pt idx="652">
                    <c:v>25/08/2026</c:v>
                  </c:pt>
                  <c:pt idx="653">
                    <c:v>25/08/2026</c:v>
                  </c:pt>
                  <c:pt idx="654">
                    <c:v>25/08/2026</c:v>
                  </c:pt>
                  <c:pt idx="655">
                    <c:v>26/08/2026</c:v>
                  </c:pt>
                  <c:pt idx="656">
                    <c:v>27/08/2026</c:v>
                  </c:pt>
                  <c:pt idx="657">
                    <c:v>27/08/2026</c:v>
                  </c:pt>
                  <c:pt idx="658">
                    <c:v>27/08/2026</c:v>
                  </c:pt>
                  <c:pt idx="659">
                    <c:v>28/08/2026</c:v>
                  </c:pt>
                  <c:pt idx="660">
                    <c:v>28/08/2026</c:v>
                  </c:pt>
                  <c:pt idx="661">
                    <c:v>28/08/2026</c:v>
                  </c:pt>
                  <c:pt idx="662">
                    <c:v>28/08/2026</c:v>
                  </c:pt>
                  <c:pt idx="663">
                    <c:v>28/08/2026</c:v>
                  </c:pt>
                  <c:pt idx="664">
                    <c:v>28/08/2026</c:v>
                  </c:pt>
                  <c:pt idx="665">
                    <c:v>28/08/2026</c:v>
                  </c:pt>
                  <c:pt idx="666">
                    <c:v>28/08/2026</c:v>
                  </c:pt>
                  <c:pt idx="667">
                    <c:v>28/05/2026</c:v>
                  </c:pt>
                  <c:pt idx="668">
                    <c:v>28/08/2026</c:v>
                  </c:pt>
                  <c:pt idx="669">
                    <c:v>28/08/2026</c:v>
                  </c:pt>
                  <c:pt idx="670">
                    <c:v>28/08/2026</c:v>
                  </c:pt>
                  <c:pt idx="671">
                    <c:v>28/08/2026</c:v>
                  </c:pt>
                  <c:pt idx="672">
                    <c:v>28/08/2026</c:v>
                  </c:pt>
                  <c:pt idx="673">
                    <c:v>31/08/2026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  <c:pt idx="641">
                    <c:v> </c:v>
                  </c:pt>
                </c:lvl>
              </c:multiLvlStrCache>
            </c:multiLvlStrRef>
          </c:cat>
          <c:val>
            <c:numRef>
              <c:f>'AHORRO ENERO 2026'!$J$4:$J$679</c:f>
              <c:numCache>
                <c:formatCode>_("Q"* #,##0.00_);_("Q"* \(#,##0.00\);_("Q"* "-"??_);_(@_)</c:formatCode>
                <c:ptCount val="676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4">
                  <c:v>-300</c:v>
                </c:pt>
                <c:pt idx="5">
                  <c:v>-2000</c:v>
                </c:pt>
                <c:pt idx="6">
                  <c:v>4000</c:v>
                </c:pt>
                <c:pt idx="7">
                  <c:v>-8000</c:v>
                </c:pt>
                <c:pt idx="8">
                  <c:v>500</c:v>
                </c:pt>
                <c:pt idx="9">
                  <c:v>-1150</c:v>
                </c:pt>
                <c:pt idx="10">
                  <c:v>100</c:v>
                </c:pt>
                <c:pt idx="11">
                  <c:v>-3000</c:v>
                </c:pt>
                <c:pt idx="12">
                  <c:v>-1000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8">
                  <c:v>-1000</c:v>
                </c:pt>
                <c:pt idx="19">
                  <c:v>34090.910000000003</c:v>
                </c:pt>
                <c:pt idx="20">
                  <c:v>250</c:v>
                </c:pt>
                <c:pt idx="21">
                  <c:v>-2000</c:v>
                </c:pt>
                <c:pt idx="22">
                  <c:v>500</c:v>
                </c:pt>
                <c:pt idx="23">
                  <c:v>7317.73</c:v>
                </c:pt>
                <c:pt idx="24">
                  <c:v>-1000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29">
                  <c:v>-1200</c:v>
                </c:pt>
                <c:pt idx="30">
                  <c:v>-3000</c:v>
                </c:pt>
                <c:pt idx="31">
                  <c:v>-1000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5">
                  <c:v>-1000</c:v>
                </c:pt>
                <c:pt idx="36">
                  <c:v>33481.39</c:v>
                </c:pt>
                <c:pt idx="37">
                  <c:v>600</c:v>
                </c:pt>
                <c:pt idx="38">
                  <c:v>-1000</c:v>
                </c:pt>
                <c:pt idx="39">
                  <c:v>-100</c:v>
                </c:pt>
                <c:pt idx="40">
                  <c:v>-20000</c:v>
                </c:pt>
                <c:pt idx="41">
                  <c:v>-21700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5">
                  <c:v>-200</c:v>
                </c:pt>
                <c:pt idx="46">
                  <c:v>68181.820000000007</c:v>
                </c:pt>
                <c:pt idx="47">
                  <c:v>-100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2">
                  <c:v>-1000</c:v>
                </c:pt>
                <c:pt idx="53">
                  <c:v>-100</c:v>
                </c:pt>
                <c:pt idx="54">
                  <c:v>-600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0">
                  <c:v>-4000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6">
                  <c:v>-700</c:v>
                </c:pt>
                <c:pt idx="67">
                  <c:v>-7470.57</c:v>
                </c:pt>
                <c:pt idx="68">
                  <c:v>30000</c:v>
                </c:pt>
                <c:pt idx="69">
                  <c:v>1000</c:v>
                </c:pt>
                <c:pt idx="70">
                  <c:v>-700</c:v>
                </c:pt>
                <c:pt idx="71">
                  <c:v>-500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8">
                  <c:v>-5000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7">
                  <c:v>-10000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4">
                  <c:v>-5000</c:v>
                </c:pt>
                <c:pt idx="95">
                  <c:v>-1000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2">
                  <c:v>-7000</c:v>
                </c:pt>
                <c:pt idx="103">
                  <c:v>-1200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18">
                  <c:v>-500</c:v>
                </c:pt>
                <c:pt idx="119">
                  <c:v>-500</c:v>
                </c:pt>
                <c:pt idx="120">
                  <c:v>-1100.18</c:v>
                </c:pt>
                <c:pt idx="121">
                  <c:v>-344.12</c:v>
                </c:pt>
                <c:pt idx="122">
                  <c:v>-2000</c:v>
                </c:pt>
                <c:pt idx="123">
                  <c:v>4000</c:v>
                </c:pt>
                <c:pt idx="124">
                  <c:v>2840.91</c:v>
                </c:pt>
                <c:pt idx="125">
                  <c:v>-200</c:v>
                </c:pt>
                <c:pt idx="126">
                  <c:v>-1000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3">
                  <c:v>-200</c:v>
                </c:pt>
                <c:pt idx="134">
                  <c:v>-800</c:v>
                </c:pt>
                <c:pt idx="135">
                  <c:v>1147.72</c:v>
                </c:pt>
                <c:pt idx="136">
                  <c:v>-600</c:v>
                </c:pt>
                <c:pt idx="137">
                  <c:v>5000</c:v>
                </c:pt>
                <c:pt idx="138">
                  <c:v>-400</c:v>
                </c:pt>
                <c:pt idx="139">
                  <c:v>-1000</c:v>
                </c:pt>
                <c:pt idx="140">
                  <c:v>-449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4">
                  <c:v>-150</c:v>
                </c:pt>
                <c:pt idx="145">
                  <c:v>1147.75</c:v>
                </c:pt>
                <c:pt idx="146">
                  <c:v>-500</c:v>
                </c:pt>
                <c:pt idx="147">
                  <c:v>10000</c:v>
                </c:pt>
                <c:pt idx="148">
                  <c:v>-200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3">
                  <c:v>-33041</c:v>
                </c:pt>
                <c:pt idx="154">
                  <c:v>-39000</c:v>
                </c:pt>
                <c:pt idx="155">
                  <c:v>9090.91</c:v>
                </c:pt>
                <c:pt idx="156">
                  <c:v>-10000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7">
                  <c:v>-1000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5">
                  <c:v>-1072</c:v>
                </c:pt>
                <c:pt idx="176">
                  <c:v>-500</c:v>
                </c:pt>
                <c:pt idx="177">
                  <c:v>-250</c:v>
                </c:pt>
                <c:pt idx="178">
                  <c:v>-1000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4">
                  <c:v>-100</c:v>
                </c:pt>
                <c:pt idx="185">
                  <c:v>-200</c:v>
                </c:pt>
                <c:pt idx="186">
                  <c:v>-3000</c:v>
                </c:pt>
                <c:pt idx="187">
                  <c:v>-2800</c:v>
                </c:pt>
                <c:pt idx="188">
                  <c:v>28409.09</c:v>
                </c:pt>
                <c:pt idx="189">
                  <c:v>2000</c:v>
                </c:pt>
                <c:pt idx="190">
                  <c:v>-200</c:v>
                </c:pt>
                <c:pt idx="191">
                  <c:v>100</c:v>
                </c:pt>
                <c:pt idx="192">
                  <c:v>-250</c:v>
                </c:pt>
                <c:pt idx="193">
                  <c:v>-500</c:v>
                </c:pt>
                <c:pt idx="194">
                  <c:v>200</c:v>
                </c:pt>
                <c:pt idx="195">
                  <c:v>-41</c:v>
                </c:pt>
                <c:pt idx="196">
                  <c:v>-500</c:v>
                </c:pt>
                <c:pt idx="197">
                  <c:v>2500</c:v>
                </c:pt>
                <c:pt idx="198">
                  <c:v>-500</c:v>
                </c:pt>
                <c:pt idx="199">
                  <c:v>-1000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6">
                  <c:v>-300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1">
                  <c:v>-1500</c:v>
                </c:pt>
                <c:pt idx="212">
                  <c:v>-1700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3">
                  <c:v>-200</c:v>
                </c:pt>
                <c:pt idx="224">
                  <c:v>-400</c:v>
                </c:pt>
                <c:pt idx="225">
                  <c:v>-200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0">
                  <c:v>-200</c:v>
                </c:pt>
                <c:pt idx="231">
                  <c:v>-125</c:v>
                </c:pt>
                <c:pt idx="232">
                  <c:v>-1200</c:v>
                </c:pt>
                <c:pt idx="233">
                  <c:v>-20000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38">
                  <c:v>-300</c:v>
                </c:pt>
                <c:pt idx="239">
                  <c:v>-228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3">
                  <c:v>-300</c:v>
                </c:pt>
                <c:pt idx="244">
                  <c:v>-1000</c:v>
                </c:pt>
                <c:pt idx="245">
                  <c:v>-700</c:v>
                </c:pt>
                <c:pt idx="246">
                  <c:v>-6000</c:v>
                </c:pt>
                <c:pt idx="247">
                  <c:v>-5000</c:v>
                </c:pt>
                <c:pt idx="248">
                  <c:v>-2000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3">
                  <c:v>-20125.37</c:v>
                </c:pt>
                <c:pt idx="254">
                  <c:v>-150</c:v>
                </c:pt>
                <c:pt idx="255">
                  <c:v>10000</c:v>
                </c:pt>
                <c:pt idx="256">
                  <c:v>-2300</c:v>
                </c:pt>
                <c:pt idx="257">
                  <c:v>2500</c:v>
                </c:pt>
                <c:pt idx="258">
                  <c:v>17045.46</c:v>
                </c:pt>
                <c:pt idx="259">
                  <c:v>-1000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3">
                  <c:v>-2000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0">
                  <c:v>-500</c:v>
                </c:pt>
                <c:pt idx="271">
                  <c:v>-1000</c:v>
                </c:pt>
                <c:pt idx="272">
                  <c:v>-900</c:v>
                </c:pt>
                <c:pt idx="273">
                  <c:v>-1000</c:v>
                </c:pt>
                <c:pt idx="274">
                  <c:v>500</c:v>
                </c:pt>
                <c:pt idx="275">
                  <c:v>-1000</c:v>
                </c:pt>
                <c:pt idx="276">
                  <c:v>-200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2">
                  <c:v>-70000</c:v>
                </c:pt>
                <c:pt idx="283">
                  <c:v>-1144.27</c:v>
                </c:pt>
                <c:pt idx="284">
                  <c:v>-2000</c:v>
                </c:pt>
                <c:pt idx="285">
                  <c:v>-600</c:v>
                </c:pt>
                <c:pt idx="286">
                  <c:v>54679.14</c:v>
                </c:pt>
                <c:pt idx="287">
                  <c:v>-1000</c:v>
                </c:pt>
                <c:pt idx="288">
                  <c:v>-3000</c:v>
                </c:pt>
                <c:pt idx="289">
                  <c:v>-1154.06</c:v>
                </c:pt>
                <c:pt idx="290">
                  <c:v>-1154.06</c:v>
                </c:pt>
                <c:pt idx="291">
                  <c:v>-1151.9100000000001</c:v>
                </c:pt>
                <c:pt idx="292">
                  <c:v>-1152.8699999999999</c:v>
                </c:pt>
                <c:pt idx="293">
                  <c:v>-1000</c:v>
                </c:pt>
                <c:pt idx="294">
                  <c:v>-500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0">
                  <c:v>-200</c:v>
                </c:pt>
                <c:pt idx="301">
                  <c:v>-500</c:v>
                </c:pt>
                <c:pt idx="302">
                  <c:v>-1000</c:v>
                </c:pt>
                <c:pt idx="303">
                  <c:v>-12000</c:v>
                </c:pt>
                <c:pt idx="304">
                  <c:v>-200</c:v>
                </c:pt>
                <c:pt idx="305">
                  <c:v>50</c:v>
                </c:pt>
                <c:pt idx="306">
                  <c:v>100</c:v>
                </c:pt>
                <c:pt idx="307">
                  <c:v>-500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2">
                  <c:v>-5000</c:v>
                </c:pt>
                <c:pt idx="313">
                  <c:v>-700</c:v>
                </c:pt>
                <c:pt idx="314">
                  <c:v>-10700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2">
                  <c:v>-35</c:v>
                </c:pt>
                <c:pt idx="323">
                  <c:v>-13000</c:v>
                </c:pt>
                <c:pt idx="324">
                  <c:v>1000</c:v>
                </c:pt>
                <c:pt idx="325">
                  <c:v>100</c:v>
                </c:pt>
                <c:pt idx="326">
                  <c:v>-300</c:v>
                </c:pt>
                <c:pt idx="327">
                  <c:v>-1000</c:v>
                </c:pt>
                <c:pt idx="328">
                  <c:v>-100</c:v>
                </c:pt>
                <c:pt idx="329">
                  <c:v>-2500</c:v>
                </c:pt>
                <c:pt idx="330">
                  <c:v>-1100</c:v>
                </c:pt>
                <c:pt idx="331">
                  <c:v>100</c:v>
                </c:pt>
                <c:pt idx="332">
                  <c:v>-300</c:v>
                </c:pt>
                <c:pt idx="333">
                  <c:v>-300</c:v>
                </c:pt>
                <c:pt idx="334">
                  <c:v>200</c:v>
                </c:pt>
                <c:pt idx="335">
                  <c:v>-200</c:v>
                </c:pt>
                <c:pt idx="336">
                  <c:v>-1000</c:v>
                </c:pt>
                <c:pt idx="337">
                  <c:v>-200</c:v>
                </c:pt>
                <c:pt idx="338">
                  <c:v>-1000</c:v>
                </c:pt>
                <c:pt idx="339">
                  <c:v>-6000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3">
                  <c:v>-150</c:v>
                </c:pt>
                <c:pt idx="344">
                  <c:v>5630</c:v>
                </c:pt>
                <c:pt idx="345">
                  <c:v>-3000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49">
                  <c:v>-5000</c:v>
                </c:pt>
                <c:pt idx="350">
                  <c:v>-5000</c:v>
                </c:pt>
                <c:pt idx="351">
                  <c:v>-1000</c:v>
                </c:pt>
                <c:pt idx="352">
                  <c:v>-200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6">
                  <c:v>-5000</c:v>
                </c:pt>
                <c:pt idx="357">
                  <c:v>100</c:v>
                </c:pt>
                <c:pt idx="358">
                  <c:v>-100</c:v>
                </c:pt>
                <c:pt idx="359">
                  <c:v>-300</c:v>
                </c:pt>
                <c:pt idx="360">
                  <c:v>700</c:v>
                </c:pt>
                <c:pt idx="361">
                  <c:v>100</c:v>
                </c:pt>
                <c:pt idx="362">
                  <c:v>-12649.32</c:v>
                </c:pt>
                <c:pt idx="363">
                  <c:v>-8434.5499999999993</c:v>
                </c:pt>
                <c:pt idx="364">
                  <c:v>-47885.78</c:v>
                </c:pt>
                <c:pt idx="365">
                  <c:v>-1000</c:v>
                </c:pt>
                <c:pt idx="366">
                  <c:v>-2000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1">
                  <c:v>-2000</c:v>
                </c:pt>
                <c:pt idx="372">
                  <c:v>-300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85">
                  <c:v>-300</c:v>
                </c:pt>
                <c:pt idx="386">
                  <c:v>-2210</c:v>
                </c:pt>
                <c:pt idx="387">
                  <c:v>-23762.5</c:v>
                </c:pt>
                <c:pt idx="388">
                  <c:v>-500</c:v>
                </c:pt>
                <c:pt idx="389">
                  <c:v>-2000</c:v>
                </c:pt>
                <c:pt idx="390">
                  <c:v>-5000</c:v>
                </c:pt>
                <c:pt idx="391">
                  <c:v>2000</c:v>
                </c:pt>
                <c:pt idx="392">
                  <c:v>-3500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398">
                  <c:v>-310</c:v>
                </c:pt>
                <c:pt idx="399">
                  <c:v>-300</c:v>
                </c:pt>
                <c:pt idx="400">
                  <c:v>-500</c:v>
                </c:pt>
                <c:pt idx="401">
                  <c:v>-1000</c:v>
                </c:pt>
                <c:pt idx="402">
                  <c:v>-200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7">
                  <c:v>-500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2">
                  <c:v>-300</c:v>
                </c:pt>
                <c:pt idx="413">
                  <c:v>-500</c:v>
                </c:pt>
                <c:pt idx="414">
                  <c:v>-1500</c:v>
                </c:pt>
                <c:pt idx="415">
                  <c:v>-500</c:v>
                </c:pt>
                <c:pt idx="416">
                  <c:v>-300</c:v>
                </c:pt>
                <c:pt idx="417">
                  <c:v>-500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23">
                  <c:v>-2000</c:v>
                </c:pt>
                <c:pt idx="424">
                  <c:v>-200</c:v>
                </c:pt>
                <c:pt idx="425">
                  <c:v>-4000</c:v>
                </c:pt>
                <c:pt idx="426">
                  <c:v>-1000</c:v>
                </c:pt>
                <c:pt idx="427">
                  <c:v>-250</c:v>
                </c:pt>
                <c:pt idx="428">
                  <c:v>-1000</c:v>
                </c:pt>
                <c:pt idx="429">
                  <c:v>-474.18</c:v>
                </c:pt>
                <c:pt idx="430">
                  <c:v>-500</c:v>
                </c:pt>
                <c:pt idx="433">
                  <c:v>-400</c:v>
                </c:pt>
                <c:pt idx="434">
                  <c:v>-400</c:v>
                </c:pt>
                <c:pt idx="435">
                  <c:v>-7467</c:v>
                </c:pt>
                <c:pt idx="436">
                  <c:v>465.91</c:v>
                </c:pt>
                <c:pt idx="437">
                  <c:v>10000</c:v>
                </c:pt>
                <c:pt idx="438">
                  <c:v>-10000</c:v>
                </c:pt>
                <c:pt idx="439">
                  <c:v>-500</c:v>
                </c:pt>
                <c:pt idx="440">
                  <c:v>-21000</c:v>
                </c:pt>
                <c:pt idx="441">
                  <c:v>-500</c:v>
                </c:pt>
                <c:pt idx="442">
                  <c:v>-100</c:v>
                </c:pt>
                <c:pt idx="443">
                  <c:v>-200</c:v>
                </c:pt>
                <c:pt idx="444">
                  <c:v>-500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0">
                  <c:v>-300</c:v>
                </c:pt>
                <c:pt idx="451">
                  <c:v>-200</c:v>
                </c:pt>
                <c:pt idx="452">
                  <c:v>-100</c:v>
                </c:pt>
                <c:pt idx="453">
                  <c:v>-2000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58">
                  <c:v>-400</c:v>
                </c:pt>
                <c:pt idx="459">
                  <c:v>-200</c:v>
                </c:pt>
                <c:pt idx="460">
                  <c:v>-400</c:v>
                </c:pt>
                <c:pt idx="461">
                  <c:v>-200</c:v>
                </c:pt>
                <c:pt idx="462">
                  <c:v>-9000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66">
                  <c:v>-1000</c:v>
                </c:pt>
                <c:pt idx="467">
                  <c:v>-1000</c:v>
                </c:pt>
                <c:pt idx="468">
                  <c:v>-12822</c:v>
                </c:pt>
                <c:pt idx="469">
                  <c:v>-11367.52</c:v>
                </c:pt>
                <c:pt idx="470">
                  <c:v>-17454.13</c:v>
                </c:pt>
                <c:pt idx="471">
                  <c:v>-31745.5</c:v>
                </c:pt>
                <c:pt idx="472">
                  <c:v>-5495.74</c:v>
                </c:pt>
                <c:pt idx="473">
                  <c:v>1300</c:v>
                </c:pt>
                <c:pt idx="474">
                  <c:v>1000</c:v>
                </c:pt>
                <c:pt idx="475">
                  <c:v>-37000</c:v>
                </c:pt>
                <c:pt idx="476">
                  <c:v>-2955.86</c:v>
                </c:pt>
                <c:pt idx="477">
                  <c:v>-300</c:v>
                </c:pt>
                <c:pt idx="478">
                  <c:v>-500</c:v>
                </c:pt>
                <c:pt idx="479">
                  <c:v>300</c:v>
                </c:pt>
                <c:pt idx="480">
                  <c:v>10000</c:v>
                </c:pt>
                <c:pt idx="481">
                  <c:v>-35</c:v>
                </c:pt>
                <c:pt idx="482">
                  <c:v>-25000</c:v>
                </c:pt>
                <c:pt idx="483">
                  <c:v>300</c:v>
                </c:pt>
                <c:pt idx="484">
                  <c:v>100</c:v>
                </c:pt>
                <c:pt idx="485">
                  <c:v>-10000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0">
                  <c:v>-500</c:v>
                </c:pt>
                <c:pt idx="491">
                  <c:v>11363.64</c:v>
                </c:pt>
                <c:pt idx="492">
                  <c:v>5681.82</c:v>
                </c:pt>
                <c:pt idx="493">
                  <c:v>-100</c:v>
                </c:pt>
                <c:pt idx="494">
                  <c:v>-400</c:v>
                </c:pt>
                <c:pt idx="495">
                  <c:v>-12000</c:v>
                </c:pt>
                <c:pt idx="496">
                  <c:v>-30368</c:v>
                </c:pt>
                <c:pt idx="497">
                  <c:v>-400</c:v>
                </c:pt>
                <c:pt idx="498">
                  <c:v>-400</c:v>
                </c:pt>
                <c:pt idx="499">
                  <c:v>-3000</c:v>
                </c:pt>
                <c:pt idx="500">
                  <c:v>-700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07">
                  <c:v>-1500</c:v>
                </c:pt>
                <c:pt idx="508">
                  <c:v>-300</c:v>
                </c:pt>
                <c:pt idx="509">
                  <c:v>-380</c:v>
                </c:pt>
                <c:pt idx="510">
                  <c:v>-1000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5">
                  <c:v>-300</c:v>
                </c:pt>
                <c:pt idx="516">
                  <c:v>-10000</c:v>
                </c:pt>
                <c:pt idx="517">
                  <c:v>-5311</c:v>
                </c:pt>
                <c:pt idx="518">
                  <c:v>10000</c:v>
                </c:pt>
                <c:pt idx="519">
                  <c:v>10000</c:v>
                </c:pt>
                <c:pt idx="520">
                  <c:v>-300</c:v>
                </c:pt>
                <c:pt idx="521">
                  <c:v>-1000</c:v>
                </c:pt>
                <c:pt idx="522">
                  <c:v>-500</c:v>
                </c:pt>
                <c:pt idx="523">
                  <c:v>-1000</c:v>
                </c:pt>
                <c:pt idx="524">
                  <c:v>500</c:v>
                </c:pt>
                <c:pt idx="525">
                  <c:v>-569.55999999999995</c:v>
                </c:pt>
                <c:pt idx="526">
                  <c:v>-100</c:v>
                </c:pt>
                <c:pt idx="527">
                  <c:v>-200</c:v>
                </c:pt>
                <c:pt idx="528">
                  <c:v>-15000</c:v>
                </c:pt>
                <c:pt idx="529">
                  <c:v>-500</c:v>
                </c:pt>
                <c:pt idx="530">
                  <c:v>-1616.93</c:v>
                </c:pt>
                <c:pt idx="531">
                  <c:v>-3000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7">
                  <c:v>-5000</c:v>
                </c:pt>
                <c:pt idx="538">
                  <c:v>500</c:v>
                </c:pt>
                <c:pt idx="539">
                  <c:v>-11030</c:v>
                </c:pt>
                <c:pt idx="540">
                  <c:v>-2000</c:v>
                </c:pt>
                <c:pt idx="541">
                  <c:v>-1600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45">
                  <c:v>-1000</c:v>
                </c:pt>
                <c:pt idx="546">
                  <c:v>-14606.91</c:v>
                </c:pt>
                <c:pt idx="547">
                  <c:v>-38507.1</c:v>
                </c:pt>
                <c:pt idx="548">
                  <c:v>-46759.77</c:v>
                </c:pt>
                <c:pt idx="549">
                  <c:v>-14891.24</c:v>
                </c:pt>
                <c:pt idx="550">
                  <c:v>-965.34</c:v>
                </c:pt>
                <c:pt idx="551">
                  <c:v>-17733.86</c:v>
                </c:pt>
                <c:pt idx="552">
                  <c:v>-15549.72</c:v>
                </c:pt>
                <c:pt idx="553">
                  <c:v>-12298.94</c:v>
                </c:pt>
                <c:pt idx="554">
                  <c:v>-772.01</c:v>
                </c:pt>
                <c:pt idx="555">
                  <c:v>-1883.57</c:v>
                </c:pt>
                <c:pt idx="556">
                  <c:v>-7769.39</c:v>
                </c:pt>
                <c:pt idx="557">
                  <c:v>200</c:v>
                </c:pt>
                <c:pt idx="558">
                  <c:v>-1000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3">
                  <c:v>-500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69">
                  <c:v>-200</c:v>
                </c:pt>
                <c:pt idx="570">
                  <c:v>-300</c:v>
                </c:pt>
                <c:pt idx="571">
                  <c:v>-1000</c:v>
                </c:pt>
                <c:pt idx="572">
                  <c:v>-2000</c:v>
                </c:pt>
                <c:pt idx="573">
                  <c:v>2100</c:v>
                </c:pt>
                <c:pt idx="574">
                  <c:v>10000</c:v>
                </c:pt>
                <c:pt idx="575">
                  <c:v>-100</c:v>
                </c:pt>
                <c:pt idx="576">
                  <c:v>300</c:v>
                </c:pt>
                <c:pt idx="577">
                  <c:v>400</c:v>
                </c:pt>
                <c:pt idx="578">
                  <c:v>4500</c:v>
                </c:pt>
                <c:pt idx="579">
                  <c:v>500</c:v>
                </c:pt>
                <c:pt idx="580">
                  <c:v>11000</c:v>
                </c:pt>
                <c:pt idx="581">
                  <c:v>34090.910000000003</c:v>
                </c:pt>
                <c:pt idx="582">
                  <c:v>-2200</c:v>
                </c:pt>
                <c:pt idx="583">
                  <c:v>-500</c:v>
                </c:pt>
                <c:pt idx="584">
                  <c:v>-700</c:v>
                </c:pt>
                <c:pt idx="585">
                  <c:v>-18963.36</c:v>
                </c:pt>
                <c:pt idx="586">
                  <c:v>-300</c:v>
                </c:pt>
                <c:pt idx="587">
                  <c:v>1147.73</c:v>
                </c:pt>
                <c:pt idx="588">
                  <c:v>-600</c:v>
                </c:pt>
                <c:pt idx="589">
                  <c:v>-200</c:v>
                </c:pt>
                <c:pt idx="590">
                  <c:v>-115</c:v>
                </c:pt>
                <c:pt idx="591">
                  <c:v>-1700</c:v>
                </c:pt>
                <c:pt idx="592">
                  <c:v>5000</c:v>
                </c:pt>
                <c:pt idx="593">
                  <c:v>1200</c:v>
                </c:pt>
                <c:pt idx="594">
                  <c:v>4000</c:v>
                </c:pt>
                <c:pt idx="595">
                  <c:v>325</c:v>
                </c:pt>
                <c:pt idx="596">
                  <c:v>-700</c:v>
                </c:pt>
                <c:pt idx="597">
                  <c:v>-100</c:v>
                </c:pt>
                <c:pt idx="598">
                  <c:v>7850</c:v>
                </c:pt>
                <c:pt idx="599">
                  <c:v>800</c:v>
                </c:pt>
                <c:pt idx="600">
                  <c:v>-1000</c:v>
                </c:pt>
                <c:pt idx="601">
                  <c:v>-3000</c:v>
                </c:pt>
                <c:pt idx="602">
                  <c:v>-700</c:v>
                </c:pt>
                <c:pt idx="603">
                  <c:v>56818.14</c:v>
                </c:pt>
                <c:pt idx="604">
                  <c:v>0.04</c:v>
                </c:pt>
                <c:pt idx="605">
                  <c:v>-500</c:v>
                </c:pt>
                <c:pt idx="606">
                  <c:v>-200</c:v>
                </c:pt>
                <c:pt idx="607">
                  <c:v>55000</c:v>
                </c:pt>
                <c:pt idx="608">
                  <c:v>300</c:v>
                </c:pt>
                <c:pt idx="609">
                  <c:v>45454.54</c:v>
                </c:pt>
                <c:pt idx="610">
                  <c:v>-9000</c:v>
                </c:pt>
                <c:pt idx="611">
                  <c:v>-200</c:v>
                </c:pt>
                <c:pt idx="612">
                  <c:v>300</c:v>
                </c:pt>
                <c:pt idx="613">
                  <c:v>1144.8900000000001</c:v>
                </c:pt>
                <c:pt idx="614">
                  <c:v>-51000</c:v>
                </c:pt>
                <c:pt idx="615">
                  <c:v>-200</c:v>
                </c:pt>
                <c:pt idx="616">
                  <c:v>-5354</c:v>
                </c:pt>
                <c:pt idx="617">
                  <c:v>-1200</c:v>
                </c:pt>
                <c:pt idx="618">
                  <c:v>-4500</c:v>
                </c:pt>
                <c:pt idx="619">
                  <c:v>-1000</c:v>
                </c:pt>
                <c:pt idx="620">
                  <c:v>11363.64</c:v>
                </c:pt>
                <c:pt idx="621">
                  <c:v>-11000</c:v>
                </c:pt>
                <c:pt idx="622">
                  <c:v>-200</c:v>
                </c:pt>
                <c:pt idx="623">
                  <c:v>-3000</c:v>
                </c:pt>
                <c:pt idx="624">
                  <c:v>-300</c:v>
                </c:pt>
                <c:pt idx="625">
                  <c:v>400</c:v>
                </c:pt>
                <c:pt idx="626">
                  <c:v>1144.8800000000001</c:v>
                </c:pt>
                <c:pt idx="627">
                  <c:v>-100</c:v>
                </c:pt>
                <c:pt idx="628">
                  <c:v>-4000</c:v>
                </c:pt>
                <c:pt idx="629">
                  <c:v>-7654</c:v>
                </c:pt>
                <c:pt idx="630">
                  <c:v>-200</c:v>
                </c:pt>
                <c:pt idx="631">
                  <c:v>-6000</c:v>
                </c:pt>
                <c:pt idx="632">
                  <c:v>-500</c:v>
                </c:pt>
                <c:pt idx="633">
                  <c:v>600</c:v>
                </c:pt>
                <c:pt idx="634">
                  <c:v>70000</c:v>
                </c:pt>
                <c:pt idx="635">
                  <c:v>500</c:v>
                </c:pt>
                <c:pt idx="636">
                  <c:v>-4000</c:v>
                </c:pt>
                <c:pt idx="637">
                  <c:v>-300</c:v>
                </c:pt>
                <c:pt idx="638">
                  <c:v>-7874.17</c:v>
                </c:pt>
                <c:pt idx="639">
                  <c:v>-2000</c:v>
                </c:pt>
                <c:pt idx="640">
                  <c:v>32477</c:v>
                </c:pt>
                <c:pt idx="641">
                  <c:v>200</c:v>
                </c:pt>
                <c:pt idx="642">
                  <c:v>-1100</c:v>
                </c:pt>
                <c:pt idx="643">
                  <c:v>-1500</c:v>
                </c:pt>
                <c:pt idx="644">
                  <c:v>-300</c:v>
                </c:pt>
                <c:pt idx="645">
                  <c:v>800</c:v>
                </c:pt>
                <c:pt idx="646">
                  <c:v>500</c:v>
                </c:pt>
                <c:pt idx="647">
                  <c:v>-1150</c:v>
                </c:pt>
                <c:pt idx="648">
                  <c:v>10000</c:v>
                </c:pt>
                <c:pt idx="649">
                  <c:v>100</c:v>
                </c:pt>
                <c:pt idx="650">
                  <c:v>100</c:v>
                </c:pt>
                <c:pt idx="651">
                  <c:v>22727.279999999999</c:v>
                </c:pt>
                <c:pt idx="652">
                  <c:v>-500</c:v>
                </c:pt>
                <c:pt idx="653">
                  <c:v>-200</c:v>
                </c:pt>
                <c:pt idx="654">
                  <c:v>-3263</c:v>
                </c:pt>
                <c:pt idx="655">
                  <c:v>-400</c:v>
                </c:pt>
                <c:pt idx="656">
                  <c:v>-70000</c:v>
                </c:pt>
                <c:pt idx="657">
                  <c:v>-1300</c:v>
                </c:pt>
                <c:pt idx="658">
                  <c:v>-500</c:v>
                </c:pt>
                <c:pt idx="659">
                  <c:v>568.17999999999995</c:v>
                </c:pt>
                <c:pt idx="660">
                  <c:v>200</c:v>
                </c:pt>
                <c:pt idx="661">
                  <c:v>17000</c:v>
                </c:pt>
                <c:pt idx="662">
                  <c:v>1147.72</c:v>
                </c:pt>
                <c:pt idx="663">
                  <c:v>1147.72</c:v>
                </c:pt>
                <c:pt idx="664">
                  <c:v>1136.3699999999999</c:v>
                </c:pt>
                <c:pt idx="665">
                  <c:v>100</c:v>
                </c:pt>
                <c:pt idx="666">
                  <c:v>400</c:v>
                </c:pt>
                <c:pt idx="667">
                  <c:v>17500</c:v>
                </c:pt>
                <c:pt idx="668">
                  <c:v>200</c:v>
                </c:pt>
                <c:pt idx="669">
                  <c:v>-1000</c:v>
                </c:pt>
                <c:pt idx="670">
                  <c:v>-12517.81</c:v>
                </c:pt>
                <c:pt idx="671">
                  <c:v>-8795.07</c:v>
                </c:pt>
                <c:pt idx="672">
                  <c:v>-15488.38</c:v>
                </c:pt>
                <c:pt idx="673">
                  <c:v>-150</c:v>
                </c:pt>
                <c:pt idx="674">
                  <c:v>0</c:v>
                </c:pt>
                <c:pt idx="675">
                  <c:v>2272070.6900000013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5-4515-BD66-D3DD3391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099176"/>
        <c:axId val="436093416"/>
      </c:barChart>
      <c:catAx>
        <c:axId val="4360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3416"/>
        <c:crosses val="autoZero"/>
        <c:auto val="1"/>
        <c:lblAlgn val="ctr"/>
        <c:lblOffset val="100"/>
        <c:noMultiLvlLbl val="0"/>
      </c:catAx>
      <c:valAx>
        <c:axId val="4360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2026'!$A$33:$F$33</c:f>
              <c:strCache>
                <c:ptCount val="6"/>
                <c:pt idx="0">
                  <c:v>1-588-5-1</c:v>
                </c:pt>
                <c:pt idx="1">
                  <c:v>20/01/2026</c:v>
                </c:pt>
                <c:pt idx="2">
                  <c:v>597</c:v>
                </c:pt>
                <c:pt idx="3">
                  <c:v>AGENCIA CHAJUL</c:v>
                </c:pt>
                <c:pt idx="4">
                  <c:v>MARGARITA CABA CANAY</c:v>
                </c:pt>
                <c:pt idx="5">
                  <c:v>AHORRO CORRIENTE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'AHORRO ENERO 2026'!$G$33:$L$33</c:f>
              <c:numCache>
                <c:formatCode>_("Q"* #,##0.00_);_("Q"* \(#,##0.00\);_("Q"* "-"??_);_(@_)</c:formatCode>
                <c:ptCount val="6"/>
                <c:pt idx="2">
                  <c:v>1200</c:v>
                </c:pt>
                <c:pt idx="3">
                  <c:v>-1200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5EF-B903-407FFD8D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785248"/>
        <c:axId val="452786328"/>
      </c:barChart>
      <c:catAx>
        <c:axId val="45278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6328"/>
        <c:crosses val="autoZero"/>
        <c:auto val="1"/>
        <c:lblAlgn val="ctr"/>
        <c:lblOffset val="100"/>
        <c:noMultiLvlLbl val="0"/>
      </c:catAx>
      <c:valAx>
        <c:axId val="45278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Q&quot;* #,##0.00_);_(&quot;Q&quot;* \(#,##0.00\);_(&quot;Q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47BB5C-A43E-41D8-9670-E70E2DD176B7}">
  <sheetPr/>
  <sheetViews>
    <sheetView zoomScale="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C5CECA-AAEF-4AE4-836E-0A1365DBE33B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9D38AF-CF1A-E603-AA31-27D77002CB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87A369-71C3-AF78-5DC2-BBDC617599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L682"/>
  <sheetViews>
    <sheetView tabSelected="1" zoomScaleNormal="100" workbookViewId="0">
      <pane ySplit="3" topLeftCell="A663" activePane="bottomLeft" state="frozen"/>
      <selection pane="bottomLeft" activeCell="M685" sqref="M685"/>
    </sheetView>
  </sheetViews>
  <sheetFormatPr baseColWidth="10" defaultRowHeight="15" x14ac:dyDescent="0.25"/>
  <cols>
    <col min="1" max="1" width="12.28515625" style="1" customWidth="1"/>
    <col min="2" max="2" width="12.140625" style="1" customWidth="1"/>
    <col min="3" max="3" width="11.5703125" style="1" customWidth="1"/>
    <col min="4" max="4" width="18.85546875" customWidth="1"/>
    <col min="5" max="5" width="38.5703125" customWidth="1"/>
    <col min="6" max="6" width="19.28515625" customWidth="1"/>
    <col min="7" max="7" width="9.7109375" style="4" customWidth="1"/>
    <col min="8" max="8" width="15.140625" style="4" customWidth="1"/>
    <col min="9" max="9" width="15" style="4" customWidth="1"/>
    <col min="10" max="10" width="16.5703125" style="4" customWidth="1"/>
    <col min="11" max="12" width="13" bestFit="1" customWidth="1"/>
  </cols>
  <sheetData>
    <row r="1" spans="1:10" ht="36" customHeight="1" x14ac:dyDescent="0.25">
      <c r="A1" s="33" t="s">
        <v>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3.75" customHeight="1" x14ac:dyDescent="0.25">
      <c r="A2" s="9"/>
      <c r="B2" s="34" t="s">
        <v>11</v>
      </c>
      <c r="C2" s="34"/>
      <c r="D2" s="34"/>
      <c r="E2" s="9"/>
      <c r="F2" s="9" t="s">
        <v>368</v>
      </c>
      <c r="G2" s="9"/>
      <c r="H2" s="9"/>
      <c r="I2" s="9"/>
      <c r="J2" s="9"/>
    </row>
    <row r="3" spans="1:10" ht="24.75" customHeight="1" x14ac:dyDescent="0.25">
      <c r="A3" s="7" t="s">
        <v>9</v>
      </c>
      <c r="B3" s="7" t="s">
        <v>8</v>
      </c>
      <c r="C3" s="7" t="s">
        <v>186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2" t="s">
        <v>304</v>
      </c>
      <c r="B4" s="13">
        <v>46024</v>
      </c>
      <c r="C4" s="2">
        <v>2235</v>
      </c>
      <c r="D4" s="3" t="s">
        <v>10</v>
      </c>
      <c r="E4" s="3" t="s">
        <v>13</v>
      </c>
      <c r="F4" s="3" t="s">
        <v>11</v>
      </c>
      <c r="G4" s="5">
        <v>0</v>
      </c>
      <c r="H4" s="5">
        <v>74000</v>
      </c>
      <c r="I4" s="5">
        <v>0</v>
      </c>
      <c r="J4" s="5">
        <f>G4+H4-I4</f>
        <v>74000</v>
      </c>
    </row>
    <row r="5" spans="1:10" x14ac:dyDescent="0.25">
      <c r="A5" s="2" t="s">
        <v>14</v>
      </c>
      <c r="B5" s="13">
        <v>46024</v>
      </c>
      <c r="C5" s="2">
        <v>2236</v>
      </c>
      <c r="D5" s="3" t="s">
        <v>15</v>
      </c>
      <c r="E5" s="3" t="s">
        <v>16</v>
      </c>
      <c r="F5" s="3" t="s">
        <v>11</v>
      </c>
      <c r="G5" s="5"/>
      <c r="H5" s="5">
        <v>15000</v>
      </c>
      <c r="I5" s="5">
        <v>0</v>
      </c>
      <c r="J5" s="5">
        <f>G5+H5-I5</f>
        <v>15000</v>
      </c>
    </row>
    <row r="6" spans="1:10" x14ac:dyDescent="0.25">
      <c r="A6" s="2" t="s">
        <v>17</v>
      </c>
      <c r="B6" s="13">
        <v>46024</v>
      </c>
      <c r="C6" s="2">
        <v>2237</v>
      </c>
      <c r="D6" s="3" t="s">
        <v>15</v>
      </c>
      <c r="E6" s="3" t="s">
        <v>18</v>
      </c>
      <c r="F6" s="3" t="s">
        <v>11</v>
      </c>
      <c r="G6" s="5"/>
      <c r="H6" s="5">
        <v>500</v>
      </c>
      <c r="I6" s="5">
        <v>0</v>
      </c>
      <c r="J6" s="5">
        <f t="shared" ref="J6:J13" si="0">G6+H6-I6</f>
        <v>500</v>
      </c>
    </row>
    <row r="7" spans="1:10" x14ac:dyDescent="0.25">
      <c r="A7" s="13" t="s">
        <v>19</v>
      </c>
      <c r="B7" s="13">
        <v>46024</v>
      </c>
      <c r="C7" s="2">
        <v>2240</v>
      </c>
      <c r="D7" s="3" t="s">
        <v>15</v>
      </c>
      <c r="E7" s="3" t="s">
        <v>20</v>
      </c>
      <c r="F7" s="3" t="s">
        <v>11</v>
      </c>
      <c r="G7" s="5"/>
      <c r="H7" s="5">
        <v>4000</v>
      </c>
      <c r="I7" s="5">
        <v>0</v>
      </c>
      <c r="J7" s="5">
        <f t="shared" si="0"/>
        <v>4000</v>
      </c>
    </row>
    <row r="8" spans="1:10" x14ac:dyDescent="0.25">
      <c r="A8" s="2" t="s">
        <v>71</v>
      </c>
      <c r="B8" s="13">
        <v>46024</v>
      </c>
      <c r="C8" s="2">
        <v>582</v>
      </c>
      <c r="D8" s="3" t="s">
        <v>15</v>
      </c>
      <c r="E8" s="3" t="s">
        <v>74</v>
      </c>
      <c r="F8" s="3" t="s">
        <v>11</v>
      </c>
      <c r="G8" s="5"/>
      <c r="H8" s="5"/>
      <c r="I8" s="5">
        <v>300</v>
      </c>
      <c r="J8" s="5">
        <f t="shared" si="0"/>
        <v>-300</v>
      </c>
    </row>
    <row r="9" spans="1:10" x14ac:dyDescent="0.25">
      <c r="A9" s="2" t="s">
        <v>75</v>
      </c>
      <c r="B9" s="13">
        <v>46024</v>
      </c>
      <c r="C9" s="2">
        <v>583</v>
      </c>
      <c r="D9" s="3" t="s">
        <v>15</v>
      </c>
      <c r="E9" s="3" t="s">
        <v>16</v>
      </c>
      <c r="F9" s="3" t="s">
        <v>11</v>
      </c>
      <c r="G9" s="5"/>
      <c r="H9" s="5"/>
      <c r="I9" s="5">
        <v>2000</v>
      </c>
      <c r="J9" s="5">
        <f t="shared" si="0"/>
        <v>-2000</v>
      </c>
    </row>
    <row r="10" spans="1:10" x14ac:dyDescent="0.25">
      <c r="A10" s="2" t="s">
        <v>21</v>
      </c>
      <c r="B10" s="13">
        <v>46025</v>
      </c>
      <c r="C10" s="2">
        <v>2242</v>
      </c>
      <c r="D10" s="3" t="s">
        <v>15</v>
      </c>
      <c r="E10" s="3" t="s">
        <v>22</v>
      </c>
      <c r="F10" s="3" t="s">
        <v>11</v>
      </c>
      <c r="G10" s="5"/>
      <c r="H10" s="5">
        <v>4000</v>
      </c>
      <c r="I10" s="5">
        <v>0</v>
      </c>
      <c r="J10" s="5">
        <f t="shared" si="0"/>
        <v>4000</v>
      </c>
    </row>
    <row r="11" spans="1:10" x14ac:dyDescent="0.25">
      <c r="A11" s="2" t="s">
        <v>76</v>
      </c>
      <c r="B11" s="13">
        <v>46027</v>
      </c>
      <c r="C11" s="2">
        <v>586</v>
      </c>
      <c r="D11" s="3" t="s">
        <v>15</v>
      </c>
      <c r="E11" s="3" t="s">
        <v>72</v>
      </c>
      <c r="F11" s="3" t="s">
        <v>11</v>
      </c>
      <c r="G11" s="5"/>
      <c r="H11" s="5"/>
      <c r="I11" s="5">
        <v>8000</v>
      </c>
      <c r="J11" s="5">
        <f t="shared" si="0"/>
        <v>-8000</v>
      </c>
    </row>
    <row r="12" spans="1:10" x14ac:dyDescent="0.25">
      <c r="A12" s="2" t="s">
        <v>23</v>
      </c>
      <c r="B12" s="13">
        <v>46029</v>
      </c>
      <c r="C12" s="2">
        <v>2248</v>
      </c>
      <c r="D12" s="3" t="s">
        <v>15</v>
      </c>
      <c r="E12" s="3" t="s">
        <v>24</v>
      </c>
      <c r="F12" s="3" t="s">
        <v>11</v>
      </c>
      <c r="G12" s="5"/>
      <c r="H12" s="5">
        <v>500</v>
      </c>
      <c r="I12" s="5">
        <v>0</v>
      </c>
      <c r="J12" s="5">
        <f t="shared" si="0"/>
        <v>500</v>
      </c>
    </row>
    <row r="13" spans="1:10" x14ac:dyDescent="0.25">
      <c r="A13" s="2" t="s">
        <v>19</v>
      </c>
      <c r="B13" s="13">
        <v>46029</v>
      </c>
      <c r="C13" s="2">
        <v>588</v>
      </c>
      <c r="D13" s="3" t="s">
        <v>15</v>
      </c>
      <c r="E13" s="3" t="s">
        <v>20</v>
      </c>
      <c r="F13" s="3" t="s">
        <v>11</v>
      </c>
      <c r="G13" s="5"/>
      <c r="H13" s="5"/>
      <c r="I13" s="5">
        <v>1150</v>
      </c>
      <c r="J13" s="5">
        <f t="shared" si="0"/>
        <v>-1150</v>
      </c>
    </row>
    <row r="14" spans="1:10" x14ac:dyDescent="0.25">
      <c r="A14" s="2" t="s">
        <v>67</v>
      </c>
      <c r="B14" s="13">
        <v>46030</v>
      </c>
      <c r="C14" s="2">
        <v>2251</v>
      </c>
      <c r="D14" s="3" t="s">
        <v>15</v>
      </c>
      <c r="E14" s="3" t="s">
        <v>68</v>
      </c>
      <c r="F14" s="3" t="s">
        <v>11</v>
      </c>
      <c r="G14" s="5"/>
      <c r="H14" s="5">
        <v>100</v>
      </c>
      <c r="I14" s="5"/>
      <c r="J14" s="5">
        <f t="shared" ref="J14:J68" si="1">G14+H14-I14</f>
        <v>100</v>
      </c>
    </row>
    <row r="15" spans="1:10" x14ac:dyDescent="0.25">
      <c r="A15" s="2" t="s">
        <v>27</v>
      </c>
      <c r="B15" s="13">
        <v>46030</v>
      </c>
      <c r="C15" s="2">
        <v>589</v>
      </c>
      <c r="D15" s="3" t="s">
        <v>15</v>
      </c>
      <c r="E15" s="3" t="s">
        <v>28</v>
      </c>
      <c r="F15" s="3" t="s">
        <v>11</v>
      </c>
      <c r="G15" s="5"/>
      <c r="H15" s="5"/>
      <c r="I15" s="5">
        <v>3000</v>
      </c>
      <c r="J15" s="5">
        <f t="shared" si="1"/>
        <v>-3000</v>
      </c>
    </row>
    <row r="16" spans="1:10" x14ac:dyDescent="0.25">
      <c r="A16" s="2" t="s">
        <v>77</v>
      </c>
      <c r="B16" s="13">
        <v>46031</v>
      </c>
      <c r="C16" s="2">
        <v>590</v>
      </c>
      <c r="D16" s="3" t="s">
        <v>15</v>
      </c>
      <c r="E16" s="3" t="s">
        <v>73</v>
      </c>
      <c r="F16" s="3" t="s">
        <v>11</v>
      </c>
      <c r="G16" s="5"/>
      <c r="H16" s="5"/>
      <c r="I16" s="5">
        <v>1000</v>
      </c>
      <c r="J16" s="5">
        <f t="shared" si="1"/>
        <v>-1000</v>
      </c>
    </row>
    <row r="17" spans="1:10" x14ac:dyDescent="0.25">
      <c r="A17" s="2" t="s">
        <v>30</v>
      </c>
      <c r="B17" s="13">
        <v>46031</v>
      </c>
      <c r="C17" s="2">
        <v>2256</v>
      </c>
      <c r="D17" s="3" t="s">
        <v>15</v>
      </c>
      <c r="E17" s="3" t="s">
        <v>31</v>
      </c>
      <c r="F17" s="3" t="s">
        <v>11</v>
      </c>
      <c r="G17" s="5"/>
      <c r="H17" s="5">
        <v>600</v>
      </c>
      <c r="I17" s="5"/>
      <c r="J17" s="5">
        <f t="shared" si="1"/>
        <v>600</v>
      </c>
    </row>
    <row r="18" spans="1:10" x14ac:dyDescent="0.25">
      <c r="A18" s="2" t="s">
        <v>32</v>
      </c>
      <c r="B18" s="13">
        <v>46031</v>
      </c>
      <c r="C18" s="2">
        <v>2259</v>
      </c>
      <c r="D18" s="3" t="s">
        <v>15</v>
      </c>
      <c r="E18" s="3" t="s">
        <v>33</v>
      </c>
      <c r="F18" s="3" t="s">
        <v>11</v>
      </c>
      <c r="G18" s="5"/>
      <c r="H18" s="5">
        <v>200</v>
      </c>
      <c r="I18" s="5"/>
      <c r="J18" s="5">
        <f t="shared" si="1"/>
        <v>200</v>
      </c>
    </row>
    <row r="19" spans="1:10" x14ac:dyDescent="0.25">
      <c r="A19" s="2" t="s">
        <v>25</v>
      </c>
      <c r="B19" s="13">
        <v>46031</v>
      </c>
      <c r="C19" s="2">
        <v>2262</v>
      </c>
      <c r="D19" s="3" t="s">
        <v>15</v>
      </c>
      <c r="E19" s="3" t="s">
        <v>26</v>
      </c>
      <c r="F19" s="3" t="s">
        <v>11</v>
      </c>
      <c r="G19" s="5"/>
      <c r="H19" s="5">
        <v>17045.45</v>
      </c>
      <c r="I19" s="5">
        <v>0</v>
      </c>
      <c r="J19" s="5">
        <f t="shared" si="1"/>
        <v>17045.45</v>
      </c>
    </row>
    <row r="20" spans="1:10" x14ac:dyDescent="0.25">
      <c r="A20" s="2" t="s">
        <v>27</v>
      </c>
      <c r="B20" s="13">
        <v>46031</v>
      </c>
      <c r="C20" s="2">
        <v>2268</v>
      </c>
      <c r="D20" s="3" t="s">
        <v>15</v>
      </c>
      <c r="E20" s="3" t="s">
        <v>28</v>
      </c>
      <c r="F20" s="3" t="s">
        <v>11</v>
      </c>
      <c r="G20" s="5"/>
      <c r="H20" s="5">
        <v>5411.97</v>
      </c>
      <c r="I20" s="5">
        <v>0</v>
      </c>
      <c r="J20" s="5">
        <f t="shared" si="1"/>
        <v>5411.97</v>
      </c>
    </row>
    <row r="21" spans="1:10" x14ac:dyDescent="0.25">
      <c r="A21" s="2" t="s">
        <v>29</v>
      </c>
      <c r="B21" s="13">
        <v>46034</v>
      </c>
      <c r="C21" s="2">
        <v>2269</v>
      </c>
      <c r="D21" s="3" t="s">
        <v>15</v>
      </c>
      <c r="E21" s="3" t="s">
        <v>160</v>
      </c>
      <c r="F21" s="3" t="s">
        <v>11</v>
      </c>
      <c r="G21" s="5"/>
      <c r="H21" s="5">
        <v>1000</v>
      </c>
      <c r="I21" s="5">
        <v>0</v>
      </c>
      <c r="J21" s="5">
        <f t="shared" si="1"/>
        <v>1000</v>
      </c>
    </row>
    <row r="22" spans="1:10" x14ac:dyDescent="0.25">
      <c r="A22" s="2" t="s">
        <v>332</v>
      </c>
      <c r="B22" s="13">
        <v>46034</v>
      </c>
      <c r="C22" s="2">
        <v>592</v>
      </c>
      <c r="D22" s="3" t="s">
        <v>15</v>
      </c>
      <c r="E22" s="3" t="s">
        <v>43</v>
      </c>
      <c r="F22" s="3" t="s">
        <v>11</v>
      </c>
      <c r="G22" s="5"/>
      <c r="H22" s="5"/>
      <c r="I22" s="5">
        <v>1000</v>
      </c>
      <c r="J22" s="5">
        <f t="shared" si="1"/>
        <v>-1000</v>
      </c>
    </row>
    <row r="23" spans="1:10" x14ac:dyDescent="0.25">
      <c r="A23" s="2" t="s">
        <v>69</v>
      </c>
      <c r="B23" s="13">
        <v>46035</v>
      </c>
      <c r="C23" s="2">
        <v>2281</v>
      </c>
      <c r="D23" s="3" t="s">
        <v>15</v>
      </c>
      <c r="E23" s="3" t="s">
        <v>70</v>
      </c>
      <c r="F23" s="3" t="s">
        <v>11</v>
      </c>
      <c r="G23" s="5"/>
      <c r="H23" s="5">
        <v>34090.910000000003</v>
      </c>
      <c r="I23" s="5"/>
      <c r="J23" s="5">
        <f t="shared" si="1"/>
        <v>34090.910000000003</v>
      </c>
    </row>
    <row r="24" spans="1:10" x14ac:dyDescent="0.25">
      <c r="A24" s="2" t="s">
        <v>34</v>
      </c>
      <c r="B24" s="13">
        <v>46035</v>
      </c>
      <c r="C24" s="2">
        <v>2285</v>
      </c>
      <c r="D24" s="3" t="s">
        <v>15</v>
      </c>
      <c r="E24" s="3" t="s">
        <v>35</v>
      </c>
      <c r="F24" s="3" t="s">
        <v>11</v>
      </c>
      <c r="G24" s="5"/>
      <c r="H24" s="5">
        <v>250</v>
      </c>
      <c r="I24" s="5"/>
      <c r="J24" s="5">
        <f t="shared" si="1"/>
        <v>250</v>
      </c>
    </row>
    <row r="25" spans="1:10" x14ac:dyDescent="0.25">
      <c r="A25" s="2" t="s">
        <v>78</v>
      </c>
      <c r="B25" s="13">
        <v>46036</v>
      </c>
      <c r="C25" s="2">
        <v>593</v>
      </c>
      <c r="D25" s="3" t="s">
        <v>15</v>
      </c>
      <c r="E25" s="3" t="s">
        <v>79</v>
      </c>
      <c r="F25" s="3" t="s">
        <v>11</v>
      </c>
      <c r="G25" s="5"/>
      <c r="H25" s="5"/>
      <c r="I25" s="5">
        <v>2000</v>
      </c>
      <c r="J25" s="5">
        <f t="shared" si="1"/>
        <v>-2000</v>
      </c>
    </row>
    <row r="26" spans="1:10" x14ac:dyDescent="0.25">
      <c r="A26" s="2" t="s">
        <v>36</v>
      </c>
      <c r="B26" s="13">
        <v>46038</v>
      </c>
      <c r="C26" s="2">
        <v>2288</v>
      </c>
      <c r="D26" s="3" t="s">
        <v>15</v>
      </c>
      <c r="E26" s="3" t="s">
        <v>37</v>
      </c>
      <c r="F26" s="3" t="s">
        <v>11</v>
      </c>
      <c r="G26" s="5"/>
      <c r="H26" s="5">
        <v>500</v>
      </c>
      <c r="I26" s="5"/>
      <c r="J26" s="5">
        <f t="shared" si="1"/>
        <v>500</v>
      </c>
    </row>
    <row r="27" spans="1:10" x14ac:dyDescent="0.25">
      <c r="A27" s="2" t="s">
        <v>32</v>
      </c>
      <c r="B27" s="13">
        <v>46038</v>
      </c>
      <c r="C27" s="2">
        <v>2292</v>
      </c>
      <c r="D27" s="3" t="s">
        <v>15</v>
      </c>
      <c r="E27" s="3" t="s">
        <v>33</v>
      </c>
      <c r="F27" s="3" t="s">
        <v>11</v>
      </c>
      <c r="G27" s="5"/>
      <c r="H27" s="5">
        <v>7317.73</v>
      </c>
      <c r="I27" s="5"/>
      <c r="J27" s="5">
        <f t="shared" si="1"/>
        <v>7317.73</v>
      </c>
    </row>
    <row r="28" spans="1:10" x14ac:dyDescent="0.25">
      <c r="A28" s="2" t="s">
        <v>80</v>
      </c>
      <c r="B28" s="13">
        <v>46038</v>
      </c>
      <c r="C28" s="2">
        <v>594</v>
      </c>
      <c r="D28" s="3" t="s">
        <v>15</v>
      </c>
      <c r="E28" s="3" t="s">
        <v>81</v>
      </c>
      <c r="F28" s="3" t="s">
        <v>11</v>
      </c>
      <c r="G28" s="5"/>
      <c r="H28" s="5"/>
      <c r="I28" s="5">
        <v>1000</v>
      </c>
      <c r="J28" s="5">
        <f t="shared" si="1"/>
        <v>-1000</v>
      </c>
    </row>
    <row r="29" spans="1:10" x14ac:dyDescent="0.25">
      <c r="A29" s="2" t="s">
        <v>38</v>
      </c>
      <c r="B29" s="13">
        <v>46039</v>
      </c>
      <c r="C29" s="2">
        <v>2298</v>
      </c>
      <c r="D29" s="3" t="s">
        <v>15</v>
      </c>
      <c r="E29" s="3" t="s">
        <v>39</v>
      </c>
      <c r="F29" s="3" t="s">
        <v>11</v>
      </c>
      <c r="G29" s="5"/>
      <c r="H29" s="5">
        <v>350</v>
      </c>
      <c r="I29" s="5">
        <v>0</v>
      </c>
      <c r="J29" s="5">
        <f t="shared" si="1"/>
        <v>350</v>
      </c>
    </row>
    <row r="30" spans="1:10" x14ac:dyDescent="0.25">
      <c r="A30" s="2" t="s">
        <v>40</v>
      </c>
      <c r="B30" s="13">
        <v>46039</v>
      </c>
      <c r="C30" s="2">
        <v>2301</v>
      </c>
      <c r="D30" s="3" t="s">
        <v>15</v>
      </c>
      <c r="E30" s="3" t="s">
        <v>41</v>
      </c>
      <c r="F30" s="3" t="s">
        <v>11</v>
      </c>
      <c r="G30" s="5"/>
      <c r="H30" s="5">
        <v>593.75</v>
      </c>
      <c r="I30" s="5">
        <v>0</v>
      </c>
      <c r="J30" s="5">
        <f t="shared" si="1"/>
        <v>593.75</v>
      </c>
    </row>
    <row r="31" spans="1:10" x14ac:dyDescent="0.25">
      <c r="A31" s="2" t="s">
        <v>42</v>
      </c>
      <c r="B31" s="13">
        <v>46041</v>
      </c>
      <c r="C31" s="2">
        <v>2303</v>
      </c>
      <c r="D31" s="3" t="s">
        <v>15</v>
      </c>
      <c r="E31" s="3" t="s">
        <v>43</v>
      </c>
      <c r="F31" s="3" t="s">
        <v>11</v>
      </c>
      <c r="G31" s="5"/>
      <c r="H31" s="5">
        <v>300</v>
      </c>
      <c r="I31" s="5">
        <v>0</v>
      </c>
      <c r="J31" s="5">
        <f t="shared" si="1"/>
        <v>300</v>
      </c>
    </row>
    <row r="32" spans="1:10" x14ac:dyDescent="0.25">
      <c r="A32" s="2" t="s">
        <v>44</v>
      </c>
      <c r="B32" s="13">
        <v>46042</v>
      </c>
      <c r="C32" s="2">
        <v>2310</v>
      </c>
      <c r="D32" s="3" t="s">
        <v>15</v>
      </c>
      <c r="E32" s="3" t="s">
        <v>45</v>
      </c>
      <c r="F32" s="3" t="s">
        <v>11</v>
      </c>
      <c r="G32" s="5"/>
      <c r="H32" s="5">
        <v>3977.27</v>
      </c>
      <c r="I32" s="5">
        <v>0</v>
      </c>
      <c r="J32" s="5">
        <f t="shared" si="1"/>
        <v>3977.27</v>
      </c>
    </row>
    <row r="33" spans="1:10" x14ac:dyDescent="0.25">
      <c r="A33" s="2" t="s">
        <v>71</v>
      </c>
      <c r="B33" s="13">
        <v>46042</v>
      </c>
      <c r="C33" s="2">
        <v>597</v>
      </c>
      <c r="D33" s="3" t="s">
        <v>15</v>
      </c>
      <c r="E33" s="3" t="s">
        <v>74</v>
      </c>
      <c r="F33" s="3" t="s">
        <v>11</v>
      </c>
      <c r="G33" s="5"/>
      <c r="H33" s="5"/>
      <c r="I33" s="5">
        <v>1200</v>
      </c>
      <c r="J33" s="5">
        <f t="shared" si="1"/>
        <v>-1200</v>
      </c>
    </row>
    <row r="34" spans="1:10" x14ac:dyDescent="0.25">
      <c r="A34" s="2" t="s">
        <v>19</v>
      </c>
      <c r="B34" s="13">
        <v>46042</v>
      </c>
      <c r="C34" s="2">
        <v>599</v>
      </c>
      <c r="D34" s="3" t="s">
        <v>15</v>
      </c>
      <c r="E34" s="3" t="s">
        <v>20</v>
      </c>
      <c r="F34" s="3" t="s">
        <v>11</v>
      </c>
      <c r="G34" s="5"/>
      <c r="H34" s="5"/>
      <c r="I34" s="5">
        <v>3000</v>
      </c>
      <c r="J34" s="5">
        <f t="shared" si="1"/>
        <v>-3000</v>
      </c>
    </row>
    <row r="35" spans="1:10" x14ac:dyDescent="0.25">
      <c r="A35" s="2" t="s">
        <v>65</v>
      </c>
      <c r="B35" s="13">
        <v>46042</v>
      </c>
      <c r="C35" s="2">
        <v>600</v>
      </c>
      <c r="D35" s="3" t="s">
        <v>15</v>
      </c>
      <c r="E35" s="3" t="s">
        <v>66</v>
      </c>
      <c r="F35" s="3" t="s">
        <v>11</v>
      </c>
      <c r="G35" s="5"/>
      <c r="H35" s="5"/>
      <c r="I35" s="5">
        <v>1000</v>
      </c>
      <c r="J35" s="5">
        <f t="shared" si="1"/>
        <v>-1000</v>
      </c>
    </row>
    <row r="36" spans="1:10" x14ac:dyDescent="0.25">
      <c r="A36" s="2" t="s">
        <v>46</v>
      </c>
      <c r="B36" s="13">
        <v>46043</v>
      </c>
      <c r="C36" s="2">
        <v>2316</v>
      </c>
      <c r="D36" s="3" t="s">
        <v>15</v>
      </c>
      <c r="E36" s="3" t="s">
        <v>47</v>
      </c>
      <c r="F36" s="3" t="s">
        <v>11</v>
      </c>
      <c r="G36" s="5"/>
      <c r="H36" s="5">
        <v>13000</v>
      </c>
      <c r="I36" s="5">
        <v>0</v>
      </c>
      <c r="J36" s="5">
        <f t="shared" si="1"/>
        <v>13000</v>
      </c>
    </row>
    <row r="37" spans="1:10" x14ac:dyDescent="0.25">
      <c r="A37" s="2" t="s">
        <v>48</v>
      </c>
      <c r="B37" s="13">
        <v>46043</v>
      </c>
      <c r="C37" s="2">
        <v>2318</v>
      </c>
      <c r="D37" s="3" t="s">
        <v>15</v>
      </c>
      <c r="E37" s="3" t="s">
        <v>49</v>
      </c>
      <c r="F37" s="3" t="s">
        <v>11</v>
      </c>
      <c r="G37" s="5"/>
      <c r="H37" s="5">
        <v>200</v>
      </c>
      <c r="I37" s="5">
        <v>0</v>
      </c>
      <c r="J37" s="5">
        <f t="shared" si="1"/>
        <v>200</v>
      </c>
    </row>
    <row r="38" spans="1:10" x14ac:dyDescent="0.25">
      <c r="A38" s="2" t="s">
        <v>50</v>
      </c>
      <c r="B38" s="13">
        <v>46043</v>
      </c>
      <c r="C38" s="2">
        <v>2321</v>
      </c>
      <c r="D38" s="3" t="s">
        <v>15</v>
      </c>
      <c r="E38" s="3" t="s">
        <v>51</v>
      </c>
      <c r="F38" s="3" t="s">
        <v>11</v>
      </c>
      <c r="G38" s="5"/>
      <c r="H38" s="5">
        <v>200</v>
      </c>
      <c r="I38" s="5">
        <v>0</v>
      </c>
      <c r="J38" s="5">
        <f t="shared" si="1"/>
        <v>200</v>
      </c>
    </row>
    <row r="39" spans="1:10" x14ac:dyDescent="0.25">
      <c r="A39" s="2" t="s">
        <v>19</v>
      </c>
      <c r="B39" s="13">
        <v>46043</v>
      </c>
      <c r="C39" s="2">
        <v>601</v>
      </c>
      <c r="D39" s="3" t="s">
        <v>15</v>
      </c>
      <c r="E39" s="3" t="s">
        <v>20</v>
      </c>
      <c r="F39" s="3" t="s">
        <v>11</v>
      </c>
      <c r="G39" s="5"/>
      <c r="H39" s="5"/>
      <c r="I39" s="5">
        <v>1000</v>
      </c>
      <c r="J39" s="5">
        <f t="shared" si="1"/>
        <v>-1000</v>
      </c>
    </row>
    <row r="40" spans="1:10" x14ac:dyDescent="0.25">
      <c r="A40" s="2" t="s">
        <v>32</v>
      </c>
      <c r="B40" s="13">
        <v>46044</v>
      </c>
      <c r="C40" s="2">
        <v>2322</v>
      </c>
      <c r="D40" s="3" t="s">
        <v>15</v>
      </c>
      <c r="E40" s="3" t="s">
        <v>33</v>
      </c>
      <c r="F40" s="3" t="s">
        <v>11</v>
      </c>
      <c r="G40" s="5"/>
      <c r="H40" s="5">
        <v>33481.39</v>
      </c>
      <c r="I40" s="5">
        <v>0</v>
      </c>
      <c r="J40" s="5">
        <f t="shared" si="1"/>
        <v>33481.39</v>
      </c>
    </row>
    <row r="41" spans="1:10" x14ac:dyDescent="0.25">
      <c r="A41" s="2" t="s">
        <v>30</v>
      </c>
      <c r="B41" s="13">
        <v>46045</v>
      </c>
      <c r="C41" s="2">
        <v>2325</v>
      </c>
      <c r="D41" s="3" t="s">
        <v>15</v>
      </c>
      <c r="E41" s="3" t="s">
        <v>31</v>
      </c>
      <c r="F41" s="3" t="s">
        <v>11</v>
      </c>
      <c r="G41" s="5"/>
      <c r="H41" s="5">
        <v>600</v>
      </c>
      <c r="I41" s="5">
        <v>0</v>
      </c>
      <c r="J41" s="5">
        <f t="shared" si="1"/>
        <v>600</v>
      </c>
    </row>
    <row r="42" spans="1:10" x14ac:dyDescent="0.25">
      <c r="A42" s="2" t="s">
        <v>19</v>
      </c>
      <c r="B42" s="13">
        <v>46046</v>
      </c>
      <c r="C42" s="2">
        <v>602</v>
      </c>
      <c r="D42" s="3" t="s">
        <v>15</v>
      </c>
      <c r="E42" s="3" t="s">
        <v>20</v>
      </c>
      <c r="F42" s="3" t="s">
        <v>11</v>
      </c>
      <c r="G42" s="5"/>
      <c r="H42" s="5"/>
      <c r="I42" s="5">
        <v>1000</v>
      </c>
      <c r="J42" s="5">
        <f t="shared" si="1"/>
        <v>-1000</v>
      </c>
    </row>
    <row r="43" spans="1:10" x14ac:dyDescent="0.25">
      <c r="A43" s="2" t="s">
        <v>82</v>
      </c>
      <c r="B43" s="13">
        <v>46048</v>
      </c>
      <c r="C43" s="2">
        <v>603</v>
      </c>
      <c r="D43" s="3" t="s">
        <v>15</v>
      </c>
      <c r="E43" s="3" t="s">
        <v>83</v>
      </c>
      <c r="F43" s="3" t="s">
        <v>11</v>
      </c>
      <c r="G43" s="5"/>
      <c r="H43" s="5"/>
      <c r="I43" s="5">
        <v>100</v>
      </c>
      <c r="J43" s="5">
        <f t="shared" si="1"/>
        <v>-100</v>
      </c>
    </row>
    <row r="44" spans="1:10" x14ac:dyDescent="0.25">
      <c r="A44" s="2" t="s">
        <v>84</v>
      </c>
      <c r="B44" s="13">
        <v>46048</v>
      </c>
      <c r="C44" s="2">
        <v>605</v>
      </c>
      <c r="D44" s="3" t="s">
        <v>15</v>
      </c>
      <c r="E44" s="3" t="s">
        <v>85</v>
      </c>
      <c r="F44" s="3" t="s">
        <v>11</v>
      </c>
      <c r="G44" s="5"/>
      <c r="H44" s="5"/>
      <c r="I44" s="5">
        <v>20000</v>
      </c>
      <c r="J44" s="5">
        <f t="shared" si="1"/>
        <v>-20000</v>
      </c>
    </row>
    <row r="45" spans="1:10" x14ac:dyDescent="0.25">
      <c r="A45" s="2" t="s">
        <v>71</v>
      </c>
      <c r="B45" s="13">
        <v>46048</v>
      </c>
      <c r="C45" s="2">
        <v>606</v>
      </c>
      <c r="D45" s="3" t="s">
        <v>15</v>
      </c>
      <c r="E45" s="3" t="s">
        <v>74</v>
      </c>
      <c r="F45" s="3" t="s">
        <v>11</v>
      </c>
      <c r="G45" s="5"/>
      <c r="H45" s="5"/>
      <c r="I45" s="5">
        <v>21700</v>
      </c>
      <c r="J45" s="5">
        <f t="shared" si="1"/>
        <v>-21700</v>
      </c>
    </row>
    <row r="46" spans="1:10" x14ac:dyDescent="0.25">
      <c r="A46" s="2" t="s">
        <v>52</v>
      </c>
      <c r="B46" s="13">
        <v>46049</v>
      </c>
      <c r="C46" s="2">
        <v>2337</v>
      </c>
      <c r="D46" s="3" t="s">
        <v>15</v>
      </c>
      <c r="E46" s="3" t="s">
        <v>53</v>
      </c>
      <c r="F46" s="3" t="s">
        <v>11</v>
      </c>
      <c r="G46" s="5"/>
      <c r="H46" s="5">
        <v>1126</v>
      </c>
      <c r="I46" s="5">
        <v>0</v>
      </c>
      <c r="J46" s="5">
        <f t="shared" si="1"/>
        <v>1126</v>
      </c>
    </row>
    <row r="47" spans="1:10" x14ac:dyDescent="0.25">
      <c r="A47" s="2" t="s">
        <v>60</v>
      </c>
      <c r="B47" s="13">
        <v>46049</v>
      </c>
      <c r="C47" s="2">
        <v>2342</v>
      </c>
      <c r="D47" s="3" t="s">
        <v>15</v>
      </c>
      <c r="E47" s="3" t="s">
        <v>61</v>
      </c>
      <c r="F47" s="3" t="s">
        <v>11</v>
      </c>
      <c r="G47" s="5"/>
      <c r="H47" s="5">
        <v>200</v>
      </c>
      <c r="I47" s="5">
        <v>0</v>
      </c>
      <c r="J47" s="5">
        <f t="shared" si="1"/>
        <v>200</v>
      </c>
    </row>
    <row r="48" spans="1:10" x14ac:dyDescent="0.25">
      <c r="A48" s="2" t="s">
        <v>62</v>
      </c>
      <c r="B48" s="13">
        <v>46049</v>
      </c>
      <c r="C48" s="2">
        <v>2343</v>
      </c>
      <c r="D48" s="3" t="s">
        <v>15</v>
      </c>
      <c r="E48" s="3" t="s">
        <v>63</v>
      </c>
      <c r="F48" s="3" t="s">
        <v>11</v>
      </c>
      <c r="G48" s="5"/>
      <c r="H48" s="5">
        <v>200</v>
      </c>
      <c r="I48" s="5">
        <v>0</v>
      </c>
      <c r="J48" s="5">
        <f t="shared" si="1"/>
        <v>200</v>
      </c>
    </row>
    <row r="49" spans="1:12" x14ac:dyDescent="0.25">
      <c r="A49" s="2" t="s">
        <v>86</v>
      </c>
      <c r="B49" s="13">
        <v>46049</v>
      </c>
      <c r="C49" s="2">
        <v>608</v>
      </c>
      <c r="D49" s="3" t="s">
        <v>15</v>
      </c>
      <c r="E49" s="3" t="s">
        <v>87</v>
      </c>
      <c r="F49" s="3" t="s">
        <v>11</v>
      </c>
      <c r="G49" s="5"/>
      <c r="H49" s="5"/>
      <c r="I49" s="5">
        <v>200</v>
      </c>
      <c r="J49" s="5">
        <f t="shared" si="1"/>
        <v>-200</v>
      </c>
    </row>
    <row r="50" spans="1:12" x14ac:dyDescent="0.25">
      <c r="A50" s="2" t="s">
        <v>64</v>
      </c>
      <c r="B50" s="13">
        <v>46050</v>
      </c>
      <c r="C50" s="2">
        <v>2345</v>
      </c>
      <c r="D50" s="3" t="s">
        <v>15</v>
      </c>
      <c r="E50" s="3" t="s">
        <v>172</v>
      </c>
      <c r="F50" s="3" t="s">
        <v>11</v>
      </c>
      <c r="G50" s="5"/>
      <c r="H50" s="5">
        <v>68181.820000000007</v>
      </c>
      <c r="I50" s="5">
        <v>0</v>
      </c>
      <c r="J50" s="5">
        <f t="shared" si="1"/>
        <v>68181.820000000007</v>
      </c>
    </row>
    <row r="51" spans="1:12" x14ac:dyDescent="0.25">
      <c r="A51" s="2" t="s">
        <v>88</v>
      </c>
      <c r="B51" s="13">
        <v>46050</v>
      </c>
      <c r="C51" s="2">
        <v>609</v>
      </c>
      <c r="D51" s="3" t="s">
        <v>15</v>
      </c>
      <c r="E51" s="3" t="s">
        <v>89</v>
      </c>
      <c r="F51" s="3" t="s">
        <v>11</v>
      </c>
      <c r="G51" s="5"/>
      <c r="H51" s="5"/>
      <c r="I51" s="5">
        <v>100</v>
      </c>
      <c r="J51" s="5">
        <f t="shared" si="1"/>
        <v>-100</v>
      </c>
    </row>
    <row r="52" spans="1:12" x14ac:dyDescent="0.25">
      <c r="A52" s="2" t="s">
        <v>65</v>
      </c>
      <c r="B52" s="13">
        <v>46051</v>
      </c>
      <c r="C52" s="2">
        <v>2347</v>
      </c>
      <c r="D52" s="3" t="s">
        <v>15</v>
      </c>
      <c r="E52" s="3" t="s">
        <v>66</v>
      </c>
      <c r="F52" s="3" t="s">
        <v>11</v>
      </c>
      <c r="G52" s="5"/>
      <c r="H52" s="5">
        <v>13647.73</v>
      </c>
      <c r="I52" s="5">
        <v>0</v>
      </c>
      <c r="J52" s="5">
        <f t="shared" si="1"/>
        <v>13647.73</v>
      </c>
    </row>
    <row r="53" spans="1:12" x14ac:dyDescent="0.25">
      <c r="A53" s="2" t="s">
        <v>54</v>
      </c>
      <c r="B53" s="13">
        <v>46051</v>
      </c>
      <c r="C53" s="2">
        <v>2349</v>
      </c>
      <c r="D53" s="3" t="s">
        <v>15</v>
      </c>
      <c r="E53" s="3" t="s">
        <v>55</v>
      </c>
      <c r="F53" s="3" t="s">
        <v>11</v>
      </c>
      <c r="G53" s="5"/>
      <c r="H53" s="25">
        <v>227272.73</v>
      </c>
      <c r="I53" s="5">
        <v>0</v>
      </c>
      <c r="J53" s="5">
        <f t="shared" si="1"/>
        <v>227272.73</v>
      </c>
    </row>
    <row r="54" spans="1:12" x14ac:dyDescent="0.25">
      <c r="A54" s="2" t="s">
        <v>56</v>
      </c>
      <c r="B54" s="13">
        <v>46052</v>
      </c>
      <c r="C54" s="2">
        <v>2351</v>
      </c>
      <c r="D54" s="3" t="s">
        <v>15</v>
      </c>
      <c r="E54" s="3" t="s">
        <v>57</v>
      </c>
      <c r="F54" s="3" t="s">
        <v>11</v>
      </c>
      <c r="G54" s="5"/>
      <c r="H54" s="5">
        <v>10000</v>
      </c>
      <c r="I54" s="5">
        <v>0</v>
      </c>
      <c r="J54" s="5">
        <f t="shared" si="1"/>
        <v>10000</v>
      </c>
    </row>
    <row r="55" spans="1:12" x14ac:dyDescent="0.25">
      <c r="A55" s="2" t="s">
        <v>58</v>
      </c>
      <c r="B55" s="13">
        <v>46052</v>
      </c>
      <c r="C55" s="2">
        <v>2354</v>
      </c>
      <c r="D55" s="3" t="s">
        <v>15</v>
      </c>
      <c r="E55" s="3" t="s">
        <v>59</v>
      </c>
      <c r="F55" s="3" t="s">
        <v>11</v>
      </c>
      <c r="G55" s="5"/>
      <c r="H55" s="5">
        <v>2500</v>
      </c>
      <c r="I55" s="5">
        <v>0</v>
      </c>
      <c r="J55" s="5">
        <f t="shared" si="1"/>
        <v>2500</v>
      </c>
    </row>
    <row r="56" spans="1:12" x14ac:dyDescent="0.25">
      <c r="A56" s="2" t="s">
        <v>23</v>
      </c>
      <c r="B56" s="13">
        <v>46052</v>
      </c>
      <c r="C56" s="2">
        <v>611</v>
      </c>
      <c r="D56" s="3" t="s">
        <v>15</v>
      </c>
      <c r="E56" s="3" t="s">
        <v>24</v>
      </c>
      <c r="F56" s="3" t="s">
        <v>11</v>
      </c>
      <c r="G56" s="5"/>
      <c r="H56" s="5"/>
      <c r="I56" s="5">
        <v>1000</v>
      </c>
      <c r="J56" s="5">
        <f t="shared" si="1"/>
        <v>-1000</v>
      </c>
    </row>
    <row r="57" spans="1:12" x14ac:dyDescent="0.25">
      <c r="A57" s="2" t="s">
        <v>82</v>
      </c>
      <c r="B57" s="13">
        <v>46052</v>
      </c>
      <c r="C57" s="2">
        <v>613</v>
      </c>
      <c r="D57" s="3" t="s">
        <v>15</v>
      </c>
      <c r="E57" s="3" t="s">
        <v>83</v>
      </c>
      <c r="F57" s="3" t="s">
        <v>11</v>
      </c>
      <c r="G57" s="5"/>
      <c r="H57" s="5"/>
      <c r="I57" s="5">
        <v>100</v>
      </c>
      <c r="J57" s="5">
        <f t="shared" si="1"/>
        <v>-100</v>
      </c>
      <c r="K57" t="s">
        <v>311</v>
      </c>
      <c r="L57" t="s">
        <v>312</v>
      </c>
    </row>
    <row r="58" spans="1:12" x14ac:dyDescent="0.25">
      <c r="A58" s="2" t="s">
        <v>90</v>
      </c>
      <c r="B58" s="13">
        <v>46052</v>
      </c>
      <c r="C58" s="2">
        <v>614</v>
      </c>
      <c r="D58" s="3" t="s">
        <v>15</v>
      </c>
      <c r="E58" s="3" t="s">
        <v>91</v>
      </c>
      <c r="F58" s="3" t="s">
        <v>11</v>
      </c>
      <c r="G58" s="5"/>
      <c r="H58" s="5"/>
      <c r="I58" s="5">
        <v>600</v>
      </c>
      <c r="J58" s="5">
        <f t="shared" si="1"/>
        <v>-600</v>
      </c>
      <c r="K58" s="4">
        <f>SUM(H4:H58)</f>
        <v>540346.75</v>
      </c>
      <c r="L58" s="4">
        <f>SUM(I4:I58)</f>
        <v>70450</v>
      </c>
    </row>
    <row r="59" spans="1:12" x14ac:dyDescent="0.25">
      <c r="A59" s="2" t="s">
        <v>92</v>
      </c>
      <c r="B59" s="13">
        <v>46055</v>
      </c>
      <c r="C59" s="2">
        <v>2361</v>
      </c>
      <c r="D59" s="3" t="s">
        <v>10</v>
      </c>
      <c r="E59" s="3" t="s">
        <v>93</v>
      </c>
      <c r="F59" s="3" t="s">
        <v>11</v>
      </c>
      <c r="G59" s="18">
        <v>0</v>
      </c>
      <c r="H59" s="18">
        <v>200</v>
      </c>
      <c r="I59" s="18">
        <v>0</v>
      </c>
      <c r="J59" s="18">
        <f t="shared" si="1"/>
        <v>200</v>
      </c>
    </row>
    <row r="60" spans="1:12" x14ac:dyDescent="0.25">
      <c r="A60" s="2" t="s">
        <v>42</v>
      </c>
      <c r="B60" s="13">
        <v>46055</v>
      </c>
      <c r="C60" s="2">
        <v>2363</v>
      </c>
      <c r="D60" s="3" t="s">
        <v>15</v>
      </c>
      <c r="E60" s="3" t="s">
        <v>43</v>
      </c>
      <c r="F60" s="3" t="s">
        <v>11</v>
      </c>
      <c r="G60" s="5"/>
      <c r="H60" s="5">
        <v>400</v>
      </c>
      <c r="I60" s="5">
        <v>0</v>
      </c>
      <c r="J60" s="5">
        <f t="shared" si="1"/>
        <v>400</v>
      </c>
    </row>
    <row r="61" spans="1:12" x14ac:dyDescent="0.25">
      <c r="A61" s="13" t="s">
        <v>94</v>
      </c>
      <c r="B61" s="13">
        <v>46055</v>
      </c>
      <c r="C61" s="2">
        <v>2365</v>
      </c>
      <c r="D61" s="3" t="s">
        <v>15</v>
      </c>
      <c r="E61" s="3" t="s">
        <v>95</v>
      </c>
      <c r="F61" s="3" t="s">
        <v>11</v>
      </c>
      <c r="G61" s="5"/>
      <c r="H61" s="5">
        <v>800</v>
      </c>
      <c r="I61" s="5">
        <v>0</v>
      </c>
      <c r="J61" s="5">
        <f t="shared" si="1"/>
        <v>800</v>
      </c>
    </row>
    <row r="62" spans="1:12" x14ac:dyDescent="0.25">
      <c r="A62" s="13" t="s">
        <v>19</v>
      </c>
      <c r="B62" s="13">
        <v>46055</v>
      </c>
      <c r="C62" s="2">
        <v>2366</v>
      </c>
      <c r="D62" s="3" t="s">
        <v>15</v>
      </c>
      <c r="E62" s="3" t="s">
        <v>96</v>
      </c>
      <c r="F62" s="3" t="s">
        <v>11</v>
      </c>
      <c r="G62" s="5"/>
      <c r="H62" s="5">
        <v>34090.910000000003</v>
      </c>
      <c r="I62" s="5">
        <v>0</v>
      </c>
      <c r="J62" s="5">
        <f t="shared" si="1"/>
        <v>34090.910000000003</v>
      </c>
    </row>
    <row r="63" spans="1:12" x14ac:dyDescent="0.25">
      <c r="A63" s="2" t="s">
        <v>97</v>
      </c>
      <c r="B63" s="13">
        <v>46055</v>
      </c>
      <c r="C63" s="2">
        <v>2368</v>
      </c>
      <c r="D63" s="3" t="s">
        <v>15</v>
      </c>
      <c r="E63" s="3" t="s">
        <v>98</v>
      </c>
      <c r="F63" s="3" t="s">
        <v>11</v>
      </c>
      <c r="G63" s="5"/>
      <c r="H63" s="5">
        <v>34090.910000000003</v>
      </c>
      <c r="I63" s="5"/>
      <c r="J63" s="5">
        <f t="shared" si="1"/>
        <v>34090.910000000003</v>
      </c>
    </row>
    <row r="64" spans="1:12" x14ac:dyDescent="0.25">
      <c r="A64" s="2" t="s">
        <v>75</v>
      </c>
      <c r="B64" s="13">
        <v>46055</v>
      </c>
      <c r="C64" s="2">
        <v>617</v>
      </c>
      <c r="D64" s="3" t="s">
        <v>15</v>
      </c>
      <c r="E64" s="3" t="s">
        <v>16</v>
      </c>
      <c r="F64" s="3" t="s">
        <v>11</v>
      </c>
      <c r="G64" s="5"/>
      <c r="H64" s="5"/>
      <c r="I64" s="5">
        <v>4000</v>
      </c>
      <c r="J64" s="5">
        <f t="shared" si="1"/>
        <v>-4000</v>
      </c>
    </row>
    <row r="65" spans="1:10" x14ac:dyDescent="0.25">
      <c r="A65" s="2" t="s">
        <v>99</v>
      </c>
      <c r="B65" s="13">
        <v>46056</v>
      </c>
      <c r="C65" s="2">
        <v>2370</v>
      </c>
      <c r="D65" s="3" t="s">
        <v>15</v>
      </c>
      <c r="E65" s="3" t="s">
        <v>72</v>
      </c>
      <c r="F65" s="3" t="s">
        <v>11</v>
      </c>
      <c r="G65" s="5"/>
      <c r="H65" s="5">
        <v>5681.82</v>
      </c>
      <c r="I65" s="5"/>
      <c r="J65" s="5">
        <f t="shared" si="1"/>
        <v>5681.82</v>
      </c>
    </row>
    <row r="66" spans="1:10" x14ac:dyDescent="0.25">
      <c r="A66" s="2" t="s">
        <v>100</v>
      </c>
      <c r="B66" s="13">
        <v>46056</v>
      </c>
      <c r="C66" s="2">
        <v>2372</v>
      </c>
      <c r="D66" s="3" t="s">
        <v>15</v>
      </c>
      <c r="E66" s="3" t="s">
        <v>18</v>
      </c>
      <c r="F66" s="3" t="s">
        <v>11</v>
      </c>
      <c r="G66" s="5"/>
      <c r="H66" s="5">
        <v>3409.09</v>
      </c>
      <c r="I66" s="5"/>
      <c r="J66" s="5">
        <f t="shared" si="1"/>
        <v>3409.09</v>
      </c>
    </row>
    <row r="67" spans="1:10" x14ac:dyDescent="0.25">
      <c r="A67" s="2" t="s">
        <v>30</v>
      </c>
      <c r="B67" s="13">
        <v>46056</v>
      </c>
      <c r="C67" s="2">
        <v>2374</v>
      </c>
      <c r="D67" s="3" t="s">
        <v>15</v>
      </c>
      <c r="E67" s="3" t="s">
        <v>31</v>
      </c>
      <c r="F67" s="3" t="s">
        <v>11</v>
      </c>
      <c r="G67" s="5"/>
      <c r="H67" s="5">
        <v>200</v>
      </c>
      <c r="I67" s="5"/>
      <c r="J67" s="5">
        <f t="shared" si="1"/>
        <v>200</v>
      </c>
    </row>
    <row r="68" spans="1:10" x14ac:dyDescent="0.25">
      <c r="A68" s="2" t="s">
        <v>101</v>
      </c>
      <c r="B68" s="13">
        <v>46057</v>
      </c>
      <c r="C68" s="2">
        <v>2379</v>
      </c>
      <c r="D68" s="3" t="s">
        <v>15</v>
      </c>
      <c r="E68" s="3" t="s">
        <v>102</v>
      </c>
      <c r="F68" s="3" t="s">
        <v>11</v>
      </c>
      <c r="G68" s="5"/>
      <c r="H68" s="5">
        <v>1000</v>
      </c>
      <c r="I68" s="5"/>
      <c r="J68" s="5">
        <f t="shared" si="1"/>
        <v>1000</v>
      </c>
    </row>
    <row r="69" spans="1:10" x14ac:dyDescent="0.25">
      <c r="A69" s="2" t="s">
        <v>103</v>
      </c>
      <c r="B69" s="13">
        <v>46057</v>
      </c>
      <c r="C69" s="2">
        <v>2382</v>
      </c>
      <c r="D69" s="3" t="s">
        <v>15</v>
      </c>
      <c r="E69" s="3" t="s">
        <v>306</v>
      </c>
      <c r="F69" s="3" t="s">
        <v>11</v>
      </c>
      <c r="G69" s="5"/>
      <c r="H69" s="5">
        <v>34090.910000000003</v>
      </c>
      <c r="I69" s="5"/>
      <c r="J69" s="5">
        <f t="shared" ref="J69:J132" si="2">G69+H69-I69</f>
        <v>34090.910000000003</v>
      </c>
    </row>
    <row r="70" spans="1:10" x14ac:dyDescent="0.25">
      <c r="A70" s="2" t="s">
        <v>30</v>
      </c>
      <c r="B70" s="13">
        <v>46057</v>
      </c>
      <c r="C70" s="2">
        <v>620</v>
      </c>
      <c r="D70" s="3" t="s">
        <v>15</v>
      </c>
      <c r="E70" s="3" t="s">
        <v>31</v>
      </c>
      <c r="F70" s="3" t="s">
        <v>11</v>
      </c>
      <c r="G70" s="5"/>
      <c r="H70" s="5"/>
      <c r="I70" s="5">
        <v>700</v>
      </c>
      <c r="J70" s="5">
        <f t="shared" si="2"/>
        <v>-700</v>
      </c>
    </row>
    <row r="71" spans="1:10" x14ac:dyDescent="0.25">
      <c r="A71" s="2" t="s">
        <v>52</v>
      </c>
      <c r="B71" s="13">
        <v>46057</v>
      </c>
      <c r="C71" s="2">
        <v>621</v>
      </c>
      <c r="D71" s="3" t="s">
        <v>15</v>
      </c>
      <c r="E71" s="3" t="s">
        <v>53</v>
      </c>
      <c r="F71" s="3" t="s">
        <v>11</v>
      </c>
      <c r="G71" s="5"/>
      <c r="H71" s="5"/>
      <c r="I71" s="5">
        <v>7470.57</v>
      </c>
      <c r="J71" s="5">
        <f t="shared" si="2"/>
        <v>-7470.57</v>
      </c>
    </row>
    <row r="72" spans="1:10" x14ac:dyDescent="0.25">
      <c r="A72" s="2" t="s">
        <v>104</v>
      </c>
      <c r="B72" s="13">
        <v>46058</v>
      </c>
      <c r="C72" s="2">
        <v>2384</v>
      </c>
      <c r="D72" s="3" t="s">
        <v>15</v>
      </c>
      <c r="E72" s="3" t="s">
        <v>105</v>
      </c>
      <c r="F72" s="3" t="s">
        <v>11</v>
      </c>
      <c r="G72" s="5"/>
      <c r="H72" s="5">
        <v>30000</v>
      </c>
      <c r="I72" s="5"/>
      <c r="J72" s="5">
        <f t="shared" si="2"/>
        <v>30000</v>
      </c>
    </row>
    <row r="73" spans="1:10" x14ac:dyDescent="0.25">
      <c r="A73" s="2" t="s">
        <v>106</v>
      </c>
      <c r="B73" s="13">
        <v>46058</v>
      </c>
      <c r="C73" s="2">
        <v>2385</v>
      </c>
      <c r="D73" s="3" t="s">
        <v>15</v>
      </c>
      <c r="E73" s="3" t="s">
        <v>107</v>
      </c>
      <c r="F73" s="3" t="s">
        <v>11</v>
      </c>
      <c r="G73" s="5"/>
      <c r="H73" s="5">
        <v>1000</v>
      </c>
      <c r="I73" s="5"/>
      <c r="J73" s="5">
        <f t="shared" si="2"/>
        <v>1000</v>
      </c>
    </row>
    <row r="74" spans="1:10" x14ac:dyDescent="0.25">
      <c r="A74" s="2" t="s">
        <v>106</v>
      </c>
      <c r="B74" s="13">
        <v>46058</v>
      </c>
      <c r="C74" s="2">
        <v>624</v>
      </c>
      <c r="D74" s="3" t="s">
        <v>15</v>
      </c>
      <c r="E74" s="3" t="s">
        <v>157</v>
      </c>
      <c r="F74" s="3" t="s">
        <v>11</v>
      </c>
      <c r="G74" s="5"/>
      <c r="H74" s="5"/>
      <c r="I74" s="5">
        <v>700</v>
      </c>
      <c r="J74" s="5">
        <f t="shared" si="2"/>
        <v>-700</v>
      </c>
    </row>
    <row r="75" spans="1:10" x14ac:dyDescent="0.25">
      <c r="A75" s="2" t="s">
        <v>158</v>
      </c>
      <c r="B75" s="13">
        <v>46059</v>
      </c>
      <c r="C75" s="2">
        <v>625</v>
      </c>
      <c r="D75" s="3" t="s">
        <v>15</v>
      </c>
      <c r="E75" s="3" t="s">
        <v>159</v>
      </c>
      <c r="F75" s="3" t="s">
        <v>11</v>
      </c>
      <c r="G75" s="5"/>
      <c r="H75" s="5"/>
      <c r="I75" s="5">
        <v>500</v>
      </c>
      <c r="J75" s="5">
        <f t="shared" si="2"/>
        <v>-500</v>
      </c>
    </row>
    <row r="76" spans="1:10" x14ac:dyDescent="0.25">
      <c r="A76" s="2" t="s">
        <v>108</v>
      </c>
      <c r="B76" s="13">
        <v>46059</v>
      </c>
      <c r="C76" s="2">
        <v>2386</v>
      </c>
      <c r="D76" s="3" t="s">
        <v>15</v>
      </c>
      <c r="E76" s="3" t="s">
        <v>109</v>
      </c>
      <c r="F76" s="3" t="s">
        <v>11</v>
      </c>
      <c r="G76" s="5"/>
      <c r="H76" s="5">
        <v>300</v>
      </c>
      <c r="I76" s="5"/>
      <c r="J76" s="5">
        <f t="shared" si="2"/>
        <v>300</v>
      </c>
    </row>
    <row r="77" spans="1:10" x14ac:dyDescent="0.25">
      <c r="A77" s="2" t="s">
        <v>110</v>
      </c>
      <c r="B77" s="13">
        <v>46063</v>
      </c>
      <c r="C77" s="2">
        <v>2388</v>
      </c>
      <c r="D77" s="3" t="s">
        <v>15</v>
      </c>
      <c r="E77" s="3" t="s">
        <v>111</v>
      </c>
      <c r="F77" s="3" t="s">
        <v>11</v>
      </c>
      <c r="G77" s="5"/>
      <c r="H77" s="5">
        <v>1000</v>
      </c>
      <c r="I77" s="5"/>
      <c r="J77" s="5">
        <f t="shared" si="2"/>
        <v>1000</v>
      </c>
    </row>
    <row r="78" spans="1:10" x14ac:dyDescent="0.25">
      <c r="A78" s="2" t="s">
        <v>42</v>
      </c>
      <c r="B78" s="13">
        <v>46063</v>
      </c>
      <c r="C78" s="2">
        <v>2389</v>
      </c>
      <c r="D78" s="3" t="s">
        <v>15</v>
      </c>
      <c r="E78" s="3" t="s">
        <v>43</v>
      </c>
      <c r="F78" s="3" t="s">
        <v>11</v>
      </c>
      <c r="G78" s="5"/>
      <c r="H78" s="5">
        <v>400</v>
      </c>
      <c r="I78" s="5"/>
      <c r="J78" s="5">
        <f t="shared" si="2"/>
        <v>400</v>
      </c>
    </row>
    <row r="79" spans="1:10" x14ac:dyDescent="0.25">
      <c r="A79" s="2" t="s">
        <v>75</v>
      </c>
      <c r="B79" s="13">
        <v>46063</v>
      </c>
      <c r="C79" s="2">
        <v>2400</v>
      </c>
      <c r="D79" s="3" t="s">
        <v>15</v>
      </c>
      <c r="E79" s="3" t="s">
        <v>16</v>
      </c>
      <c r="F79" s="3" t="s">
        <v>11</v>
      </c>
      <c r="G79" s="5"/>
      <c r="H79" s="5">
        <v>5000</v>
      </c>
      <c r="I79" s="5"/>
      <c r="J79" s="5">
        <f t="shared" si="2"/>
        <v>5000</v>
      </c>
    </row>
    <row r="80" spans="1:10" x14ac:dyDescent="0.25">
      <c r="A80" s="2" t="s">
        <v>112</v>
      </c>
      <c r="B80" s="13">
        <v>46064</v>
      </c>
      <c r="C80" s="2">
        <v>2406</v>
      </c>
      <c r="D80" s="3" t="s">
        <v>15</v>
      </c>
      <c r="E80" s="3" t="s">
        <v>113</v>
      </c>
      <c r="F80" s="3" t="s">
        <v>11</v>
      </c>
      <c r="G80" s="5"/>
      <c r="H80" s="5">
        <v>22727.27</v>
      </c>
      <c r="I80" s="5"/>
      <c r="J80" s="5">
        <f t="shared" si="2"/>
        <v>22727.27</v>
      </c>
    </row>
    <row r="81" spans="1:10" x14ac:dyDescent="0.25">
      <c r="A81" s="2" t="s">
        <v>100</v>
      </c>
      <c r="B81" s="13">
        <v>46065</v>
      </c>
      <c r="C81" s="2">
        <v>2411</v>
      </c>
      <c r="D81" s="3" t="s">
        <v>15</v>
      </c>
      <c r="E81" s="3" t="s">
        <v>18</v>
      </c>
      <c r="F81" s="3" t="s">
        <v>11</v>
      </c>
      <c r="G81" s="5"/>
      <c r="H81" s="5">
        <v>300</v>
      </c>
      <c r="I81" s="5"/>
      <c r="J81" s="5">
        <f t="shared" si="2"/>
        <v>300</v>
      </c>
    </row>
    <row r="82" spans="1:10" x14ac:dyDescent="0.25">
      <c r="A82" s="2" t="s">
        <v>27</v>
      </c>
      <c r="B82" s="13">
        <v>46065</v>
      </c>
      <c r="C82" s="2">
        <v>626</v>
      </c>
      <c r="D82" s="3" t="s">
        <v>15</v>
      </c>
      <c r="E82" s="3" t="s">
        <v>28</v>
      </c>
      <c r="F82" s="3" t="s">
        <v>11</v>
      </c>
      <c r="G82" s="5"/>
      <c r="H82" s="5"/>
      <c r="I82" s="5">
        <v>5000</v>
      </c>
      <c r="J82" s="5">
        <f t="shared" si="2"/>
        <v>-5000</v>
      </c>
    </row>
    <row r="83" spans="1:10" x14ac:dyDescent="0.25">
      <c r="A83" s="2" t="s">
        <v>75</v>
      </c>
      <c r="B83" s="13">
        <v>46056</v>
      </c>
      <c r="C83" s="2">
        <v>2416</v>
      </c>
      <c r="D83" s="3" t="s">
        <v>15</v>
      </c>
      <c r="E83" s="3" t="s">
        <v>16</v>
      </c>
      <c r="F83" s="3" t="s">
        <v>11</v>
      </c>
      <c r="G83" s="5"/>
      <c r="H83" s="5">
        <v>3000</v>
      </c>
      <c r="I83" s="5"/>
      <c r="J83" s="5">
        <f t="shared" si="2"/>
        <v>3000</v>
      </c>
    </row>
    <row r="84" spans="1:10" x14ac:dyDescent="0.25">
      <c r="A84" s="2" t="s">
        <v>114</v>
      </c>
      <c r="B84" s="13">
        <v>46066</v>
      </c>
      <c r="C84" s="2">
        <v>2417</v>
      </c>
      <c r="D84" s="3" t="s">
        <v>15</v>
      </c>
      <c r="E84" s="3" t="s">
        <v>115</v>
      </c>
      <c r="F84" s="3" t="s">
        <v>11</v>
      </c>
      <c r="G84" s="5"/>
      <c r="H84" s="5">
        <v>22727.27</v>
      </c>
      <c r="I84" s="5"/>
      <c r="J84" s="5">
        <f t="shared" si="2"/>
        <v>22727.27</v>
      </c>
    </row>
    <row r="85" spans="1:10" x14ac:dyDescent="0.25">
      <c r="A85" s="2" t="s">
        <v>116</v>
      </c>
      <c r="B85" s="13">
        <v>46066</v>
      </c>
      <c r="C85" s="2">
        <v>2421</v>
      </c>
      <c r="D85" s="3" t="s">
        <v>15</v>
      </c>
      <c r="E85" s="3" t="s">
        <v>117</v>
      </c>
      <c r="F85" s="3" t="s">
        <v>11</v>
      </c>
      <c r="G85" s="5"/>
      <c r="H85" s="5">
        <v>34090.910000000003</v>
      </c>
      <c r="I85" s="5"/>
      <c r="J85" s="5">
        <f t="shared" si="2"/>
        <v>34090.910000000003</v>
      </c>
    </row>
    <row r="86" spans="1:10" x14ac:dyDescent="0.25">
      <c r="A86" s="2" t="s">
        <v>118</v>
      </c>
      <c r="B86" s="13">
        <v>46067</v>
      </c>
      <c r="C86" s="2">
        <v>2425</v>
      </c>
      <c r="D86" s="3" t="s">
        <v>15</v>
      </c>
      <c r="E86" s="3" t="s">
        <v>119</v>
      </c>
      <c r="F86" s="3" t="s">
        <v>11</v>
      </c>
      <c r="G86" s="5"/>
      <c r="H86" s="5">
        <v>350</v>
      </c>
      <c r="I86" s="5"/>
      <c r="J86" s="5">
        <f t="shared" si="2"/>
        <v>350</v>
      </c>
    </row>
    <row r="87" spans="1:10" x14ac:dyDescent="0.25">
      <c r="A87" s="2" t="s">
        <v>120</v>
      </c>
      <c r="B87" s="13">
        <v>46067</v>
      </c>
      <c r="C87" s="2">
        <v>2428</v>
      </c>
      <c r="D87" s="3" t="s">
        <v>15</v>
      </c>
      <c r="E87" s="3" t="s">
        <v>121</v>
      </c>
      <c r="F87" s="3" t="s">
        <v>11</v>
      </c>
      <c r="G87" s="5"/>
      <c r="H87" s="5">
        <v>252.84</v>
      </c>
      <c r="I87" s="5"/>
      <c r="J87" s="5">
        <f t="shared" si="2"/>
        <v>252.84</v>
      </c>
    </row>
    <row r="88" spans="1:10" x14ac:dyDescent="0.25">
      <c r="A88" s="2" t="s">
        <v>12</v>
      </c>
      <c r="B88" s="13">
        <v>46069</v>
      </c>
      <c r="C88" s="2">
        <v>2430</v>
      </c>
      <c r="D88" s="3" t="s">
        <v>15</v>
      </c>
      <c r="E88" s="3" t="s">
        <v>13</v>
      </c>
      <c r="F88" s="3" t="s">
        <v>11</v>
      </c>
      <c r="G88" s="5"/>
      <c r="H88" s="5">
        <v>15000</v>
      </c>
      <c r="I88" s="5"/>
      <c r="J88" s="5">
        <f t="shared" si="2"/>
        <v>15000</v>
      </c>
    </row>
    <row r="89" spans="1:10" x14ac:dyDescent="0.25">
      <c r="A89" s="2" t="s">
        <v>44</v>
      </c>
      <c r="B89" s="13">
        <v>46069</v>
      </c>
      <c r="C89" s="2">
        <v>2433</v>
      </c>
      <c r="D89" s="3" t="s">
        <v>15</v>
      </c>
      <c r="E89" s="3" t="s">
        <v>45</v>
      </c>
      <c r="F89" s="3" t="s">
        <v>11</v>
      </c>
      <c r="G89" s="5"/>
      <c r="H89" s="5">
        <v>1887.07</v>
      </c>
      <c r="I89" s="5"/>
      <c r="J89" s="5">
        <f t="shared" si="2"/>
        <v>1887.07</v>
      </c>
    </row>
    <row r="90" spans="1:10" x14ac:dyDescent="0.25">
      <c r="A90" s="2" t="s">
        <v>122</v>
      </c>
      <c r="B90" s="13">
        <v>46069</v>
      </c>
      <c r="C90" s="2">
        <v>2437</v>
      </c>
      <c r="D90" s="3" t="s">
        <v>15</v>
      </c>
      <c r="E90" s="3" t="s">
        <v>123</v>
      </c>
      <c r="F90" s="3" t="s">
        <v>11</v>
      </c>
      <c r="G90" s="5"/>
      <c r="H90" s="5">
        <v>1136.3599999999999</v>
      </c>
      <c r="I90" s="5"/>
      <c r="J90" s="5">
        <f t="shared" si="2"/>
        <v>1136.3599999999999</v>
      </c>
    </row>
    <row r="91" spans="1:10" x14ac:dyDescent="0.25">
      <c r="A91" s="2" t="s">
        <v>56</v>
      </c>
      <c r="B91" s="13">
        <v>46069</v>
      </c>
      <c r="C91" s="2">
        <v>628</v>
      </c>
      <c r="D91" s="3" t="s">
        <v>15</v>
      </c>
      <c r="E91" s="3" t="s">
        <v>57</v>
      </c>
      <c r="F91" s="3" t="s">
        <v>11</v>
      </c>
      <c r="G91" s="5"/>
      <c r="H91" s="5"/>
      <c r="I91" s="5">
        <v>10000</v>
      </c>
      <c r="J91" s="5">
        <f t="shared" si="2"/>
        <v>-10000</v>
      </c>
    </row>
    <row r="92" spans="1:10" x14ac:dyDescent="0.25">
      <c r="A92" s="2" t="s">
        <v>36</v>
      </c>
      <c r="B92" s="13">
        <v>46070</v>
      </c>
      <c r="C92" s="2">
        <v>2445</v>
      </c>
      <c r="D92" s="3" t="s">
        <v>15</v>
      </c>
      <c r="E92" s="3" t="s">
        <v>37</v>
      </c>
      <c r="F92" s="3" t="s">
        <v>11</v>
      </c>
      <c r="G92" s="5"/>
      <c r="H92" s="5">
        <v>200</v>
      </c>
      <c r="I92" s="5"/>
      <c r="J92" s="5">
        <f t="shared" si="2"/>
        <v>200</v>
      </c>
    </row>
    <row r="93" spans="1:10" x14ac:dyDescent="0.25">
      <c r="A93" s="2" t="s">
        <v>40</v>
      </c>
      <c r="B93" s="13">
        <v>46070</v>
      </c>
      <c r="C93" s="2">
        <v>2447</v>
      </c>
      <c r="D93" s="3" t="s">
        <v>15</v>
      </c>
      <c r="E93" s="3" t="s">
        <v>41</v>
      </c>
      <c r="F93" s="3" t="s">
        <v>11</v>
      </c>
      <c r="G93" s="5"/>
      <c r="H93" s="5">
        <v>31</v>
      </c>
      <c r="I93" s="5"/>
      <c r="J93" s="5">
        <f t="shared" si="2"/>
        <v>31</v>
      </c>
    </row>
    <row r="94" spans="1:10" s="27" customFormat="1" x14ac:dyDescent="0.25">
      <c r="A94" s="2" t="s">
        <v>124</v>
      </c>
      <c r="B94" s="13">
        <v>46071</v>
      </c>
      <c r="C94" s="2">
        <v>2452</v>
      </c>
      <c r="D94" s="3" t="s">
        <v>15</v>
      </c>
      <c r="E94" s="3" t="s">
        <v>125</v>
      </c>
      <c r="F94" s="3" t="s">
        <v>11</v>
      </c>
      <c r="G94" s="26"/>
      <c r="H94" s="5">
        <v>20000</v>
      </c>
      <c r="I94" s="26"/>
      <c r="J94" s="5">
        <f t="shared" si="2"/>
        <v>20000</v>
      </c>
    </row>
    <row r="95" spans="1:10" x14ac:dyDescent="0.25">
      <c r="A95" s="2" t="s">
        <v>126</v>
      </c>
      <c r="B95" s="13">
        <v>46071</v>
      </c>
      <c r="C95" s="2">
        <v>2453</v>
      </c>
      <c r="D95" s="3" t="s">
        <v>15</v>
      </c>
      <c r="E95" s="3" t="s">
        <v>127</v>
      </c>
      <c r="F95" s="3" t="s">
        <v>11</v>
      </c>
      <c r="G95" s="5"/>
      <c r="H95" s="5">
        <v>200</v>
      </c>
      <c r="I95" s="5"/>
      <c r="J95" s="5">
        <f t="shared" si="2"/>
        <v>200</v>
      </c>
    </row>
    <row r="96" spans="1:10" x14ac:dyDescent="0.25">
      <c r="A96" s="2" t="s">
        <v>128</v>
      </c>
      <c r="B96" s="13">
        <v>46071</v>
      </c>
      <c r="C96" s="2">
        <v>2454</v>
      </c>
      <c r="D96" s="3" t="s">
        <v>15</v>
      </c>
      <c r="E96" s="3" t="s">
        <v>129</v>
      </c>
      <c r="F96" s="3" t="s">
        <v>11</v>
      </c>
      <c r="G96" s="5"/>
      <c r="H96" s="5">
        <v>3977.27</v>
      </c>
      <c r="I96" s="5"/>
      <c r="J96" s="5">
        <f t="shared" si="2"/>
        <v>3977.27</v>
      </c>
    </row>
    <row r="97" spans="1:10" x14ac:dyDescent="0.25">
      <c r="A97" s="2" t="s">
        <v>19</v>
      </c>
      <c r="B97" s="13">
        <v>46071</v>
      </c>
      <c r="C97" s="2">
        <v>2457</v>
      </c>
      <c r="D97" s="3" t="s">
        <v>15</v>
      </c>
      <c r="E97" s="3" t="s">
        <v>20</v>
      </c>
      <c r="F97" s="3" t="s">
        <v>11</v>
      </c>
      <c r="G97" s="5"/>
      <c r="H97" s="5">
        <v>700</v>
      </c>
      <c r="I97" s="5"/>
      <c r="J97" s="5">
        <f t="shared" si="2"/>
        <v>700</v>
      </c>
    </row>
    <row r="98" spans="1:10" x14ac:dyDescent="0.25">
      <c r="A98" s="2" t="s">
        <v>65</v>
      </c>
      <c r="B98" s="13">
        <v>46071</v>
      </c>
      <c r="C98" s="2">
        <v>631</v>
      </c>
      <c r="D98" s="3" t="s">
        <v>15</v>
      </c>
      <c r="E98" s="3" t="s">
        <v>66</v>
      </c>
      <c r="F98" s="3" t="s">
        <v>11</v>
      </c>
      <c r="G98" s="5"/>
      <c r="H98" s="5"/>
      <c r="I98" s="5">
        <v>5000</v>
      </c>
      <c r="J98" s="5">
        <f t="shared" si="2"/>
        <v>-5000</v>
      </c>
    </row>
    <row r="99" spans="1:10" x14ac:dyDescent="0.25">
      <c r="A99" s="2" t="s">
        <v>104</v>
      </c>
      <c r="B99" s="13">
        <v>46071</v>
      </c>
      <c r="C99" s="2">
        <v>633</v>
      </c>
      <c r="D99" s="3" t="s">
        <v>15</v>
      </c>
      <c r="E99" s="3" t="s">
        <v>105</v>
      </c>
      <c r="F99" s="3" t="s">
        <v>11</v>
      </c>
      <c r="G99" s="5"/>
      <c r="H99" s="5"/>
      <c r="I99" s="5">
        <v>1000</v>
      </c>
      <c r="J99" s="5">
        <f t="shared" si="2"/>
        <v>-1000</v>
      </c>
    </row>
    <row r="100" spans="1:10" x14ac:dyDescent="0.25">
      <c r="A100" s="2" t="s">
        <v>77</v>
      </c>
      <c r="B100" s="13">
        <v>46072</v>
      </c>
      <c r="C100" s="2">
        <v>2459</v>
      </c>
      <c r="D100" s="3" t="s">
        <v>15</v>
      </c>
      <c r="E100" s="3" t="s">
        <v>73</v>
      </c>
      <c r="F100" s="3" t="s">
        <v>11</v>
      </c>
      <c r="G100" s="5"/>
      <c r="H100" s="5">
        <v>1000</v>
      </c>
      <c r="I100" s="5"/>
      <c r="J100" s="5">
        <f t="shared" si="2"/>
        <v>1000</v>
      </c>
    </row>
    <row r="101" spans="1:10" x14ac:dyDescent="0.25">
      <c r="A101" s="2" t="s">
        <v>130</v>
      </c>
      <c r="B101" s="13">
        <v>46073</v>
      </c>
      <c r="C101" s="2">
        <v>2465</v>
      </c>
      <c r="D101" s="3" t="s">
        <v>15</v>
      </c>
      <c r="E101" s="3" t="s">
        <v>131</v>
      </c>
      <c r="F101" s="3" t="s">
        <v>11</v>
      </c>
      <c r="G101" s="5"/>
      <c r="H101" s="5">
        <v>22727.27</v>
      </c>
      <c r="I101" s="5"/>
      <c r="J101" s="5">
        <f t="shared" si="2"/>
        <v>22727.27</v>
      </c>
    </row>
    <row r="102" spans="1:10" x14ac:dyDescent="0.25">
      <c r="A102" s="2" t="s">
        <v>108</v>
      </c>
      <c r="B102" s="13">
        <v>46073</v>
      </c>
      <c r="C102" s="2">
        <v>2467</v>
      </c>
      <c r="D102" s="3" t="s">
        <v>15</v>
      </c>
      <c r="E102" s="3" t="s">
        <v>109</v>
      </c>
      <c r="F102" s="3" t="s">
        <v>11</v>
      </c>
      <c r="G102" s="5"/>
      <c r="H102" s="5">
        <v>200</v>
      </c>
      <c r="I102" s="5"/>
      <c r="J102" s="5">
        <f t="shared" si="2"/>
        <v>200</v>
      </c>
    </row>
    <row r="103" spans="1:10" x14ac:dyDescent="0.25">
      <c r="A103" s="13" t="s">
        <v>132</v>
      </c>
      <c r="B103" s="13">
        <v>46073</v>
      </c>
      <c r="C103" s="2">
        <v>2470</v>
      </c>
      <c r="D103" s="3" t="s">
        <v>15</v>
      </c>
      <c r="E103" s="3" t="s">
        <v>133</v>
      </c>
      <c r="F103" s="3" t="s">
        <v>11</v>
      </c>
      <c r="G103" s="5"/>
      <c r="H103" s="5">
        <v>1159.0899999999999</v>
      </c>
      <c r="I103" s="5"/>
      <c r="J103" s="5">
        <f t="shared" si="2"/>
        <v>1159.0899999999999</v>
      </c>
    </row>
    <row r="104" spans="1:10" x14ac:dyDescent="0.25">
      <c r="A104" s="2" t="s">
        <v>88</v>
      </c>
      <c r="B104" s="13">
        <v>46165</v>
      </c>
      <c r="C104" s="2">
        <v>2473</v>
      </c>
      <c r="D104" s="3" t="s">
        <v>15</v>
      </c>
      <c r="E104" s="3" t="s">
        <v>89</v>
      </c>
      <c r="F104" s="3" t="s">
        <v>11</v>
      </c>
      <c r="G104" s="5"/>
      <c r="H104" s="5">
        <v>2600</v>
      </c>
      <c r="I104" s="5"/>
      <c r="J104" s="5">
        <f t="shared" si="2"/>
        <v>2600</v>
      </c>
    </row>
    <row r="105" spans="1:10" x14ac:dyDescent="0.25">
      <c r="A105" s="2" t="s">
        <v>134</v>
      </c>
      <c r="B105" s="13">
        <v>46076</v>
      </c>
      <c r="C105" s="2">
        <v>2478</v>
      </c>
      <c r="D105" s="3" t="s">
        <v>15</v>
      </c>
      <c r="E105" s="3" t="s">
        <v>135</v>
      </c>
      <c r="F105" s="3" t="s">
        <v>11</v>
      </c>
      <c r="G105" s="5"/>
      <c r="H105" s="5">
        <v>28000</v>
      </c>
      <c r="I105" s="5"/>
      <c r="J105" s="5">
        <f t="shared" si="2"/>
        <v>28000</v>
      </c>
    </row>
    <row r="106" spans="1:10" x14ac:dyDescent="0.25">
      <c r="A106" s="2" t="s">
        <v>29</v>
      </c>
      <c r="B106" s="13">
        <v>46077</v>
      </c>
      <c r="C106" s="2">
        <v>637</v>
      </c>
      <c r="D106" s="3" t="s">
        <v>15</v>
      </c>
      <c r="E106" s="3" t="s">
        <v>160</v>
      </c>
      <c r="F106" s="3" t="s">
        <v>11</v>
      </c>
      <c r="G106" s="5"/>
      <c r="H106" s="5"/>
      <c r="I106" s="5">
        <v>7000</v>
      </c>
      <c r="J106" s="5">
        <f t="shared" si="2"/>
        <v>-7000</v>
      </c>
    </row>
    <row r="107" spans="1:10" x14ac:dyDescent="0.25">
      <c r="A107" s="2" t="s">
        <v>58</v>
      </c>
      <c r="B107" s="13">
        <v>46078</v>
      </c>
      <c r="C107" s="2">
        <v>638</v>
      </c>
      <c r="D107" s="3" t="s">
        <v>15</v>
      </c>
      <c r="E107" s="3" t="s">
        <v>59</v>
      </c>
      <c r="F107" s="3" t="s">
        <v>11</v>
      </c>
      <c r="G107" s="5"/>
      <c r="H107" s="5"/>
      <c r="I107" s="5">
        <v>1200</v>
      </c>
      <c r="J107" s="5">
        <f t="shared" si="2"/>
        <v>-1200</v>
      </c>
    </row>
    <row r="108" spans="1:10" x14ac:dyDescent="0.25">
      <c r="A108" s="2" t="s">
        <v>30</v>
      </c>
      <c r="B108" s="13">
        <v>46078</v>
      </c>
      <c r="C108" s="2">
        <v>2487</v>
      </c>
      <c r="D108" s="3" t="s">
        <v>15</v>
      </c>
      <c r="E108" s="3" t="s">
        <v>136</v>
      </c>
      <c r="F108" s="3" t="s">
        <v>11</v>
      </c>
      <c r="G108" s="5"/>
      <c r="H108" s="5">
        <v>200</v>
      </c>
      <c r="I108" s="5"/>
      <c r="J108" s="5">
        <f t="shared" si="2"/>
        <v>200</v>
      </c>
    </row>
    <row r="109" spans="1:10" x14ac:dyDescent="0.25">
      <c r="A109" s="2" t="s">
        <v>52</v>
      </c>
      <c r="B109" s="13">
        <v>46078</v>
      </c>
      <c r="C109" s="2">
        <v>2490</v>
      </c>
      <c r="D109" s="3" t="s">
        <v>15</v>
      </c>
      <c r="E109" s="3" t="s">
        <v>53</v>
      </c>
      <c r="F109" s="3" t="s">
        <v>11</v>
      </c>
      <c r="G109" s="5"/>
      <c r="H109" s="5">
        <v>10000</v>
      </c>
      <c r="I109" s="5"/>
      <c r="J109" s="5">
        <f t="shared" si="2"/>
        <v>10000</v>
      </c>
    </row>
    <row r="110" spans="1:10" x14ac:dyDescent="0.25">
      <c r="A110" s="2" t="s">
        <v>137</v>
      </c>
      <c r="B110" s="13">
        <v>46078</v>
      </c>
      <c r="C110" s="2">
        <v>2493</v>
      </c>
      <c r="D110" s="3" t="s">
        <v>15</v>
      </c>
      <c r="E110" s="3" t="s">
        <v>138</v>
      </c>
      <c r="F110" s="3" t="s">
        <v>11</v>
      </c>
      <c r="G110" s="5"/>
      <c r="H110" s="5">
        <v>1022.72</v>
      </c>
      <c r="I110" s="5"/>
      <c r="J110" s="5">
        <f t="shared" si="2"/>
        <v>1022.72</v>
      </c>
    </row>
    <row r="111" spans="1:10" x14ac:dyDescent="0.25">
      <c r="A111" s="2" t="s">
        <v>139</v>
      </c>
      <c r="B111" s="13">
        <v>46078</v>
      </c>
      <c r="C111" s="2">
        <v>2495</v>
      </c>
      <c r="D111" s="3" t="s">
        <v>15</v>
      </c>
      <c r="E111" s="3" t="s">
        <v>140</v>
      </c>
      <c r="F111" s="3" t="s">
        <v>11</v>
      </c>
      <c r="G111" s="5"/>
      <c r="H111" s="5">
        <v>125</v>
      </c>
      <c r="I111" s="5"/>
      <c r="J111" s="5">
        <f t="shared" si="2"/>
        <v>125</v>
      </c>
    </row>
    <row r="112" spans="1:10" x14ac:dyDescent="0.25">
      <c r="A112" s="2" t="s">
        <v>30</v>
      </c>
      <c r="B112" s="13">
        <v>46079</v>
      </c>
      <c r="C112" s="2">
        <v>2502</v>
      </c>
      <c r="D112" s="3" t="s">
        <v>15</v>
      </c>
      <c r="E112" s="3" t="s">
        <v>31</v>
      </c>
      <c r="F112" s="3" t="s">
        <v>11</v>
      </c>
      <c r="G112" s="5"/>
      <c r="H112" s="5">
        <v>20</v>
      </c>
      <c r="I112" s="5"/>
      <c r="J112" s="5">
        <f t="shared" si="2"/>
        <v>20</v>
      </c>
    </row>
    <row r="113" spans="1:10" x14ac:dyDescent="0.25">
      <c r="A113" s="2" t="s">
        <v>29</v>
      </c>
      <c r="B113" s="13">
        <v>46080</v>
      </c>
      <c r="C113" s="2">
        <v>2503</v>
      </c>
      <c r="D113" s="3" t="s">
        <v>15</v>
      </c>
      <c r="E113" s="3" t="s">
        <v>160</v>
      </c>
      <c r="F113" s="3" t="s">
        <v>11</v>
      </c>
      <c r="G113" s="5"/>
      <c r="H113" s="5">
        <v>1000</v>
      </c>
      <c r="I113" s="5"/>
      <c r="J113" s="5">
        <f t="shared" si="2"/>
        <v>1000</v>
      </c>
    </row>
    <row r="114" spans="1:10" x14ac:dyDescent="0.25">
      <c r="A114" s="2" t="s">
        <v>141</v>
      </c>
      <c r="B114" s="13">
        <v>46080</v>
      </c>
      <c r="C114" s="2">
        <v>2511</v>
      </c>
      <c r="D114" s="3" t="s">
        <v>15</v>
      </c>
      <c r="E114" s="3" t="s">
        <v>142</v>
      </c>
      <c r="F114" s="3" t="s">
        <v>11</v>
      </c>
      <c r="G114" s="5"/>
      <c r="H114" s="5">
        <v>100</v>
      </c>
      <c r="I114" s="5"/>
      <c r="J114" s="5">
        <f t="shared" si="2"/>
        <v>100</v>
      </c>
    </row>
    <row r="115" spans="1:10" x14ac:dyDescent="0.25">
      <c r="A115" s="2" t="s">
        <v>143</v>
      </c>
      <c r="B115" s="13">
        <v>46080</v>
      </c>
      <c r="C115" s="2">
        <v>2519</v>
      </c>
      <c r="D115" s="3" t="s">
        <v>15</v>
      </c>
      <c r="E115" s="3" t="s">
        <v>144</v>
      </c>
      <c r="F115" s="3" t="s">
        <v>11</v>
      </c>
      <c r="G115" s="5"/>
      <c r="H115" s="5">
        <v>150</v>
      </c>
      <c r="I115" s="5"/>
      <c r="J115" s="5">
        <f t="shared" si="2"/>
        <v>150</v>
      </c>
    </row>
    <row r="116" spans="1:10" x14ac:dyDescent="0.25">
      <c r="A116" s="2" t="s">
        <v>12</v>
      </c>
      <c r="B116" s="13">
        <v>46080</v>
      </c>
      <c r="C116" s="2">
        <v>2520</v>
      </c>
      <c r="D116" s="3" t="s">
        <v>15</v>
      </c>
      <c r="E116" s="3" t="s">
        <v>13</v>
      </c>
      <c r="F116" s="3" t="s">
        <v>11</v>
      </c>
      <c r="G116" s="5"/>
      <c r="H116" s="5">
        <v>15000</v>
      </c>
      <c r="I116" s="5"/>
      <c r="J116" s="5">
        <f t="shared" si="2"/>
        <v>15000</v>
      </c>
    </row>
    <row r="117" spans="1:10" x14ac:dyDescent="0.25">
      <c r="A117" s="2" t="s">
        <v>145</v>
      </c>
      <c r="B117" s="13">
        <v>46080</v>
      </c>
      <c r="C117" s="2">
        <v>2525</v>
      </c>
      <c r="D117" s="3" t="s">
        <v>15</v>
      </c>
      <c r="E117" s="3" t="s">
        <v>146</v>
      </c>
      <c r="F117" s="3" t="s">
        <v>11</v>
      </c>
      <c r="G117" s="5"/>
      <c r="H117" s="5">
        <v>1147.72</v>
      </c>
      <c r="I117" s="5"/>
      <c r="J117" s="5">
        <f t="shared" si="2"/>
        <v>1147.72</v>
      </c>
    </row>
    <row r="118" spans="1:10" x14ac:dyDescent="0.25">
      <c r="A118" s="2" t="s">
        <v>147</v>
      </c>
      <c r="B118" s="13">
        <v>46080</v>
      </c>
      <c r="C118" s="2">
        <v>2527</v>
      </c>
      <c r="D118" s="3" t="s">
        <v>15</v>
      </c>
      <c r="E118" s="3" t="s">
        <v>148</v>
      </c>
      <c r="F118" s="3" t="s">
        <v>11</v>
      </c>
      <c r="G118" s="5"/>
      <c r="H118" s="5">
        <v>1147.72</v>
      </c>
      <c r="I118" s="5"/>
      <c r="J118" s="5">
        <f t="shared" si="2"/>
        <v>1147.72</v>
      </c>
    </row>
    <row r="119" spans="1:10" x14ac:dyDescent="0.25">
      <c r="A119" s="2" t="s">
        <v>149</v>
      </c>
      <c r="B119" s="13">
        <v>46080</v>
      </c>
      <c r="C119" s="2">
        <v>2529</v>
      </c>
      <c r="D119" s="3" t="s">
        <v>15</v>
      </c>
      <c r="E119" s="3" t="s">
        <v>150</v>
      </c>
      <c r="F119" s="3" t="s">
        <v>11</v>
      </c>
      <c r="G119" s="5"/>
      <c r="H119" s="5">
        <v>34090.910000000003</v>
      </c>
      <c r="I119" s="5"/>
      <c r="J119" s="5">
        <f t="shared" si="2"/>
        <v>34090.910000000003</v>
      </c>
    </row>
    <row r="120" spans="1:10" x14ac:dyDescent="0.25">
      <c r="A120" s="2" t="s">
        <v>151</v>
      </c>
      <c r="B120" s="13">
        <v>46080</v>
      </c>
      <c r="C120" s="2">
        <v>2531</v>
      </c>
      <c r="D120" s="3" t="s">
        <v>15</v>
      </c>
      <c r="E120" s="3" t="s">
        <v>152</v>
      </c>
      <c r="F120" s="3" t="s">
        <v>11</v>
      </c>
      <c r="G120" s="5"/>
      <c r="H120" s="5">
        <v>45454.55</v>
      </c>
      <c r="I120" s="5"/>
      <c r="J120" s="5">
        <f t="shared" si="2"/>
        <v>45454.55</v>
      </c>
    </row>
    <row r="121" spans="1:10" x14ac:dyDescent="0.25">
      <c r="A121" s="2" t="s">
        <v>153</v>
      </c>
      <c r="B121" s="13">
        <v>46080</v>
      </c>
      <c r="C121" s="2">
        <v>2533</v>
      </c>
      <c r="D121" s="3" t="s">
        <v>15</v>
      </c>
      <c r="E121" s="3" t="s">
        <v>154</v>
      </c>
      <c r="F121" s="3" t="s">
        <v>11</v>
      </c>
      <c r="G121" s="5"/>
      <c r="H121" s="5">
        <v>68181.820000000007</v>
      </c>
      <c r="I121" s="5"/>
      <c r="J121" s="5">
        <f t="shared" si="2"/>
        <v>68181.820000000007</v>
      </c>
    </row>
    <row r="122" spans="1:10" x14ac:dyDescent="0.25">
      <c r="A122" s="2" t="s">
        <v>161</v>
      </c>
      <c r="B122" s="13">
        <v>46080</v>
      </c>
      <c r="C122" s="2">
        <v>640</v>
      </c>
      <c r="D122" s="3" t="s">
        <v>15</v>
      </c>
      <c r="E122" s="3" t="s">
        <v>162</v>
      </c>
      <c r="F122" s="3" t="s">
        <v>11</v>
      </c>
      <c r="G122" s="5"/>
      <c r="H122" s="5"/>
      <c r="I122" s="5">
        <v>500</v>
      </c>
      <c r="J122" s="5">
        <f t="shared" si="2"/>
        <v>-500</v>
      </c>
    </row>
    <row r="123" spans="1:10" x14ac:dyDescent="0.25">
      <c r="A123" s="2" t="s">
        <v>23</v>
      </c>
      <c r="B123" s="13">
        <v>46080</v>
      </c>
      <c r="C123" s="2">
        <v>641</v>
      </c>
      <c r="D123" s="3" t="s">
        <v>15</v>
      </c>
      <c r="E123" s="3" t="s">
        <v>24</v>
      </c>
      <c r="F123" s="3" t="s">
        <v>11</v>
      </c>
      <c r="G123" s="5"/>
      <c r="H123" s="5"/>
      <c r="I123" s="5">
        <v>500</v>
      </c>
      <c r="J123" s="5">
        <f t="shared" si="2"/>
        <v>-500</v>
      </c>
    </row>
    <row r="124" spans="1:10" x14ac:dyDescent="0.25">
      <c r="A124" s="2" t="s">
        <v>163</v>
      </c>
      <c r="B124" s="13">
        <v>46080</v>
      </c>
      <c r="C124" s="2">
        <v>642</v>
      </c>
      <c r="D124" s="3" t="s">
        <v>15</v>
      </c>
      <c r="E124" s="3" t="s">
        <v>164</v>
      </c>
      <c r="F124" s="3" t="s">
        <v>11</v>
      </c>
      <c r="G124" s="5"/>
      <c r="H124" s="5"/>
      <c r="I124" s="5">
        <v>1100.18</v>
      </c>
      <c r="J124" s="5">
        <f t="shared" si="2"/>
        <v>-1100.18</v>
      </c>
    </row>
    <row r="125" spans="1:10" x14ac:dyDescent="0.25">
      <c r="A125" s="2" t="s">
        <v>165</v>
      </c>
      <c r="B125" s="13">
        <v>46080</v>
      </c>
      <c r="C125" s="2">
        <v>644</v>
      </c>
      <c r="D125" s="3" t="s">
        <v>15</v>
      </c>
      <c r="E125" s="3" t="s">
        <v>166</v>
      </c>
      <c r="F125" s="3" t="s">
        <v>11</v>
      </c>
      <c r="G125" s="5"/>
      <c r="H125" s="5"/>
      <c r="I125" s="5">
        <v>344.12</v>
      </c>
      <c r="J125" s="5">
        <f t="shared" si="2"/>
        <v>-344.12</v>
      </c>
    </row>
    <row r="126" spans="1:10" x14ac:dyDescent="0.25">
      <c r="A126" s="13" t="s">
        <v>167</v>
      </c>
      <c r="B126" s="13">
        <v>46080</v>
      </c>
      <c r="C126" s="2">
        <v>646</v>
      </c>
      <c r="D126" s="3" t="s">
        <v>15</v>
      </c>
      <c r="E126" s="3" t="s">
        <v>168</v>
      </c>
      <c r="F126" s="3" t="s">
        <v>11</v>
      </c>
      <c r="G126" s="5"/>
      <c r="H126" s="5"/>
      <c r="I126" s="5">
        <v>2000</v>
      </c>
      <c r="J126" s="5">
        <f t="shared" si="2"/>
        <v>-2000</v>
      </c>
    </row>
    <row r="127" spans="1:10" x14ac:dyDescent="0.25">
      <c r="A127" s="2" t="s">
        <v>155</v>
      </c>
      <c r="B127" s="13">
        <v>46081</v>
      </c>
      <c r="C127" s="2">
        <v>2537</v>
      </c>
      <c r="D127" s="3" t="s">
        <v>15</v>
      </c>
      <c r="E127" s="3" t="s">
        <v>156</v>
      </c>
      <c r="F127" s="3" t="s">
        <v>11</v>
      </c>
      <c r="G127" s="5"/>
      <c r="H127" s="5">
        <v>4000</v>
      </c>
      <c r="I127" s="5"/>
      <c r="J127" s="5">
        <f t="shared" si="2"/>
        <v>4000</v>
      </c>
    </row>
    <row r="128" spans="1:10" x14ac:dyDescent="0.25">
      <c r="A128" s="2" t="s">
        <v>192</v>
      </c>
      <c r="B128" s="13">
        <v>46081</v>
      </c>
      <c r="C128" s="2">
        <v>2538</v>
      </c>
      <c r="D128" s="3" t="s">
        <v>15</v>
      </c>
      <c r="E128" s="3" t="s">
        <v>193</v>
      </c>
      <c r="F128" s="3" t="s">
        <v>11</v>
      </c>
      <c r="G128" s="5"/>
      <c r="H128" s="5">
        <v>2840.91</v>
      </c>
      <c r="I128" s="5"/>
      <c r="J128" s="5">
        <f t="shared" si="2"/>
        <v>2840.91</v>
      </c>
    </row>
    <row r="129" spans="1:12" x14ac:dyDescent="0.25">
      <c r="A129" s="2" t="s">
        <v>42</v>
      </c>
      <c r="B129" s="13">
        <v>46081</v>
      </c>
      <c r="C129" s="2">
        <v>649</v>
      </c>
      <c r="D129" s="3" t="s">
        <v>15</v>
      </c>
      <c r="E129" s="3" t="s">
        <v>43</v>
      </c>
      <c r="F129" s="3" t="s">
        <v>11</v>
      </c>
      <c r="G129" s="5"/>
      <c r="H129" s="5"/>
      <c r="I129" s="5">
        <v>200</v>
      </c>
      <c r="J129" s="5">
        <f t="shared" si="2"/>
        <v>-200</v>
      </c>
      <c r="K129" t="s">
        <v>311</v>
      </c>
      <c r="L129" t="s">
        <v>312</v>
      </c>
    </row>
    <row r="130" spans="1:12" x14ac:dyDescent="0.25">
      <c r="A130" s="2" t="s">
        <v>305</v>
      </c>
      <c r="B130" s="13">
        <v>46081</v>
      </c>
      <c r="C130" s="2">
        <v>650</v>
      </c>
      <c r="D130" s="3" t="s">
        <v>15</v>
      </c>
      <c r="E130" s="3" t="s">
        <v>18</v>
      </c>
      <c r="F130" s="3" t="s">
        <v>11</v>
      </c>
      <c r="G130" s="5"/>
      <c r="H130" s="5"/>
      <c r="I130" s="5">
        <v>1000</v>
      </c>
      <c r="J130" s="5">
        <f t="shared" si="2"/>
        <v>-1000</v>
      </c>
      <c r="K130" s="4">
        <f>SUM(H59:H130)</f>
        <v>518411.33999999991</v>
      </c>
      <c r="L130" s="4">
        <f>SUM(I60:I130)</f>
        <v>48214.87</v>
      </c>
    </row>
    <row r="131" spans="1:12" x14ac:dyDescent="0.25">
      <c r="A131" s="2" t="s">
        <v>301</v>
      </c>
      <c r="B131" s="13">
        <v>46083</v>
      </c>
      <c r="C131" s="2">
        <v>2542</v>
      </c>
      <c r="D131" s="3" t="s">
        <v>10</v>
      </c>
      <c r="E131" s="3" t="s">
        <v>169</v>
      </c>
      <c r="F131" s="3" t="s">
        <v>11</v>
      </c>
      <c r="G131" s="18">
        <v>0</v>
      </c>
      <c r="H131" s="18">
        <v>500</v>
      </c>
      <c r="I131" s="18">
        <v>0</v>
      </c>
      <c r="J131" s="18">
        <f t="shared" si="2"/>
        <v>500</v>
      </c>
    </row>
    <row r="132" spans="1:12" x14ac:dyDescent="0.25">
      <c r="A132" s="2" t="s">
        <v>170</v>
      </c>
      <c r="B132" s="13">
        <v>46083</v>
      </c>
      <c r="C132" s="2">
        <v>2545</v>
      </c>
      <c r="D132" s="3" t="s">
        <v>15</v>
      </c>
      <c r="E132" s="3" t="s">
        <v>171</v>
      </c>
      <c r="F132" s="3" t="s">
        <v>11</v>
      </c>
      <c r="G132" s="5"/>
      <c r="H132" s="5">
        <v>45454.55</v>
      </c>
      <c r="I132" s="5">
        <v>0</v>
      </c>
      <c r="J132" s="5">
        <f t="shared" si="2"/>
        <v>45454.55</v>
      </c>
    </row>
    <row r="133" spans="1:12" x14ac:dyDescent="0.25">
      <c r="A133" s="13" t="s">
        <v>64</v>
      </c>
      <c r="B133" s="13">
        <v>46083</v>
      </c>
      <c r="C133" s="2">
        <v>2548</v>
      </c>
      <c r="D133" s="3" t="s">
        <v>15</v>
      </c>
      <c r="E133" s="3" t="s">
        <v>172</v>
      </c>
      <c r="F133" s="3" t="s">
        <v>11</v>
      </c>
      <c r="G133" s="5"/>
      <c r="H133" s="5">
        <v>12314</v>
      </c>
      <c r="I133" s="5">
        <v>0</v>
      </c>
      <c r="J133" s="5">
        <f t="shared" ref="J133:J164" si="3">G133+H133-I133</f>
        <v>12314</v>
      </c>
    </row>
    <row r="134" spans="1:12" x14ac:dyDescent="0.25">
      <c r="A134" s="13" t="s">
        <v>173</v>
      </c>
      <c r="B134" s="13">
        <v>46084</v>
      </c>
      <c r="C134" s="2">
        <v>2553</v>
      </c>
      <c r="D134" s="3" t="s">
        <v>15</v>
      </c>
      <c r="E134" s="3" t="s">
        <v>174</v>
      </c>
      <c r="F134" s="3" t="s">
        <v>11</v>
      </c>
      <c r="G134" s="5"/>
      <c r="H134" s="5">
        <v>500</v>
      </c>
      <c r="I134" s="5">
        <v>0</v>
      </c>
      <c r="J134" s="5">
        <f t="shared" si="3"/>
        <v>500</v>
      </c>
    </row>
    <row r="135" spans="1:12" x14ac:dyDescent="0.25">
      <c r="A135" s="2" t="s">
        <v>48</v>
      </c>
      <c r="B135" s="13">
        <v>46084</v>
      </c>
      <c r="C135" s="2">
        <v>2554</v>
      </c>
      <c r="D135" s="3" t="s">
        <v>15</v>
      </c>
      <c r="E135" s="3" t="s">
        <v>49</v>
      </c>
      <c r="F135" s="3" t="s">
        <v>11</v>
      </c>
      <c r="G135" s="5"/>
      <c r="H135" s="5">
        <v>600</v>
      </c>
      <c r="I135" s="5">
        <v>0</v>
      </c>
      <c r="J135" s="5">
        <f t="shared" si="3"/>
        <v>600</v>
      </c>
    </row>
    <row r="136" spans="1:12" x14ac:dyDescent="0.25">
      <c r="A136" s="2" t="s">
        <v>19</v>
      </c>
      <c r="B136" s="13">
        <v>46085</v>
      </c>
      <c r="C136" s="2">
        <v>2558</v>
      </c>
      <c r="D136" s="3" t="s">
        <v>15</v>
      </c>
      <c r="E136" s="3" t="s">
        <v>20</v>
      </c>
      <c r="F136" s="3" t="s">
        <v>11</v>
      </c>
      <c r="G136" s="5"/>
      <c r="H136" s="5">
        <v>2000</v>
      </c>
      <c r="I136" s="5">
        <v>0</v>
      </c>
      <c r="J136" s="5">
        <f t="shared" si="3"/>
        <v>2000</v>
      </c>
    </row>
    <row r="137" spans="1:12" x14ac:dyDescent="0.25">
      <c r="A137" s="13" t="s">
        <v>82</v>
      </c>
      <c r="B137" s="13">
        <v>46085</v>
      </c>
      <c r="C137" s="2">
        <v>653</v>
      </c>
      <c r="D137" s="3" t="s">
        <v>15</v>
      </c>
      <c r="E137" s="3" t="s">
        <v>83</v>
      </c>
      <c r="F137" s="3" t="s">
        <v>11</v>
      </c>
      <c r="G137" s="5"/>
      <c r="H137" s="5"/>
      <c r="I137" s="5">
        <v>200</v>
      </c>
      <c r="J137" s="5">
        <f t="shared" si="3"/>
        <v>-200</v>
      </c>
    </row>
    <row r="138" spans="1:12" x14ac:dyDescent="0.25">
      <c r="A138" s="2" t="s">
        <v>180</v>
      </c>
      <c r="B138" s="13">
        <v>46085</v>
      </c>
      <c r="C138" s="2">
        <v>654</v>
      </c>
      <c r="D138" s="3" t="s">
        <v>15</v>
      </c>
      <c r="E138" s="3" t="s">
        <v>181</v>
      </c>
      <c r="F138" s="3" t="s">
        <v>11</v>
      </c>
      <c r="G138" s="5"/>
      <c r="H138" s="5"/>
      <c r="I138" s="5">
        <v>800</v>
      </c>
      <c r="J138" s="5">
        <f t="shared" si="3"/>
        <v>-800</v>
      </c>
    </row>
    <row r="139" spans="1:12" x14ac:dyDescent="0.25">
      <c r="A139" s="2" t="s">
        <v>145</v>
      </c>
      <c r="B139" s="13">
        <v>46086</v>
      </c>
      <c r="C139" s="2">
        <v>2562</v>
      </c>
      <c r="D139" s="3" t="s">
        <v>15</v>
      </c>
      <c r="E139" s="3" t="s">
        <v>175</v>
      </c>
      <c r="F139" s="3" t="s">
        <v>11</v>
      </c>
      <c r="G139" s="5"/>
      <c r="H139" s="5">
        <v>1147.72</v>
      </c>
      <c r="I139" s="5"/>
      <c r="J139" s="5">
        <f t="shared" si="3"/>
        <v>1147.72</v>
      </c>
    </row>
    <row r="140" spans="1:12" x14ac:dyDescent="0.25">
      <c r="A140" s="2" t="s">
        <v>94</v>
      </c>
      <c r="B140" s="13">
        <v>46086</v>
      </c>
      <c r="C140" s="2">
        <v>656</v>
      </c>
      <c r="D140" s="3" t="s">
        <v>15</v>
      </c>
      <c r="E140" s="3" t="s">
        <v>95</v>
      </c>
      <c r="F140" s="3" t="s">
        <v>11</v>
      </c>
      <c r="G140" s="5"/>
      <c r="H140" s="5"/>
      <c r="I140" s="5">
        <v>600</v>
      </c>
      <c r="J140" s="5">
        <f t="shared" si="3"/>
        <v>-600</v>
      </c>
    </row>
    <row r="141" spans="1:12" x14ac:dyDescent="0.25">
      <c r="A141" s="2" t="s">
        <v>114</v>
      </c>
      <c r="B141" s="13">
        <v>46087</v>
      </c>
      <c r="C141" s="2">
        <v>2568</v>
      </c>
      <c r="D141" s="3" t="s">
        <v>15</v>
      </c>
      <c r="E141" s="3" t="s">
        <v>191</v>
      </c>
      <c r="F141" s="3" t="s">
        <v>11</v>
      </c>
      <c r="G141" s="5"/>
      <c r="H141" s="5">
        <v>5000</v>
      </c>
      <c r="I141" s="5"/>
      <c r="J141" s="5">
        <f t="shared" si="3"/>
        <v>5000</v>
      </c>
    </row>
    <row r="142" spans="1:12" x14ac:dyDescent="0.25">
      <c r="A142" s="2" t="s">
        <v>30</v>
      </c>
      <c r="B142" s="13">
        <v>46087</v>
      </c>
      <c r="C142" s="2">
        <v>657</v>
      </c>
      <c r="D142" s="3" t="s">
        <v>15</v>
      </c>
      <c r="E142" s="3" t="s">
        <v>31</v>
      </c>
      <c r="F142" s="3" t="s">
        <v>11</v>
      </c>
      <c r="G142" s="5"/>
      <c r="H142" s="5"/>
      <c r="I142" s="5">
        <v>400</v>
      </c>
      <c r="J142" s="5">
        <f t="shared" si="3"/>
        <v>-400</v>
      </c>
    </row>
    <row r="143" spans="1:12" x14ac:dyDescent="0.25">
      <c r="A143" s="2" t="s">
        <v>182</v>
      </c>
      <c r="B143" s="13">
        <v>46087</v>
      </c>
      <c r="C143" s="2">
        <v>658</v>
      </c>
      <c r="D143" s="3" t="s">
        <v>15</v>
      </c>
      <c r="E143" s="3" t="s">
        <v>183</v>
      </c>
      <c r="F143" s="3" t="s">
        <v>11</v>
      </c>
      <c r="G143" s="5"/>
      <c r="H143" s="5"/>
      <c r="I143" s="5">
        <v>1000</v>
      </c>
      <c r="J143" s="5">
        <f t="shared" si="3"/>
        <v>-1000</v>
      </c>
    </row>
    <row r="144" spans="1:12" x14ac:dyDescent="0.25">
      <c r="A144" s="2" t="s">
        <v>19</v>
      </c>
      <c r="B144" s="13">
        <v>46088</v>
      </c>
      <c r="C144" s="2">
        <v>659</v>
      </c>
      <c r="D144" s="3" t="s">
        <v>15</v>
      </c>
      <c r="E144" s="3" t="s">
        <v>20</v>
      </c>
      <c r="F144" s="3" t="s">
        <v>11</v>
      </c>
      <c r="G144" s="5"/>
      <c r="H144" s="5"/>
      <c r="I144" s="5">
        <v>449</v>
      </c>
      <c r="J144" s="5">
        <f t="shared" si="3"/>
        <v>-449</v>
      </c>
    </row>
    <row r="145" spans="1:10" x14ac:dyDescent="0.25">
      <c r="A145" s="2" t="s">
        <v>187</v>
      </c>
      <c r="B145" s="13">
        <v>46087</v>
      </c>
      <c r="C145" s="2">
        <v>2569</v>
      </c>
      <c r="D145" s="3" t="s">
        <v>15</v>
      </c>
      <c r="E145" s="3" t="s">
        <v>188</v>
      </c>
      <c r="F145" s="3" t="s">
        <v>11</v>
      </c>
      <c r="G145" s="5"/>
      <c r="H145" s="5">
        <v>34090.910000000003</v>
      </c>
      <c r="I145" s="5"/>
      <c r="J145" s="5">
        <f t="shared" si="3"/>
        <v>34090.910000000003</v>
      </c>
    </row>
    <row r="146" spans="1:10" x14ac:dyDescent="0.25">
      <c r="A146" s="2" t="s">
        <v>177</v>
      </c>
      <c r="B146" s="13">
        <v>46090</v>
      </c>
      <c r="C146" s="2">
        <v>2580</v>
      </c>
      <c r="D146" s="3" t="s">
        <v>15</v>
      </c>
      <c r="E146" s="3" t="s">
        <v>176</v>
      </c>
      <c r="F146" s="3" t="s">
        <v>11</v>
      </c>
      <c r="G146" s="5"/>
      <c r="H146" s="5">
        <v>5000</v>
      </c>
      <c r="I146" s="5"/>
      <c r="J146" s="5">
        <f t="shared" si="3"/>
        <v>5000</v>
      </c>
    </row>
    <row r="147" spans="1:10" x14ac:dyDescent="0.25">
      <c r="A147" s="2" t="s">
        <v>189</v>
      </c>
      <c r="B147" s="13">
        <v>46090</v>
      </c>
      <c r="C147" s="2">
        <v>2584</v>
      </c>
      <c r="D147" s="3" t="s">
        <v>15</v>
      </c>
      <c r="E147" s="3" t="s">
        <v>190</v>
      </c>
      <c r="F147" s="3" t="s">
        <v>11</v>
      </c>
      <c r="G147" s="5"/>
      <c r="H147" s="5">
        <v>68181.820000000007</v>
      </c>
      <c r="I147" s="5"/>
      <c r="J147" s="5">
        <f t="shared" si="3"/>
        <v>68181.820000000007</v>
      </c>
    </row>
    <row r="148" spans="1:10" x14ac:dyDescent="0.25">
      <c r="A148" s="2" t="s">
        <v>184</v>
      </c>
      <c r="B148" s="13">
        <v>46090</v>
      </c>
      <c r="C148" s="2">
        <v>660</v>
      </c>
      <c r="D148" s="3" t="s">
        <v>15</v>
      </c>
      <c r="E148" s="3" t="s">
        <v>185</v>
      </c>
      <c r="F148" s="3" t="s">
        <v>11</v>
      </c>
      <c r="G148" s="5"/>
      <c r="H148" s="5"/>
      <c r="I148" s="5">
        <v>150</v>
      </c>
      <c r="J148" s="5">
        <f t="shared" si="3"/>
        <v>-150</v>
      </c>
    </row>
    <row r="149" spans="1:10" x14ac:dyDescent="0.25">
      <c r="A149" s="2" t="s">
        <v>178</v>
      </c>
      <c r="B149" s="13">
        <v>46091</v>
      </c>
      <c r="C149" s="2">
        <v>2588</v>
      </c>
      <c r="D149" s="3" t="s">
        <v>15</v>
      </c>
      <c r="E149" s="3" t="s">
        <v>179</v>
      </c>
      <c r="F149" s="3" t="s">
        <v>11</v>
      </c>
      <c r="G149" s="5"/>
      <c r="H149" s="5">
        <v>1147.75</v>
      </c>
      <c r="I149" s="5"/>
      <c r="J149" s="5">
        <f t="shared" si="3"/>
        <v>1147.75</v>
      </c>
    </row>
    <row r="150" spans="1:10" x14ac:dyDescent="0.25">
      <c r="A150" s="13" t="s">
        <v>19</v>
      </c>
      <c r="B150" s="13">
        <v>46093</v>
      </c>
      <c r="C150" s="2">
        <v>662</v>
      </c>
      <c r="D150" s="3" t="s">
        <v>15</v>
      </c>
      <c r="E150" s="3" t="s">
        <v>20</v>
      </c>
      <c r="F150" s="3" t="s">
        <v>11</v>
      </c>
      <c r="G150" s="5"/>
      <c r="H150" s="5"/>
      <c r="I150" s="5">
        <v>500</v>
      </c>
      <c r="J150" s="5">
        <f t="shared" si="3"/>
        <v>-500</v>
      </c>
    </row>
    <row r="151" spans="1:10" x14ac:dyDescent="0.25">
      <c r="A151" s="2" t="s">
        <v>52</v>
      </c>
      <c r="B151" s="13">
        <v>46093</v>
      </c>
      <c r="C151" s="2">
        <v>2594</v>
      </c>
      <c r="D151" s="3" t="s">
        <v>15</v>
      </c>
      <c r="E151" s="3" t="s">
        <v>53</v>
      </c>
      <c r="F151" s="3" t="s">
        <v>11</v>
      </c>
      <c r="G151" s="5"/>
      <c r="H151" s="5">
        <v>10000</v>
      </c>
      <c r="I151" s="5"/>
      <c r="J151" s="5">
        <f t="shared" si="3"/>
        <v>10000</v>
      </c>
    </row>
    <row r="152" spans="1:10" x14ac:dyDescent="0.25">
      <c r="A152" s="13" t="s">
        <v>194</v>
      </c>
      <c r="B152" s="13">
        <v>46094</v>
      </c>
      <c r="C152" s="2">
        <v>664</v>
      </c>
      <c r="D152" s="3" t="s">
        <v>15</v>
      </c>
      <c r="E152" s="3" t="s">
        <v>43</v>
      </c>
      <c r="F152" s="3" t="s">
        <v>11</v>
      </c>
      <c r="G152" s="5"/>
      <c r="H152" s="5"/>
      <c r="I152" s="5">
        <v>200</v>
      </c>
      <c r="J152" s="5">
        <f t="shared" si="3"/>
        <v>-200</v>
      </c>
    </row>
    <row r="153" spans="1:10" x14ac:dyDescent="0.25">
      <c r="A153" s="13"/>
      <c r="B153" s="13">
        <v>46094</v>
      </c>
      <c r="C153" s="2">
        <v>2608</v>
      </c>
      <c r="D153" s="3" t="s">
        <v>15</v>
      </c>
      <c r="E153" s="3" t="s">
        <v>307</v>
      </c>
      <c r="F153" s="3" t="s">
        <v>11</v>
      </c>
      <c r="G153" s="5"/>
      <c r="H153" s="5">
        <v>350</v>
      </c>
      <c r="I153" s="5"/>
      <c r="J153" s="5">
        <f t="shared" si="3"/>
        <v>350</v>
      </c>
    </row>
    <row r="154" spans="1:10" x14ac:dyDescent="0.25">
      <c r="A154" s="13"/>
      <c r="B154" s="13">
        <v>46094</v>
      </c>
      <c r="C154" s="2">
        <v>2609</v>
      </c>
      <c r="D154" s="3" t="s">
        <v>15</v>
      </c>
      <c r="E154" s="3" t="s">
        <v>308</v>
      </c>
      <c r="F154" s="3" t="s">
        <v>11</v>
      </c>
      <c r="G154" s="5"/>
      <c r="H154" s="5">
        <v>20000</v>
      </c>
      <c r="I154" s="5"/>
      <c r="J154" s="5">
        <f t="shared" si="3"/>
        <v>20000</v>
      </c>
    </row>
    <row r="155" spans="1:10" x14ac:dyDescent="0.25">
      <c r="A155" s="13"/>
      <c r="B155" s="13">
        <v>46097</v>
      </c>
      <c r="C155" s="2">
        <v>2619</v>
      </c>
      <c r="D155" s="3" t="s">
        <v>15</v>
      </c>
      <c r="E155" s="3" t="s">
        <v>74</v>
      </c>
      <c r="F155" s="3" t="s">
        <v>11</v>
      </c>
      <c r="G155" s="5"/>
      <c r="H155" s="5">
        <v>13000</v>
      </c>
      <c r="I155" s="5"/>
      <c r="J155" s="5">
        <f t="shared" si="3"/>
        <v>13000</v>
      </c>
    </row>
    <row r="156" spans="1:10" x14ac:dyDescent="0.25">
      <c r="A156" s="13"/>
      <c r="B156" s="13">
        <v>46097</v>
      </c>
      <c r="C156" s="2">
        <v>2620</v>
      </c>
      <c r="D156" s="3" t="s">
        <v>15</v>
      </c>
      <c r="E156" s="3" t="s">
        <v>309</v>
      </c>
      <c r="F156" s="3" t="s">
        <v>11</v>
      </c>
      <c r="G156" s="5"/>
      <c r="H156" s="5">
        <v>15000</v>
      </c>
      <c r="I156" s="5"/>
      <c r="J156" s="5">
        <f t="shared" si="3"/>
        <v>15000</v>
      </c>
    </row>
    <row r="157" spans="1:10" x14ac:dyDescent="0.25">
      <c r="A157" s="13" t="s">
        <v>195</v>
      </c>
      <c r="B157" s="13">
        <v>46097</v>
      </c>
      <c r="C157" s="2">
        <v>665</v>
      </c>
      <c r="D157" s="3" t="s">
        <v>15</v>
      </c>
      <c r="E157" s="3" t="s">
        <v>16</v>
      </c>
      <c r="F157" s="3" t="s">
        <v>11</v>
      </c>
      <c r="G157" s="5"/>
      <c r="H157" s="5"/>
      <c r="I157" s="5">
        <v>33041</v>
      </c>
      <c r="J157" s="5">
        <f t="shared" si="3"/>
        <v>-33041</v>
      </c>
    </row>
    <row r="158" spans="1:10" x14ac:dyDescent="0.25">
      <c r="A158" s="13"/>
      <c r="B158" s="13">
        <v>46097</v>
      </c>
      <c r="C158" s="2">
        <v>666</v>
      </c>
      <c r="D158" s="3" t="s">
        <v>15</v>
      </c>
      <c r="E158" s="3" t="s">
        <v>105</v>
      </c>
      <c r="F158" s="3" t="s">
        <v>11</v>
      </c>
      <c r="G158" s="5"/>
      <c r="H158" s="5"/>
      <c r="I158" s="5">
        <v>39000</v>
      </c>
      <c r="J158" s="5">
        <f t="shared" si="3"/>
        <v>-39000</v>
      </c>
    </row>
    <row r="159" spans="1:10" x14ac:dyDescent="0.25">
      <c r="A159" s="13"/>
      <c r="B159" s="13">
        <v>46098</v>
      </c>
      <c r="C159" s="2">
        <v>2625</v>
      </c>
      <c r="D159" s="3" t="s">
        <v>15</v>
      </c>
      <c r="E159" s="3" t="s">
        <v>294</v>
      </c>
      <c r="F159" s="3" t="s">
        <v>11</v>
      </c>
      <c r="G159" s="5"/>
      <c r="H159" s="5">
        <v>9090.91</v>
      </c>
      <c r="I159" s="5"/>
      <c r="J159" s="5">
        <f t="shared" si="3"/>
        <v>9090.91</v>
      </c>
    </row>
    <row r="160" spans="1:10" x14ac:dyDescent="0.25">
      <c r="A160" s="13"/>
      <c r="B160" s="13">
        <v>46099</v>
      </c>
      <c r="C160" s="2">
        <v>667</v>
      </c>
      <c r="D160" s="3" t="s">
        <v>15</v>
      </c>
      <c r="E160" s="3" t="s">
        <v>227</v>
      </c>
      <c r="F160" s="3" t="s">
        <v>11</v>
      </c>
      <c r="G160" s="5"/>
      <c r="H160" s="5"/>
      <c r="I160" s="5">
        <v>10000</v>
      </c>
      <c r="J160" s="5">
        <f t="shared" si="3"/>
        <v>-10000</v>
      </c>
    </row>
    <row r="161" spans="1:10" x14ac:dyDescent="0.25">
      <c r="A161" s="13"/>
      <c r="B161" s="13">
        <v>46099</v>
      </c>
      <c r="C161" s="2">
        <v>2632</v>
      </c>
      <c r="D161" s="3" t="s">
        <v>15</v>
      </c>
      <c r="E161" s="3" t="s">
        <v>20</v>
      </c>
      <c r="F161" s="3" t="s">
        <v>11</v>
      </c>
      <c r="G161" s="5"/>
      <c r="H161" s="5">
        <v>500</v>
      </c>
      <c r="I161" s="5"/>
      <c r="J161" s="5"/>
    </row>
    <row r="162" spans="1:10" x14ac:dyDescent="0.25">
      <c r="A162" s="2" t="s">
        <v>244</v>
      </c>
      <c r="B162" s="13">
        <v>46099</v>
      </c>
      <c r="C162" s="2">
        <v>2633</v>
      </c>
      <c r="D162" s="3" t="s">
        <v>15</v>
      </c>
      <c r="E162" s="3" t="s">
        <v>245</v>
      </c>
      <c r="F162" s="3" t="s">
        <v>11</v>
      </c>
      <c r="G162" s="5"/>
      <c r="H162" s="5">
        <v>500</v>
      </c>
      <c r="I162" s="5"/>
      <c r="J162" s="5">
        <f t="shared" si="3"/>
        <v>500</v>
      </c>
    </row>
    <row r="163" spans="1:10" x14ac:dyDescent="0.25">
      <c r="A163" s="2" t="s">
        <v>279</v>
      </c>
      <c r="B163" s="13">
        <v>46099</v>
      </c>
      <c r="C163" s="2">
        <v>2636</v>
      </c>
      <c r="D163" s="3" t="s">
        <v>15</v>
      </c>
      <c r="E163" s="3" t="s">
        <v>278</v>
      </c>
      <c r="F163" s="3" t="s">
        <v>11</v>
      </c>
      <c r="G163" s="5"/>
      <c r="H163" s="5">
        <v>39772.730000000003</v>
      </c>
      <c r="I163" s="5"/>
      <c r="J163" s="5">
        <f t="shared" si="3"/>
        <v>39772.730000000003</v>
      </c>
    </row>
    <row r="164" spans="1:10" x14ac:dyDescent="0.25">
      <c r="A164" s="2" t="s">
        <v>196</v>
      </c>
      <c r="B164" s="13">
        <v>46100</v>
      </c>
      <c r="C164" s="2">
        <v>2639</v>
      </c>
      <c r="D164" s="3" t="s">
        <v>15</v>
      </c>
      <c r="E164" s="3" t="s">
        <v>197</v>
      </c>
      <c r="F164" s="3" t="s">
        <v>11</v>
      </c>
      <c r="G164" s="5"/>
      <c r="H164" s="5">
        <v>11500</v>
      </c>
      <c r="I164" s="5"/>
      <c r="J164" s="5">
        <f t="shared" si="3"/>
        <v>11500</v>
      </c>
    </row>
    <row r="165" spans="1:10" x14ac:dyDescent="0.25">
      <c r="A165" s="2" t="s">
        <v>198</v>
      </c>
      <c r="B165" s="13">
        <v>46100</v>
      </c>
      <c r="C165" s="2">
        <v>2641</v>
      </c>
      <c r="D165" s="3" t="s">
        <v>15</v>
      </c>
      <c r="E165" s="3" t="s">
        <v>199</v>
      </c>
      <c r="F165" s="3" t="s">
        <v>11</v>
      </c>
      <c r="G165" s="5"/>
      <c r="H165" s="5">
        <v>2000</v>
      </c>
      <c r="I165" s="5"/>
      <c r="J165" s="5">
        <f t="shared" ref="J165:J237" si="4">G165+H165-I165</f>
        <v>2000</v>
      </c>
    </row>
    <row r="166" spans="1:10" x14ac:dyDescent="0.25">
      <c r="A166" s="2" t="s">
        <v>200</v>
      </c>
      <c r="B166" s="13">
        <v>46100</v>
      </c>
      <c r="C166" s="2">
        <v>2042</v>
      </c>
      <c r="D166" s="3" t="s">
        <v>15</v>
      </c>
      <c r="E166" s="3" t="s">
        <v>201</v>
      </c>
      <c r="F166" s="3" t="s">
        <v>11</v>
      </c>
      <c r="G166" s="5"/>
      <c r="H166" s="5">
        <v>7000</v>
      </c>
      <c r="I166" s="5"/>
      <c r="J166" s="5">
        <f t="shared" si="4"/>
        <v>7000</v>
      </c>
    </row>
    <row r="167" spans="1:10" x14ac:dyDescent="0.25">
      <c r="A167" s="2" t="s">
        <v>202</v>
      </c>
      <c r="B167" s="13">
        <v>46101</v>
      </c>
      <c r="C167" s="2">
        <v>2644</v>
      </c>
      <c r="D167" s="3" t="s">
        <v>15</v>
      </c>
      <c r="E167" s="3" t="s">
        <v>203</v>
      </c>
      <c r="F167" s="3" t="s">
        <v>11</v>
      </c>
      <c r="G167" s="5"/>
      <c r="H167" s="5">
        <v>1000</v>
      </c>
      <c r="I167" s="5"/>
      <c r="J167" s="5">
        <f t="shared" si="4"/>
        <v>1000</v>
      </c>
    </row>
    <row r="168" spans="1:10" x14ac:dyDescent="0.25">
      <c r="A168" s="2" t="s">
        <v>204</v>
      </c>
      <c r="B168" s="13">
        <v>46101</v>
      </c>
      <c r="C168" s="2">
        <v>2645</v>
      </c>
      <c r="D168" s="3" t="s">
        <v>15</v>
      </c>
      <c r="E168" s="3" t="s">
        <v>205</v>
      </c>
      <c r="F168" s="3" t="s">
        <v>11</v>
      </c>
      <c r="G168" s="5"/>
      <c r="H168" s="5">
        <v>1136.3599999999999</v>
      </c>
      <c r="I168" s="5"/>
      <c r="J168" s="5">
        <f t="shared" si="4"/>
        <v>1136.3599999999999</v>
      </c>
    </row>
    <row r="169" spans="1:10" x14ac:dyDescent="0.25">
      <c r="A169" s="13"/>
      <c r="B169" s="13">
        <v>46101</v>
      </c>
      <c r="C169" s="2">
        <v>2651</v>
      </c>
      <c r="D169" s="3" t="s">
        <v>15</v>
      </c>
      <c r="E169" s="3" t="s">
        <v>206</v>
      </c>
      <c r="F169" s="3" t="s">
        <v>11</v>
      </c>
      <c r="G169" s="5"/>
      <c r="H169" s="5">
        <v>200</v>
      </c>
      <c r="I169" s="5"/>
      <c r="J169" s="5">
        <f t="shared" si="4"/>
        <v>200</v>
      </c>
    </row>
    <row r="170" spans="1:10" x14ac:dyDescent="0.25">
      <c r="A170" s="2" t="s">
        <v>207</v>
      </c>
      <c r="B170" s="13">
        <v>46101</v>
      </c>
      <c r="C170" s="2">
        <v>2649</v>
      </c>
      <c r="D170" s="3" t="s">
        <v>15</v>
      </c>
      <c r="E170" s="3" t="s">
        <v>208</v>
      </c>
      <c r="F170" s="3" t="s">
        <v>11</v>
      </c>
      <c r="G170" s="5"/>
      <c r="H170" s="5">
        <v>250</v>
      </c>
      <c r="I170" s="5"/>
      <c r="J170" s="5">
        <f t="shared" si="4"/>
        <v>250</v>
      </c>
    </row>
    <row r="171" spans="1:10" x14ac:dyDescent="0.25">
      <c r="A171" s="2" t="s">
        <v>209</v>
      </c>
      <c r="B171" s="13">
        <v>46101</v>
      </c>
      <c r="C171" s="2">
        <v>669</v>
      </c>
      <c r="D171" s="3" t="s">
        <v>15</v>
      </c>
      <c r="E171" s="3" t="s">
        <v>210</v>
      </c>
      <c r="F171" s="3"/>
      <c r="G171" s="5"/>
      <c r="H171" s="5"/>
      <c r="I171" s="5">
        <v>1000</v>
      </c>
      <c r="J171" s="5">
        <f t="shared" si="4"/>
        <v>-1000</v>
      </c>
    </row>
    <row r="172" spans="1:10" x14ac:dyDescent="0.25">
      <c r="A172" s="2" t="s">
        <v>211</v>
      </c>
      <c r="B172" s="13">
        <v>46102</v>
      </c>
      <c r="C172" s="2">
        <v>2652</v>
      </c>
      <c r="D172" s="3" t="s">
        <v>15</v>
      </c>
      <c r="E172" s="3" t="s">
        <v>68</v>
      </c>
      <c r="F172" s="3" t="s">
        <v>11</v>
      </c>
      <c r="G172" s="5"/>
      <c r="H172" s="5">
        <v>200</v>
      </c>
      <c r="I172" s="5"/>
      <c r="J172" s="5">
        <f t="shared" si="4"/>
        <v>200</v>
      </c>
    </row>
    <row r="173" spans="1:10" x14ac:dyDescent="0.25">
      <c r="A173" s="13"/>
      <c r="B173" s="13">
        <v>46102</v>
      </c>
      <c r="C173" s="2">
        <v>670</v>
      </c>
      <c r="D173" s="3" t="s">
        <v>15</v>
      </c>
      <c r="E173" s="3" t="s">
        <v>59</v>
      </c>
      <c r="F173" s="3" t="s">
        <v>11</v>
      </c>
      <c r="G173" s="5"/>
      <c r="H173" s="5"/>
      <c r="I173" s="5">
        <v>2000</v>
      </c>
      <c r="J173" s="5"/>
    </row>
    <row r="174" spans="1:10" x14ac:dyDescent="0.25">
      <c r="A174" s="2" t="s">
        <v>212</v>
      </c>
      <c r="B174" s="13">
        <v>46105</v>
      </c>
      <c r="C174" s="2">
        <v>2661</v>
      </c>
      <c r="D174" s="3" t="s">
        <v>15</v>
      </c>
      <c r="E174" s="3" t="s">
        <v>66</v>
      </c>
      <c r="F174" s="3" t="s">
        <v>11</v>
      </c>
      <c r="G174" s="5"/>
      <c r="H174" s="5">
        <v>20000</v>
      </c>
      <c r="I174" s="5"/>
      <c r="J174" s="5">
        <f t="shared" si="4"/>
        <v>20000</v>
      </c>
    </row>
    <row r="175" spans="1:10" x14ac:dyDescent="0.25">
      <c r="A175" s="17" t="s">
        <v>213</v>
      </c>
      <c r="B175" s="13">
        <v>46105</v>
      </c>
      <c r="C175" s="2">
        <v>2664</v>
      </c>
      <c r="D175" s="3" t="s">
        <v>15</v>
      </c>
      <c r="E175" s="3" t="s">
        <v>13</v>
      </c>
      <c r="F175" s="3" t="s">
        <v>11</v>
      </c>
      <c r="G175" s="5"/>
      <c r="H175" s="5">
        <v>10000</v>
      </c>
      <c r="I175" s="5"/>
      <c r="J175" s="5">
        <f t="shared" si="4"/>
        <v>10000</v>
      </c>
    </row>
    <row r="176" spans="1:10" x14ac:dyDescent="0.25">
      <c r="A176" s="2" t="s">
        <v>17</v>
      </c>
      <c r="B176" s="13">
        <v>46105</v>
      </c>
      <c r="C176" s="2">
        <v>2666</v>
      </c>
      <c r="D176" s="3" t="s">
        <v>15</v>
      </c>
      <c r="E176" s="3" t="s">
        <v>18</v>
      </c>
      <c r="F176" s="3" t="s">
        <v>11</v>
      </c>
      <c r="G176" s="5"/>
      <c r="H176" s="5">
        <v>1500</v>
      </c>
      <c r="I176" s="5"/>
      <c r="J176" s="5">
        <f t="shared" si="4"/>
        <v>1500</v>
      </c>
    </row>
    <row r="177" spans="1:10" x14ac:dyDescent="0.25">
      <c r="A177" s="2" t="s">
        <v>214</v>
      </c>
      <c r="B177" s="13">
        <v>46105</v>
      </c>
      <c r="C177" s="2">
        <v>2671</v>
      </c>
      <c r="D177" s="3" t="s">
        <v>15</v>
      </c>
      <c r="E177" s="3" t="s">
        <v>53</v>
      </c>
      <c r="F177" s="3" t="s">
        <v>11</v>
      </c>
      <c r="G177" s="5"/>
      <c r="H177" s="5">
        <v>10000</v>
      </c>
      <c r="I177" s="5"/>
      <c r="J177" s="5">
        <f t="shared" si="4"/>
        <v>10000</v>
      </c>
    </row>
    <row r="178" spans="1:10" x14ac:dyDescent="0.25">
      <c r="A178" s="2" t="s">
        <v>215</v>
      </c>
      <c r="B178" s="13">
        <v>46105</v>
      </c>
      <c r="C178" s="2">
        <v>2672</v>
      </c>
      <c r="D178" s="3" t="s">
        <v>15</v>
      </c>
      <c r="E178" s="3" t="s">
        <v>216</v>
      </c>
      <c r="F178" s="3" t="s">
        <v>11</v>
      </c>
      <c r="G178" s="5"/>
      <c r="H178" s="5">
        <v>56818.18</v>
      </c>
      <c r="I178" s="5"/>
      <c r="J178" s="5">
        <f t="shared" si="4"/>
        <v>56818.18</v>
      </c>
    </row>
    <row r="179" spans="1:10" x14ac:dyDescent="0.25">
      <c r="A179" s="2" t="s">
        <v>101</v>
      </c>
      <c r="B179" s="13">
        <v>46105</v>
      </c>
      <c r="C179" s="2">
        <v>672</v>
      </c>
      <c r="D179" s="3" t="s">
        <v>15</v>
      </c>
      <c r="E179" s="3" t="s">
        <v>102</v>
      </c>
      <c r="F179" s="3" t="s">
        <v>11</v>
      </c>
      <c r="G179" s="5"/>
      <c r="H179" s="5"/>
      <c r="I179" s="5">
        <v>1072</v>
      </c>
      <c r="J179" s="5">
        <f t="shared" si="4"/>
        <v>-1072</v>
      </c>
    </row>
    <row r="180" spans="1:10" x14ac:dyDescent="0.25">
      <c r="A180" s="2" t="s">
        <v>217</v>
      </c>
      <c r="B180" s="13">
        <v>46105</v>
      </c>
      <c r="C180" s="2">
        <v>674</v>
      </c>
      <c r="D180" s="3" t="s">
        <v>15</v>
      </c>
      <c r="E180" s="3" t="s">
        <v>89</v>
      </c>
      <c r="F180" s="3" t="s">
        <v>11</v>
      </c>
      <c r="G180" s="5"/>
      <c r="H180" s="5"/>
      <c r="I180" s="5">
        <v>500</v>
      </c>
      <c r="J180" s="5">
        <f t="shared" si="4"/>
        <v>-500</v>
      </c>
    </row>
    <row r="181" spans="1:10" x14ac:dyDescent="0.25">
      <c r="A181" s="2" t="s">
        <v>218</v>
      </c>
      <c r="B181" s="13">
        <v>46106</v>
      </c>
      <c r="C181" s="2">
        <v>676</v>
      </c>
      <c r="D181" s="3" t="s">
        <v>15</v>
      </c>
      <c r="E181" s="3" t="s">
        <v>31</v>
      </c>
      <c r="F181" s="3" t="s">
        <v>11</v>
      </c>
      <c r="G181" s="5"/>
      <c r="H181" s="5"/>
      <c r="I181" s="5">
        <v>250</v>
      </c>
      <c r="J181" s="5">
        <f t="shared" si="4"/>
        <v>-250</v>
      </c>
    </row>
    <row r="182" spans="1:10" x14ac:dyDescent="0.25">
      <c r="A182" s="2" t="s">
        <v>194</v>
      </c>
      <c r="B182" s="13">
        <v>46106</v>
      </c>
      <c r="C182" s="2">
        <v>677</v>
      </c>
      <c r="D182" s="3" t="s">
        <v>15</v>
      </c>
      <c r="E182" s="3" t="s">
        <v>43</v>
      </c>
      <c r="F182" s="3" t="s">
        <v>11</v>
      </c>
      <c r="G182" s="5"/>
      <c r="H182" s="5"/>
      <c r="I182" s="5">
        <v>1000</v>
      </c>
      <c r="J182" s="5">
        <f t="shared" si="4"/>
        <v>-1000</v>
      </c>
    </row>
    <row r="183" spans="1:10" x14ac:dyDescent="0.25">
      <c r="A183" s="2" t="s">
        <v>219</v>
      </c>
      <c r="B183" s="13">
        <v>46107</v>
      </c>
      <c r="C183" s="2">
        <v>2679</v>
      </c>
      <c r="D183" s="3" t="s">
        <v>15</v>
      </c>
      <c r="E183" s="3" t="s">
        <v>172</v>
      </c>
      <c r="F183" s="3" t="s">
        <v>11</v>
      </c>
      <c r="G183" s="5"/>
      <c r="H183" s="5">
        <v>2390</v>
      </c>
      <c r="I183" s="5"/>
      <c r="J183" s="5">
        <v>2390</v>
      </c>
    </row>
    <row r="184" spans="1:10" x14ac:dyDescent="0.25">
      <c r="A184" s="13"/>
      <c r="B184" s="13">
        <v>46108</v>
      </c>
      <c r="C184" s="2">
        <v>2687</v>
      </c>
      <c r="D184" s="3" t="s">
        <v>15</v>
      </c>
      <c r="E184" s="3" t="s">
        <v>20</v>
      </c>
      <c r="F184" s="3" t="s">
        <v>11</v>
      </c>
      <c r="G184" s="5"/>
      <c r="H184" s="5">
        <v>1000</v>
      </c>
      <c r="I184" s="5"/>
      <c r="J184" s="5">
        <f t="shared" si="4"/>
        <v>1000</v>
      </c>
    </row>
    <row r="185" spans="1:10" x14ac:dyDescent="0.25">
      <c r="A185" s="2" t="s">
        <v>220</v>
      </c>
      <c r="B185" s="13">
        <v>46108</v>
      </c>
      <c r="C185" s="2">
        <v>2688</v>
      </c>
      <c r="D185" s="3" t="s">
        <v>15</v>
      </c>
      <c r="E185" s="3" t="s">
        <v>221</v>
      </c>
      <c r="F185" s="3" t="s">
        <v>11</v>
      </c>
      <c r="G185" s="5"/>
      <c r="H185" s="5">
        <v>100</v>
      </c>
      <c r="I185" s="5"/>
      <c r="J185" s="5">
        <f t="shared" si="4"/>
        <v>100</v>
      </c>
    </row>
    <row r="186" spans="1:10" x14ac:dyDescent="0.25">
      <c r="A186" s="2" t="s">
        <v>220</v>
      </c>
      <c r="B186" s="13">
        <v>46108</v>
      </c>
      <c r="C186" s="2">
        <v>2693</v>
      </c>
      <c r="D186" s="3" t="s">
        <v>15</v>
      </c>
      <c r="E186" s="3" t="s">
        <v>221</v>
      </c>
      <c r="F186" s="3" t="s">
        <v>11</v>
      </c>
      <c r="G186" s="5"/>
      <c r="H186" s="5">
        <v>400</v>
      </c>
      <c r="I186" s="5"/>
      <c r="J186" s="5">
        <f t="shared" si="4"/>
        <v>400</v>
      </c>
    </row>
    <row r="187" spans="1:10" x14ac:dyDescent="0.25">
      <c r="A187" s="2" t="s">
        <v>222</v>
      </c>
      <c r="B187" s="13">
        <v>46108</v>
      </c>
      <c r="C187" s="2">
        <v>2696</v>
      </c>
      <c r="D187" s="3" t="s">
        <v>15</v>
      </c>
      <c r="E187" s="3" t="s">
        <v>223</v>
      </c>
      <c r="F187" s="3" t="s">
        <v>11</v>
      </c>
      <c r="G187" s="5"/>
      <c r="H187" s="5">
        <v>150</v>
      </c>
      <c r="I187" s="5"/>
      <c r="J187" s="5">
        <f t="shared" si="4"/>
        <v>150</v>
      </c>
    </row>
    <row r="188" spans="1:10" x14ac:dyDescent="0.25">
      <c r="A188" s="2" t="s">
        <v>195</v>
      </c>
      <c r="B188" s="13">
        <v>46108</v>
      </c>
      <c r="C188" s="2">
        <v>678</v>
      </c>
      <c r="D188" s="3" t="s">
        <v>15</v>
      </c>
      <c r="E188" s="3" t="s">
        <v>224</v>
      </c>
      <c r="F188" s="3" t="s">
        <v>11</v>
      </c>
      <c r="G188" s="5"/>
      <c r="H188" s="5"/>
      <c r="I188" s="5">
        <v>100</v>
      </c>
      <c r="J188" s="5">
        <f t="shared" si="4"/>
        <v>-100</v>
      </c>
    </row>
    <row r="189" spans="1:10" x14ac:dyDescent="0.25">
      <c r="A189" s="2" t="s">
        <v>225</v>
      </c>
      <c r="B189" s="13">
        <v>46108</v>
      </c>
      <c r="C189" s="2">
        <v>679</v>
      </c>
      <c r="D189" s="3" t="s">
        <v>15</v>
      </c>
      <c r="E189" s="3" t="s">
        <v>74</v>
      </c>
      <c r="F189" s="3" t="s">
        <v>11</v>
      </c>
      <c r="G189" s="5"/>
      <c r="H189" s="5"/>
      <c r="I189" s="5">
        <v>200</v>
      </c>
      <c r="J189" s="5">
        <f t="shared" si="4"/>
        <v>-200</v>
      </c>
    </row>
    <row r="190" spans="1:10" x14ac:dyDescent="0.25">
      <c r="A190" s="13"/>
      <c r="B190" s="13">
        <v>46108</v>
      </c>
      <c r="C190" s="2">
        <v>680</v>
      </c>
      <c r="D190" s="3" t="s">
        <v>15</v>
      </c>
      <c r="E190" s="3" t="s">
        <v>79</v>
      </c>
      <c r="F190" s="3" t="s">
        <v>11</v>
      </c>
      <c r="G190" s="5"/>
      <c r="H190" s="5"/>
      <c r="I190" s="5">
        <v>3000</v>
      </c>
      <c r="J190" s="5">
        <f t="shared" si="4"/>
        <v>-3000</v>
      </c>
    </row>
    <row r="191" spans="1:10" x14ac:dyDescent="0.25">
      <c r="A191" s="13" t="s">
        <v>226</v>
      </c>
      <c r="B191" s="13">
        <v>46108</v>
      </c>
      <c r="C191" s="2">
        <v>681</v>
      </c>
      <c r="D191" s="3" t="s">
        <v>15</v>
      </c>
      <c r="E191" s="3" t="s">
        <v>227</v>
      </c>
      <c r="F191" s="3" t="s">
        <v>11</v>
      </c>
      <c r="G191" s="5"/>
      <c r="H191" s="5"/>
      <c r="I191" s="5">
        <v>2800</v>
      </c>
      <c r="J191" s="5">
        <f t="shared" si="4"/>
        <v>-2800</v>
      </c>
    </row>
    <row r="192" spans="1:10" x14ac:dyDescent="0.25">
      <c r="A192" s="14" t="s">
        <v>228</v>
      </c>
      <c r="B192" s="13">
        <v>46109</v>
      </c>
      <c r="C192" s="2">
        <v>2700</v>
      </c>
      <c r="D192" s="3" t="s">
        <v>15</v>
      </c>
      <c r="E192" s="3" t="s">
        <v>61</v>
      </c>
      <c r="F192" s="3" t="s">
        <v>11</v>
      </c>
      <c r="G192" s="5"/>
      <c r="H192" s="5">
        <v>28409.09</v>
      </c>
      <c r="I192" s="5"/>
      <c r="J192" s="5">
        <f t="shared" si="4"/>
        <v>28409.09</v>
      </c>
    </row>
    <row r="193" spans="1:12" ht="16.5" customHeight="1" x14ac:dyDescent="0.25">
      <c r="A193" s="2" t="s">
        <v>200</v>
      </c>
      <c r="B193" s="13">
        <v>46109</v>
      </c>
      <c r="C193" s="2">
        <v>2702</v>
      </c>
      <c r="D193" s="3" t="s">
        <v>15</v>
      </c>
      <c r="E193" s="3" t="s">
        <v>191</v>
      </c>
      <c r="F193" s="3" t="s">
        <v>11</v>
      </c>
      <c r="G193" s="5"/>
      <c r="H193" s="5">
        <v>2000</v>
      </c>
      <c r="I193" s="5"/>
      <c r="J193" s="5">
        <f t="shared" si="4"/>
        <v>2000</v>
      </c>
    </row>
    <row r="194" spans="1:12" x14ac:dyDescent="0.25">
      <c r="A194" s="2" t="s">
        <v>229</v>
      </c>
      <c r="B194" s="13">
        <v>46111</v>
      </c>
      <c r="C194" s="2">
        <v>683</v>
      </c>
      <c r="D194" s="3" t="s">
        <v>15</v>
      </c>
      <c r="E194" s="3" t="s">
        <v>230</v>
      </c>
      <c r="F194" s="3" t="s">
        <v>11</v>
      </c>
      <c r="G194" s="5"/>
      <c r="H194" s="5"/>
      <c r="I194" s="5">
        <v>200</v>
      </c>
      <c r="J194" s="5">
        <f t="shared" si="4"/>
        <v>-200</v>
      </c>
    </row>
    <row r="195" spans="1:12" x14ac:dyDescent="0.25">
      <c r="A195" s="13" t="s">
        <v>231</v>
      </c>
      <c r="B195" s="13">
        <v>46111</v>
      </c>
      <c r="C195" s="2">
        <v>684</v>
      </c>
      <c r="D195" s="3" t="s">
        <v>15</v>
      </c>
      <c r="E195" s="3" t="s">
        <v>87</v>
      </c>
      <c r="F195" s="3" t="s">
        <v>11</v>
      </c>
      <c r="G195" s="5"/>
      <c r="H195" s="5"/>
      <c r="I195" s="5">
        <v>100</v>
      </c>
      <c r="J195" s="5">
        <v>100</v>
      </c>
    </row>
    <row r="196" spans="1:12" x14ac:dyDescent="0.25">
      <c r="A196" s="2" t="s">
        <v>231</v>
      </c>
      <c r="B196" s="13">
        <v>46111</v>
      </c>
      <c r="C196" s="2">
        <v>685</v>
      </c>
      <c r="D196" s="3" t="s">
        <v>15</v>
      </c>
      <c r="E196" s="3" t="s">
        <v>232</v>
      </c>
      <c r="F196" s="3" t="s">
        <v>11</v>
      </c>
      <c r="G196" s="5"/>
      <c r="H196" s="5"/>
      <c r="I196" s="5">
        <v>250</v>
      </c>
      <c r="J196" s="5">
        <f t="shared" si="4"/>
        <v>-250</v>
      </c>
    </row>
    <row r="197" spans="1:12" x14ac:dyDescent="0.25">
      <c r="A197" s="2" t="s">
        <v>233</v>
      </c>
      <c r="B197" s="13">
        <v>46111</v>
      </c>
      <c r="C197" s="2">
        <v>686</v>
      </c>
      <c r="D197" s="3" t="s">
        <v>15</v>
      </c>
      <c r="E197" s="3" t="s">
        <v>83</v>
      </c>
      <c r="F197" s="3" t="s">
        <v>11</v>
      </c>
      <c r="G197" s="5"/>
      <c r="H197" s="5"/>
      <c r="I197" s="5">
        <v>500</v>
      </c>
      <c r="J197" s="5">
        <f t="shared" si="4"/>
        <v>-500</v>
      </c>
    </row>
    <row r="198" spans="1:12" x14ac:dyDescent="0.25">
      <c r="A198" s="2" t="s">
        <v>207</v>
      </c>
      <c r="B198" s="13">
        <v>46112</v>
      </c>
      <c r="C198" s="2">
        <v>2710</v>
      </c>
      <c r="D198" s="3" t="s">
        <v>15</v>
      </c>
      <c r="E198" s="3" t="s">
        <v>208</v>
      </c>
      <c r="F198" s="3" t="s">
        <v>11</v>
      </c>
      <c r="G198" s="5"/>
      <c r="H198" s="5">
        <v>200</v>
      </c>
      <c r="I198" s="5"/>
      <c r="J198" s="5">
        <f t="shared" si="4"/>
        <v>200</v>
      </c>
    </row>
    <row r="199" spans="1:12" x14ac:dyDescent="0.25">
      <c r="A199" s="2" t="s">
        <v>234</v>
      </c>
      <c r="B199" s="13">
        <v>46112</v>
      </c>
      <c r="C199" s="2">
        <v>687</v>
      </c>
      <c r="D199" s="3" t="s">
        <v>15</v>
      </c>
      <c r="E199" s="3" t="s">
        <v>235</v>
      </c>
      <c r="F199" s="3" t="s">
        <v>11</v>
      </c>
      <c r="G199" s="5"/>
      <c r="H199" s="5"/>
      <c r="I199" s="5">
        <v>41</v>
      </c>
      <c r="J199" s="5">
        <f t="shared" si="4"/>
        <v>-41</v>
      </c>
    </row>
    <row r="200" spans="1:12" x14ac:dyDescent="0.25">
      <c r="A200" s="2" t="s">
        <v>218</v>
      </c>
      <c r="B200" s="13">
        <v>46112</v>
      </c>
      <c r="C200" s="2">
        <v>688</v>
      </c>
      <c r="D200" s="3" t="s">
        <v>15</v>
      </c>
      <c r="E200" s="3" t="s">
        <v>31</v>
      </c>
      <c r="F200" s="3" t="s">
        <v>11</v>
      </c>
      <c r="G200" s="5"/>
      <c r="H200" s="5"/>
      <c r="I200" s="5">
        <v>500</v>
      </c>
      <c r="J200" s="5">
        <f t="shared" si="4"/>
        <v>-500</v>
      </c>
      <c r="K200" t="s">
        <v>311</v>
      </c>
      <c r="L200" t="s">
        <v>312</v>
      </c>
    </row>
    <row r="201" spans="1:12" x14ac:dyDescent="0.25">
      <c r="A201" s="2" t="s">
        <v>236</v>
      </c>
      <c r="B201" s="13">
        <v>46112</v>
      </c>
      <c r="C201" s="2">
        <v>2712</v>
      </c>
      <c r="D201" s="3" t="s">
        <v>15</v>
      </c>
      <c r="E201" s="3" t="s">
        <v>191</v>
      </c>
      <c r="F201" s="3" t="s">
        <v>11</v>
      </c>
      <c r="G201" s="19"/>
      <c r="H201" s="19">
        <v>2500</v>
      </c>
      <c r="I201" s="19"/>
      <c r="J201" s="19">
        <f t="shared" si="4"/>
        <v>2500</v>
      </c>
      <c r="K201" s="4">
        <f>SUM(H131:H201)</f>
        <v>442904.02</v>
      </c>
      <c r="L201" s="4">
        <f>SUM(I132:I201)</f>
        <v>99853</v>
      </c>
    </row>
    <row r="202" spans="1:12" x14ac:dyDescent="0.25">
      <c r="A202" s="2" t="s">
        <v>17</v>
      </c>
      <c r="B202" s="13">
        <v>46113</v>
      </c>
      <c r="C202" s="2">
        <v>695</v>
      </c>
      <c r="D202" s="3" t="s">
        <v>15</v>
      </c>
      <c r="E202" s="3" t="s">
        <v>18</v>
      </c>
      <c r="F202" s="3" t="s">
        <v>11</v>
      </c>
      <c r="G202" s="5"/>
      <c r="H202" s="5"/>
      <c r="I202" s="5">
        <v>500</v>
      </c>
      <c r="J202" s="5">
        <f t="shared" si="4"/>
        <v>-500</v>
      </c>
    </row>
    <row r="203" spans="1:12" x14ac:dyDescent="0.25">
      <c r="A203" s="2"/>
      <c r="B203" s="13">
        <v>46118</v>
      </c>
      <c r="C203" s="2">
        <v>696</v>
      </c>
      <c r="D203" s="3" t="s">
        <v>15</v>
      </c>
      <c r="E203" s="3" t="s">
        <v>286</v>
      </c>
      <c r="F203" s="3" t="s">
        <v>11</v>
      </c>
      <c r="G203" s="5"/>
      <c r="H203" s="5"/>
      <c r="I203" s="5">
        <v>1000</v>
      </c>
      <c r="J203" s="5">
        <f>G203+H203-I203</f>
        <v>-1000</v>
      </c>
    </row>
    <row r="204" spans="1:12" x14ac:dyDescent="0.25">
      <c r="A204" s="2" t="s">
        <v>237</v>
      </c>
      <c r="B204" s="13">
        <v>46118</v>
      </c>
      <c r="C204" s="2">
        <v>2722</v>
      </c>
      <c r="D204" s="3" t="s">
        <v>15</v>
      </c>
      <c r="E204" s="3" t="s">
        <v>310</v>
      </c>
      <c r="F204" s="3" t="s">
        <v>11</v>
      </c>
      <c r="G204" s="5"/>
      <c r="H204" s="5">
        <v>200</v>
      </c>
      <c r="I204" s="5"/>
      <c r="J204" s="5">
        <f t="shared" si="4"/>
        <v>200</v>
      </c>
    </row>
    <row r="205" spans="1:12" x14ac:dyDescent="0.25">
      <c r="A205" s="2" t="s">
        <v>231</v>
      </c>
      <c r="B205" s="13">
        <v>46118</v>
      </c>
      <c r="C205" s="2">
        <v>2724</v>
      </c>
      <c r="D205" s="3" t="s">
        <v>15</v>
      </c>
      <c r="E205" s="3" t="s">
        <v>232</v>
      </c>
      <c r="F205" s="3" t="s">
        <v>11</v>
      </c>
      <c r="G205" s="5"/>
      <c r="H205" s="5">
        <v>320</v>
      </c>
      <c r="I205" s="5"/>
      <c r="J205" s="5">
        <f>G205+H205-I205</f>
        <v>320</v>
      </c>
    </row>
    <row r="206" spans="1:12" x14ac:dyDescent="0.25">
      <c r="A206" s="2" t="s">
        <v>238</v>
      </c>
      <c r="B206" s="13">
        <v>46118</v>
      </c>
      <c r="C206" s="2">
        <v>2728</v>
      </c>
      <c r="D206" s="3" t="s">
        <v>15</v>
      </c>
      <c r="E206" s="3" t="s">
        <v>239</v>
      </c>
      <c r="F206" s="3" t="s">
        <v>11</v>
      </c>
      <c r="G206" s="5"/>
      <c r="H206" s="5">
        <v>450</v>
      </c>
      <c r="I206" s="5"/>
      <c r="J206" s="5">
        <f t="shared" si="4"/>
        <v>450</v>
      </c>
    </row>
    <row r="207" spans="1:12" x14ac:dyDescent="0.25">
      <c r="A207" s="2" t="s">
        <v>240</v>
      </c>
      <c r="B207" s="13">
        <v>46118</v>
      </c>
      <c r="C207" s="2">
        <v>2729</v>
      </c>
      <c r="D207" s="3" t="s">
        <v>15</v>
      </c>
      <c r="E207" s="3" t="s">
        <v>241</v>
      </c>
      <c r="F207" s="3" t="s">
        <v>11</v>
      </c>
      <c r="G207" s="5"/>
      <c r="H207" s="5">
        <v>50</v>
      </c>
      <c r="I207" s="5"/>
      <c r="J207" s="5">
        <f>G207+H207-I207</f>
        <v>50</v>
      </c>
    </row>
    <row r="208" spans="1:12" x14ac:dyDescent="0.25">
      <c r="A208" s="2" t="s">
        <v>244</v>
      </c>
      <c r="B208" s="13">
        <v>46118</v>
      </c>
      <c r="C208" s="2">
        <v>2736</v>
      </c>
      <c r="D208" s="3" t="s">
        <v>15</v>
      </c>
      <c r="E208" s="3" t="s">
        <v>245</v>
      </c>
      <c r="F208" s="3" t="s">
        <v>11</v>
      </c>
      <c r="G208" s="5"/>
      <c r="H208" s="5">
        <v>200</v>
      </c>
      <c r="I208" s="5"/>
      <c r="J208" s="5">
        <f>G208+H208-I208</f>
        <v>200</v>
      </c>
    </row>
    <row r="209" spans="1:10" x14ac:dyDescent="0.25">
      <c r="A209" s="2" t="s">
        <v>246</v>
      </c>
      <c r="B209" s="13">
        <v>46119</v>
      </c>
      <c r="C209" s="2">
        <v>2741</v>
      </c>
      <c r="D209" s="3" t="s">
        <v>15</v>
      </c>
      <c r="E209" s="3" t="s">
        <v>247</v>
      </c>
      <c r="F209" s="3" t="s">
        <v>11</v>
      </c>
      <c r="G209" s="5"/>
      <c r="H209" s="5">
        <v>500</v>
      </c>
      <c r="I209" s="5"/>
      <c r="J209" s="5">
        <f t="shared" ref="J209:J236" si="5">G209+H209-I209</f>
        <v>500</v>
      </c>
    </row>
    <row r="210" spans="1:10" x14ac:dyDescent="0.25">
      <c r="A210" s="2"/>
      <c r="B210" s="13">
        <v>46119</v>
      </c>
      <c r="C210" s="2">
        <v>698</v>
      </c>
      <c r="D210" s="3" t="s">
        <v>15</v>
      </c>
      <c r="E210" s="3" t="s">
        <v>18</v>
      </c>
      <c r="F210" s="3" t="s">
        <v>11</v>
      </c>
      <c r="G210" s="5"/>
      <c r="H210" s="5"/>
      <c r="I210" s="5">
        <v>300</v>
      </c>
      <c r="J210" s="5">
        <f>G210+H210-I210</f>
        <v>-300</v>
      </c>
    </row>
    <row r="211" spans="1:10" x14ac:dyDescent="0.25">
      <c r="A211" s="2" t="s">
        <v>242</v>
      </c>
      <c r="B211" s="13">
        <v>46119</v>
      </c>
      <c r="C211" s="2">
        <v>2733</v>
      </c>
      <c r="D211" s="3" t="s">
        <v>15</v>
      </c>
      <c r="E211" s="3" t="s">
        <v>243</v>
      </c>
      <c r="F211" s="3" t="s">
        <v>11</v>
      </c>
      <c r="G211" s="5"/>
      <c r="H211" s="25">
        <v>50</v>
      </c>
      <c r="I211" s="5"/>
      <c r="J211" s="5">
        <f t="shared" si="5"/>
        <v>50</v>
      </c>
    </row>
    <row r="212" spans="1:10" x14ac:dyDescent="0.25">
      <c r="A212" s="2" t="s">
        <v>244</v>
      </c>
      <c r="B212" s="13">
        <v>46119</v>
      </c>
      <c r="C212" s="2">
        <v>2736</v>
      </c>
      <c r="D212" s="3" t="s">
        <v>15</v>
      </c>
      <c r="E212" s="3" t="s">
        <v>245</v>
      </c>
      <c r="F212" s="3" t="s">
        <v>11</v>
      </c>
      <c r="G212" s="5"/>
      <c r="H212" s="5">
        <v>200</v>
      </c>
      <c r="I212" s="5"/>
      <c r="J212" s="5">
        <f t="shared" si="5"/>
        <v>200</v>
      </c>
    </row>
    <row r="213" spans="1:10" x14ac:dyDescent="0.25">
      <c r="A213" s="2" t="s">
        <v>248</v>
      </c>
      <c r="B213" s="13">
        <v>46119</v>
      </c>
      <c r="C213" s="2">
        <v>2743</v>
      </c>
      <c r="D213" s="3" t="s">
        <v>15</v>
      </c>
      <c r="E213" s="3" t="s">
        <v>249</v>
      </c>
      <c r="F213" s="3" t="s">
        <v>11</v>
      </c>
      <c r="G213" s="5"/>
      <c r="H213" s="5">
        <v>300</v>
      </c>
      <c r="I213" s="5"/>
      <c r="J213" s="5">
        <f t="shared" si="5"/>
        <v>300</v>
      </c>
    </row>
    <row r="214" spans="1:10" x14ac:dyDescent="0.25">
      <c r="A214" s="2" t="s">
        <v>14</v>
      </c>
      <c r="B214" s="13">
        <v>46120</v>
      </c>
      <c r="C214" s="2">
        <v>2745</v>
      </c>
      <c r="D214" s="3" t="s">
        <v>15</v>
      </c>
      <c r="E214" s="3" t="s">
        <v>16</v>
      </c>
      <c r="F214" s="3" t="s">
        <v>11</v>
      </c>
      <c r="G214" s="5"/>
      <c r="H214" s="5">
        <v>24600</v>
      </c>
      <c r="I214" s="5"/>
      <c r="J214" s="5">
        <f t="shared" si="5"/>
        <v>24600</v>
      </c>
    </row>
    <row r="215" spans="1:10" x14ac:dyDescent="0.25">
      <c r="A215" s="2" t="s">
        <v>225</v>
      </c>
      <c r="B215" s="13">
        <v>46120</v>
      </c>
      <c r="C215" s="2">
        <v>699</v>
      </c>
      <c r="D215" s="3" t="s">
        <v>15</v>
      </c>
      <c r="E215" s="3" t="s">
        <v>74</v>
      </c>
      <c r="F215" s="3" t="s">
        <v>11</v>
      </c>
      <c r="G215" s="5"/>
      <c r="H215" s="5"/>
      <c r="I215" s="5">
        <v>1500</v>
      </c>
      <c r="J215" s="5">
        <f t="shared" si="5"/>
        <v>-1500</v>
      </c>
    </row>
    <row r="216" spans="1:10" x14ac:dyDescent="0.25">
      <c r="A216" s="2" t="s">
        <v>195</v>
      </c>
      <c r="B216" s="13">
        <v>46121</v>
      </c>
      <c r="C216" s="2">
        <v>700</v>
      </c>
      <c r="D216" s="3" t="s">
        <v>15</v>
      </c>
      <c r="E216" s="3" t="s">
        <v>250</v>
      </c>
      <c r="F216" s="3" t="s">
        <v>11</v>
      </c>
      <c r="G216" s="5"/>
      <c r="H216" s="5"/>
      <c r="I216" s="5">
        <v>1700</v>
      </c>
      <c r="J216" s="5">
        <f t="shared" si="5"/>
        <v>-1700</v>
      </c>
    </row>
    <row r="217" spans="1:10" x14ac:dyDescent="0.25">
      <c r="A217" s="2" t="s">
        <v>218</v>
      </c>
      <c r="B217" s="13">
        <v>46121</v>
      </c>
      <c r="C217" s="2">
        <v>2751</v>
      </c>
      <c r="D217" s="3" t="s">
        <v>15</v>
      </c>
      <c r="E217" s="3" t="s">
        <v>31</v>
      </c>
      <c r="F217" s="3" t="s">
        <v>11</v>
      </c>
      <c r="G217" s="5"/>
      <c r="H217" s="5">
        <v>7200</v>
      </c>
      <c r="I217" s="5"/>
      <c r="J217" s="5">
        <f t="shared" si="5"/>
        <v>7200</v>
      </c>
    </row>
    <row r="218" spans="1:10" x14ac:dyDescent="0.25">
      <c r="A218" s="2" t="s">
        <v>251</v>
      </c>
      <c r="B218" s="13">
        <v>46121</v>
      </c>
      <c r="C218" s="2">
        <v>2758</v>
      </c>
      <c r="D218" s="3" t="s">
        <v>15</v>
      </c>
      <c r="E218" s="3" t="s">
        <v>216</v>
      </c>
      <c r="F218" s="3" t="s">
        <v>11</v>
      </c>
      <c r="G218" s="5"/>
      <c r="H218" s="5">
        <v>59210.37</v>
      </c>
      <c r="I218" s="5"/>
      <c r="J218" s="5">
        <f t="shared" si="5"/>
        <v>59210.37</v>
      </c>
    </row>
    <row r="219" spans="1:10" x14ac:dyDescent="0.25">
      <c r="A219" s="2" t="s">
        <v>252</v>
      </c>
      <c r="B219" s="13">
        <v>46121</v>
      </c>
      <c r="C219" s="2">
        <v>2760</v>
      </c>
      <c r="D219" s="3" t="s">
        <v>15</v>
      </c>
      <c r="E219" s="3" t="s">
        <v>111</v>
      </c>
      <c r="F219" s="3" t="s">
        <v>11</v>
      </c>
      <c r="G219" s="5"/>
      <c r="H219" s="5">
        <v>1000</v>
      </c>
      <c r="I219" s="5"/>
      <c r="J219" s="5">
        <f t="shared" si="5"/>
        <v>1000</v>
      </c>
    </row>
    <row r="220" spans="1:10" x14ac:dyDescent="0.25">
      <c r="A220" s="2" t="s">
        <v>253</v>
      </c>
      <c r="B220" s="13">
        <v>46121</v>
      </c>
      <c r="C220" s="2">
        <v>2762</v>
      </c>
      <c r="D220" s="3" t="s">
        <v>15</v>
      </c>
      <c r="E220" s="3" t="s">
        <v>254</v>
      </c>
      <c r="F220" s="3" t="s">
        <v>11</v>
      </c>
      <c r="G220" s="5"/>
      <c r="H220" s="5">
        <v>12.8</v>
      </c>
      <c r="I220" s="5"/>
      <c r="J220" s="5">
        <f t="shared" si="5"/>
        <v>12.8</v>
      </c>
    </row>
    <row r="221" spans="1:10" x14ac:dyDescent="0.25">
      <c r="A221" s="2" t="s">
        <v>255</v>
      </c>
      <c r="B221" s="13">
        <v>46121</v>
      </c>
      <c r="C221" s="2">
        <v>2765</v>
      </c>
      <c r="D221" s="3" t="s">
        <v>15</v>
      </c>
      <c r="E221" s="3" t="s">
        <v>256</v>
      </c>
      <c r="F221" s="3" t="s">
        <v>11</v>
      </c>
      <c r="G221" s="5"/>
      <c r="H221" s="5">
        <v>1000</v>
      </c>
      <c r="I221" s="5"/>
      <c r="J221" s="5">
        <f t="shared" si="5"/>
        <v>1000</v>
      </c>
    </row>
    <row r="222" spans="1:10" x14ac:dyDescent="0.25">
      <c r="A222" s="2"/>
      <c r="B222" s="13">
        <v>46122</v>
      </c>
      <c r="C222" s="2">
        <v>2767</v>
      </c>
      <c r="D222" s="3" t="s">
        <v>15</v>
      </c>
      <c r="E222" s="3" t="s">
        <v>31</v>
      </c>
      <c r="F222" s="3" t="s">
        <v>11</v>
      </c>
      <c r="G222" s="5"/>
      <c r="H222" s="5">
        <v>2100</v>
      </c>
      <c r="I222" s="5"/>
      <c r="J222" s="5">
        <f t="shared" si="5"/>
        <v>2100</v>
      </c>
    </row>
    <row r="223" spans="1:10" x14ac:dyDescent="0.25">
      <c r="A223" s="15" t="s">
        <v>108</v>
      </c>
      <c r="B223" s="13">
        <v>46122</v>
      </c>
      <c r="C223" s="2">
        <v>2768</v>
      </c>
      <c r="D223" s="3" t="s">
        <v>15</v>
      </c>
      <c r="E223" s="3" t="s">
        <v>109</v>
      </c>
      <c r="F223" s="3" t="s">
        <v>11</v>
      </c>
      <c r="G223" s="5"/>
      <c r="H223" s="5">
        <v>200</v>
      </c>
      <c r="I223" s="5"/>
      <c r="J223" s="5">
        <f t="shared" si="5"/>
        <v>200</v>
      </c>
    </row>
    <row r="224" spans="1:10" x14ac:dyDescent="0.25">
      <c r="A224" s="13" t="s">
        <v>234</v>
      </c>
      <c r="B224" s="13">
        <v>46122</v>
      </c>
      <c r="C224" s="2">
        <v>2769</v>
      </c>
      <c r="D224" s="3" t="s">
        <v>15</v>
      </c>
      <c r="E224" s="3" t="s">
        <v>257</v>
      </c>
      <c r="F224" s="3" t="s">
        <v>11</v>
      </c>
      <c r="G224" s="5"/>
      <c r="H224" s="5">
        <v>500</v>
      </c>
      <c r="I224" s="5"/>
      <c r="J224" s="5">
        <f t="shared" si="5"/>
        <v>500</v>
      </c>
    </row>
    <row r="225" spans="1:10" x14ac:dyDescent="0.25">
      <c r="A225" s="2" t="s">
        <v>258</v>
      </c>
      <c r="B225" s="13">
        <v>46122</v>
      </c>
      <c r="C225" s="2">
        <v>2771</v>
      </c>
      <c r="D225" s="3" t="s">
        <v>15</v>
      </c>
      <c r="E225" s="3" t="s">
        <v>259</v>
      </c>
      <c r="F225" s="3" t="s">
        <v>11</v>
      </c>
      <c r="G225" s="5"/>
      <c r="H225" s="5">
        <v>10000</v>
      </c>
      <c r="I225" s="5"/>
      <c r="J225" s="5">
        <f t="shared" si="5"/>
        <v>10000</v>
      </c>
    </row>
    <row r="226" spans="1:10" x14ac:dyDescent="0.25">
      <c r="A226" s="2" t="s">
        <v>260</v>
      </c>
      <c r="B226" s="13">
        <v>46122</v>
      </c>
      <c r="C226" s="2">
        <v>2774</v>
      </c>
      <c r="D226" s="3" t="s">
        <v>15</v>
      </c>
      <c r="E226" s="3" t="s">
        <v>261</v>
      </c>
      <c r="F226" s="3" t="s">
        <v>11</v>
      </c>
      <c r="G226" s="5"/>
      <c r="H226" s="5">
        <v>1000</v>
      </c>
      <c r="I226" s="5"/>
      <c r="J226" s="5">
        <f>G226+H226-I226</f>
        <v>1000</v>
      </c>
    </row>
    <row r="227" spans="1:10" x14ac:dyDescent="0.25">
      <c r="A227" s="15" t="s">
        <v>126</v>
      </c>
      <c r="B227" s="13">
        <v>46122</v>
      </c>
      <c r="C227" s="2">
        <v>701</v>
      </c>
      <c r="D227" s="3" t="s">
        <v>15</v>
      </c>
      <c r="E227" s="3" t="s">
        <v>127</v>
      </c>
      <c r="F227" s="3" t="s">
        <v>11</v>
      </c>
      <c r="G227" s="5"/>
      <c r="H227" s="5"/>
      <c r="I227" s="5">
        <v>200</v>
      </c>
      <c r="J227" s="5">
        <f t="shared" ref="J227:J234" si="6">G227+H227-I227</f>
        <v>-200</v>
      </c>
    </row>
    <row r="228" spans="1:10" x14ac:dyDescent="0.25">
      <c r="A228" s="2" t="s">
        <v>238</v>
      </c>
      <c r="B228" s="13">
        <v>46122</v>
      </c>
      <c r="C228" s="2">
        <v>702</v>
      </c>
      <c r="D228" s="3" t="s">
        <v>15</v>
      </c>
      <c r="E228" s="3" t="s">
        <v>239</v>
      </c>
      <c r="F228" s="3" t="s">
        <v>11</v>
      </c>
      <c r="G228" s="5"/>
      <c r="H228" s="5"/>
      <c r="I228" s="5">
        <v>400</v>
      </c>
      <c r="J228" s="5">
        <f t="shared" si="6"/>
        <v>-400</v>
      </c>
    </row>
    <row r="229" spans="1:10" x14ac:dyDescent="0.25">
      <c r="A229" s="16" t="s">
        <v>19</v>
      </c>
      <c r="B229" s="13">
        <v>46125</v>
      </c>
      <c r="C229" s="2">
        <v>703</v>
      </c>
      <c r="D229" s="3" t="s">
        <v>15</v>
      </c>
      <c r="E229" s="3" t="s">
        <v>20</v>
      </c>
      <c r="F229" s="3" t="s">
        <v>11</v>
      </c>
      <c r="G229" s="5"/>
      <c r="H229" s="5"/>
      <c r="I229" s="5">
        <v>200</v>
      </c>
      <c r="J229" s="5">
        <f>G229+H229-I229</f>
        <v>-200</v>
      </c>
    </row>
    <row r="230" spans="1:10" x14ac:dyDescent="0.25">
      <c r="A230" s="2" t="s">
        <v>262</v>
      </c>
      <c r="B230" s="13">
        <v>46125</v>
      </c>
      <c r="C230" s="2">
        <v>2778</v>
      </c>
      <c r="D230" s="3" t="s">
        <v>15</v>
      </c>
      <c r="E230" s="3" t="s">
        <v>24</v>
      </c>
      <c r="F230" s="3" t="s">
        <v>11</v>
      </c>
      <c r="G230" s="5"/>
      <c r="H230" s="5">
        <v>200</v>
      </c>
      <c r="I230" s="5"/>
      <c r="J230" s="5">
        <f t="shared" si="6"/>
        <v>200</v>
      </c>
    </row>
    <row r="231" spans="1:10" x14ac:dyDescent="0.25">
      <c r="A231" s="2" t="s">
        <v>17</v>
      </c>
      <c r="B231" s="13">
        <v>46126</v>
      </c>
      <c r="C231" s="2">
        <v>2794</v>
      </c>
      <c r="D231" s="3" t="s">
        <v>15</v>
      </c>
      <c r="E231" s="3" t="s">
        <v>18</v>
      </c>
      <c r="F231" s="3" t="s">
        <v>11</v>
      </c>
      <c r="G231" s="5"/>
      <c r="H231" s="5">
        <v>6250</v>
      </c>
      <c r="I231" s="5"/>
      <c r="J231" s="5">
        <f t="shared" si="6"/>
        <v>6250</v>
      </c>
    </row>
    <row r="232" spans="1:10" x14ac:dyDescent="0.25">
      <c r="A232" s="2" t="s">
        <v>214</v>
      </c>
      <c r="B232" s="13">
        <v>46126</v>
      </c>
      <c r="C232" s="2">
        <v>2797</v>
      </c>
      <c r="D232" s="3" t="s">
        <v>15</v>
      </c>
      <c r="E232" s="3" t="s">
        <v>53</v>
      </c>
      <c r="F232" s="3" t="s">
        <v>11</v>
      </c>
      <c r="G232" s="5"/>
      <c r="H232" s="5">
        <v>10000</v>
      </c>
      <c r="I232" s="5"/>
      <c r="J232" s="5">
        <f t="shared" si="6"/>
        <v>10000</v>
      </c>
    </row>
    <row r="233" spans="1:10" x14ac:dyDescent="0.25">
      <c r="A233" s="2" t="s">
        <v>263</v>
      </c>
      <c r="B233" s="13">
        <v>46126</v>
      </c>
      <c r="C233" s="2">
        <v>2798</v>
      </c>
      <c r="D233" s="3" t="s">
        <v>15</v>
      </c>
      <c r="E233" s="3" t="s">
        <v>176</v>
      </c>
      <c r="F233" s="3" t="s">
        <v>11</v>
      </c>
      <c r="G233" s="5"/>
      <c r="H233" s="5">
        <v>3700</v>
      </c>
      <c r="I233" s="5"/>
      <c r="J233" s="5">
        <f t="shared" si="6"/>
        <v>3700</v>
      </c>
    </row>
    <row r="234" spans="1:10" x14ac:dyDescent="0.25">
      <c r="A234" s="2" t="s">
        <v>194</v>
      </c>
      <c r="B234" s="13">
        <v>46126</v>
      </c>
      <c r="C234" s="2">
        <v>705</v>
      </c>
      <c r="D234" s="3" t="s">
        <v>15</v>
      </c>
      <c r="E234" s="3" t="s">
        <v>43</v>
      </c>
      <c r="F234" s="3" t="s">
        <v>11</v>
      </c>
      <c r="G234" s="5"/>
      <c r="H234" s="5"/>
      <c r="I234" s="5">
        <v>200</v>
      </c>
      <c r="J234" s="5">
        <f t="shared" si="6"/>
        <v>-200</v>
      </c>
    </row>
    <row r="235" spans="1:10" x14ac:dyDescent="0.25">
      <c r="A235" s="2" t="s">
        <v>264</v>
      </c>
      <c r="B235" s="13">
        <v>46126</v>
      </c>
      <c r="C235" s="2">
        <v>706</v>
      </c>
      <c r="D235" s="3" t="s">
        <v>15</v>
      </c>
      <c r="E235" s="3" t="s">
        <v>265</v>
      </c>
      <c r="F235" s="3" t="s">
        <v>11</v>
      </c>
      <c r="G235" s="5"/>
      <c r="H235" s="5"/>
      <c r="I235" s="5">
        <v>125</v>
      </c>
      <c r="J235" s="5">
        <f t="shared" si="5"/>
        <v>-125</v>
      </c>
    </row>
    <row r="236" spans="1:10" x14ac:dyDescent="0.25">
      <c r="A236" s="16" t="s">
        <v>58</v>
      </c>
      <c r="B236" s="13">
        <v>46127</v>
      </c>
      <c r="C236" s="2">
        <v>707</v>
      </c>
      <c r="D236" s="3" t="s">
        <v>15</v>
      </c>
      <c r="E236" s="3" t="s">
        <v>59</v>
      </c>
      <c r="F236" s="3" t="s">
        <v>11</v>
      </c>
      <c r="G236" s="5"/>
      <c r="H236" s="5"/>
      <c r="I236" s="5">
        <v>1200</v>
      </c>
      <c r="J236" s="5">
        <f t="shared" si="5"/>
        <v>-1200</v>
      </c>
    </row>
    <row r="237" spans="1:10" x14ac:dyDescent="0.25">
      <c r="A237" s="2" t="s">
        <v>212</v>
      </c>
      <c r="B237" s="13">
        <v>46127</v>
      </c>
      <c r="C237" s="2">
        <v>708</v>
      </c>
      <c r="D237" s="3" t="s">
        <v>15</v>
      </c>
      <c r="E237" s="3" t="s">
        <v>66</v>
      </c>
      <c r="F237" s="3" t="s">
        <v>11</v>
      </c>
      <c r="G237" s="5"/>
      <c r="H237" s="5"/>
      <c r="I237" s="5">
        <v>20000</v>
      </c>
      <c r="J237" s="5">
        <f t="shared" si="4"/>
        <v>-20000</v>
      </c>
    </row>
    <row r="238" spans="1:10" x14ac:dyDescent="0.25">
      <c r="A238" s="2" t="s">
        <v>266</v>
      </c>
      <c r="B238" s="13">
        <v>46127</v>
      </c>
      <c r="C238" s="2">
        <v>2803</v>
      </c>
      <c r="D238" s="3" t="s">
        <v>15</v>
      </c>
      <c r="E238" s="3" t="s">
        <v>267</v>
      </c>
      <c r="F238" s="3" t="s">
        <v>11</v>
      </c>
      <c r="G238" s="5"/>
      <c r="H238" s="5">
        <v>100</v>
      </c>
      <c r="I238" s="5"/>
      <c r="J238" s="5">
        <f>G238+H238-I238</f>
        <v>100</v>
      </c>
    </row>
    <row r="239" spans="1:10" x14ac:dyDescent="0.25">
      <c r="A239" s="2" t="s">
        <v>268</v>
      </c>
      <c r="B239" s="13">
        <v>46127</v>
      </c>
      <c r="C239" s="2">
        <v>2806</v>
      </c>
      <c r="D239" s="3" t="s">
        <v>15</v>
      </c>
      <c r="E239" s="3" t="s">
        <v>269</v>
      </c>
      <c r="F239" s="3" t="s">
        <v>11</v>
      </c>
      <c r="G239" s="5"/>
      <c r="H239" s="5">
        <v>100</v>
      </c>
      <c r="I239" s="5"/>
      <c r="J239" s="5">
        <f t="shared" ref="J239:J267" si="7">G239+H239-I239</f>
        <v>100</v>
      </c>
    </row>
    <row r="240" spans="1:10" x14ac:dyDescent="0.25">
      <c r="A240" s="2" t="s">
        <v>226</v>
      </c>
      <c r="B240" s="13">
        <v>46128</v>
      </c>
      <c r="C240" s="2">
        <v>2807</v>
      </c>
      <c r="D240" s="3" t="s">
        <v>15</v>
      </c>
      <c r="E240" s="3" t="s">
        <v>227</v>
      </c>
      <c r="F240" s="3" t="s">
        <v>11</v>
      </c>
      <c r="G240" s="5"/>
      <c r="H240" s="5">
        <v>2000</v>
      </c>
      <c r="I240" s="5"/>
      <c r="J240" s="5">
        <f t="shared" si="7"/>
        <v>2000</v>
      </c>
    </row>
    <row r="241" spans="1:10" x14ac:dyDescent="0.25">
      <c r="A241" s="2" t="s">
        <v>19</v>
      </c>
      <c r="B241" s="13">
        <v>46129</v>
      </c>
      <c r="C241" s="2">
        <v>2811</v>
      </c>
      <c r="D241" s="3" t="s">
        <v>15</v>
      </c>
      <c r="E241" s="3" t="s">
        <v>20</v>
      </c>
      <c r="F241" s="3" t="s">
        <v>11</v>
      </c>
      <c r="G241" s="5"/>
      <c r="H241" s="5">
        <v>2000</v>
      </c>
      <c r="I241" s="5"/>
      <c r="J241" s="5">
        <f t="shared" si="7"/>
        <v>2000</v>
      </c>
    </row>
    <row r="242" spans="1:10" x14ac:dyDescent="0.25">
      <c r="A242" s="2" t="s">
        <v>270</v>
      </c>
      <c r="B242" s="13">
        <v>46129</v>
      </c>
      <c r="C242" s="2">
        <v>709</v>
      </c>
      <c r="D242" s="3" t="s">
        <v>15</v>
      </c>
      <c r="E242" s="3" t="s">
        <v>232</v>
      </c>
      <c r="F242" s="3" t="s">
        <v>11</v>
      </c>
      <c r="G242" s="5"/>
      <c r="H242" s="5"/>
      <c r="I242" s="5">
        <v>300</v>
      </c>
      <c r="J242" s="5">
        <f t="shared" si="7"/>
        <v>-300</v>
      </c>
    </row>
    <row r="243" spans="1:10" x14ac:dyDescent="0.25">
      <c r="A243" s="2" t="s">
        <v>231</v>
      </c>
      <c r="B243" s="13">
        <v>46129</v>
      </c>
      <c r="C243" s="2">
        <v>710</v>
      </c>
      <c r="D243" s="3" t="s">
        <v>15</v>
      </c>
      <c r="E243" s="3" t="s">
        <v>271</v>
      </c>
      <c r="F243" s="3" t="s">
        <v>11</v>
      </c>
      <c r="G243" s="5"/>
      <c r="H243" s="5"/>
      <c r="I243" s="5">
        <v>228</v>
      </c>
      <c r="J243" s="5">
        <f t="shared" si="7"/>
        <v>-228</v>
      </c>
    </row>
    <row r="244" spans="1:10" x14ac:dyDescent="0.25">
      <c r="A244" s="2" t="s">
        <v>194</v>
      </c>
      <c r="B244" s="13">
        <v>46130</v>
      </c>
      <c r="C244" s="2">
        <v>2812</v>
      </c>
      <c r="D244" s="3" t="s">
        <v>15</v>
      </c>
      <c r="E244" s="3" t="s">
        <v>43</v>
      </c>
      <c r="F244" s="3" t="s">
        <v>11</v>
      </c>
      <c r="G244" s="5"/>
      <c r="H244" s="5">
        <v>900</v>
      </c>
      <c r="I244" s="5"/>
      <c r="J244" s="5">
        <f t="shared" si="7"/>
        <v>900</v>
      </c>
    </row>
    <row r="245" spans="1:10" x14ac:dyDescent="0.25">
      <c r="A245" s="2" t="s">
        <v>272</v>
      </c>
      <c r="B245" s="13">
        <v>46132</v>
      </c>
      <c r="C245" s="2">
        <v>2814</v>
      </c>
      <c r="D245" s="3" t="s">
        <v>15</v>
      </c>
      <c r="E245" s="3" t="s">
        <v>273</v>
      </c>
      <c r="F245" s="3" t="s">
        <v>11</v>
      </c>
      <c r="G245" s="5"/>
      <c r="H245" s="5">
        <v>200</v>
      </c>
      <c r="I245" s="5"/>
      <c r="J245" s="5">
        <f t="shared" si="7"/>
        <v>200</v>
      </c>
    </row>
    <row r="246" spans="1:10" x14ac:dyDescent="0.25">
      <c r="A246" s="2" t="s">
        <v>225</v>
      </c>
      <c r="B246" s="13">
        <v>46132</v>
      </c>
      <c r="C246" s="2">
        <v>2821</v>
      </c>
      <c r="D246" s="3" t="s">
        <v>15</v>
      </c>
      <c r="E246" s="3" t="s">
        <v>74</v>
      </c>
      <c r="F246" s="3" t="s">
        <v>11</v>
      </c>
      <c r="G246" s="5"/>
      <c r="H246" s="5">
        <v>13400</v>
      </c>
      <c r="I246" s="5"/>
      <c r="J246" s="5">
        <f t="shared" si="7"/>
        <v>13400</v>
      </c>
    </row>
    <row r="247" spans="1:10" x14ac:dyDescent="0.25">
      <c r="A247" s="2" t="s">
        <v>196</v>
      </c>
      <c r="B247" s="13">
        <v>46132</v>
      </c>
      <c r="C247" s="2">
        <v>711</v>
      </c>
      <c r="D247" s="3" t="s">
        <v>15</v>
      </c>
      <c r="E247" s="3" t="s">
        <v>197</v>
      </c>
      <c r="F247" s="3" t="s">
        <v>11</v>
      </c>
      <c r="G247" s="5"/>
      <c r="H247" s="5"/>
      <c r="I247" s="5">
        <v>300</v>
      </c>
      <c r="J247" s="5">
        <f t="shared" si="7"/>
        <v>-300</v>
      </c>
    </row>
    <row r="248" spans="1:10" x14ac:dyDescent="0.25">
      <c r="A248" s="2" t="s">
        <v>212</v>
      </c>
      <c r="B248" s="13">
        <v>46132</v>
      </c>
      <c r="C248" s="2">
        <v>712</v>
      </c>
      <c r="D248" s="3" t="s">
        <v>15</v>
      </c>
      <c r="E248" s="3" t="s">
        <v>66</v>
      </c>
      <c r="F248" s="3" t="s">
        <v>11</v>
      </c>
      <c r="G248" s="5"/>
      <c r="H248" s="5"/>
      <c r="I248" s="5">
        <v>1000</v>
      </c>
      <c r="J248" s="5">
        <f t="shared" si="7"/>
        <v>-1000</v>
      </c>
    </row>
    <row r="249" spans="1:10" x14ac:dyDescent="0.25">
      <c r="A249" s="2" t="s">
        <v>274</v>
      </c>
      <c r="B249" s="13">
        <v>46132</v>
      </c>
      <c r="C249" s="2">
        <v>714</v>
      </c>
      <c r="D249" s="3" t="s">
        <v>15</v>
      </c>
      <c r="E249" s="3" t="s">
        <v>129</v>
      </c>
      <c r="F249" s="3" t="s">
        <v>11</v>
      </c>
      <c r="G249" s="5"/>
      <c r="H249" s="5"/>
      <c r="I249" s="5">
        <v>700</v>
      </c>
      <c r="J249" s="5">
        <f t="shared" si="7"/>
        <v>-700</v>
      </c>
    </row>
    <row r="250" spans="1:10" x14ac:dyDescent="0.25">
      <c r="A250" s="13" t="s">
        <v>19</v>
      </c>
      <c r="B250" s="13">
        <v>46133</v>
      </c>
      <c r="C250" s="2">
        <v>715</v>
      </c>
      <c r="D250" s="3" t="s">
        <v>15</v>
      </c>
      <c r="E250" s="3" t="s">
        <v>20</v>
      </c>
      <c r="F250" s="3" t="s">
        <v>11</v>
      </c>
      <c r="G250" s="5"/>
      <c r="H250" s="5"/>
      <c r="I250" s="5">
        <v>6000</v>
      </c>
      <c r="J250" s="5">
        <f>G250+H250-I250</f>
        <v>-6000</v>
      </c>
    </row>
    <row r="251" spans="1:10" x14ac:dyDescent="0.25">
      <c r="A251" s="13" t="s">
        <v>275</v>
      </c>
      <c r="B251" s="13">
        <v>46133</v>
      </c>
      <c r="C251" s="2">
        <v>716</v>
      </c>
      <c r="D251" s="3" t="s">
        <v>15</v>
      </c>
      <c r="E251" s="3" t="s">
        <v>28</v>
      </c>
      <c r="F251" s="3" t="s">
        <v>11</v>
      </c>
      <c r="G251" s="5"/>
      <c r="H251" s="5"/>
      <c r="I251" s="5">
        <v>5000</v>
      </c>
      <c r="J251" s="5">
        <f t="shared" si="7"/>
        <v>-5000</v>
      </c>
    </row>
    <row r="252" spans="1:10" x14ac:dyDescent="0.25">
      <c r="A252" s="13" t="s">
        <v>276</v>
      </c>
      <c r="B252" s="13">
        <v>46133</v>
      </c>
      <c r="C252" s="2">
        <v>717</v>
      </c>
      <c r="D252" s="3" t="s">
        <v>15</v>
      </c>
      <c r="E252" s="3" t="s">
        <v>277</v>
      </c>
      <c r="F252" s="3" t="s">
        <v>11</v>
      </c>
      <c r="G252" s="5"/>
      <c r="H252" s="5"/>
      <c r="I252" s="5">
        <v>2000</v>
      </c>
      <c r="J252" s="5">
        <f t="shared" si="7"/>
        <v>-2000</v>
      </c>
    </row>
    <row r="253" spans="1:10" x14ac:dyDescent="0.25">
      <c r="A253" s="13"/>
      <c r="B253" s="13">
        <v>46134</v>
      </c>
      <c r="C253" s="2">
        <v>2827</v>
      </c>
      <c r="D253" s="3" t="s">
        <v>15</v>
      </c>
      <c r="E253" s="3" t="s">
        <v>37</v>
      </c>
      <c r="F253" s="3" t="s">
        <v>11</v>
      </c>
      <c r="G253" s="5"/>
      <c r="H253" s="5">
        <v>250</v>
      </c>
      <c r="I253" s="5"/>
      <c r="J253" s="5">
        <f t="shared" si="7"/>
        <v>250</v>
      </c>
    </row>
    <row r="254" spans="1:10" x14ac:dyDescent="0.25">
      <c r="A254" s="13"/>
      <c r="B254" s="13">
        <v>46135</v>
      </c>
      <c r="C254" s="2">
        <v>2830</v>
      </c>
      <c r="D254" s="3" t="s">
        <v>15</v>
      </c>
      <c r="E254" s="3" t="s">
        <v>267</v>
      </c>
      <c r="F254" s="3" t="s">
        <v>11</v>
      </c>
      <c r="G254" s="5"/>
      <c r="H254" s="5">
        <v>39772.720000000001</v>
      </c>
      <c r="I254" s="5"/>
      <c r="J254" s="5">
        <f>G254+H254-I254</f>
        <v>39772.720000000001</v>
      </c>
    </row>
    <row r="255" spans="1:10" x14ac:dyDescent="0.25">
      <c r="A255" s="13"/>
      <c r="B255" s="13">
        <v>46136</v>
      </c>
      <c r="C255" s="2">
        <v>2832</v>
      </c>
      <c r="D255" s="3" t="s">
        <v>15</v>
      </c>
      <c r="E255" s="3" t="s">
        <v>20</v>
      </c>
      <c r="F255" s="3" t="s">
        <v>11</v>
      </c>
      <c r="G255" s="5"/>
      <c r="H255" s="5">
        <v>6000</v>
      </c>
      <c r="I255" s="5"/>
      <c r="J255" s="5">
        <f>G255+H255-I255</f>
        <v>6000</v>
      </c>
    </row>
    <row r="256" spans="1:10" x14ac:dyDescent="0.25">
      <c r="A256" s="13"/>
      <c r="B256" s="13">
        <v>46136</v>
      </c>
      <c r="C256" s="2">
        <v>2833</v>
      </c>
      <c r="D256" s="3" t="s">
        <v>15</v>
      </c>
      <c r="E256" s="3" t="s">
        <v>28</v>
      </c>
      <c r="F256" s="3" t="s">
        <v>11</v>
      </c>
      <c r="G256" s="5"/>
      <c r="H256" s="5">
        <v>5000</v>
      </c>
      <c r="I256" s="5"/>
      <c r="J256" s="5">
        <f t="shared" ref="J256:J260" si="8">G256+H256-I256</f>
        <v>5000</v>
      </c>
    </row>
    <row r="257" spans="1:12" x14ac:dyDescent="0.25">
      <c r="A257" s="13"/>
      <c r="B257" s="13">
        <v>46136</v>
      </c>
      <c r="C257" s="2">
        <v>718</v>
      </c>
      <c r="D257" s="3" t="s">
        <v>15</v>
      </c>
      <c r="E257" s="3" t="s">
        <v>281</v>
      </c>
      <c r="F257" s="3" t="s">
        <v>11</v>
      </c>
      <c r="G257" s="5"/>
      <c r="H257" s="5"/>
      <c r="I257" s="5">
        <v>20125.37</v>
      </c>
      <c r="J257" s="5">
        <f t="shared" si="8"/>
        <v>-20125.37</v>
      </c>
    </row>
    <row r="258" spans="1:12" x14ac:dyDescent="0.25">
      <c r="A258" s="13"/>
      <c r="B258" s="13">
        <v>46139</v>
      </c>
      <c r="C258" s="2">
        <v>719</v>
      </c>
      <c r="D258" s="3" t="s">
        <v>15</v>
      </c>
      <c r="E258" s="3" t="s">
        <v>282</v>
      </c>
      <c r="F258" s="3" t="s">
        <v>11</v>
      </c>
      <c r="G258" s="5"/>
      <c r="H258" s="5"/>
      <c r="I258" s="5">
        <v>150</v>
      </c>
      <c r="J258" s="5">
        <f t="shared" si="8"/>
        <v>-150</v>
      </c>
    </row>
    <row r="259" spans="1:12" x14ac:dyDescent="0.25">
      <c r="A259" s="13"/>
      <c r="B259" s="13">
        <v>46139</v>
      </c>
      <c r="C259" s="2">
        <v>2835</v>
      </c>
      <c r="D259" s="3" t="s">
        <v>15</v>
      </c>
      <c r="E259" s="3" t="s">
        <v>283</v>
      </c>
      <c r="F259" s="3" t="s">
        <v>11</v>
      </c>
      <c r="G259" s="5"/>
      <c r="H259" s="5">
        <v>10000</v>
      </c>
      <c r="I259" s="5"/>
      <c r="J259" s="5">
        <f t="shared" si="8"/>
        <v>10000</v>
      </c>
    </row>
    <row r="260" spans="1:12" x14ac:dyDescent="0.25">
      <c r="A260" s="13"/>
      <c r="B260" s="13">
        <v>46140</v>
      </c>
      <c r="C260" s="2">
        <v>720</v>
      </c>
      <c r="D260" s="3" t="s">
        <v>15</v>
      </c>
      <c r="E260" s="3" t="s">
        <v>284</v>
      </c>
      <c r="F260" s="3" t="s">
        <v>11</v>
      </c>
      <c r="G260" s="5"/>
      <c r="H260" s="5"/>
      <c r="I260" s="5">
        <v>2300</v>
      </c>
      <c r="J260" s="5">
        <f t="shared" si="8"/>
        <v>-2300</v>
      </c>
    </row>
    <row r="261" spans="1:12" x14ac:dyDescent="0.25">
      <c r="A261" s="2"/>
      <c r="B261" s="13">
        <v>46141</v>
      </c>
      <c r="C261" s="21">
        <v>2854</v>
      </c>
      <c r="D261" s="3" t="s">
        <v>15</v>
      </c>
      <c r="E261" s="3" t="s">
        <v>243</v>
      </c>
      <c r="F261" s="3" t="s">
        <v>11</v>
      </c>
      <c r="G261" s="5"/>
      <c r="H261" s="5">
        <v>2500</v>
      </c>
      <c r="I261" s="5"/>
      <c r="J261" s="5">
        <f t="shared" si="7"/>
        <v>2500</v>
      </c>
    </row>
    <row r="262" spans="1:12" x14ac:dyDescent="0.25">
      <c r="A262" s="2"/>
      <c r="B262" s="13">
        <v>46141</v>
      </c>
      <c r="C262" s="2">
        <v>2856</v>
      </c>
      <c r="D262" s="3" t="s">
        <v>15</v>
      </c>
      <c r="E262" s="3" t="s">
        <v>285</v>
      </c>
      <c r="F262" s="3" t="s">
        <v>11</v>
      </c>
      <c r="G262" s="5"/>
      <c r="H262" s="5">
        <v>17045.46</v>
      </c>
      <c r="I262" s="5"/>
      <c r="J262" s="5">
        <f t="shared" si="7"/>
        <v>17045.46</v>
      </c>
    </row>
    <row r="263" spans="1:12" x14ac:dyDescent="0.25">
      <c r="A263" s="2"/>
      <c r="B263" s="13">
        <v>46142</v>
      </c>
      <c r="C263" s="2">
        <v>721</v>
      </c>
      <c r="D263" s="3" t="s">
        <v>15</v>
      </c>
      <c r="E263" s="3" t="s">
        <v>73</v>
      </c>
      <c r="F263" s="3" t="s">
        <v>11</v>
      </c>
      <c r="G263" s="5"/>
      <c r="H263" s="5"/>
      <c r="I263" s="5">
        <v>1000</v>
      </c>
      <c r="J263" s="5">
        <f t="shared" si="7"/>
        <v>-1000</v>
      </c>
    </row>
    <row r="264" spans="1:12" x14ac:dyDescent="0.25">
      <c r="A264" s="2"/>
      <c r="B264" s="13">
        <v>46142</v>
      </c>
      <c r="C264" s="2">
        <v>2859</v>
      </c>
      <c r="D264" s="3" t="s">
        <v>15</v>
      </c>
      <c r="E264" s="3" t="s">
        <v>287</v>
      </c>
      <c r="F264" s="3" t="s">
        <v>11</v>
      </c>
      <c r="G264" s="5"/>
      <c r="H264" s="5">
        <v>100</v>
      </c>
      <c r="I264" s="5"/>
      <c r="J264" s="5">
        <f t="shared" si="7"/>
        <v>100</v>
      </c>
    </row>
    <row r="265" spans="1:12" x14ac:dyDescent="0.25">
      <c r="A265" s="2"/>
      <c r="B265" s="13">
        <v>46142</v>
      </c>
      <c r="C265" s="2">
        <v>2860</v>
      </c>
      <c r="D265" s="3" t="s">
        <v>15</v>
      </c>
      <c r="E265" s="3" t="s">
        <v>59</v>
      </c>
      <c r="F265" s="3" t="s">
        <v>11</v>
      </c>
      <c r="G265" s="5"/>
      <c r="H265" s="5">
        <v>100</v>
      </c>
      <c r="I265" s="5"/>
      <c r="J265" s="5">
        <f t="shared" si="7"/>
        <v>100</v>
      </c>
      <c r="K265" t="s">
        <v>311</v>
      </c>
      <c r="L265" t="s">
        <v>312</v>
      </c>
    </row>
    <row r="266" spans="1:12" x14ac:dyDescent="0.25">
      <c r="A266" s="2"/>
      <c r="B266" s="13">
        <v>46142</v>
      </c>
      <c r="C266" s="2">
        <v>2861</v>
      </c>
      <c r="D266" s="3" t="s">
        <v>15</v>
      </c>
      <c r="E266" s="3" t="s">
        <v>197</v>
      </c>
      <c r="F266" s="3" t="s">
        <v>11</v>
      </c>
      <c r="G266" s="5"/>
      <c r="H266" s="5">
        <v>300</v>
      </c>
      <c r="I266" s="5"/>
      <c r="J266" s="5">
        <f t="shared" si="7"/>
        <v>300</v>
      </c>
      <c r="K266" s="4">
        <f>SUM(H202:H266)</f>
        <v>229011.34999999998</v>
      </c>
      <c r="L266" s="4">
        <f>SUM(I202:I267)</f>
        <v>68428.37</v>
      </c>
    </row>
    <row r="267" spans="1:12" x14ac:dyDescent="0.25">
      <c r="A267" s="2"/>
      <c r="B267" s="13">
        <v>46142</v>
      </c>
      <c r="C267" s="2">
        <v>722</v>
      </c>
      <c r="D267" s="3" t="s">
        <v>15</v>
      </c>
      <c r="E267" s="3" t="s">
        <v>129</v>
      </c>
      <c r="F267" s="3" t="s">
        <v>11</v>
      </c>
      <c r="G267" s="5"/>
      <c r="H267" s="20"/>
      <c r="I267" s="20">
        <v>2000</v>
      </c>
      <c r="J267" s="20">
        <f t="shared" si="7"/>
        <v>-2000</v>
      </c>
    </row>
    <row r="268" spans="1:12" x14ac:dyDescent="0.25">
      <c r="A268" s="2" t="s">
        <v>319</v>
      </c>
      <c r="B268" s="13">
        <v>46144</v>
      </c>
      <c r="C268" s="2">
        <v>2865</v>
      </c>
      <c r="D268" s="3" t="s">
        <v>15</v>
      </c>
      <c r="E268" s="3" t="s">
        <v>105</v>
      </c>
      <c r="F268" s="3" t="s">
        <v>11</v>
      </c>
      <c r="G268" s="5"/>
      <c r="H268" s="5">
        <v>22000</v>
      </c>
      <c r="I268" s="5"/>
      <c r="J268" s="5">
        <f t="shared" ref="J268:J311" si="9">G268+H268-I268</f>
        <v>22000</v>
      </c>
    </row>
    <row r="269" spans="1:12" x14ac:dyDescent="0.25">
      <c r="A269" s="2"/>
      <c r="B269" s="13">
        <v>46144</v>
      </c>
      <c r="C269" s="2">
        <v>2869</v>
      </c>
      <c r="D269" s="3" t="s">
        <v>15</v>
      </c>
      <c r="E269" s="3" t="s">
        <v>288</v>
      </c>
      <c r="F269" s="3" t="s">
        <v>11</v>
      </c>
      <c r="G269" s="5"/>
      <c r="H269" s="5">
        <v>480.11</v>
      </c>
      <c r="I269" s="5"/>
      <c r="J269" s="5">
        <f t="shared" si="9"/>
        <v>480.11</v>
      </c>
    </row>
    <row r="270" spans="1:12" x14ac:dyDescent="0.25">
      <c r="A270" s="2"/>
      <c r="B270" s="13">
        <v>46144</v>
      </c>
      <c r="C270" s="2">
        <v>2871</v>
      </c>
      <c r="D270" s="3" t="s">
        <v>15</v>
      </c>
      <c r="E270" s="3" t="s">
        <v>129</v>
      </c>
      <c r="F270" s="3" t="s">
        <v>11</v>
      </c>
      <c r="G270" s="5"/>
      <c r="H270" s="5">
        <v>1000</v>
      </c>
      <c r="I270" s="5"/>
      <c r="J270" s="5">
        <f t="shared" si="9"/>
        <v>1000</v>
      </c>
    </row>
    <row r="271" spans="1:12" x14ac:dyDescent="0.25">
      <c r="A271" s="2"/>
      <c r="B271" s="13">
        <v>46144</v>
      </c>
      <c r="C271" s="2">
        <v>2872</v>
      </c>
      <c r="D271" s="3" t="s">
        <v>15</v>
      </c>
      <c r="E271" s="3" t="s">
        <v>241</v>
      </c>
      <c r="F271" s="3" t="s">
        <v>11</v>
      </c>
      <c r="G271" s="5"/>
      <c r="H271" s="5">
        <v>500</v>
      </c>
      <c r="I271" s="5"/>
      <c r="J271" s="5">
        <f t="shared" si="9"/>
        <v>500</v>
      </c>
    </row>
    <row r="272" spans="1:12" x14ac:dyDescent="0.25">
      <c r="A272" s="2"/>
      <c r="B272" s="13">
        <v>46144</v>
      </c>
      <c r="C272" s="2">
        <v>2874</v>
      </c>
      <c r="D272" s="3" t="s">
        <v>15</v>
      </c>
      <c r="E272" s="3" t="s">
        <v>121</v>
      </c>
      <c r="F272" s="3" t="s">
        <v>11</v>
      </c>
      <c r="G272" s="5"/>
      <c r="H272" s="5">
        <v>576.70000000000005</v>
      </c>
      <c r="I272" s="5"/>
      <c r="J272" s="5">
        <f t="shared" si="9"/>
        <v>576.70000000000005</v>
      </c>
    </row>
    <row r="273" spans="1:10" x14ac:dyDescent="0.25">
      <c r="A273" s="2"/>
      <c r="B273" s="13">
        <v>46144</v>
      </c>
      <c r="C273" s="2">
        <v>2877</v>
      </c>
      <c r="D273" s="3" t="s">
        <v>15</v>
      </c>
      <c r="E273" s="3" t="s">
        <v>289</v>
      </c>
      <c r="F273" s="3" t="s">
        <v>11</v>
      </c>
      <c r="G273" s="5"/>
      <c r="H273" s="5">
        <v>1000</v>
      </c>
      <c r="I273" s="5"/>
      <c r="J273" s="5">
        <f t="shared" si="9"/>
        <v>1000</v>
      </c>
    </row>
    <row r="274" spans="1:10" x14ac:dyDescent="0.25">
      <c r="A274" s="2" t="s">
        <v>301</v>
      </c>
      <c r="B274" s="13">
        <v>46144</v>
      </c>
      <c r="C274" s="2">
        <v>723</v>
      </c>
      <c r="D274" s="3" t="s">
        <v>15</v>
      </c>
      <c r="E274" s="3" t="s">
        <v>66</v>
      </c>
      <c r="F274" s="3" t="s">
        <v>11</v>
      </c>
      <c r="G274" s="5"/>
      <c r="H274" s="5"/>
      <c r="I274" s="5">
        <v>500</v>
      </c>
      <c r="J274" s="5">
        <f t="shared" si="9"/>
        <v>-500</v>
      </c>
    </row>
    <row r="275" spans="1:10" x14ac:dyDescent="0.25">
      <c r="A275" s="2"/>
      <c r="B275" s="13">
        <v>46144</v>
      </c>
      <c r="C275" s="2">
        <v>724</v>
      </c>
      <c r="D275" s="3" t="s">
        <v>15</v>
      </c>
      <c r="E275" s="3" t="s">
        <v>290</v>
      </c>
      <c r="F275" s="3" t="s">
        <v>11</v>
      </c>
      <c r="G275" s="5"/>
      <c r="H275" s="5"/>
      <c r="I275" s="5">
        <v>1000</v>
      </c>
      <c r="J275" s="5">
        <f t="shared" si="9"/>
        <v>-1000</v>
      </c>
    </row>
    <row r="276" spans="1:10" x14ac:dyDescent="0.25">
      <c r="A276" s="2"/>
      <c r="B276" s="13">
        <v>46144</v>
      </c>
      <c r="C276" s="2">
        <v>725</v>
      </c>
      <c r="D276" s="3" t="s">
        <v>15</v>
      </c>
      <c r="E276" s="3" t="s">
        <v>24</v>
      </c>
      <c r="F276" s="3" t="s">
        <v>11</v>
      </c>
      <c r="G276" s="5"/>
      <c r="H276" s="5"/>
      <c r="I276" s="5">
        <v>900</v>
      </c>
      <c r="J276" s="5">
        <f t="shared" si="9"/>
        <v>-900</v>
      </c>
    </row>
    <row r="277" spans="1:10" x14ac:dyDescent="0.25">
      <c r="A277" s="2"/>
      <c r="B277" s="13">
        <v>46144</v>
      </c>
      <c r="C277" s="2">
        <v>728</v>
      </c>
      <c r="D277" s="3" t="s">
        <v>15</v>
      </c>
      <c r="E277" s="3" t="s">
        <v>59</v>
      </c>
      <c r="F277" s="3" t="s">
        <v>11</v>
      </c>
      <c r="G277" s="5"/>
      <c r="H277" s="5"/>
      <c r="I277" s="5">
        <v>1000</v>
      </c>
      <c r="J277" s="5">
        <f t="shared" si="9"/>
        <v>-1000</v>
      </c>
    </row>
    <row r="278" spans="1:10" x14ac:dyDescent="0.25">
      <c r="A278" s="2"/>
      <c r="B278" s="13">
        <v>46146</v>
      </c>
      <c r="C278" s="2">
        <v>2878</v>
      </c>
      <c r="D278" s="3" t="s">
        <v>15</v>
      </c>
      <c r="E278" s="3" t="s">
        <v>241</v>
      </c>
      <c r="F278" s="3" t="s">
        <v>11</v>
      </c>
      <c r="G278" s="5"/>
      <c r="H278" s="5">
        <v>500</v>
      </c>
      <c r="I278" s="5"/>
      <c r="J278" s="5">
        <f t="shared" si="9"/>
        <v>500</v>
      </c>
    </row>
    <row r="279" spans="1:10" x14ac:dyDescent="0.25">
      <c r="A279" s="2"/>
      <c r="B279" s="13">
        <v>46146</v>
      </c>
      <c r="C279" s="2">
        <v>729</v>
      </c>
      <c r="D279" s="3" t="s">
        <v>15</v>
      </c>
      <c r="E279" s="3" t="s">
        <v>203</v>
      </c>
      <c r="F279" s="3" t="s">
        <v>11</v>
      </c>
      <c r="G279" s="5"/>
      <c r="H279" s="5"/>
      <c r="I279" s="5">
        <v>1000</v>
      </c>
      <c r="J279" s="5">
        <f t="shared" si="9"/>
        <v>-1000</v>
      </c>
    </row>
    <row r="280" spans="1:10" x14ac:dyDescent="0.25">
      <c r="A280" s="2"/>
      <c r="B280" s="13">
        <v>46146</v>
      </c>
      <c r="C280" s="2">
        <v>730</v>
      </c>
      <c r="D280" s="3" t="s">
        <v>15</v>
      </c>
      <c r="E280" s="3" t="s">
        <v>291</v>
      </c>
      <c r="F280" s="3" t="s">
        <v>11</v>
      </c>
      <c r="G280" s="5"/>
      <c r="H280" s="5"/>
      <c r="I280" s="5">
        <v>200</v>
      </c>
      <c r="J280" s="5">
        <f t="shared" si="9"/>
        <v>-200</v>
      </c>
    </row>
    <row r="281" spans="1:10" x14ac:dyDescent="0.25">
      <c r="A281" s="2"/>
      <c r="B281" s="13">
        <v>46147</v>
      </c>
      <c r="C281" s="2">
        <v>2884</v>
      </c>
      <c r="D281" s="3" t="s">
        <v>15</v>
      </c>
      <c r="E281" s="3" t="s">
        <v>20</v>
      </c>
      <c r="F281" s="3" t="s">
        <v>11</v>
      </c>
      <c r="G281" s="5"/>
      <c r="H281" s="5">
        <v>7000</v>
      </c>
      <c r="I281" s="5"/>
      <c r="J281" s="5">
        <f t="shared" si="9"/>
        <v>7000</v>
      </c>
    </row>
    <row r="282" spans="1:10" x14ac:dyDescent="0.25">
      <c r="A282" s="2"/>
      <c r="B282" s="13">
        <v>46147</v>
      </c>
      <c r="C282" s="2">
        <v>2885</v>
      </c>
      <c r="D282" s="3" t="s">
        <v>15</v>
      </c>
      <c r="E282" s="3" t="s">
        <v>292</v>
      </c>
      <c r="F282" s="3" t="s">
        <v>11</v>
      </c>
      <c r="G282" s="5"/>
      <c r="H282" s="5">
        <v>300</v>
      </c>
      <c r="I282" s="5"/>
      <c r="J282" s="5">
        <f t="shared" si="9"/>
        <v>300</v>
      </c>
    </row>
    <row r="283" spans="1:10" x14ac:dyDescent="0.25">
      <c r="A283" s="2"/>
      <c r="B283" s="13">
        <v>46147</v>
      </c>
      <c r="C283" s="2">
        <v>2886</v>
      </c>
      <c r="D283" s="3" t="s">
        <v>15</v>
      </c>
      <c r="E283" s="3" t="s">
        <v>293</v>
      </c>
      <c r="F283" s="3" t="s">
        <v>11</v>
      </c>
      <c r="G283" s="5"/>
      <c r="H283" s="5">
        <v>2272.7199999999998</v>
      </c>
      <c r="I283" s="5"/>
      <c r="J283" s="5">
        <f t="shared" si="9"/>
        <v>2272.7199999999998</v>
      </c>
    </row>
    <row r="284" spans="1:10" x14ac:dyDescent="0.25">
      <c r="A284" s="2"/>
      <c r="B284" s="13">
        <v>46147</v>
      </c>
      <c r="C284" s="2">
        <v>2890</v>
      </c>
      <c r="D284" s="3" t="s">
        <v>15</v>
      </c>
      <c r="E284" s="3" t="s">
        <v>197</v>
      </c>
      <c r="F284" s="3" t="s">
        <v>11</v>
      </c>
      <c r="G284" s="5"/>
      <c r="H284" s="5">
        <v>15500</v>
      </c>
      <c r="I284" s="5"/>
      <c r="J284" s="5">
        <f t="shared" si="9"/>
        <v>15500</v>
      </c>
    </row>
    <row r="285" spans="1:10" x14ac:dyDescent="0.25">
      <c r="A285" s="2"/>
      <c r="B285" s="13">
        <v>46147</v>
      </c>
      <c r="C285" s="2">
        <v>2892</v>
      </c>
      <c r="D285" s="3" t="s">
        <v>15</v>
      </c>
      <c r="E285" s="3" t="s">
        <v>66</v>
      </c>
      <c r="F285" s="3" t="s">
        <v>11</v>
      </c>
      <c r="G285" s="5"/>
      <c r="H285" s="5">
        <v>200</v>
      </c>
      <c r="I285" s="5"/>
      <c r="J285" s="5">
        <f t="shared" si="9"/>
        <v>200</v>
      </c>
    </row>
    <row r="286" spans="1:10" x14ac:dyDescent="0.25">
      <c r="A286" s="2"/>
      <c r="B286" s="13">
        <v>46147</v>
      </c>
      <c r="C286" s="2">
        <v>731</v>
      </c>
      <c r="D286" s="3" t="s">
        <v>15</v>
      </c>
      <c r="E286" s="3" t="s">
        <v>172</v>
      </c>
      <c r="F286" s="3" t="s">
        <v>11</v>
      </c>
      <c r="G286" s="5"/>
      <c r="H286" s="5"/>
      <c r="I286" s="5">
        <v>70000</v>
      </c>
      <c r="J286" s="5">
        <f t="shared" si="9"/>
        <v>-70000</v>
      </c>
    </row>
    <row r="287" spans="1:10" x14ac:dyDescent="0.25">
      <c r="A287" s="2"/>
      <c r="B287" s="13">
        <v>46147</v>
      </c>
      <c r="C287" s="2">
        <v>733</v>
      </c>
      <c r="D287" s="3" t="s">
        <v>15</v>
      </c>
      <c r="E287" s="3" t="s">
        <v>294</v>
      </c>
      <c r="F287" s="3" t="s">
        <v>11</v>
      </c>
      <c r="G287" s="5"/>
      <c r="H287" s="5"/>
      <c r="I287" s="5">
        <v>1144.27</v>
      </c>
      <c r="J287" s="5">
        <f t="shared" si="9"/>
        <v>-1144.27</v>
      </c>
    </row>
    <row r="288" spans="1:10" x14ac:dyDescent="0.25">
      <c r="A288" s="2"/>
      <c r="B288" s="13">
        <v>46147</v>
      </c>
      <c r="C288" s="2">
        <v>734</v>
      </c>
      <c r="D288" s="3" t="s">
        <v>15</v>
      </c>
      <c r="E288" s="3" t="s">
        <v>53</v>
      </c>
      <c r="F288" s="3" t="s">
        <v>11</v>
      </c>
      <c r="G288" s="5"/>
      <c r="H288" s="5"/>
      <c r="I288" s="5">
        <v>2000</v>
      </c>
      <c r="J288" s="5">
        <f t="shared" si="9"/>
        <v>-2000</v>
      </c>
    </row>
    <row r="289" spans="1:10" x14ac:dyDescent="0.25">
      <c r="A289" s="2"/>
      <c r="B289" s="13">
        <v>46148</v>
      </c>
      <c r="C289" s="2">
        <v>735</v>
      </c>
      <c r="D289" s="3" t="s">
        <v>15</v>
      </c>
      <c r="E289" s="3" t="s">
        <v>241</v>
      </c>
      <c r="F289" s="3" t="s">
        <v>11</v>
      </c>
      <c r="G289" s="5"/>
      <c r="H289" s="5"/>
      <c r="I289" s="5">
        <v>600</v>
      </c>
      <c r="J289" s="5">
        <f t="shared" si="9"/>
        <v>-600</v>
      </c>
    </row>
    <row r="290" spans="1:10" x14ac:dyDescent="0.25">
      <c r="A290" s="2"/>
      <c r="B290" s="13">
        <v>46149</v>
      </c>
      <c r="C290" s="2">
        <v>2914</v>
      </c>
      <c r="D290" s="3" t="s">
        <v>15</v>
      </c>
      <c r="E290" s="3" t="s">
        <v>295</v>
      </c>
      <c r="F290" s="3" t="s">
        <v>11</v>
      </c>
      <c r="G290" s="5"/>
      <c r="H290" s="5">
        <v>54679.14</v>
      </c>
      <c r="I290" s="5"/>
      <c r="J290" s="5">
        <f t="shared" si="9"/>
        <v>54679.14</v>
      </c>
    </row>
    <row r="291" spans="1:10" x14ac:dyDescent="0.25">
      <c r="A291" s="2"/>
      <c r="B291" s="13">
        <v>46149</v>
      </c>
      <c r="C291" s="2">
        <v>736</v>
      </c>
      <c r="D291" s="3" t="s">
        <v>15</v>
      </c>
      <c r="E291" s="3" t="s">
        <v>66</v>
      </c>
      <c r="F291" s="3" t="s">
        <v>11</v>
      </c>
      <c r="G291" s="5"/>
      <c r="H291" s="5"/>
      <c r="I291" s="5">
        <v>1000</v>
      </c>
      <c r="J291" s="5">
        <f t="shared" si="9"/>
        <v>-1000</v>
      </c>
    </row>
    <row r="292" spans="1:10" x14ac:dyDescent="0.25">
      <c r="A292" s="2"/>
      <c r="B292" s="13">
        <v>46149</v>
      </c>
      <c r="C292" s="2">
        <v>737</v>
      </c>
      <c r="D292" s="3" t="s">
        <v>15</v>
      </c>
      <c r="E292" s="3" t="s">
        <v>293</v>
      </c>
      <c r="F292" s="3" t="s">
        <v>11</v>
      </c>
      <c r="G292" s="5"/>
      <c r="H292" s="5"/>
      <c r="I292" s="5">
        <v>3000</v>
      </c>
      <c r="J292" s="5">
        <f t="shared" si="9"/>
        <v>-3000</v>
      </c>
    </row>
    <row r="293" spans="1:10" x14ac:dyDescent="0.25">
      <c r="A293" s="2"/>
      <c r="B293" s="13">
        <v>46149</v>
      </c>
      <c r="C293" s="2">
        <v>738</v>
      </c>
      <c r="D293" s="3" t="s">
        <v>15</v>
      </c>
      <c r="E293" s="3" t="s">
        <v>146</v>
      </c>
      <c r="F293" s="3" t="s">
        <v>11</v>
      </c>
      <c r="G293" s="5"/>
      <c r="H293" s="5"/>
      <c r="I293" s="5">
        <v>1154.06</v>
      </c>
      <c r="J293" s="5">
        <f t="shared" si="9"/>
        <v>-1154.06</v>
      </c>
    </row>
    <row r="294" spans="1:10" x14ac:dyDescent="0.25">
      <c r="A294" s="2"/>
      <c r="B294" s="13">
        <v>46149</v>
      </c>
      <c r="C294" s="2">
        <v>739</v>
      </c>
      <c r="D294" s="3" t="s">
        <v>15</v>
      </c>
      <c r="E294" s="3" t="s">
        <v>148</v>
      </c>
      <c r="F294" s="3" t="s">
        <v>11</v>
      </c>
      <c r="G294" s="5"/>
      <c r="H294" s="5"/>
      <c r="I294" s="5">
        <v>1154.06</v>
      </c>
      <c r="J294" s="5">
        <f t="shared" si="9"/>
        <v>-1154.06</v>
      </c>
    </row>
    <row r="295" spans="1:10" x14ac:dyDescent="0.25">
      <c r="A295" s="2"/>
      <c r="B295" s="13">
        <v>46149</v>
      </c>
      <c r="C295" s="2">
        <v>740</v>
      </c>
      <c r="D295" s="3" t="s">
        <v>15</v>
      </c>
      <c r="E295" s="3" t="s">
        <v>179</v>
      </c>
      <c r="F295" s="3" t="s">
        <v>11</v>
      </c>
      <c r="G295" s="5"/>
      <c r="H295" s="5"/>
      <c r="I295" s="5">
        <v>1151.9100000000001</v>
      </c>
      <c r="J295" s="5">
        <f t="shared" si="9"/>
        <v>-1151.9100000000001</v>
      </c>
    </row>
    <row r="296" spans="1:10" x14ac:dyDescent="0.25">
      <c r="A296" s="2"/>
      <c r="B296" s="13">
        <v>46149</v>
      </c>
      <c r="C296" s="2">
        <v>741</v>
      </c>
      <c r="D296" s="3" t="s">
        <v>15</v>
      </c>
      <c r="E296" s="3" t="s">
        <v>175</v>
      </c>
      <c r="F296" s="3" t="s">
        <v>11</v>
      </c>
      <c r="G296" s="5"/>
      <c r="H296" s="5"/>
      <c r="I296" s="5">
        <v>1152.8699999999999</v>
      </c>
      <c r="J296" s="5">
        <f t="shared" si="9"/>
        <v>-1152.8699999999999</v>
      </c>
    </row>
    <row r="297" spans="1:10" x14ac:dyDescent="0.25">
      <c r="A297" s="2"/>
      <c r="B297" s="13">
        <v>46149</v>
      </c>
      <c r="C297" s="2">
        <v>742</v>
      </c>
      <c r="D297" s="3" t="s">
        <v>15</v>
      </c>
      <c r="E297" s="3" t="s">
        <v>59</v>
      </c>
      <c r="F297" s="3" t="s">
        <v>11</v>
      </c>
      <c r="G297" s="5"/>
      <c r="H297" s="5"/>
      <c r="I297" s="5">
        <v>1000</v>
      </c>
      <c r="J297" s="5">
        <f t="shared" si="9"/>
        <v>-1000</v>
      </c>
    </row>
    <row r="298" spans="1:10" x14ac:dyDescent="0.25">
      <c r="A298" s="2"/>
      <c r="B298" s="13">
        <v>46149</v>
      </c>
      <c r="C298" s="2">
        <v>743</v>
      </c>
      <c r="D298" s="3" t="s">
        <v>15</v>
      </c>
      <c r="E298" s="3" t="s">
        <v>296</v>
      </c>
      <c r="F298" s="3" t="s">
        <v>11</v>
      </c>
      <c r="G298" s="5"/>
      <c r="H298" s="5"/>
      <c r="I298" s="5">
        <v>500</v>
      </c>
      <c r="J298" s="5">
        <f t="shared" si="9"/>
        <v>-500</v>
      </c>
    </row>
    <row r="299" spans="1:10" x14ac:dyDescent="0.25">
      <c r="A299" s="2"/>
      <c r="B299" s="13">
        <v>46150</v>
      </c>
      <c r="C299" s="2">
        <v>2919</v>
      </c>
      <c r="D299" s="3" t="s">
        <v>15</v>
      </c>
      <c r="E299" s="3" t="s">
        <v>297</v>
      </c>
      <c r="F299" s="3" t="s">
        <v>11</v>
      </c>
      <c r="G299" s="5"/>
      <c r="H299" s="5">
        <v>20</v>
      </c>
      <c r="I299" s="5"/>
      <c r="J299" s="5">
        <f t="shared" si="9"/>
        <v>20</v>
      </c>
    </row>
    <row r="300" spans="1:10" x14ac:dyDescent="0.25">
      <c r="A300" s="2"/>
      <c r="B300" s="13">
        <v>46150</v>
      </c>
      <c r="C300" s="2">
        <v>2920</v>
      </c>
      <c r="D300" s="3" t="s">
        <v>15</v>
      </c>
      <c r="E300" s="3" t="s">
        <v>298</v>
      </c>
      <c r="F300" s="3" t="s">
        <v>11</v>
      </c>
      <c r="G300" s="5"/>
      <c r="H300" s="5">
        <v>100</v>
      </c>
      <c r="I300" s="5"/>
      <c r="J300" s="5">
        <f t="shared" si="9"/>
        <v>100</v>
      </c>
    </row>
    <row r="301" spans="1:10" x14ac:dyDescent="0.25">
      <c r="A301" s="2"/>
      <c r="B301" s="13">
        <v>46150</v>
      </c>
      <c r="C301" s="2">
        <v>2921</v>
      </c>
      <c r="D301" s="3" t="s">
        <v>15</v>
      </c>
      <c r="E301" s="3" t="s">
        <v>299</v>
      </c>
      <c r="F301" s="3" t="s">
        <v>11</v>
      </c>
      <c r="G301" s="5"/>
      <c r="H301" s="5">
        <v>200</v>
      </c>
      <c r="I301" s="5"/>
      <c r="J301" s="5">
        <f t="shared" si="9"/>
        <v>200</v>
      </c>
    </row>
    <row r="302" spans="1:10" x14ac:dyDescent="0.25">
      <c r="A302" s="2"/>
      <c r="B302" s="13">
        <v>46150</v>
      </c>
      <c r="C302" s="2">
        <v>2922</v>
      </c>
      <c r="D302" s="3" t="s">
        <v>15</v>
      </c>
      <c r="E302" s="3" t="s">
        <v>300</v>
      </c>
      <c r="F302" s="3" t="s">
        <v>11</v>
      </c>
      <c r="G302" s="5"/>
      <c r="H302" s="5">
        <v>250</v>
      </c>
      <c r="I302" s="5"/>
      <c r="J302" s="5">
        <f t="shared" si="9"/>
        <v>250</v>
      </c>
    </row>
    <row r="303" spans="1:10" x14ac:dyDescent="0.25">
      <c r="A303" s="2"/>
      <c r="B303" s="13">
        <v>46150</v>
      </c>
      <c r="C303" s="2">
        <v>2924</v>
      </c>
      <c r="D303" s="3" t="s">
        <v>15</v>
      </c>
      <c r="E303" s="3" t="s">
        <v>63</v>
      </c>
      <c r="F303" s="3" t="s">
        <v>11</v>
      </c>
      <c r="G303" s="5"/>
      <c r="H303" s="5">
        <v>75</v>
      </c>
      <c r="I303" s="5"/>
      <c r="J303" s="5">
        <f t="shared" si="9"/>
        <v>75</v>
      </c>
    </row>
    <row r="304" spans="1:10" x14ac:dyDescent="0.25">
      <c r="A304" s="2"/>
      <c r="B304" s="13">
        <v>46150</v>
      </c>
      <c r="C304" s="2">
        <v>744</v>
      </c>
      <c r="D304" s="3" t="s">
        <v>15</v>
      </c>
      <c r="E304" s="3" t="s">
        <v>24</v>
      </c>
      <c r="F304" s="3" t="s">
        <v>11</v>
      </c>
      <c r="G304" s="5"/>
      <c r="H304" s="5"/>
      <c r="I304" s="5">
        <v>200</v>
      </c>
      <c r="J304" s="5">
        <f t="shared" si="9"/>
        <v>-200</v>
      </c>
    </row>
    <row r="305" spans="1:10" x14ac:dyDescent="0.25">
      <c r="A305" s="2" t="s">
        <v>301</v>
      </c>
      <c r="B305" s="13">
        <v>46150</v>
      </c>
      <c r="C305" s="2">
        <v>745</v>
      </c>
      <c r="D305" s="3" t="s">
        <v>15</v>
      </c>
      <c r="E305" s="3" t="s">
        <v>243</v>
      </c>
      <c r="F305" s="3" t="s">
        <v>11</v>
      </c>
      <c r="G305" s="5"/>
      <c r="H305" s="5"/>
      <c r="I305" s="5">
        <v>500</v>
      </c>
      <c r="J305" s="5">
        <f t="shared" si="9"/>
        <v>-500</v>
      </c>
    </row>
    <row r="306" spans="1:10" x14ac:dyDescent="0.25">
      <c r="A306" s="2"/>
      <c r="B306" s="13">
        <v>46150</v>
      </c>
      <c r="C306" s="2">
        <v>746</v>
      </c>
      <c r="D306" s="3" t="s">
        <v>15</v>
      </c>
      <c r="E306" s="3" t="s">
        <v>95</v>
      </c>
      <c r="F306" s="3" t="s">
        <v>11</v>
      </c>
      <c r="G306" s="5"/>
      <c r="H306" s="5"/>
      <c r="I306" s="5">
        <v>1000</v>
      </c>
      <c r="J306" s="5">
        <f t="shared" si="9"/>
        <v>-1000</v>
      </c>
    </row>
    <row r="307" spans="1:10" x14ac:dyDescent="0.25">
      <c r="A307" s="2"/>
      <c r="B307" s="13">
        <v>46150</v>
      </c>
      <c r="C307" s="2">
        <v>747</v>
      </c>
      <c r="D307" s="3" t="s">
        <v>15</v>
      </c>
      <c r="E307" s="3" t="s">
        <v>191</v>
      </c>
      <c r="F307" s="3" t="s">
        <v>11</v>
      </c>
      <c r="G307" s="5"/>
      <c r="H307" s="5"/>
      <c r="I307" s="5">
        <v>12000</v>
      </c>
      <c r="J307" s="5">
        <f t="shared" si="9"/>
        <v>-12000</v>
      </c>
    </row>
    <row r="308" spans="1:10" x14ac:dyDescent="0.25">
      <c r="A308" s="2"/>
      <c r="B308" s="13">
        <v>46151</v>
      </c>
      <c r="C308" s="2">
        <v>748</v>
      </c>
      <c r="D308" s="3" t="s">
        <v>15</v>
      </c>
      <c r="E308" s="3" t="s">
        <v>135</v>
      </c>
      <c r="F308" s="3" t="s">
        <v>11</v>
      </c>
      <c r="G308" s="5"/>
      <c r="H308" s="5"/>
      <c r="I308" s="5">
        <v>200</v>
      </c>
      <c r="J308" s="5">
        <f t="shared" si="9"/>
        <v>-200</v>
      </c>
    </row>
    <row r="309" spans="1:10" x14ac:dyDescent="0.25">
      <c r="A309" s="2"/>
      <c r="B309" s="13">
        <v>46153</v>
      </c>
      <c r="C309" s="2">
        <v>2926</v>
      </c>
      <c r="D309" s="3" t="s">
        <v>15</v>
      </c>
      <c r="E309" s="3" t="s">
        <v>63</v>
      </c>
      <c r="F309" s="3" t="s">
        <v>11</v>
      </c>
      <c r="G309" s="5"/>
      <c r="H309" s="5">
        <v>50</v>
      </c>
      <c r="I309" s="5"/>
      <c r="J309" s="5">
        <f t="shared" si="9"/>
        <v>50</v>
      </c>
    </row>
    <row r="310" spans="1:10" x14ac:dyDescent="0.25">
      <c r="A310" s="2"/>
      <c r="B310" s="13">
        <v>46153</v>
      </c>
      <c r="C310" s="2">
        <v>2927</v>
      </c>
      <c r="D310" s="3" t="s">
        <v>15</v>
      </c>
      <c r="E310" s="3" t="s">
        <v>37</v>
      </c>
      <c r="F310" s="3" t="s">
        <v>11</v>
      </c>
      <c r="G310" s="5"/>
      <c r="H310" s="5">
        <v>100</v>
      </c>
      <c r="I310" s="5"/>
      <c r="J310" s="5">
        <f t="shared" si="9"/>
        <v>100</v>
      </c>
    </row>
    <row r="311" spans="1:10" x14ac:dyDescent="0.25">
      <c r="A311" s="2"/>
      <c r="B311" s="13">
        <v>46153</v>
      </c>
      <c r="C311" s="2">
        <v>749</v>
      </c>
      <c r="D311" s="3" t="s">
        <v>15</v>
      </c>
      <c r="E311" s="3" t="s">
        <v>302</v>
      </c>
      <c r="F311" s="3" t="s">
        <v>11</v>
      </c>
      <c r="G311" s="5"/>
      <c r="H311" s="5"/>
      <c r="I311" s="5">
        <v>500</v>
      </c>
      <c r="J311" s="5">
        <f t="shared" si="9"/>
        <v>-500</v>
      </c>
    </row>
    <row r="312" spans="1:10" x14ac:dyDescent="0.25">
      <c r="A312" s="2"/>
      <c r="B312" s="13">
        <v>46153</v>
      </c>
      <c r="C312" s="2">
        <v>750</v>
      </c>
      <c r="D312" s="3" t="s">
        <v>15</v>
      </c>
      <c r="E312" s="3" t="s">
        <v>303</v>
      </c>
      <c r="F312" s="3" t="s">
        <v>11</v>
      </c>
      <c r="G312" s="5"/>
      <c r="H312" s="5"/>
      <c r="I312" s="5"/>
      <c r="J312" s="5"/>
    </row>
    <row r="313" spans="1:10" x14ac:dyDescent="0.25">
      <c r="A313" s="2"/>
      <c r="B313" s="13">
        <v>46153</v>
      </c>
      <c r="C313" s="2">
        <v>2930</v>
      </c>
      <c r="D313" s="3" t="s">
        <v>15</v>
      </c>
      <c r="E313" s="3" t="s">
        <v>135</v>
      </c>
      <c r="F313" s="3" t="s">
        <v>11</v>
      </c>
      <c r="G313" s="5"/>
      <c r="H313" s="5">
        <v>700</v>
      </c>
      <c r="I313" s="5"/>
      <c r="J313" s="5">
        <f t="shared" ref="J313:J377" si="10">G313+H313-I313</f>
        <v>700</v>
      </c>
    </row>
    <row r="314" spans="1:10" x14ac:dyDescent="0.25">
      <c r="A314" s="2"/>
      <c r="B314" s="13">
        <v>46153</v>
      </c>
      <c r="C314" s="2">
        <v>2931</v>
      </c>
      <c r="D314" s="3" t="s">
        <v>15</v>
      </c>
      <c r="E314" s="3" t="s">
        <v>107</v>
      </c>
      <c r="F314" s="3" t="s">
        <v>11</v>
      </c>
      <c r="G314" s="5"/>
      <c r="H314" s="5">
        <v>200</v>
      </c>
      <c r="I314" s="5"/>
      <c r="J314" s="5">
        <f t="shared" si="10"/>
        <v>200</v>
      </c>
    </row>
    <row r="315" spans="1:10" x14ac:dyDescent="0.25">
      <c r="A315" s="2"/>
      <c r="B315" s="13">
        <v>46143</v>
      </c>
      <c r="C315" s="2">
        <v>2932</v>
      </c>
      <c r="D315" s="3" t="s">
        <v>15</v>
      </c>
      <c r="E315" s="3" t="s">
        <v>320</v>
      </c>
      <c r="F315" s="3" t="s">
        <v>11</v>
      </c>
      <c r="G315" s="5"/>
      <c r="H315" s="5">
        <v>34090.910000000003</v>
      </c>
      <c r="I315" s="5"/>
      <c r="J315" s="5">
        <f t="shared" si="10"/>
        <v>34090.910000000003</v>
      </c>
    </row>
    <row r="316" spans="1:10" x14ac:dyDescent="0.25">
      <c r="A316" s="2"/>
      <c r="B316" s="13">
        <v>46154</v>
      </c>
      <c r="C316" s="2">
        <v>751</v>
      </c>
      <c r="D316" s="3" t="s">
        <v>15</v>
      </c>
      <c r="E316" s="3" t="s">
        <v>53</v>
      </c>
      <c r="F316" s="3" t="s">
        <v>11</v>
      </c>
      <c r="G316" s="5"/>
      <c r="H316" s="5"/>
      <c r="I316" s="5">
        <v>5000</v>
      </c>
      <c r="J316" s="5">
        <f t="shared" si="10"/>
        <v>-5000</v>
      </c>
    </row>
    <row r="317" spans="1:10" x14ac:dyDescent="0.25">
      <c r="A317" s="2"/>
      <c r="B317" s="13">
        <v>46154</v>
      </c>
      <c r="C317" s="2">
        <v>752</v>
      </c>
      <c r="D317" s="3" t="s">
        <v>15</v>
      </c>
      <c r="E317" s="3" t="s">
        <v>43</v>
      </c>
      <c r="F317" s="3" t="s">
        <v>11</v>
      </c>
      <c r="G317" s="5"/>
      <c r="H317" s="5"/>
      <c r="I317" s="5">
        <v>700</v>
      </c>
      <c r="J317" s="5">
        <f t="shared" ref="J317:J328" si="11">G317+H317-I317</f>
        <v>-700</v>
      </c>
    </row>
    <row r="318" spans="1:10" x14ac:dyDescent="0.25">
      <c r="A318" s="2"/>
      <c r="B318" s="13">
        <v>46154</v>
      </c>
      <c r="C318" s="2">
        <v>753</v>
      </c>
      <c r="D318" s="3" t="s">
        <v>15</v>
      </c>
      <c r="E318" s="3" t="s">
        <v>313</v>
      </c>
      <c r="F318" s="3" t="s">
        <v>11</v>
      </c>
      <c r="G318" s="5"/>
      <c r="H318" s="5"/>
      <c r="I318" s="5">
        <v>10700</v>
      </c>
      <c r="J318" s="5">
        <f t="shared" si="11"/>
        <v>-10700</v>
      </c>
    </row>
    <row r="319" spans="1:10" x14ac:dyDescent="0.25">
      <c r="A319" s="2"/>
      <c r="B319" s="13">
        <v>46155</v>
      </c>
      <c r="C319" s="2">
        <v>2938</v>
      </c>
      <c r="D319" s="3" t="s">
        <v>15</v>
      </c>
      <c r="E319" s="3" t="s">
        <v>35</v>
      </c>
      <c r="F319" s="3" t="s">
        <v>11</v>
      </c>
      <c r="G319" s="5"/>
      <c r="H319" s="5">
        <v>315</v>
      </c>
      <c r="I319" s="5"/>
      <c r="J319" s="5">
        <f>G319+H319-I319</f>
        <v>315</v>
      </c>
    </row>
    <row r="320" spans="1:10" x14ac:dyDescent="0.25">
      <c r="A320" s="2"/>
      <c r="B320" s="13">
        <v>46155</v>
      </c>
      <c r="C320" s="2">
        <v>2946</v>
      </c>
      <c r="D320" s="3" t="s">
        <v>15</v>
      </c>
      <c r="E320" s="3" t="s">
        <v>314</v>
      </c>
      <c r="F320" s="3" t="s">
        <v>11</v>
      </c>
      <c r="G320" s="5"/>
      <c r="H320" s="5">
        <v>100</v>
      </c>
      <c r="I320" s="5"/>
      <c r="J320" s="5">
        <f t="shared" si="11"/>
        <v>100</v>
      </c>
    </row>
    <row r="321" spans="1:10" x14ac:dyDescent="0.25">
      <c r="A321" s="2"/>
      <c r="B321" s="13">
        <v>46155</v>
      </c>
      <c r="C321" s="2">
        <v>2947</v>
      </c>
      <c r="D321" s="3" t="s">
        <v>15</v>
      </c>
      <c r="E321" s="3" t="s">
        <v>321</v>
      </c>
      <c r="F321" s="3" t="s">
        <v>11</v>
      </c>
      <c r="G321" s="5"/>
      <c r="H321" s="5">
        <v>13562.41</v>
      </c>
      <c r="I321" s="5"/>
      <c r="J321" s="5">
        <f t="shared" si="11"/>
        <v>13562.41</v>
      </c>
    </row>
    <row r="322" spans="1:10" x14ac:dyDescent="0.25">
      <c r="A322" s="2"/>
      <c r="B322" s="13">
        <v>46156</v>
      </c>
      <c r="C322" s="2">
        <v>2957</v>
      </c>
      <c r="D322" s="3" t="s">
        <v>15</v>
      </c>
      <c r="E322" s="3" t="s">
        <v>315</v>
      </c>
      <c r="F322" s="3" t="s">
        <v>11</v>
      </c>
      <c r="G322" s="5"/>
      <c r="H322" s="5">
        <v>50</v>
      </c>
      <c r="I322" s="5"/>
      <c r="J322" s="5">
        <f t="shared" si="11"/>
        <v>50</v>
      </c>
    </row>
    <row r="323" spans="1:10" x14ac:dyDescent="0.25">
      <c r="A323" s="2"/>
      <c r="B323" s="13">
        <v>46156</v>
      </c>
      <c r="C323" s="2">
        <v>2960</v>
      </c>
      <c r="D323" s="3" t="s">
        <v>15</v>
      </c>
      <c r="E323" s="3" t="s">
        <v>316</v>
      </c>
      <c r="F323" s="3" t="s">
        <v>11</v>
      </c>
      <c r="G323" s="5"/>
      <c r="H323" s="5">
        <v>1000</v>
      </c>
      <c r="I323" s="5"/>
      <c r="J323" s="5">
        <f t="shared" si="11"/>
        <v>1000</v>
      </c>
    </row>
    <row r="324" spans="1:10" x14ac:dyDescent="0.25">
      <c r="A324" s="2"/>
      <c r="B324" s="13">
        <v>46156</v>
      </c>
      <c r="C324" s="2">
        <v>2963</v>
      </c>
      <c r="D324" s="3" t="s">
        <v>15</v>
      </c>
      <c r="E324" s="3" t="s">
        <v>322</v>
      </c>
      <c r="F324" s="3" t="s">
        <v>11</v>
      </c>
      <c r="G324" s="5"/>
      <c r="H324" s="5">
        <v>25666.36</v>
      </c>
      <c r="I324" s="5"/>
      <c r="J324" s="5">
        <f t="shared" si="11"/>
        <v>25666.36</v>
      </c>
    </row>
    <row r="325" spans="1:10" x14ac:dyDescent="0.25">
      <c r="A325" s="2"/>
      <c r="B325" s="13">
        <v>46157</v>
      </c>
      <c r="C325" s="2">
        <v>2965</v>
      </c>
      <c r="D325" s="3" t="s">
        <v>15</v>
      </c>
      <c r="E325" s="3" t="s">
        <v>323</v>
      </c>
      <c r="F325" s="3" t="s">
        <v>11</v>
      </c>
      <c r="G325" s="5"/>
      <c r="H325" s="5">
        <v>28409.09</v>
      </c>
      <c r="I325" s="5"/>
      <c r="J325" s="5">
        <f t="shared" si="11"/>
        <v>28409.09</v>
      </c>
    </row>
    <row r="326" spans="1:10" x14ac:dyDescent="0.25">
      <c r="A326" s="2"/>
      <c r="B326" s="13">
        <v>46156</v>
      </c>
      <c r="C326" s="2">
        <v>756</v>
      </c>
      <c r="D326" s="3" t="s">
        <v>15</v>
      </c>
      <c r="E326" s="3" t="s">
        <v>239</v>
      </c>
      <c r="F326" s="3" t="s">
        <v>11</v>
      </c>
      <c r="G326" s="5"/>
      <c r="H326" s="5"/>
      <c r="I326" s="5">
        <v>35</v>
      </c>
      <c r="J326" s="5">
        <f t="shared" si="11"/>
        <v>-35</v>
      </c>
    </row>
    <row r="327" spans="1:10" x14ac:dyDescent="0.25">
      <c r="A327" s="2"/>
      <c r="B327" s="13">
        <v>46157</v>
      </c>
      <c r="C327" s="2">
        <v>757</v>
      </c>
      <c r="D327" s="3" t="s">
        <v>15</v>
      </c>
      <c r="E327" s="3" t="s">
        <v>53</v>
      </c>
      <c r="F327" s="3" t="s">
        <v>11</v>
      </c>
      <c r="G327" s="5"/>
      <c r="H327" s="5"/>
      <c r="I327" s="5">
        <v>13000</v>
      </c>
      <c r="J327" s="5">
        <f t="shared" si="11"/>
        <v>-13000</v>
      </c>
    </row>
    <row r="328" spans="1:10" x14ac:dyDescent="0.25">
      <c r="A328" s="2"/>
      <c r="B328" s="13">
        <v>46157</v>
      </c>
      <c r="C328" s="2">
        <v>2970</v>
      </c>
      <c r="D328" s="3" t="s">
        <v>15</v>
      </c>
      <c r="E328" s="3" t="s">
        <v>102</v>
      </c>
      <c r="F328" s="3" t="s">
        <v>11</v>
      </c>
      <c r="G328" s="5"/>
      <c r="H328" s="5">
        <v>1000</v>
      </c>
      <c r="I328" s="5"/>
      <c r="J328" s="5">
        <f t="shared" si="11"/>
        <v>1000</v>
      </c>
    </row>
    <row r="329" spans="1:10" x14ac:dyDescent="0.25">
      <c r="A329" s="2"/>
      <c r="B329" s="13">
        <v>46157</v>
      </c>
      <c r="C329" s="2">
        <v>2976</v>
      </c>
      <c r="D329" s="3" t="s">
        <v>15</v>
      </c>
      <c r="E329" s="3" t="s">
        <v>317</v>
      </c>
      <c r="F329" s="3" t="s">
        <v>11</v>
      </c>
      <c r="G329" s="5"/>
      <c r="H329" s="5">
        <v>100</v>
      </c>
      <c r="I329" s="5"/>
      <c r="J329" s="5">
        <f t="shared" si="10"/>
        <v>100</v>
      </c>
    </row>
    <row r="330" spans="1:10" x14ac:dyDescent="0.25">
      <c r="A330" s="2"/>
      <c r="B330" s="13">
        <v>46157</v>
      </c>
      <c r="C330" s="2">
        <v>758</v>
      </c>
      <c r="D330" s="3" t="s">
        <v>15</v>
      </c>
      <c r="E330" s="3" t="s">
        <v>129</v>
      </c>
      <c r="F330" s="3" t="s">
        <v>11</v>
      </c>
      <c r="G330" s="5"/>
      <c r="H330" s="5"/>
      <c r="I330" s="5">
        <v>300</v>
      </c>
      <c r="J330" s="5">
        <f t="shared" si="10"/>
        <v>-300</v>
      </c>
    </row>
    <row r="331" spans="1:10" x14ac:dyDescent="0.25">
      <c r="A331" s="2"/>
      <c r="B331" s="13">
        <v>46157</v>
      </c>
      <c r="C331" s="2">
        <v>759</v>
      </c>
      <c r="D331" s="3" t="s">
        <v>15</v>
      </c>
      <c r="E331" s="3" t="s">
        <v>18</v>
      </c>
      <c r="F331" s="3" t="s">
        <v>11</v>
      </c>
      <c r="G331" s="5"/>
      <c r="H331" s="5"/>
      <c r="I331" s="5">
        <v>1000</v>
      </c>
      <c r="J331" s="5">
        <f t="shared" si="10"/>
        <v>-1000</v>
      </c>
    </row>
    <row r="332" spans="1:10" x14ac:dyDescent="0.25">
      <c r="A332" s="2"/>
      <c r="B332" s="13">
        <v>46157</v>
      </c>
      <c r="C332" s="2">
        <v>760</v>
      </c>
      <c r="D332" s="3" t="s">
        <v>15</v>
      </c>
      <c r="E332" s="3" t="s">
        <v>317</v>
      </c>
      <c r="F332" s="3" t="s">
        <v>11</v>
      </c>
      <c r="G332" s="5"/>
      <c r="H332" s="5"/>
      <c r="I332" s="5">
        <v>100</v>
      </c>
      <c r="J332" s="5">
        <f t="shared" si="10"/>
        <v>-100</v>
      </c>
    </row>
    <row r="333" spans="1:10" x14ac:dyDescent="0.25">
      <c r="A333" s="2"/>
      <c r="B333" s="13">
        <v>46157</v>
      </c>
      <c r="C333" s="2">
        <v>761</v>
      </c>
      <c r="D333" s="3" t="s">
        <v>15</v>
      </c>
      <c r="E333" s="3" t="s">
        <v>318</v>
      </c>
      <c r="F333" s="3" t="s">
        <v>11</v>
      </c>
      <c r="G333" s="5"/>
      <c r="H333" s="5"/>
      <c r="I333" s="5">
        <v>2500</v>
      </c>
      <c r="J333" s="5">
        <f t="shared" si="10"/>
        <v>-2500</v>
      </c>
    </row>
    <row r="334" spans="1:10" x14ac:dyDescent="0.25">
      <c r="A334" s="2"/>
      <c r="B334" s="13">
        <v>46158</v>
      </c>
      <c r="C334" s="2">
        <v>762</v>
      </c>
      <c r="D334" s="3" t="s">
        <v>15</v>
      </c>
      <c r="E334" s="3" t="s">
        <v>59</v>
      </c>
      <c r="F334" s="3" t="s">
        <v>11</v>
      </c>
      <c r="G334" s="5"/>
      <c r="H334" s="5"/>
      <c r="I334" s="5">
        <v>1100</v>
      </c>
      <c r="J334" s="5">
        <f t="shared" si="10"/>
        <v>-1100</v>
      </c>
    </row>
    <row r="335" spans="1:10" x14ac:dyDescent="0.25">
      <c r="A335" s="2"/>
      <c r="B335" s="13">
        <v>46160</v>
      </c>
      <c r="C335" s="2">
        <v>2984</v>
      </c>
      <c r="D335" s="3" t="s">
        <v>15</v>
      </c>
      <c r="E335" s="3" t="s">
        <v>287</v>
      </c>
      <c r="F335" s="3" t="s">
        <v>11</v>
      </c>
      <c r="G335" s="5"/>
      <c r="H335" s="5">
        <v>100</v>
      </c>
      <c r="I335" s="5"/>
      <c r="J335" s="5">
        <f t="shared" si="10"/>
        <v>100</v>
      </c>
    </row>
    <row r="336" spans="1:10" x14ac:dyDescent="0.25">
      <c r="A336" s="2"/>
      <c r="B336" s="13">
        <v>46160</v>
      </c>
      <c r="C336" s="2">
        <v>763</v>
      </c>
      <c r="D336" s="3" t="s">
        <v>15</v>
      </c>
      <c r="E336" s="3" t="s">
        <v>289</v>
      </c>
      <c r="F336" s="3" t="s">
        <v>11</v>
      </c>
      <c r="G336" s="5"/>
      <c r="H336" s="5"/>
      <c r="I336" s="5">
        <v>300</v>
      </c>
      <c r="J336" s="5">
        <f t="shared" si="10"/>
        <v>-300</v>
      </c>
    </row>
    <row r="337" spans="1:10" x14ac:dyDescent="0.25">
      <c r="A337" s="2"/>
      <c r="B337" s="13">
        <v>46160</v>
      </c>
      <c r="C337" s="2">
        <v>764</v>
      </c>
      <c r="D337" s="3" t="s">
        <v>15</v>
      </c>
      <c r="E337" s="3" t="s">
        <v>241</v>
      </c>
      <c r="F337" s="3" t="s">
        <v>11</v>
      </c>
      <c r="G337" s="5"/>
      <c r="H337" s="5"/>
      <c r="I337" s="5">
        <v>300</v>
      </c>
      <c r="J337" s="5">
        <f t="shared" si="10"/>
        <v>-300</v>
      </c>
    </row>
    <row r="338" spans="1:10" x14ac:dyDescent="0.25">
      <c r="A338" s="2"/>
      <c r="B338" s="13">
        <v>46161</v>
      </c>
      <c r="C338" s="2">
        <v>2987</v>
      </c>
      <c r="D338" s="3" t="s">
        <v>15</v>
      </c>
      <c r="E338" s="3" t="s">
        <v>174</v>
      </c>
      <c r="F338" s="3" t="s">
        <v>11</v>
      </c>
      <c r="G338" s="5"/>
      <c r="H338" s="5">
        <v>200</v>
      </c>
      <c r="I338" s="5"/>
      <c r="J338" s="5">
        <f t="shared" si="10"/>
        <v>200</v>
      </c>
    </row>
    <row r="339" spans="1:10" x14ac:dyDescent="0.25">
      <c r="A339" s="2" t="s">
        <v>332</v>
      </c>
      <c r="B339" s="23">
        <v>46162</v>
      </c>
      <c r="C339" s="2">
        <v>765</v>
      </c>
      <c r="D339" s="3" t="s">
        <v>15</v>
      </c>
      <c r="E339" s="3" t="s">
        <v>243</v>
      </c>
      <c r="F339" s="3" t="s">
        <v>11</v>
      </c>
      <c r="G339" s="5"/>
      <c r="H339" s="5"/>
      <c r="I339" s="5">
        <v>200</v>
      </c>
      <c r="J339" s="5">
        <f t="shared" si="10"/>
        <v>-200</v>
      </c>
    </row>
    <row r="340" spans="1:10" x14ac:dyDescent="0.25">
      <c r="A340" s="2"/>
      <c r="B340" s="13">
        <v>46162</v>
      </c>
      <c r="C340" s="2">
        <v>766</v>
      </c>
      <c r="D340" s="3" t="s">
        <v>15</v>
      </c>
      <c r="E340" s="3" t="s">
        <v>302</v>
      </c>
      <c r="F340" s="3" t="s">
        <v>11</v>
      </c>
      <c r="G340" s="5"/>
      <c r="H340" s="5"/>
      <c r="I340" s="5">
        <v>1000</v>
      </c>
      <c r="J340" s="5">
        <f t="shared" si="10"/>
        <v>-1000</v>
      </c>
    </row>
    <row r="341" spans="1:10" x14ac:dyDescent="0.25">
      <c r="A341" s="2"/>
      <c r="B341" s="13">
        <v>46162</v>
      </c>
      <c r="C341" s="2">
        <v>767</v>
      </c>
      <c r="D341" s="3" t="s">
        <v>15</v>
      </c>
      <c r="E341" s="3" t="s">
        <v>243</v>
      </c>
      <c r="F341" s="3" t="s">
        <v>11</v>
      </c>
      <c r="G341" s="5"/>
      <c r="H341" s="5"/>
      <c r="I341" s="5">
        <v>200</v>
      </c>
      <c r="J341" s="5">
        <f t="shared" si="10"/>
        <v>-200</v>
      </c>
    </row>
    <row r="342" spans="1:10" x14ac:dyDescent="0.25">
      <c r="A342" s="2" t="s">
        <v>301</v>
      </c>
      <c r="B342" s="13">
        <v>46163</v>
      </c>
      <c r="C342" s="2">
        <v>768</v>
      </c>
      <c r="D342" s="3" t="s">
        <v>15</v>
      </c>
      <c r="E342" s="3" t="s">
        <v>66</v>
      </c>
      <c r="F342" s="3" t="s">
        <v>11</v>
      </c>
      <c r="G342" s="5"/>
      <c r="H342" s="5"/>
      <c r="I342" s="5">
        <v>1000</v>
      </c>
      <c r="J342" s="5">
        <f t="shared" si="10"/>
        <v>-1000</v>
      </c>
    </row>
    <row r="343" spans="1:10" x14ac:dyDescent="0.25">
      <c r="A343" s="2"/>
      <c r="B343" s="13">
        <v>46163</v>
      </c>
      <c r="C343" s="2">
        <v>769</v>
      </c>
      <c r="D343" s="3" t="s">
        <v>15</v>
      </c>
      <c r="E343" s="3" t="s">
        <v>191</v>
      </c>
      <c r="F343" s="3" t="s">
        <v>11</v>
      </c>
      <c r="G343" s="5"/>
      <c r="H343" s="5"/>
      <c r="I343" s="5">
        <v>6000</v>
      </c>
      <c r="J343" s="5">
        <f t="shared" si="10"/>
        <v>-6000</v>
      </c>
    </row>
    <row r="344" spans="1:10" x14ac:dyDescent="0.25">
      <c r="A344" s="2"/>
      <c r="B344" s="22">
        <v>46161</v>
      </c>
      <c r="C344" s="2">
        <v>2993</v>
      </c>
      <c r="D344" s="3" t="s">
        <v>15</v>
      </c>
      <c r="E344" s="3" t="s">
        <v>317</v>
      </c>
      <c r="F344" s="3" t="s">
        <v>11</v>
      </c>
      <c r="G344" s="5"/>
      <c r="H344" s="5">
        <v>11363.64</v>
      </c>
      <c r="I344" s="5"/>
      <c r="J344" s="5">
        <f t="shared" si="10"/>
        <v>11363.64</v>
      </c>
    </row>
    <row r="345" spans="1:10" x14ac:dyDescent="0.25">
      <c r="A345" s="2"/>
      <c r="B345" s="13">
        <v>46156</v>
      </c>
      <c r="C345" s="2">
        <v>2996</v>
      </c>
      <c r="D345" s="3" t="s">
        <v>15</v>
      </c>
      <c r="E345" s="3" t="s">
        <v>291</v>
      </c>
      <c r="F345" s="3" t="s">
        <v>11</v>
      </c>
      <c r="G345" s="5"/>
      <c r="H345" s="5">
        <v>100</v>
      </c>
      <c r="I345" s="5"/>
      <c r="J345" s="5">
        <f t="shared" si="10"/>
        <v>100</v>
      </c>
    </row>
    <row r="346" spans="1:10" x14ac:dyDescent="0.25">
      <c r="A346" s="2"/>
      <c r="B346" s="13">
        <v>46163</v>
      </c>
      <c r="C346" s="2">
        <v>2997</v>
      </c>
      <c r="D346" s="3" t="s">
        <v>15</v>
      </c>
      <c r="E346" s="3" t="s">
        <v>324</v>
      </c>
      <c r="F346" s="3" t="s">
        <v>11</v>
      </c>
      <c r="G346" s="5"/>
      <c r="H346" s="5">
        <v>15909.09</v>
      </c>
      <c r="I346" s="5"/>
      <c r="J346" s="5">
        <f t="shared" si="10"/>
        <v>15909.09</v>
      </c>
    </row>
    <row r="347" spans="1:10" x14ac:dyDescent="0.25">
      <c r="A347" s="2"/>
      <c r="B347" s="13">
        <v>46164</v>
      </c>
      <c r="C347" s="2">
        <v>770</v>
      </c>
      <c r="D347" s="3" t="s">
        <v>15</v>
      </c>
      <c r="E347" s="3" t="s">
        <v>135</v>
      </c>
      <c r="F347" s="3" t="s">
        <v>11</v>
      </c>
      <c r="G347" s="5"/>
      <c r="H347" s="5"/>
      <c r="I347" s="5">
        <v>150</v>
      </c>
      <c r="J347" s="5">
        <f t="shared" si="10"/>
        <v>-150</v>
      </c>
    </row>
    <row r="348" spans="1:10" x14ac:dyDescent="0.25">
      <c r="A348" s="2"/>
      <c r="B348" s="13">
        <v>46165</v>
      </c>
      <c r="C348" s="2">
        <v>3001</v>
      </c>
      <c r="D348" s="3" t="s">
        <v>15</v>
      </c>
      <c r="E348" s="3" t="s">
        <v>325</v>
      </c>
      <c r="F348" s="3" t="s">
        <v>11</v>
      </c>
      <c r="G348" s="5"/>
      <c r="H348" s="5">
        <v>5630</v>
      </c>
      <c r="I348" s="5"/>
      <c r="J348" s="5">
        <f t="shared" si="10"/>
        <v>5630</v>
      </c>
    </row>
    <row r="349" spans="1:10" x14ac:dyDescent="0.25">
      <c r="A349" s="2"/>
      <c r="B349" s="13">
        <v>46167</v>
      </c>
      <c r="C349" s="2">
        <v>772</v>
      </c>
      <c r="D349" s="3" t="s">
        <v>15</v>
      </c>
      <c r="E349" s="3" t="s">
        <v>66</v>
      </c>
      <c r="F349" s="3" t="s">
        <v>11</v>
      </c>
      <c r="G349" s="5"/>
      <c r="H349" s="5"/>
      <c r="I349" s="5">
        <v>3000</v>
      </c>
      <c r="J349" s="5">
        <f t="shared" si="10"/>
        <v>-3000</v>
      </c>
    </row>
    <row r="350" spans="1:10" x14ac:dyDescent="0.25">
      <c r="A350" s="2"/>
      <c r="B350" s="13">
        <v>46167</v>
      </c>
      <c r="C350" s="2">
        <v>3004</v>
      </c>
      <c r="D350" s="3" t="s">
        <v>15</v>
      </c>
      <c r="E350" s="3" t="s">
        <v>43</v>
      </c>
      <c r="F350" s="3" t="s">
        <v>11</v>
      </c>
      <c r="G350" s="5"/>
      <c r="H350" s="5">
        <v>400</v>
      </c>
      <c r="I350" s="5"/>
      <c r="J350" s="5">
        <f t="shared" si="10"/>
        <v>400</v>
      </c>
    </row>
    <row r="351" spans="1:10" x14ac:dyDescent="0.25">
      <c r="A351" s="2"/>
      <c r="B351" s="13">
        <v>46167</v>
      </c>
      <c r="C351" s="2">
        <v>3006</v>
      </c>
      <c r="D351" s="3" t="s">
        <v>15</v>
      </c>
      <c r="E351" s="3" t="s">
        <v>241</v>
      </c>
      <c r="F351" s="3" t="s">
        <v>11</v>
      </c>
      <c r="G351" s="5"/>
      <c r="H351" s="5">
        <v>700</v>
      </c>
      <c r="I351" s="5"/>
      <c r="J351" s="5">
        <f t="shared" si="10"/>
        <v>700</v>
      </c>
    </row>
    <row r="352" spans="1:10" x14ac:dyDescent="0.25">
      <c r="A352" s="2"/>
      <c r="B352" s="13">
        <v>46167</v>
      </c>
      <c r="C352" s="2">
        <v>3007</v>
      </c>
      <c r="D352" s="3" t="s">
        <v>15</v>
      </c>
      <c r="E352" s="3" t="s">
        <v>243</v>
      </c>
      <c r="F352" s="3" t="s">
        <v>11</v>
      </c>
      <c r="G352" s="5"/>
      <c r="H352" s="5">
        <v>200</v>
      </c>
      <c r="I352" s="5"/>
      <c r="J352" s="5">
        <f t="shared" si="10"/>
        <v>200</v>
      </c>
    </row>
    <row r="353" spans="1:10" x14ac:dyDescent="0.25">
      <c r="A353" s="2"/>
      <c r="B353" s="13">
        <v>46167</v>
      </c>
      <c r="C353" s="2">
        <v>773</v>
      </c>
      <c r="D353" s="3" t="s">
        <v>15</v>
      </c>
      <c r="E353" s="3" t="s">
        <v>191</v>
      </c>
      <c r="F353" s="3" t="s">
        <v>11</v>
      </c>
      <c r="G353" s="5"/>
      <c r="H353" s="5"/>
      <c r="I353" s="5">
        <v>5000</v>
      </c>
      <c r="J353" s="5">
        <f t="shared" si="10"/>
        <v>-5000</v>
      </c>
    </row>
    <row r="354" spans="1:10" x14ac:dyDescent="0.25">
      <c r="A354" s="2"/>
      <c r="B354" s="13">
        <v>46167</v>
      </c>
      <c r="C354" s="2">
        <v>774</v>
      </c>
      <c r="D354" s="3" t="s">
        <v>15</v>
      </c>
      <c r="E354" s="3" t="s">
        <v>325</v>
      </c>
      <c r="F354" s="3" t="s">
        <v>11</v>
      </c>
      <c r="G354" s="5"/>
      <c r="H354" s="5"/>
      <c r="I354" s="5">
        <v>5000</v>
      </c>
      <c r="J354" s="5">
        <f t="shared" si="10"/>
        <v>-5000</v>
      </c>
    </row>
    <row r="355" spans="1:10" x14ac:dyDescent="0.25">
      <c r="A355" s="2"/>
      <c r="B355" s="13">
        <v>46167</v>
      </c>
      <c r="C355" s="2">
        <v>775</v>
      </c>
      <c r="D355" s="3" t="s">
        <v>15</v>
      </c>
      <c r="E355" s="3" t="s">
        <v>59</v>
      </c>
      <c r="F355" s="3" t="s">
        <v>11</v>
      </c>
      <c r="G355" s="5"/>
      <c r="H355" s="5"/>
      <c r="I355" s="5">
        <v>1000</v>
      </c>
      <c r="J355" s="5">
        <f t="shared" si="10"/>
        <v>-1000</v>
      </c>
    </row>
    <row r="356" spans="1:10" x14ac:dyDescent="0.25">
      <c r="A356" s="2"/>
      <c r="B356" s="13">
        <v>46167</v>
      </c>
      <c r="C356" s="2">
        <v>776</v>
      </c>
      <c r="D356" s="3" t="s">
        <v>15</v>
      </c>
      <c r="E356" s="3" t="s">
        <v>289</v>
      </c>
      <c r="F356" s="3" t="s">
        <v>11</v>
      </c>
      <c r="G356" s="5"/>
      <c r="H356" s="5"/>
      <c r="I356" s="5">
        <v>200</v>
      </c>
      <c r="J356" s="5">
        <f t="shared" si="10"/>
        <v>-200</v>
      </c>
    </row>
    <row r="357" spans="1:10" x14ac:dyDescent="0.25">
      <c r="A357" s="2"/>
      <c r="B357" s="13">
        <v>46167</v>
      </c>
      <c r="C357" s="2">
        <v>3009</v>
      </c>
      <c r="D357" s="3" t="s">
        <v>15</v>
      </c>
      <c r="E357" s="3" t="s">
        <v>176</v>
      </c>
      <c r="F357" s="3" t="s">
        <v>11</v>
      </c>
      <c r="G357" s="5"/>
      <c r="H357" s="5">
        <v>4900</v>
      </c>
      <c r="I357" s="5"/>
      <c r="J357" s="5">
        <f t="shared" si="10"/>
        <v>4900</v>
      </c>
    </row>
    <row r="358" spans="1:10" x14ac:dyDescent="0.25">
      <c r="A358" s="2"/>
      <c r="B358" s="13">
        <v>46169</v>
      </c>
      <c r="C358" s="2">
        <v>3021</v>
      </c>
      <c r="D358" s="3" t="s">
        <v>15</v>
      </c>
      <c r="E358" s="3" t="s">
        <v>68</v>
      </c>
      <c r="F358" s="3" t="s">
        <v>11</v>
      </c>
      <c r="G358" s="5"/>
      <c r="H358" s="5">
        <v>200</v>
      </c>
      <c r="I358" s="5"/>
      <c r="J358" s="5">
        <f t="shared" si="10"/>
        <v>200</v>
      </c>
    </row>
    <row r="359" spans="1:10" x14ac:dyDescent="0.25">
      <c r="A359" s="2" t="s">
        <v>332</v>
      </c>
      <c r="B359" s="13">
        <v>46169</v>
      </c>
      <c r="C359" s="2">
        <v>3022</v>
      </c>
      <c r="D359" s="3" t="s">
        <v>15</v>
      </c>
      <c r="E359" s="3" t="s">
        <v>98</v>
      </c>
      <c r="F359" s="3" t="s">
        <v>11</v>
      </c>
      <c r="G359" s="5"/>
      <c r="H359" s="5">
        <v>200</v>
      </c>
      <c r="I359" s="5"/>
      <c r="J359" s="5">
        <f t="shared" si="10"/>
        <v>200</v>
      </c>
    </row>
    <row r="360" spans="1:10" x14ac:dyDescent="0.25">
      <c r="A360" s="2"/>
      <c r="B360" s="13">
        <v>46169</v>
      </c>
      <c r="C360" s="2">
        <v>777</v>
      </c>
      <c r="D360" s="3" t="s">
        <v>15</v>
      </c>
      <c r="E360" s="3" t="s">
        <v>326</v>
      </c>
      <c r="F360" s="3" t="s">
        <v>11</v>
      </c>
      <c r="G360" s="5"/>
      <c r="H360" s="5"/>
      <c r="I360" s="5">
        <v>5000</v>
      </c>
      <c r="J360" s="5">
        <f t="shared" si="10"/>
        <v>-5000</v>
      </c>
    </row>
    <row r="361" spans="1:10" x14ac:dyDescent="0.25">
      <c r="A361" s="2"/>
      <c r="B361" s="13">
        <v>46170</v>
      </c>
      <c r="C361" s="2">
        <v>3025</v>
      </c>
      <c r="D361" s="3" t="s">
        <v>15</v>
      </c>
      <c r="E361" s="3" t="s">
        <v>327</v>
      </c>
      <c r="F361" s="3" t="s">
        <v>11</v>
      </c>
      <c r="G361" s="5"/>
      <c r="H361" s="5">
        <v>100</v>
      </c>
      <c r="I361" s="5"/>
      <c r="J361" s="5">
        <f t="shared" si="10"/>
        <v>100</v>
      </c>
    </row>
    <row r="362" spans="1:10" x14ac:dyDescent="0.25">
      <c r="A362" s="2"/>
      <c r="B362" s="13">
        <v>46170</v>
      </c>
      <c r="C362" s="2">
        <v>778</v>
      </c>
      <c r="D362" s="3" t="s">
        <v>15</v>
      </c>
      <c r="E362" s="3" t="s">
        <v>241</v>
      </c>
      <c r="F362" s="3" t="s">
        <v>11</v>
      </c>
      <c r="G362" s="5"/>
      <c r="H362" s="5"/>
      <c r="I362" s="5">
        <v>100</v>
      </c>
      <c r="J362" s="5">
        <f t="shared" si="10"/>
        <v>-100</v>
      </c>
    </row>
    <row r="363" spans="1:10" x14ac:dyDescent="0.25">
      <c r="A363" s="2"/>
      <c r="B363" s="13">
        <v>46170</v>
      </c>
      <c r="C363" s="2">
        <v>779</v>
      </c>
      <c r="D363" s="3" t="s">
        <v>15</v>
      </c>
      <c r="E363" s="3" t="s">
        <v>328</v>
      </c>
      <c r="F363" s="3" t="s">
        <v>11</v>
      </c>
      <c r="G363" s="5"/>
      <c r="H363" s="5"/>
      <c r="I363" s="5">
        <v>300</v>
      </c>
      <c r="J363" s="5">
        <f t="shared" si="10"/>
        <v>-300</v>
      </c>
    </row>
    <row r="364" spans="1:10" x14ac:dyDescent="0.25">
      <c r="A364" s="2"/>
      <c r="B364" s="13">
        <v>46170</v>
      </c>
      <c r="C364" s="2">
        <v>3028</v>
      </c>
      <c r="D364" s="3" t="s">
        <v>15</v>
      </c>
      <c r="E364" s="3" t="s">
        <v>31</v>
      </c>
      <c r="F364" s="3" t="s">
        <v>11</v>
      </c>
      <c r="G364" s="5"/>
      <c r="H364" s="5">
        <v>700</v>
      </c>
      <c r="I364" s="5"/>
      <c r="J364" s="5">
        <f t="shared" si="10"/>
        <v>700</v>
      </c>
    </row>
    <row r="365" spans="1:10" x14ac:dyDescent="0.25">
      <c r="A365" s="2"/>
      <c r="B365" s="13">
        <v>46170</v>
      </c>
      <c r="C365" s="2">
        <v>3029</v>
      </c>
      <c r="D365" s="3" t="s">
        <v>15</v>
      </c>
      <c r="E365" s="3" t="s">
        <v>287</v>
      </c>
      <c r="F365" s="3" t="s">
        <v>11</v>
      </c>
      <c r="G365" s="5"/>
      <c r="H365" s="5">
        <v>100</v>
      </c>
      <c r="I365" s="5"/>
      <c r="J365" s="5">
        <f t="shared" si="10"/>
        <v>100</v>
      </c>
    </row>
    <row r="366" spans="1:10" x14ac:dyDescent="0.25">
      <c r="A366" s="2"/>
      <c r="B366" s="13">
        <v>46170</v>
      </c>
      <c r="C366" s="2">
        <v>780</v>
      </c>
      <c r="D366" s="3" t="s">
        <v>15</v>
      </c>
      <c r="E366" s="3" t="s">
        <v>154</v>
      </c>
      <c r="F366" s="3" t="s">
        <v>11</v>
      </c>
      <c r="G366" s="5"/>
      <c r="H366" s="5"/>
      <c r="I366" s="5">
        <v>12649.32</v>
      </c>
      <c r="J366" s="5">
        <f t="shared" si="10"/>
        <v>-12649.32</v>
      </c>
    </row>
    <row r="367" spans="1:10" x14ac:dyDescent="0.25">
      <c r="A367" s="2"/>
      <c r="B367" s="13">
        <v>46170</v>
      </c>
      <c r="C367" s="2">
        <v>781</v>
      </c>
      <c r="D367" s="3" t="s">
        <v>15</v>
      </c>
      <c r="E367" s="3" t="s">
        <v>171</v>
      </c>
      <c r="F367" s="3" t="s">
        <v>11</v>
      </c>
      <c r="G367" s="5"/>
      <c r="H367" s="5"/>
      <c r="I367" s="5">
        <v>8434.5499999999993</v>
      </c>
      <c r="J367" s="5">
        <f t="shared" si="10"/>
        <v>-8434.5499999999993</v>
      </c>
    </row>
    <row r="368" spans="1:10" x14ac:dyDescent="0.25">
      <c r="A368" s="2" t="s">
        <v>333</v>
      </c>
      <c r="B368" s="13">
        <v>46170</v>
      </c>
      <c r="C368" s="2">
        <v>782</v>
      </c>
      <c r="D368" s="3" t="s">
        <v>15</v>
      </c>
      <c r="E368" s="3" t="s">
        <v>55</v>
      </c>
      <c r="F368" s="3" t="s">
        <v>11</v>
      </c>
      <c r="G368" s="5"/>
      <c r="H368" s="5"/>
      <c r="I368" s="5">
        <v>47885.78</v>
      </c>
      <c r="J368" s="5">
        <f t="shared" si="10"/>
        <v>-47885.78</v>
      </c>
    </row>
    <row r="369" spans="1:12" x14ac:dyDescent="0.25">
      <c r="A369" s="2"/>
      <c r="B369" s="13">
        <v>46171</v>
      </c>
      <c r="C369" s="2">
        <v>783</v>
      </c>
      <c r="D369" s="3" t="s">
        <v>15</v>
      </c>
      <c r="E369" s="3" t="s">
        <v>160</v>
      </c>
      <c r="F369" s="3" t="s">
        <v>11</v>
      </c>
      <c r="G369" s="5"/>
      <c r="H369" s="5"/>
      <c r="I369" s="5">
        <v>1000</v>
      </c>
      <c r="J369" s="5">
        <f t="shared" si="10"/>
        <v>-1000</v>
      </c>
    </row>
    <row r="370" spans="1:12" x14ac:dyDescent="0.25">
      <c r="A370" s="2"/>
      <c r="B370" s="13">
        <v>46171</v>
      </c>
      <c r="C370" s="2">
        <v>784</v>
      </c>
      <c r="D370" s="3" t="s">
        <v>15</v>
      </c>
      <c r="E370" s="3" t="s">
        <v>331</v>
      </c>
      <c r="F370" s="3" t="s">
        <v>11</v>
      </c>
      <c r="G370" s="5"/>
      <c r="H370" s="5"/>
      <c r="I370" s="5">
        <v>2000</v>
      </c>
      <c r="J370" s="5">
        <f t="shared" si="10"/>
        <v>-2000</v>
      </c>
    </row>
    <row r="371" spans="1:12" x14ac:dyDescent="0.25">
      <c r="A371" s="2"/>
      <c r="B371" s="13">
        <v>46171</v>
      </c>
      <c r="C371" s="2">
        <v>3037</v>
      </c>
      <c r="D371" s="3" t="s">
        <v>15</v>
      </c>
      <c r="E371" s="3" t="s">
        <v>329</v>
      </c>
      <c r="F371" s="3" t="s">
        <v>11</v>
      </c>
      <c r="G371" s="5"/>
      <c r="H371" s="5">
        <v>100</v>
      </c>
      <c r="I371" s="5"/>
      <c r="J371" s="5">
        <f t="shared" si="10"/>
        <v>100</v>
      </c>
    </row>
    <row r="372" spans="1:12" x14ac:dyDescent="0.25">
      <c r="A372" s="2"/>
      <c r="B372" s="13">
        <v>46171</v>
      </c>
      <c r="C372" s="2">
        <v>3040</v>
      </c>
      <c r="D372" s="3" t="s">
        <v>15</v>
      </c>
      <c r="E372" s="3" t="s">
        <v>330</v>
      </c>
      <c r="F372" s="3" t="s">
        <v>11</v>
      </c>
      <c r="G372" s="5"/>
      <c r="H372" s="5">
        <v>100</v>
      </c>
      <c r="I372" s="5"/>
      <c r="J372" s="5">
        <f t="shared" si="10"/>
        <v>100</v>
      </c>
    </row>
    <row r="373" spans="1:12" x14ac:dyDescent="0.25">
      <c r="A373" s="2"/>
      <c r="B373" s="13">
        <v>46171</v>
      </c>
      <c r="C373" s="2">
        <v>3042</v>
      </c>
      <c r="D373" s="3" t="s">
        <v>15</v>
      </c>
      <c r="E373" s="3" t="s">
        <v>289</v>
      </c>
      <c r="F373" s="3" t="s">
        <v>11</v>
      </c>
      <c r="G373" s="5"/>
      <c r="H373" s="5">
        <v>1000</v>
      </c>
      <c r="I373" s="5"/>
      <c r="J373" s="5">
        <f t="shared" si="10"/>
        <v>1000</v>
      </c>
    </row>
    <row r="374" spans="1:12" x14ac:dyDescent="0.25">
      <c r="A374" s="2"/>
      <c r="B374" s="13">
        <v>46171</v>
      </c>
      <c r="C374" s="2">
        <v>3044</v>
      </c>
      <c r="D374" s="3" t="s">
        <v>15</v>
      </c>
      <c r="E374" s="3" t="s">
        <v>334</v>
      </c>
      <c r="F374" s="3" t="s">
        <v>11</v>
      </c>
      <c r="G374" s="5"/>
      <c r="H374" s="5">
        <v>5000</v>
      </c>
      <c r="I374" s="5"/>
      <c r="J374" s="5">
        <f t="shared" si="10"/>
        <v>5000</v>
      </c>
    </row>
    <row r="375" spans="1:12" x14ac:dyDescent="0.25">
      <c r="A375" s="2"/>
      <c r="B375" s="13">
        <v>46172</v>
      </c>
      <c r="C375" s="2">
        <v>785</v>
      </c>
      <c r="D375" s="3" t="s">
        <v>15</v>
      </c>
      <c r="E375" s="3" t="s">
        <v>43</v>
      </c>
      <c r="F375" s="3" t="s">
        <v>11</v>
      </c>
      <c r="G375" s="5"/>
      <c r="H375" s="5"/>
      <c r="I375" s="5">
        <v>2000</v>
      </c>
      <c r="J375" s="5">
        <f t="shared" si="10"/>
        <v>-2000</v>
      </c>
    </row>
    <row r="376" spans="1:12" x14ac:dyDescent="0.25">
      <c r="A376" s="2"/>
      <c r="B376" s="13">
        <v>46172</v>
      </c>
      <c r="C376" s="2">
        <v>786</v>
      </c>
      <c r="D376" s="3" t="s">
        <v>15</v>
      </c>
      <c r="E376" s="3" t="s">
        <v>135</v>
      </c>
      <c r="F376" s="3" t="s">
        <v>11</v>
      </c>
      <c r="G376" s="5"/>
      <c r="H376" s="5"/>
      <c r="I376" s="5">
        <v>300</v>
      </c>
      <c r="J376" s="5">
        <f t="shared" si="10"/>
        <v>-300</v>
      </c>
      <c r="K376" t="s">
        <v>311</v>
      </c>
      <c r="L376" t="s">
        <v>312</v>
      </c>
    </row>
    <row r="377" spans="1:12" x14ac:dyDescent="0.25">
      <c r="A377" s="2"/>
      <c r="B377" s="13">
        <v>46172</v>
      </c>
      <c r="C377" s="2">
        <v>3046</v>
      </c>
      <c r="D377" s="3" t="s">
        <v>15</v>
      </c>
      <c r="E377" s="3" t="s">
        <v>129</v>
      </c>
      <c r="F377" s="3" t="s">
        <v>11</v>
      </c>
      <c r="G377" s="5"/>
      <c r="H377" s="24">
        <v>2000</v>
      </c>
      <c r="I377" s="24"/>
      <c r="J377" s="24">
        <f t="shared" si="10"/>
        <v>2000</v>
      </c>
      <c r="K377" s="4">
        <f>SUM(H268:H377)</f>
        <v>261000.17</v>
      </c>
      <c r="L377" s="4">
        <f>SUM(I268:I376)</f>
        <v>240311.81999999998</v>
      </c>
    </row>
    <row r="378" spans="1:12" x14ac:dyDescent="0.25">
      <c r="A378" s="2"/>
      <c r="B378" s="13">
        <v>46174</v>
      </c>
      <c r="C378" s="2">
        <v>3048</v>
      </c>
      <c r="D378" s="3" t="s">
        <v>15</v>
      </c>
      <c r="E378" s="3" t="s">
        <v>241</v>
      </c>
      <c r="F378" s="3" t="s">
        <v>11</v>
      </c>
      <c r="G378" s="5"/>
      <c r="H378" s="5">
        <v>2200</v>
      </c>
      <c r="I378" s="5"/>
      <c r="J378" s="5">
        <f>G378+H378-I378</f>
        <v>2200</v>
      </c>
    </row>
    <row r="379" spans="1:12" x14ac:dyDescent="0.25">
      <c r="A379" s="2"/>
      <c r="B379" s="13">
        <v>46174</v>
      </c>
      <c r="C379" s="2">
        <v>3049</v>
      </c>
      <c r="D379" s="3" t="s">
        <v>15</v>
      </c>
      <c r="E379" s="3" t="s">
        <v>335</v>
      </c>
      <c r="F379" s="3" t="s">
        <v>11</v>
      </c>
      <c r="G379" s="5"/>
      <c r="H379" s="5">
        <v>350</v>
      </c>
      <c r="I379" s="5"/>
      <c r="J379" s="5">
        <f t="shared" ref="J379:J486" si="12">G379+H379-I379</f>
        <v>350</v>
      </c>
    </row>
    <row r="380" spans="1:12" x14ac:dyDescent="0.25">
      <c r="A380" s="2"/>
      <c r="B380" s="13">
        <v>46174</v>
      </c>
      <c r="C380" s="2">
        <v>3050</v>
      </c>
      <c r="D380" s="3" t="s">
        <v>15</v>
      </c>
      <c r="E380" s="3" t="s">
        <v>239</v>
      </c>
      <c r="F380" s="3" t="s">
        <v>11</v>
      </c>
      <c r="G380" s="5"/>
      <c r="H380" s="5">
        <v>700</v>
      </c>
      <c r="I380" s="5"/>
      <c r="J380" s="5">
        <f t="shared" si="12"/>
        <v>700</v>
      </c>
    </row>
    <row r="381" spans="1:12" x14ac:dyDescent="0.25">
      <c r="A381" s="2"/>
      <c r="B381" s="13">
        <v>46175</v>
      </c>
      <c r="C381" s="2">
        <v>3052</v>
      </c>
      <c r="D381" s="3" t="s">
        <v>15</v>
      </c>
      <c r="E381" s="3" t="s">
        <v>336</v>
      </c>
      <c r="F381" s="3" t="s">
        <v>11</v>
      </c>
      <c r="G381" s="5"/>
      <c r="H381" s="5">
        <v>200</v>
      </c>
      <c r="I381" s="5"/>
      <c r="J381" s="5">
        <f t="shared" si="12"/>
        <v>200</v>
      </c>
    </row>
    <row r="382" spans="1:12" x14ac:dyDescent="0.25">
      <c r="A382" s="2"/>
      <c r="B382" s="13">
        <v>46175</v>
      </c>
      <c r="C382" s="2">
        <v>3055</v>
      </c>
      <c r="D382" s="3" t="s">
        <v>15</v>
      </c>
      <c r="E382" s="3" t="s">
        <v>337</v>
      </c>
      <c r="F382" s="3" t="s">
        <v>11</v>
      </c>
      <c r="G382" s="5"/>
      <c r="H382" s="5">
        <v>28662.75</v>
      </c>
      <c r="I382" s="5"/>
      <c r="J382" s="5">
        <f t="shared" si="12"/>
        <v>28662.75</v>
      </c>
    </row>
    <row r="383" spans="1:12" x14ac:dyDescent="0.25">
      <c r="A383" s="2"/>
      <c r="B383" s="13">
        <v>46176</v>
      </c>
      <c r="C383" s="2">
        <v>3059</v>
      </c>
      <c r="D383" s="3" t="s">
        <v>15</v>
      </c>
      <c r="E383" s="3" t="s">
        <v>336</v>
      </c>
      <c r="F383" s="3" t="s">
        <v>11</v>
      </c>
      <c r="G383" s="5"/>
      <c r="H383" s="5">
        <v>1300</v>
      </c>
      <c r="I383" s="5"/>
      <c r="J383" s="5">
        <f t="shared" si="12"/>
        <v>1300</v>
      </c>
    </row>
    <row r="384" spans="1:12" x14ac:dyDescent="0.25">
      <c r="A384" s="2"/>
      <c r="B384" s="13">
        <v>46176</v>
      </c>
      <c r="C384" s="2">
        <v>3058</v>
      </c>
      <c r="D384" s="3" t="s">
        <v>15</v>
      </c>
      <c r="E384" s="3" t="s">
        <v>191</v>
      </c>
      <c r="F384" s="3" t="s">
        <v>11</v>
      </c>
      <c r="G384" s="5"/>
      <c r="H384" s="5">
        <v>1000</v>
      </c>
      <c r="I384" s="5"/>
      <c r="J384" s="5">
        <f t="shared" si="12"/>
        <v>1000</v>
      </c>
    </row>
    <row r="385" spans="1:10" x14ac:dyDescent="0.25">
      <c r="A385" s="2"/>
      <c r="B385" s="13">
        <v>46176</v>
      </c>
      <c r="C385" s="2">
        <v>3057</v>
      </c>
      <c r="D385" s="3" t="s">
        <v>15</v>
      </c>
      <c r="E385" s="3" t="s">
        <v>243</v>
      </c>
      <c r="F385" s="3" t="s">
        <v>11</v>
      </c>
      <c r="G385" s="5"/>
      <c r="H385" s="5">
        <v>1500</v>
      </c>
      <c r="I385" s="5"/>
      <c r="J385" s="5">
        <f t="shared" si="12"/>
        <v>1500</v>
      </c>
    </row>
    <row r="386" spans="1:10" x14ac:dyDescent="0.25">
      <c r="A386" s="2"/>
      <c r="B386" s="13">
        <v>46176</v>
      </c>
      <c r="C386" s="2">
        <v>3064</v>
      </c>
      <c r="D386" s="3" t="s">
        <v>15</v>
      </c>
      <c r="E386" s="3" t="s">
        <v>53</v>
      </c>
      <c r="F386" s="3" t="s">
        <v>11</v>
      </c>
      <c r="G386" s="5"/>
      <c r="H386" s="5">
        <v>13000</v>
      </c>
      <c r="I386" s="5"/>
      <c r="J386" s="5">
        <f t="shared" si="12"/>
        <v>13000</v>
      </c>
    </row>
    <row r="387" spans="1:10" x14ac:dyDescent="0.25">
      <c r="A387" s="2"/>
      <c r="B387" s="13">
        <v>46176</v>
      </c>
      <c r="C387" s="2">
        <v>3065</v>
      </c>
      <c r="D387" s="3" t="s">
        <v>15</v>
      </c>
      <c r="E387" s="3" t="s">
        <v>339</v>
      </c>
      <c r="F387" s="3" t="s">
        <v>11</v>
      </c>
      <c r="G387" s="5"/>
      <c r="H387" s="5">
        <v>8522.7199999999993</v>
      </c>
      <c r="I387" s="5"/>
      <c r="J387" s="5">
        <f t="shared" si="12"/>
        <v>8522.7199999999993</v>
      </c>
    </row>
    <row r="388" spans="1:10" x14ac:dyDescent="0.25">
      <c r="A388" s="2"/>
      <c r="B388" s="13">
        <v>46176</v>
      </c>
      <c r="C388" s="2">
        <v>3067</v>
      </c>
      <c r="D388" s="3" t="s">
        <v>15</v>
      </c>
      <c r="E388" s="3" t="s">
        <v>339</v>
      </c>
      <c r="F388" s="3" t="s">
        <v>11</v>
      </c>
      <c r="G388" s="5"/>
      <c r="H388" s="5">
        <v>5000</v>
      </c>
      <c r="I388" s="5"/>
      <c r="J388" s="5">
        <f t="shared" si="12"/>
        <v>5000</v>
      </c>
    </row>
    <row r="389" spans="1:10" x14ac:dyDescent="0.25">
      <c r="A389" s="2"/>
      <c r="B389" s="13">
        <v>46176</v>
      </c>
      <c r="C389" s="2">
        <v>787</v>
      </c>
      <c r="D389" s="3" t="s">
        <v>15</v>
      </c>
      <c r="E389" s="3" t="s">
        <v>289</v>
      </c>
      <c r="F389" s="3" t="s">
        <v>11</v>
      </c>
      <c r="G389" s="5"/>
      <c r="H389" s="5"/>
      <c r="I389" s="5">
        <v>300</v>
      </c>
      <c r="J389" s="5">
        <f t="shared" si="12"/>
        <v>-300</v>
      </c>
    </row>
    <row r="390" spans="1:10" x14ac:dyDescent="0.25">
      <c r="A390" s="2"/>
      <c r="B390" s="13">
        <v>46176</v>
      </c>
      <c r="C390" s="2">
        <v>788</v>
      </c>
      <c r="D390" s="3" t="s">
        <v>15</v>
      </c>
      <c r="E390" s="3" t="s">
        <v>338</v>
      </c>
      <c r="F390" s="3" t="s">
        <v>11</v>
      </c>
      <c r="G390" s="5"/>
      <c r="H390" s="5"/>
      <c r="I390" s="5">
        <v>2210</v>
      </c>
      <c r="J390" s="5">
        <f t="shared" si="12"/>
        <v>-2210</v>
      </c>
    </row>
    <row r="391" spans="1:10" x14ac:dyDescent="0.25">
      <c r="A391" s="2"/>
      <c r="B391" s="13">
        <v>46176</v>
      </c>
      <c r="C391" s="2">
        <v>789</v>
      </c>
      <c r="D391" s="3" t="s">
        <v>15</v>
      </c>
      <c r="E391" s="3" t="s">
        <v>337</v>
      </c>
      <c r="F391" s="3" t="s">
        <v>11</v>
      </c>
      <c r="G391" s="5"/>
      <c r="H391" s="5"/>
      <c r="I391" s="5">
        <v>23762.5</v>
      </c>
      <c r="J391" s="5">
        <f t="shared" si="12"/>
        <v>-23762.5</v>
      </c>
    </row>
    <row r="392" spans="1:10" x14ac:dyDescent="0.25">
      <c r="A392" s="2"/>
      <c r="B392" s="13">
        <v>46177</v>
      </c>
      <c r="C392" s="2">
        <v>790</v>
      </c>
      <c r="D392" s="3" t="s">
        <v>15</v>
      </c>
      <c r="E392" s="3" t="s">
        <v>241</v>
      </c>
      <c r="F392" s="3" t="s">
        <v>11</v>
      </c>
      <c r="G392" s="5"/>
      <c r="H392" s="5"/>
      <c r="I392" s="5">
        <v>500</v>
      </c>
      <c r="J392" s="5">
        <f t="shared" si="12"/>
        <v>-500</v>
      </c>
    </row>
    <row r="393" spans="1:10" x14ac:dyDescent="0.25">
      <c r="A393" s="2"/>
      <c r="B393" s="13">
        <v>46177</v>
      </c>
      <c r="C393" s="2">
        <v>791</v>
      </c>
      <c r="D393" s="3" t="s">
        <v>15</v>
      </c>
      <c r="E393" s="3" t="s">
        <v>74</v>
      </c>
      <c r="F393" s="3" t="s">
        <v>11</v>
      </c>
      <c r="G393" s="5"/>
      <c r="H393" s="5"/>
      <c r="I393" s="5">
        <v>2000</v>
      </c>
      <c r="J393" s="5">
        <f t="shared" si="12"/>
        <v>-2000</v>
      </c>
    </row>
    <row r="394" spans="1:10" x14ac:dyDescent="0.25">
      <c r="A394" s="2"/>
      <c r="B394" s="13">
        <v>46177</v>
      </c>
      <c r="C394" s="2">
        <v>792</v>
      </c>
      <c r="D394" s="3" t="s">
        <v>15</v>
      </c>
      <c r="E394" s="3" t="s">
        <v>339</v>
      </c>
      <c r="F394" s="3" t="s">
        <v>11</v>
      </c>
      <c r="G394" s="5"/>
      <c r="H394" s="5"/>
      <c r="I394" s="5">
        <v>5000</v>
      </c>
      <c r="J394" s="5">
        <f t="shared" si="12"/>
        <v>-5000</v>
      </c>
    </row>
    <row r="395" spans="1:10" x14ac:dyDescent="0.25">
      <c r="A395" s="2"/>
      <c r="B395" s="13">
        <v>46177</v>
      </c>
      <c r="C395" s="2">
        <v>3069</v>
      </c>
      <c r="D395" s="3" t="s">
        <v>15</v>
      </c>
      <c r="E395" s="3" t="s">
        <v>191</v>
      </c>
      <c r="F395" s="3" t="s">
        <v>11</v>
      </c>
      <c r="G395" s="5"/>
      <c r="H395" s="5">
        <v>2000</v>
      </c>
      <c r="I395" s="5"/>
      <c r="J395" s="5">
        <f t="shared" si="12"/>
        <v>2000</v>
      </c>
    </row>
    <row r="396" spans="1:10" x14ac:dyDescent="0.25">
      <c r="A396" s="2"/>
      <c r="B396" s="13">
        <v>46178</v>
      </c>
      <c r="C396" s="2">
        <v>793</v>
      </c>
      <c r="D396" s="3" t="s">
        <v>15</v>
      </c>
      <c r="E396" s="3" t="s">
        <v>363</v>
      </c>
      <c r="F396" s="3" t="s">
        <v>11</v>
      </c>
      <c r="G396" s="5"/>
      <c r="H396" s="5"/>
      <c r="I396" s="5">
        <v>3500</v>
      </c>
      <c r="J396" s="5">
        <f t="shared" si="12"/>
        <v>-3500</v>
      </c>
    </row>
    <row r="397" spans="1:10" x14ac:dyDescent="0.25">
      <c r="A397" s="2"/>
      <c r="B397" s="13">
        <v>46178</v>
      </c>
      <c r="C397" s="2">
        <v>3070</v>
      </c>
      <c r="D397" s="3" t="s">
        <v>15</v>
      </c>
      <c r="E397" s="3" t="s">
        <v>89</v>
      </c>
      <c r="F397" s="3" t="s">
        <v>11</v>
      </c>
      <c r="G397" s="5"/>
      <c r="H397" s="5">
        <v>1500</v>
      </c>
      <c r="I397" s="5"/>
      <c r="J397" s="5">
        <f t="shared" si="12"/>
        <v>1500</v>
      </c>
    </row>
    <row r="398" spans="1:10" x14ac:dyDescent="0.25">
      <c r="A398" s="2"/>
      <c r="B398" s="13">
        <v>46178</v>
      </c>
      <c r="C398" s="2">
        <v>3075</v>
      </c>
      <c r="D398" s="3" t="s">
        <v>15</v>
      </c>
      <c r="E398" s="3" t="s">
        <v>43</v>
      </c>
      <c r="F398" s="3" t="s">
        <v>11</v>
      </c>
      <c r="G398" s="5"/>
      <c r="H398" s="5">
        <v>2800</v>
      </c>
      <c r="I398" s="5"/>
      <c r="J398" s="5">
        <f t="shared" si="12"/>
        <v>2800</v>
      </c>
    </row>
    <row r="399" spans="1:10" x14ac:dyDescent="0.25">
      <c r="A399" s="2"/>
      <c r="B399" s="13">
        <v>46178</v>
      </c>
      <c r="C399" s="2">
        <v>3077</v>
      </c>
      <c r="D399" s="3" t="s">
        <v>15</v>
      </c>
      <c r="E399" s="3" t="s">
        <v>340</v>
      </c>
      <c r="F399" s="3" t="s">
        <v>11</v>
      </c>
      <c r="G399" s="5"/>
      <c r="H399" s="5">
        <v>31796.79</v>
      </c>
      <c r="I399" s="5"/>
      <c r="J399" s="5">
        <f t="shared" si="12"/>
        <v>31796.79</v>
      </c>
    </row>
    <row r="400" spans="1:10" x14ac:dyDescent="0.25">
      <c r="A400" s="2"/>
      <c r="B400" s="13">
        <v>46179</v>
      </c>
      <c r="C400" s="2">
        <v>3093</v>
      </c>
      <c r="D400" s="3" t="s">
        <v>15</v>
      </c>
      <c r="E400" s="3" t="s">
        <v>341</v>
      </c>
      <c r="F400" s="3" t="s">
        <v>11</v>
      </c>
      <c r="G400" s="5"/>
      <c r="H400" s="5">
        <v>1136.3599999999999</v>
      </c>
      <c r="I400" s="5"/>
      <c r="J400" s="5">
        <f t="shared" si="12"/>
        <v>1136.3599999999999</v>
      </c>
    </row>
    <row r="401" spans="1:10" x14ac:dyDescent="0.25">
      <c r="A401" s="2"/>
      <c r="B401" s="13">
        <v>46179</v>
      </c>
      <c r="C401" s="2">
        <v>3095</v>
      </c>
      <c r="D401" s="3" t="s">
        <v>15</v>
      </c>
      <c r="E401" s="3" t="s">
        <v>342</v>
      </c>
      <c r="F401" s="3" t="s">
        <v>11</v>
      </c>
      <c r="G401" s="5"/>
      <c r="H401" s="5">
        <v>1136.3599999999999</v>
      </c>
      <c r="I401" s="5"/>
      <c r="J401" s="5">
        <f t="shared" si="12"/>
        <v>1136.3599999999999</v>
      </c>
    </row>
    <row r="402" spans="1:10" x14ac:dyDescent="0.25">
      <c r="A402" s="2"/>
      <c r="B402" s="13">
        <v>46179</v>
      </c>
      <c r="C402" s="2">
        <v>796</v>
      </c>
      <c r="D402" s="3" t="s">
        <v>15</v>
      </c>
      <c r="E402" s="3" t="s">
        <v>239</v>
      </c>
      <c r="F402" s="3" t="s">
        <v>11</v>
      </c>
      <c r="G402" s="5"/>
      <c r="H402" s="5"/>
      <c r="I402" s="5">
        <v>310</v>
      </c>
      <c r="J402" s="5">
        <f t="shared" si="12"/>
        <v>-310</v>
      </c>
    </row>
    <row r="403" spans="1:10" x14ac:dyDescent="0.25">
      <c r="A403" s="2"/>
      <c r="B403" s="13">
        <v>46179</v>
      </c>
      <c r="C403" s="2">
        <v>797</v>
      </c>
      <c r="D403" s="3" t="s">
        <v>15</v>
      </c>
      <c r="E403" s="3" t="s">
        <v>241</v>
      </c>
      <c r="F403" s="3" t="s">
        <v>11</v>
      </c>
      <c r="G403" s="5"/>
      <c r="H403" s="5"/>
      <c r="I403" s="5">
        <v>300</v>
      </c>
      <c r="J403" s="5">
        <f t="shared" si="12"/>
        <v>-300</v>
      </c>
    </row>
    <row r="404" spans="1:10" x14ac:dyDescent="0.25">
      <c r="A404" s="2"/>
      <c r="B404" s="13">
        <v>46181</v>
      </c>
      <c r="C404" s="2">
        <v>798</v>
      </c>
      <c r="D404" s="3" t="s">
        <v>15</v>
      </c>
      <c r="E404" s="3" t="s">
        <v>289</v>
      </c>
      <c r="F404" s="3" t="s">
        <v>11</v>
      </c>
      <c r="G404" s="5"/>
      <c r="H404" s="5"/>
      <c r="I404" s="5">
        <v>500</v>
      </c>
      <c r="J404" s="5">
        <f t="shared" si="12"/>
        <v>-500</v>
      </c>
    </row>
    <row r="405" spans="1:10" x14ac:dyDescent="0.25">
      <c r="A405" s="2"/>
      <c r="B405" s="13">
        <v>46181</v>
      </c>
      <c r="C405" s="2">
        <v>799</v>
      </c>
      <c r="D405" s="3" t="s">
        <v>15</v>
      </c>
      <c r="E405" s="3" t="s">
        <v>105</v>
      </c>
      <c r="F405" s="3" t="s">
        <v>11</v>
      </c>
      <c r="G405" s="5"/>
      <c r="H405" s="5"/>
      <c r="I405" s="5">
        <v>1000</v>
      </c>
      <c r="J405" s="5">
        <f t="shared" si="12"/>
        <v>-1000</v>
      </c>
    </row>
    <row r="406" spans="1:10" x14ac:dyDescent="0.25">
      <c r="A406" s="2"/>
      <c r="B406" s="13">
        <v>46181</v>
      </c>
      <c r="C406" s="2">
        <v>800</v>
      </c>
      <c r="D406" s="3" t="s">
        <v>15</v>
      </c>
      <c r="E406" s="3" t="s">
        <v>243</v>
      </c>
      <c r="F406" s="3" t="s">
        <v>11</v>
      </c>
      <c r="G406" s="5"/>
      <c r="H406" s="5"/>
      <c r="I406" s="5">
        <v>200</v>
      </c>
      <c r="J406" s="5">
        <f t="shared" si="12"/>
        <v>-200</v>
      </c>
    </row>
    <row r="407" spans="1:10" x14ac:dyDescent="0.25">
      <c r="A407" s="2"/>
      <c r="B407" s="13">
        <v>46182</v>
      </c>
      <c r="C407" s="2">
        <v>3101</v>
      </c>
      <c r="D407" s="3" t="s">
        <v>15</v>
      </c>
      <c r="E407" s="3" t="s">
        <v>343</v>
      </c>
      <c r="F407" s="3" t="s">
        <v>11</v>
      </c>
      <c r="G407" s="5"/>
      <c r="H407" s="5">
        <v>200</v>
      </c>
      <c r="I407" s="5"/>
      <c r="J407" s="5">
        <f t="shared" si="12"/>
        <v>200</v>
      </c>
    </row>
    <row r="408" spans="1:10" x14ac:dyDescent="0.25">
      <c r="A408" s="2"/>
      <c r="B408" s="13">
        <v>46182</v>
      </c>
      <c r="C408" s="2">
        <v>3102</v>
      </c>
      <c r="D408" s="3" t="s">
        <v>15</v>
      </c>
      <c r="E408" s="3" t="s">
        <v>344</v>
      </c>
      <c r="F408" s="3" t="s">
        <v>11</v>
      </c>
      <c r="G408" s="5"/>
      <c r="H408" s="5">
        <v>500</v>
      </c>
      <c r="I408" s="5"/>
      <c r="J408" s="5">
        <f t="shared" si="12"/>
        <v>500</v>
      </c>
    </row>
    <row r="409" spans="1:10" x14ac:dyDescent="0.25">
      <c r="A409" s="2"/>
      <c r="B409" s="13">
        <v>46182</v>
      </c>
      <c r="C409" s="2">
        <v>3103</v>
      </c>
      <c r="D409" s="3" t="s">
        <v>15</v>
      </c>
      <c r="E409" s="3" t="s">
        <v>43</v>
      </c>
      <c r="F409" s="3" t="s">
        <v>11</v>
      </c>
      <c r="G409" s="5"/>
      <c r="H409" s="5">
        <v>300</v>
      </c>
      <c r="I409" s="5"/>
      <c r="J409" s="5">
        <f t="shared" si="12"/>
        <v>300</v>
      </c>
    </row>
    <row r="410" spans="1:10" x14ac:dyDescent="0.25">
      <c r="A410" s="2"/>
      <c r="B410" s="13">
        <v>46182</v>
      </c>
      <c r="C410" s="2">
        <v>3104</v>
      </c>
      <c r="D410" s="3" t="s">
        <v>15</v>
      </c>
      <c r="E410" s="3" t="s">
        <v>31</v>
      </c>
      <c r="F410" s="3" t="s">
        <v>11</v>
      </c>
      <c r="G410" s="5"/>
      <c r="H410" s="5">
        <v>200</v>
      </c>
      <c r="I410" s="5"/>
      <c r="J410" s="5">
        <f t="shared" si="12"/>
        <v>200</v>
      </c>
    </row>
    <row r="411" spans="1:10" x14ac:dyDescent="0.25">
      <c r="A411" s="2"/>
      <c r="B411" s="13">
        <v>46182</v>
      </c>
      <c r="C411" s="2">
        <v>801</v>
      </c>
      <c r="D411" s="3" t="s">
        <v>15</v>
      </c>
      <c r="E411" s="3" t="s">
        <v>345</v>
      </c>
      <c r="F411" s="3" t="s">
        <v>11</v>
      </c>
      <c r="G411" s="5"/>
      <c r="H411" s="5"/>
      <c r="I411" s="5">
        <v>500</v>
      </c>
      <c r="J411" s="5">
        <f t="shared" si="12"/>
        <v>-500</v>
      </c>
    </row>
    <row r="412" spans="1:10" x14ac:dyDescent="0.25">
      <c r="A412" s="2"/>
      <c r="B412" s="13">
        <v>46183</v>
      </c>
      <c r="C412" s="2">
        <v>3114</v>
      </c>
      <c r="D412" s="3" t="s">
        <v>15</v>
      </c>
      <c r="E412" s="3" t="s">
        <v>359</v>
      </c>
      <c r="F412" s="3" t="s">
        <v>11</v>
      </c>
      <c r="G412" s="5"/>
      <c r="H412" s="5">
        <v>22727.27</v>
      </c>
      <c r="I412" s="5"/>
      <c r="J412" s="5">
        <f t="shared" si="12"/>
        <v>22727.27</v>
      </c>
    </row>
    <row r="413" spans="1:10" x14ac:dyDescent="0.25">
      <c r="A413" s="2"/>
      <c r="B413" s="13">
        <v>46183</v>
      </c>
      <c r="C413" s="2">
        <v>3118</v>
      </c>
      <c r="D413" s="3" t="s">
        <v>15</v>
      </c>
      <c r="E413" s="3" t="s">
        <v>346</v>
      </c>
      <c r="F413" s="3" t="s">
        <v>11</v>
      </c>
      <c r="G413" s="5"/>
      <c r="H413" s="5">
        <v>46284.94</v>
      </c>
      <c r="I413" s="5"/>
      <c r="J413" s="5">
        <f t="shared" si="12"/>
        <v>46284.94</v>
      </c>
    </row>
    <row r="414" spans="1:10" x14ac:dyDescent="0.25">
      <c r="A414" s="2"/>
      <c r="B414" s="13">
        <v>46183</v>
      </c>
      <c r="C414" s="2">
        <v>3120</v>
      </c>
      <c r="D414" s="3" t="s">
        <v>15</v>
      </c>
      <c r="E414" s="3" t="s">
        <v>330</v>
      </c>
      <c r="F414" s="3" t="s">
        <v>11</v>
      </c>
      <c r="G414" s="5"/>
      <c r="H414" s="5">
        <v>200000</v>
      </c>
      <c r="I414" s="5"/>
      <c r="J414" s="5">
        <f t="shared" si="12"/>
        <v>200000</v>
      </c>
    </row>
    <row r="415" spans="1:10" x14ac:dyDescent="0.25">
      <c r="A415" s="2"/>
      <c r="B415" s="13">
        <v>46183</v>
      </c>
      <c r="C415" s="2">
        <v>3124</v>
      </c>
      <c r="D415" s="3" t="s">
        <v>15</v>
      </c>
      <c r="E415" s="3" t="s">
        <v>360</v>
      </c>
      <c r="F415" s="3" t="s">
        <v>11</v>
      </c>
      <c r="G415" s="5"/>
      <c r="H415" s="5">
        <v>39772.720000000001</v>
      </c>
      <c r="I415" s="5"/>
      <c r="J415" s="5">
        <f t="shared" si="12"/>
        <v>39772.720000000001</v>
      </c>
    </row>
    <row r="416" spans="1:10" x14ac:dyDescent="0.25">
      <c r="A416" s="2"/>
      <c r="B416" s="13">
        <v>46183</v>
      </c>
      <c r="C416" s="2">
        <v>802</v>
      </c>
      <c r="D416" s="3" t="s">
        <v>15</v>
      </c>
      <c r="E416" s="3" t="s">
        <v>243</v>
      </c>
      <c r="F416" s="3" t="s">
        <v>11</v>
      </c>
      <c r="G416" s="5"/>
      <c r="H416" s="5"/>
      <c r="I416" s="5">
        <v>300</v>
      </c>
      <c r="J416" s="5">
        <f t="shared" si="12"/>
        <v>-300</v>
      </c>
    </row>
    <row r="417" spans="1:10" x14ac:dyDescent="0.25">
      <c r="A417" s="2"/>
      <c r="B417" s="13">
        <v>46184</v>
      </c>
      <c r="C417" s="2">
        <v>803</v>
      </c>
      <c r="D417" s="3" t="s">
        <v>15</v>
      </c>
      <c r="E417" s="3" t="s">
        <v>59</v>
      </c>
      <c r="F417" s="3" t="s">
        <v>11</v>
      </c>
      <c r="G417" s="5"/>
      <c r="H417" s="5"/>
      <c r="I417" s="5">
        <v>500</v>
      </c>
      <c r="J417" s="5">
        <f t="shared" si="12"/>
        <v>-500</v>
      </c>
    </row>
    <row r="418" spans="1:10" x14ac:dyDescent="0.25">
      <c r="A418" s="2"/>
      <c r="B418" s="13">
        <v>46184</v>
      </c>
      <c r="C418" s="2">
        <v>804</v>
      </c>
      <c r="D418" s="3" t="s">
        <v>15</v>
      </c>
      <c r="E418" s="3" t="s">
        <v>31</v>
      </c>
      <c r="F418" s="3" t="s">
        <v>11</v>
      </c>
      <c r="G418" s="5"/>
      <c r="H418" s="5"/>
      <c r="I418" s="5">
        <v>1500</v>
      </c>
      <c r="J418" s="5">
        <f t="shared" si="12"/>
        <v>-1500</v>
      </c>
    </row>
    <row r="419" spans="1:10" x14ac:dyDescent="0.25">
      <c r="A419" s="2"/>
      <c r="B419" s="13">
        <v>46184</v>
      </c>
      <c r="C419" s="2">
        <v>805</v>
      </c>
      <c r="D419" s="3" t="s">
        <v>15</v>
      </c>
      <c r="E419" s="3" t="s">
        <v>347</v>
      </c>
      <c r="F419" s="3" t="s">
        <v>11</v>
      </c>
      <c r="G419" s="5"/>
      <c r="H419" s="5"/>
      <c r="I419" s="5">
        <v>500</v>
      </c>
      <c r="J419" s="5">
        <f t="shared" si="12"/>
        <v>-500</v>
      </c>
    </row>
    <row r="420" spans="1:10" x14ac:dyDescent="0.25">
      <c r="A420" s="2"/>
      <c r="B420" s="13">
        <v>46184</v>
      </c>
      <c r="C420" s="2">
        <v>806</v>
      </c>
      <c r="D420" s="3" t="s">
        <v>15</v>
      </c>
      <c r="E420" s="3" t="s">
        <v>241</v>
      </c>
      <c r="F420" s="3" t="s">
        <v>11</v>
      </c>
      <c r="G420" s="5"/>
      <c r="H420" s="5"/>
      <c r="I420" s="5">
        <v>300</v>
      </c>
      <c r="J420" s="5">
        <f t="shared" si="12"/>
        <v>-300</v>
      </c>
    </row>
    <row r="421" spans="1:10" x14ac:dyDescent="0.25">
      <c r="A421" s="2"/>
      <c r="B421" s="13">
        <v>46184</v>
      </c>
      <c r="C421" s="2">
        <v>807</v>
      </c>
      <c r="D421" s="3" t="s">
        <v>15</v>
      </c>
      <c r="E421" s="3" t="s">
        <v>334</v>
      </c>
      <c r="F421" s="3" t="s">
        <v>11</v>
      </c>
      <c r="G421" s="5"/>
      <c r="H421" s="5"/>
      <c r="I421" s="5">
        <v>500</v>
      </c>
      <c r="J421" s="5">
        <f t="shared" si="12"/>
        <v>-500</v>
      </c>
    </row>
    <row r="422" spans="1:10" x14ac:dyDescent="0.25">
      <c r="A422" s="2" t="s">
        <v>332</v>
      </c>
      <c r="B422" s="13">
        <v>46184</v>
      </c>
      <c r="C422" s="2">
        <v>3126</v>
      </c>
      <c r="D422" s="3" t="s">
        <v>15</v>
      </c>
      <c r="E422" s="3" t="s">
        <v>31</v>
      </c>
      <c r="F422" s="3" t="s">
        <v>11</v>
      </c>
      <c r="G422" s="5"/>
      <c r="H422" s="5">
        <v>600</v>
      </c>
      <c r="I422" s="5"/>
      <c r="J422" s="5">
        <f t="shared" si="12"/>
        <v>600</v>
      </c>
    </row>
    <row r="423" spans="1:10" x14ac:dyDescent="0.25">
      <c r="A423" s="2"/>
      <c r="B423" s="13">
        <v>46184</v>
      </c>
      <c r="C423" s="2">
        <v>3129</v>
      </c>
      <c r="D423" s="3" t="s">
        <v>15</v>
      </c>
      <c r="E423" s="3" t="s">
        <v>348</v>
      </c>
      <c r="F423" s="3" t="s">
        <v>11</v>
      </c>
      <c r="G423" s="5"/>
      <c r="H423" s="5">
        <v>500</v>
      </c>
      <c r="I423" s="5"/>
      <c r="J423" s="5">
        <f t="shared" si="12"/>
        <v>500</v>
      </c>
    </row>
    <row r="424" spans="1:10" x14ac:dyDescent="0.25">
      <c r="A424" s="2"/>
      <c r="B424" s="13">
        <v>46184</v>
      </c>
      <c r="C424" s="2">
        <v>3130</v>
      </c>
      <c r="D424" s="3" t="s">
        <v>15</v>
      </c>
      <c r="E424" s="3" t="s">
        <v>349</v>
      </c>
      <c r="F424" s="3" t="s">
        <v>11</v>
      </c>
      <c r="G424" s="5"/>
      <c r="H424" s="5">
        <v>500</v>
      </c>
      <c r="I424" s="5"/>
      <c r="J424" s="5">
        <f t="shared" si="12"/>
        <v>500</v>
      </c>
    </row>
    <row r="425" spans="1:10" x14ac:dyDescent="0.25">
      <c r="A425" s="2"/>
      <c r="B425" s="13">
        <v>46184</v>
      </c>
      <c r="C425" s="2">
        <v>3131</v>
      </c>
      <c r="D425" s="3" t="s">
        <v>15</v>
      </c>
      <c r="E425" s="3" t="s">
        <v>361</v>
      </c>
      <c r="F425" s="3" t="s">
        <v>11</v>
      </c>
      <c r="G425" s="5"/>
      <c r="H425" s="5">
        <v>3977.27</v>
      </c>
      <c r="I425" s="5"/>
      <c r="J425" s="5">
        <f t="shared" si="12"/>
        <v>3977.27</v>
      </c>
    </row>
    <row r="426" spans="1:10" x14ac:dyDescent="0.25">
      <c r="A426" s="2"/>
      <c r="B426" s="13">
        <v>46185</v>
      </c>
      <c r="C426" s="2">
        <v>3134</v>
      </c>
      <c r="D426" s="3" t="s">
        <v>15</v>
      </c>
      <c r="E426" s="3" t="s">
        <v>362</v>
      </c>
      <c r="F426" s="3" t="s">
        <v>11</v>
      </c>
      <c r="G426" s="5"/>
      <c r="H426" s="5">
        <v>26000</v>
      </c>
      <c r="I426" s="5"/>
      <c r="J426" s="5">
        <f t="shared" si="12"/>
        <v>26000</v>
      </c>
    </row>
    <row r="427" spans="1:10" x14ac:dyDescent="0.25">
      <c r="A427" s="2"/>
      <c r="B427" s="13">
        <v>46185</v>
      </c>
      <c r="C427" s="2">
        <v>808</v>
      </c>
      <c r="D427" s="3" t="s">
        <v>15</v>
      </c>
      <c r="E427" s="3" t="s">
        <v>18</v>
      </c>
      <c r="F427" s="3" t="s">
        <v>11</v>
      </c>
      <c r="G427" s="5"/>
      <c r="H427" s="5"/>
      <c r="I427" s="5">
        <v>2000</v>
      </c>
      <c r="J427" s="5">
        <f t="shared" si="12"/>
        <v>-2000</v>
      </c>
    </row>
    <row r="428" spans="1:10" x14ac:dyDescent="0.25">
      <c r="A428" s="2"/>
      <c r="B428" s="13">
        <v>46185</v>
      </c>
      <c r="C428" s="2">
        <v>809</v>
      </c>
      <c r="D428" s="3" t="s">
        <v>15</v>
      </c>
      <c r="E428" s="3" t="s">
        <v>105</v>
      </c>
      <c r="F428" s="3" t="s">
        <v>11</v>
      </c>
      <c r="G428" s="5"/>
      <c r="H428" s="5"/>
      <c r="I428" s="5">
        <v>200</v>
      </c>
      <c r="J428" s="5">
        <f t="shared" si="12"/>
        <v>-200</v>
      </c>
    </row>
    <row r="429" spans="1:10" x14ac:dyDescent="0.25">
      <c r="A429" s="2"/>
      <c r="B429" s="13">
        <v>46185</v>
      </c>
      <c r="C429" s="2">
        <v>810</v>
      </c>
      <c r="D429" s="3" t="s">
        <v>15</v>
      </c>
      <c r="E429" s="3" t="s">
        <v>327</v>
      </c>
      <c r="F429" s="3" t="s">
        <v>11</v>
      </c>
      <c r="G429" s="5"/>
      <c r="H429" s="5"/>
      <c r="I429" s="5">
        <v>4000</v>
      </c>
      <c r="J429" s="5">
        <f t="shared" si="12"/>
        <v>-4000</v>
      </c>
    </row>
    <row r="430" spans="1:10" x14ac:dyDescent="0.25">
      <c r="A430" s="2"/>
      <c r="B430" s="13">
        <v>46185</v>
      </c>
      <c r="C430" s="2">
        <v>811</v>
      </c>
      <c r="D430" s="3" t="s">
        <v>15</v>
      </c>
      <c r="E430" s="3" t="s">
        <v>16</v>
      </c>
      <c r="F430" s="3" t="s">
        <v>11</v>
      </c>
      <c r="G430" s="5"/>
      <c r="H430" s="5"/>
      <c r="I430" s="5">
        <v>1000</v>
      </c>
      <c r="J430" s="5">
        <f t="shared" si="12"/>
        <v>-1000</v>
      </c>
    </row>
    <row r="431" spans="1:10" x14ac:dyDescent="0.25">
      <c r="A431" s="2"/>
      <c r="B431" s="13">
        <v>46186</v>
      </c>
      <c r="C431" s="2">
        <v>812</v>
      </c>
      <c r="D431" s="3" t="s">
        <v>15</v>
      </c>
      <c r="E431" s="3" t="s">
        <v>239</v>
      </c>
      <c r="F431" s="3" t="s">
        <v>11</v>
      </c>
      <c r="G431" s="5"/>
      <c r="H431" s="5"/>
      <c r="I431" s="5">
        <v>250</v>
      </c>
      <c r="J431" s="5">
        <f t="shared" si="12"/>
        <v>-250</v>
      </c>
    </row>
    <row r="432" spans="1:10" x14ac:dyDescent="0.25">
      <c r="A432" s="2"/>
      <c r="B432" s="13">
        <v>46188</v>
      </c>
      <c r="C432" s="2">
        <v>814</v>
      </c>
      <c r="D432" s="3" t="s">
        <v>15</v>
      </c>
      <c r="E432" s="3" t="s">
        <v>53</v>
      </c>
      <c r="F432" s="3" t="s">
        <v>11</v>
      </c>
      <c r="G432" s="5"/>
      <c r="H432" s="5"/>
      <c r="I432" s="5">
        <v>1000</v>
      </c>
      <c r="J432" s="5">
        <f t="shared" si="12"/>
        <v>-1000</v>
      </c>
    </row>
    <row r="433" spans="1:10" x14ac:dyDescent="0.25">
      <c r="A433" s="2"/>
      <c r="B433" s="13">
        <v>45823</v>
      </c>
      <c r="C433" s="2">
        <v>815</v>
      </c>
      <c r="D433" s="3" t="s">
        <v>15</v>
      </c>
      <c r="E433" s="3" t="s">
        <v>294</v>
      </c>
      <c r="F433" s="3" t="s">
        <v>11</v>
      </c>
      <c r="G433" s="5"/>
      <c r="H433" s="5"/>
      <c r="I433" s="5">
        <v>474.18</v>
      </c>
      <c r="J433" s="5">
        <f t="shared" si="12"/>
        <v>-474.18</v>
      </c>
    </row>
    <row r="434" spans="1:10" x14ac:dyDescent="0.25">
      <c r="A434" s="2"/>
      <c r="B434" s="13">
        <v>46188</v>
      </c>
      <c r="C434" s="2">
        <v>816</v>
      </c>
      <c r="D434" s="3" t="s">
        <v>15</v>
      </c>
      <c r="E434" s="3" t="s">
        <v>243</v>
      </c>
      <c r="F434" s="3" t="s">
        <v>11</v>
      </c>
      <c r="G434" s="5"/>
      <c r="H434" s="5"/>
      <c r="I434" s="5">
        <v>500</v>
      </c>
      <c r="J434" s="5">
        <f t="shared" si="12"/>
        <v>-500</v>
      </c>
    </row>
    <row r="435" spans="1:10" x14ac:dyDescent="0.25">
      <c r="A435" s="2"/>
      <c r="B435" s="13">
        <v>46189</v>
      </c>
      <c r="C435" s="2">
        <v>3157</v>
      </c>
      <c r="D435" s="3" t="s">
        <v>15</v>
      </c>
      <c r="E435" s="3" t="s">
        <v>351</v>
      </c>
      <c r="F435" s="3" t="s">
        <v>11</v>
      </c>
      <c r="G435" s="5"/>
      <c r="H435" s="5">
        <v>568.17999999999995</v>
      </c>
      <c r="I435" s="5"/>
      <c r="J435" s="5"/>
    </row>
    <row r="436" spans="1:10" x14ac:dyDescent="0.25">
      <c r="A436" s="2"/>
      <c r="B436" s="13">
        <v>46189</v>
      </c>
      <c r="C436" s="2">
        <v>3159</v>
      </c>
      <c r="D436" s="3" t="s">
        <v>15</v>
      </c>
      <c r="E436" s="3" t="s">
        <v>352</v>
      </c>
      <c r="F436" s="3" t="s">
        <v>11</v>
      </c>
      <c r="G436" s="5"/>
      <c r="H436" s="5">
        <v>39772.730000000003</v>
      </c>
      <c r="I436" s="5"/>
      <c r="J436" s="5"/>
    </row>
    <row r="437" spans="1:10" x14ac:dyDescent="0.25">
      <c r="A437" s="2"/>
      <c r="B437" s="13">
        <v>46190</v>
      </c>
      <c r="C437" s="2">
        <v>819</v>
      </c>
      <c r="D437" s="3" t="s">
        <v>15</v>
      </c>
      <c r="E437" s="3" t="s">
        <v>350</v>
      </c>
      <c r="F437" s="3" t="s">
        <v>11</v>
      </c>
      <c r="G437" s="5"/>
      <c r="H437" s="5"/>
      <c r="I437" s="5">
        <v>400</v>
      </c>
      <c r="J437" s="5">
        <f t="shared" si="12"/>
        <v>-400</v>
      </c>
    </row>
    <row r="438" spans="1:10" x14ac:dyDescent="0.25">
      <c r="A438" s="2"/>
      <c r="B438" s="13">
        <v>46190</v>
      </c>
      <c r="C438" s="2">
        <v>821</v>
      </c>
      <c r="D438" s="3" t="s">
        <v>15</v>
      </c>
      <c r="E438" s="3" t="s">
        <v>241</v>
      </c>
      <c r="F438" s="3" t="s">
        <v>11</v>
      </c>
      <c r="G438" s="5"/>
      <c r="H438" s="5"/>
      <c r="I438" s="5">
        <v>400</v>
      </c>
      <c r="J438" s="5">
        <f t="shared" si="12"/>
        <v>-400</v>
      </c>
    </row>
    <row r="439" spans="1:10" x14ac:dyDescent="0.25">
      <c r="A439" s="2"/>
      <c r="B439" s="13">
        <v>46190</v>
      </c>
      <c r="C439" s="2">
        <v>822</v>
      </c>
      <c r="D439" s="3" t="s">
        <v>15</v>
      </c>
      <c r="E439" s="3" t="s">
        <v>115</v>
      </c>
      <c r="F439" s="3" t="s">
        <v>11</v>
      </c>
      <c r="G439" s="5"/>
      <c r="H439" s="5"/>
      <c r="I439" s="5">
        <v>7467</v>
      </c>
      <c r="J439" s="5">
        <f t="shared" si="12"/>
        <v>-7467</v>
      </c>
    </row>
    <row r="440" spans="1:10" x14ac:dyDescent="0.25">
      <c r="A440" s="2"/>
      <c r="B440" s="13">
        <v>46190</v>
      </c>
      <c r="C440" s="2">
        <v>3170</v>
      </c>
      <c r="D440" s="3" t="s">
        <v>15</v>
      </c>
      <c r="E440" s="3" t="s">
        <v>353</v>
      </c>
      <c r="F440" s="3" t="s">
        <v>11</v>
      </c>
      <c r="G440" s="5"/>
      <c r="H440" s="5">
        <v>465.91</v>
      </c>
      <c r="I440" s="5"/>
      <c r="J440" s="5">
        <f t="shared" si="12"/>
        <v>465.91</v>
      </c>
    </row>
    <row r="441" spans="1:10" x14ac:dyDescent="0.25">
      <c r="A441" s="2"/>
      <c r="B441" s="13">
        <v>46192</v>
      </c>
      <c r="C441" s="2">
        <v>3175</v>
      </c>
      <c r="D441" s="3" t="s">
        <v>15</v>
      </c>
      <c r="E441" s="3" t="s">
        <v>20</v>
      </c>
      <c r="F441" s="3" t="s">
        <v>11</v>
      </c>
      <c r="G441" s="5"/>
      <c r="H441" s="5">
        <v>10000</v>
      </c>
      <c r="I441" s="5"/>
      <c r="J441" s="5">
        <f t="shared" si="12"/>
        <v>10000</v>
      </c>
    </row>
    <row r="442" spans="1:10" x14ac:dyDescent="0.25">
      <c r="A442" s="2"/>
      <c r="B442" s="13">
        <v>46192</v>
      </c>
      <c r="C442" s="2">
        <v>823</v>
      </c>
      <c r="D442" s="3" t="s">
        <v>15</v>
      </c>
      <c r="E442" s="3" t="s">
        <v>259</v>
      </c>
      <c r="F442" s="3" t="s">
        <v>11</v>
      </c>
      <c r="G442" s="5"/>
      <c r="H442" s="5"/>
      <c r="I442" s="5">
        <v>10000</v>
      </c>
      <c r="J442" s="5">
        <f t="shared" si="12"/>
        <v>-10000</v>
      </c>
    </row>
    <row r="443" spans="1:10" x14ac:dyDescent="0.25">
      <c r="A443" s="2"/>
      <c r="B443" s="13">
        <v>46192</v>
      </c>
      <c r="C443" s="2">
        <v>824</v>
      </c>
      <c r="D443" s="3" t="s">
        <v>15</v>
      </c>
      <c r="E443" s="3" t="s">
        <v>66</v>
      </c>
      <c r="F443" s="3" t="s">
        <v>11</v>
      </c>
      <c r="G443" s="5"/>
      <c r="H443" s="5"/>
      <c r="I443" s="5">
        <v>500</v>
      </c>
      <c r="J443" s="5">
        <f t="shared" si="12"/>
        <v>-500</v>
      </c>
    </row>
    <row r="444" spans="1:10" x14ac:dyDescent="0.25">
      <c r="A444" s="2"/>
      <c r="B444" s="13">
        <v>46192</v>
      </c>
      <c r="C444" s="2">
        <v>825</v>
      </c>
      <c r="D444" s="3" t="s">
        <v>15</v>
      </c>
      <c r="E444" s="3" t="s">
        <v>105</v>
      </c>
      <c r="F444" s="3" t="s">
        <v>11</v>
      </c>
      <c r="G444" s="5"/>
      <c r="H444" s="5"/>
      <c r="I444" s="5">
        <v>21000</v>
      </c>
      <c r="J444" s="5">
        <f t="shared" si="12"/>
        <v>-21000</v>
      </c>
    </row>
    <row r="445" spans="1:10" x14ac:dyDescent="0.25">
      <c r="A445" s="2"/>
      <c r="B445" s="13">
        <v>46192</v>
      </c>
      <c r="C445" s="2">
        <v>826</v>
      </c>
      <c r="D445" s="3" t="s">
        <v>15</v>
      </c>
      <c r="E445" s="3" t="s">
        <v>129</v>
      </c>
      <c r="F445" s="3" t="s">
        <v>11</v>
      </c>
      <c r="G445" s="5"/>
      <c r="H445" s="5"/>
      <c r="I445" s="5">
        <v>500</v>
      </c>
      <c r="J445" s="5">
        <f t="shared" si="12"/>
        <v>-500</v>
      </c>
    </row>
    <row r="446" spans="1:10" x14ac:dyDescent="0.25">
      <c r="A446" s="2"/>
      <c r="B446" s="13">
        <v>46192</v>
      </c>
      <c r="C446" s="2">
        <v>827</v>
      </c>
      <c r="D446" s="3" t="s">
        <v>15</v>
      </c>
      <c r="E446" s="3" t="s">
        <v>277</v>
      </c>
      <c r="F446" s="3" t="s">
        <v>11</v>
      </c>
      <c r="G446" s="5"/>
      <c r="H446" s="5"/>
      <c r="I446" s="5">
        <v>100</v>
      </c>
      <c r="J446" s="5">
        <f t="shared" si="12"/>
        <v>-100</v>
      </c>
    </row>
    <row r="447" spans="1:10" x14ac:dyDescent="0.25">
      <c r="A447" s="2"/>
      <c r="B447" s="13">
        <v>46195</v>
      </c>
      <c r="C447" s="2">
        <v>828</v>
      </c>
      <c r="D447" s="3" t="s">
        <v>15</v>
      </c>
      <c r="E447" s="3" t="s">
        <v>289</v>
      </c>
      <c r="F447" s="3" t="s">
        <v>11</v>
      </c>
      <c r="G447" s="5"/>
      <c r="H447" s="5"/>
      <c r="I447" s="5">
        <v>200</v>
      </c>
      <c r="J447" s="5">
        <f t="shared" si="12"/>
        <v>-200</v>
      </c>
    </row>
    <row r="448" spans="1:10" x14ac:dyDescent="0.25">
      <c r="A448" s="2"/>
      <c r="B448" s="13">
        <v>46195</v>
      </c>
      <c r="C448" s="2">
        <v>829</v>
      </c>
      <c r="D448" s="3" t="s">
        <v>15</v>
      </c>
      <c r="E448" s="3" t="s">
        <v>135</v>
      </c>
      <c r="F448" s="3" t="s">
        <v>11</v>
      </c>
      <c r="G448" s="5"/>
      <c r="H448" s="5"/>
      <c r="I448" s="5">
        <v>500</v>
      </c>
      <c r="J448" s="5">
        <f t="shared" si="12"/>
        <v>-500</v>
      </c>
    </row>
    <row r="449" spans="1:10" x14ac:dyDescent="0.25">
      <c r="A449" s="2"/>
      <c r="B449" s="13">
        <v>46195</v>
      </c>
      <c r="C449" s="2">
        <v>3178</v>
      </c>
      <c r="D449" s="3" t="s">
        <v>15</v>
      </c>
      <c r="E449" s="3" t="s">
        <v>239</v>
      </c>
      <c r="F449" s="3" t="s">
        <v>11</v>
      </c>
      <c r="G449" s="5"/>
      <c r="H449" s="5">
        <v>400</v>
      </c>
      <c r="I449" s="5"/>
      <c r="J449" s="5">
        <f t="shared" si="12"/>
        <v>400</v>
      </c>
    </row>
    <row r="450" spans="1:10" x14ac:dyDescent="0.25">
      <c r="A450" s="2"/>
      <c r="B450" s="13">
        <v>46196</v>
      </c>
      <c r="C450" s="2">
        <v>3181</v>
      </c>
      <c r="D450" s="3" t="s">
        <v>15</v>
      </c>
      <c r="E450" s="3" t="s">
        <v>313</v>
      </c>
      <c r="F450" s="3" t="s">
        <v>11</v>
      </c>
      <c r="G450" s="5"/>
      <c r="H450" s="5">
        <v>65146.75</v>
      </c>
      <c r="I450" s="5"/>
      <c r="J450" s="5">
        <f t="shared" si="12"/>
        <v>65146.75</v>
      </c>
    </row>
    <row r="451" spans="1:10" x14ac:dyDescent="0.25">
      <c r="A451" s="2"/>
      <c r="B451" s="13">
        <v>46196</v>
      </c>
      <c r="C451" s="2">
        <v>3182</v>
      </c>
      <c r="D451" s="3" t="s">
        <v>15</v>
      </c>
      <c r="E451" s="3" t="s">
        <v>74</v>
      </c>
      <c r="F451" s="3" t="s">
        <v>11</v>
      </c>
      <c r="G451" s="5"/>
      <c r="H451" s="5">
        <v>14000</v>
      </c>
      <c r="I451" s="5"/>
      <c r="J451" s="5">
        <f t="shared" si="12"/>
        <v>14000</v>
      </c>
    </row>
    <row r="452" spans="1:10" x14ac:dyDescent="0.25">
      <c r="A452" s="2"/>
      <c r="B452" s="13">
        <v>46196</v>
      </c>
      <c r="C452" s="2">
        <v>3184</v>
      </c>
      <c r="D452" s="3" t="s">
        <v>15</v>
      </c>
      <c r="E452" s="3" t="s">
        <v>43</v>
      </c>
      <c r="F452" s="3" t="s">
        <v>11</v>
      </c>
      <c r="G452" s="5"/>
      <c r="H452" s="5">
        <v>400</v>
      </c>
      <c r="I452" s="5"/>
      <c r="J452" s="5">
        <f t="shared" si="12"/>
        <v>400</v>
      </c>
    </row>
    <row r="453" spans="1:10" x14ac:dyDescent="0.25">
      <c r="A453" s="2"/>
      <c r="B453" s="13">
        <v>46196</v>
      </c>
      <c r="C453" s="2">
        <v>3185</v>
      </c>
      <c r="D453" s="3" t="s">
        <v>15</v>
      </c>
      <c r="E453" s="3" t="s">
        <v>31</v>
      </c>
      <c r="F453" s="3" t="s">
        <v>11</v>
      </c>
      <c r="G453" s="5"/>
      <c r="H453" s="5">
        <v>200</v>
      </c>
      <c r="I453" s="5"/>
      <c r="J453" s="5">
        <f t="shared" si="12"/>
        <v>200</v>
      </c>
    </row>
    <row r="454" spans="1:10" x14ac:dyDescent="0.25">
      <c r="A454" s="2"/>
      <c r="B454" s="13">
        <v>46196</v>
      </c>
      <c r="C454" s="2">
        <v>830</v>
      </c>
      <c r="D454" s="3" t="s">
        <v>15</v>
      </c>
      <c r="E454" s="3" t="s">
        <v>243</v>
      </c>
      <c r="F454" s="3" t="s">
        <v>11</v>
      </c>
      <c r="G454" s="5"/>
      <c r="H454" s="5"/>
      <c r="I454" s="5">
        <v>300</v>
      </c>
      <c r="J454" s="5">
        <f t="shared" si="12"/>
        <v>-300</v>
      </c>
    </row>
    <row r="455" spans="1:10" x14ac:dyDescent="0.25">
      <c r="A455" s="2"/>
      <c r="B455" s="13">
        <v>46197</v>
      </c>
      <c r="C455" s="2">
        <v>831</v>
      </c>
      <c r="D455" s="3" t="s">
        <v>15</v>
      </c>
      <c r="E455" s="3" t="s">
        <v>241</v>
      </c>
      <c r="F455" s="3" t="s">
        <v>11</v>
      </c>
      <c r="G455" s="5"/>
      <c r="H455" s="5"/>
      <c r="I455" s="5">
        <v>200</v>
      </c>
      <c r="J455" s="5">
        <f t="shared" si="12"/>
        <v>-200</v>
      </c>
    </row>
    <row r="456" spans="1:10" x14ac:dyDescent="0.25">
      <c r="A456" s="2"/>
      <c r="B456" s="13">
        <v>46197</v>
      </c>
      <c r="C456" s="2">
        <v>832</v>
      </c>
      <c r="D456" s="3" t="s">
        <v>15</v>
      </c>
      <c r="E456" s="3" t="s">
        <v>239</v>
      </c>
      <c r="F456" s="3" t="s">
        <v>11</v>
      </c>
      <c r="G456" s="5"/>
      <c r="H456" s="5"/>
      <c r="I456" s="5">
        <v>100</v>
      </c>
      <c r="J456" s="5">
        <f t="shared" si="12"/>
        <v>-100</v>
      </c>
    </row>
    <row r="457" spans="1:10" x14ac:dyDescent="0.25">
      <c r="A457" s="2"/>
      <c r="B457" s="13">
        <v>46198</v>
      </c>
      <c r="C457" s="2">
        <v>833</v>
      </c>
      <c r="D457" s="3" t="s">
        <v>15</v>
      </c>
      <c r="E457" s="3" t="s">
        <v>18</v>
      </c>
      <c r="F457" s="3" t="s">
        <v>11</v>
      </c>
      <c r="G457" s="5"/>
      <c r="H457" s="5"/>
      <c r="I457" s="5">
        <v>2000</v>
      </c>
      <c r="J457" s="5">
        <f t="shared" si="12"/>
        <v>-2000</v>
      </c>
    </row>
    <row r="458" spans="1:10" x14ac:dyDescent="0.25">
      <c r="A458" s="2"/>
      <c r="B458" s="13">
        <v>46199</v>
      </c>
      <c r="C458" s="2">
        <v>3207</v>
      </c>
      <c r="D458" s="3" t="s">
        <v>15</v>
      </c>
      <c r="E458" s="3" t="s">
        <v>243</v>
      </c>
      <c r="F458" s="3" t="s">
        <v>11</v>
      </c>
      <c r="G458" s="5"/>
      <c r="H458" s="5">
        <v>25000</v>
      </c>
      <c r="I458" s="5"/>
      <c r="J458" s="5">
        <f t="shared" si="12"/>
        <v>25000</v>
      </c>
    </row>
    <row r="459" spans="1:10" x14ac:dyDescent="0.25">
      <c r="A459" s="2"/>
      <c r="B459" s="13">
        <v>46199</v>
      </c>
      <c r="C459" s="2">
        <v>3208</v>
      </c>
      <c r="D459" s="3" t="s">
        <v>15</v>
      </c>
      <c r="E459" s="3" t="s">
        <v>243</v>
      </c>
      <c r="F459" s="3" t="s">
        <v>11</v>
      </c>
      <c r="G459" s="5"/>
      <c r="H459" s="5">
        <v>9000</v>
      </c>
      <c r="I459" s="5"/>
      <c r="J459" s="5">
        <f t="shared" si="12"/>
        <v>9000</v>
      </c>
    </row>
    <row r="460" spans="1:10" x14ac:dyDescent="0.25">
      <c r="A460" s="2"/>
      <c r="B460" s="13">
        <v>46199</v>
      </c>
      <c r="C460" s="2">
        <v>3211</v>
      </c>
      <c r="D460" s="3" t="s">
        <v>15</v>
      </c>
      <c r="E460" s="3" t="s">
        <v>354</v>
      </c>
      <c r="F460" s="3" t="s">
        <v>11</v>
      </c>
      <c r="G460" s="5"/>
      <c r="H460" s="5">
        <v>22727.27</v>
      </c>
      <c r="I460" s="5"/>
      <c r="J460" s="5">
        <f t="shared" si="12"/>
        <v>22727.27</v>
      </c>
    </row>
    <row r="461" spans="1:10" x14ac:dyDescent="0.25">
      <c r="A461" s="2"/>
      <c r="B461" s="13">
        <v>46199</v>
      </c>
      <c r="C461" s="2">
        <v>3213</v>
      </c>
      <c r="D461" s="3" t="s">
        <v>15</v>
      </c>
      <c r="E461" s="3" t="s">
        <v>355</v>
      </c>
      <c r="F461" s="3" t="s">
        <v>11</v>
      </c>
      <c r="G461" s="5"/>
      <c r="H461" s="5">
        <v>34090.910000000003</v>
      </c>
      <c r="I461" s="5"/>
      <c r="J461" s="5">
        <f t="shared" si="12"/>
        <v>34090.910000000003</v>
      </c>
    </row>
    <row r="462" spans="1:10" x14ac:dyDescent="0.25">
      <c r="A462" s="2"/>
      <c r="B462" s="13">
        <v>46199</v>
      </c>
      <c r="C462" s="2">
        <v>834</v>
      </c>
      <c r="D462" s="3" t="s">
        <v>15</v>
      </c>
      <c r="E462" s="3" t="s">
        <v>241</v>
      </c>
      <c r="F462" s="3" t="s">
        <v>11</v>
      </c>
      <c r="G462" s="5"/>
      <c r="H462" s="5"/>
      <c r="I462" s="5">
        <v>400</v>
      </c>
      <c r="J462" s="5">
        <f t="shared" si="12"/>
        <v>-400</v>
      </c>
    </row>
    <row r="463" spans="1:10" x14ac:dyDescent="0.25">
      <c r="A463" s="2"/>
      <c r="B463" s="13">
        <v>46199</v>
      </c>
      <c r="C463" s="2">
        <v>835</v>
      </c>
      <c r="D463" s="3" t="s">
        <v>15</v>
      </c>
      <c r="E463" s="3" t="s">
        <v>224</v>
      </c>
      <c r="F463" s="3" t="s">
        <v>11</v>
      </c>
      <c r="G463" s="5"/>
      <c r="H463" s="5"/>
      <c r="I463" s="5">
        <v>200</v>
      </c>
      <c r="J463" s="5">
        <f t="shared" si="12"/>
        <v>-200</v>
      </c>
    </row>
    <row r="464" spans="1:10" x14ac:dyDescent="0.25">
      <c r="A464" s="2"/>
      <c r="B464" s="13">
        <v>46199</v>
      </c>
      <c r="C464" s="2">
        <v>836</v>
      </c>
      <c r="D464" s="3" t="s">
        <v>15</v>
      </c>
      <c r="E464" s="3" t="s">
        <v>243</v>
      </c>
      <c r="F464" s="3" t="s">
        <v>11</v>
      </c>
      <c r="G464" s="5"/>
      <c r="H464" s="5"/>
      <c r="I464" s="5">
        <v>400</v>
      </c>
      <c r="J464" s="5">
        <f t="shared" si="12"/>
        <v>-400</v>
      </c>
    </row>
    <row r="465" spans="1:10" x14ac:dyDescent="0.25">
      <c r="A465" s="2"/>
      <c r="B465" s="13">
        <v>46199</v>
      </c>
      <c r="C465" s="2">
        <v>837</v>
      </c>
      <c r="D465" s="3" t="s">
        <v>15</v>
      </c>
      <c r="E465" s="3" t="s">
        <v>336</v>
      </c>
      <c r="F465" s="3" t="s">
        <v>11</v>
      </c>
      <c r="G465" s="5"/>
      <c r="H465" s="5"/>
      <c r="I465" s="5">
        <v>200</v>
      </c>
      <c r="J465" s="5">
        <f t="shared" si="12"/>
        <v>-200</v>
      </c>
    </row>
    <row r="466" spans="1:10" x14ac:dyDescent="0.25">
      <c r="A466" s="2"/>
      <c r="B466" s="13">
        <v>46199</v>
      </c>
      <c r="C466" s="2">
        <v>838</v>
      </c>
      <c r="D466" s="3" t="s">
        <v>15</v>
      </c>
      <c r="E466" s="3" t="s">
        <v>227</v>
      </c>
      <c r="F466" s="3" t="s">
        <v>11</v>
      </c>
      <c r="G466" s="5"/>
      <c r="H466" s="5"/>
      <c r="I466" s="5">
        <v>9000</v>
      </c>
      <c r="J466" s="5">
        <f t="shared" si="12"/>
        <v>-9000</v>
      </c>
    </row>
    <row r="467" spans="1:10" x14ac:dyDescent="0.25">
      <c r="A467" s="2"/>
      <c r="B467" s="13">
        <v>46200</v>
      </c>
      <c r="C467" s="2">
        <v>3215</v>
      </c>
      <c r="D467" s="3" t="s">
        <v>15</v>
      </c>
      <c r="E467" s="3" t="s">
        <v>241</v>
      </c>
      <c r="F467" s="3" t="s">
        <v>11</v>
      </c>
      <c r="G467" s="5"/>
      <c r="H467" s="5">
        <v>1000</v>
      </c>
      <c r="I467" s="5"/>
      <c r="J467" s="5">
        <f t="shared" si="12"/>
        <v>1000</v>
      </c>
    </row>
    <row r="468" spans="1:10" x14ac:dyDescent="0.25">
      <c r="A468" s="2"/>
      <c r="B468" s="13">
        <v>46200</v>
      </c>
      <c r="C468" s="2">
        <v>3216</v>
      </c>
      <c r="D468" s="3" t="s">
        <v>15</v>
      </c>
      <c r="E468" s="3" t="s">
        <v>191</v>
      </c>
      <c r="F468" s="3" t="s">
        <v>11</v>
      </c>
      <c r="G468" s="5"/>
      <c r="H468" s="5">
        <v>2585.85</v>
      </c>
      <c r="I468" s="5"/>
      <c r="J468" s="5">
        <f t="shared" si="12"/>
        <v>2585.85</v>
      </c>
    </row>
    <row r="469" spans="1:10" x14ac:dyDescent="0.25">
      <c r="A469" s="2"/>
      <c r="B469" s="13">
        <v>46200</v>
      </c>
      <c r="C469" s="2">
        <v>3221</v>
      </c>
      <c r="D469" s="3" t="s">
        <v>15</v>
      </c>
      <c r="E469" s="3" t="s">
        <v>59</v>
      </c>
      <c r="F469" s="3" t="s">
        <v>11</v>
      </c>
      <c r="G469" s="5"/>
      <c r="H469" s="5">
        <v>1000</v>
      </c>
      <c r="I469" s="5"/>
      <c r="J469" s="5">
        <f t="shared" si="12"/>
        <v>1000</v>
      </c>
    </row>
    <row r="470" spans="1:10" x14ac:dyDescent="0.25">
      <c r="A470" s="2"/>
      <c r="B470" s="13">
        <v>46200</v>
      </c>
      <c r="C470" s="2">
        <v>839</v>
      </c>
      <c r="D470" s="3" t="s">
        <v>15</v>
      </c>
      <c r="E470" s="3" t="s">
        <v>59</v>
      </c>
      <c r="F470" s="3" t="s">
        <v>11</v>
      </c>
      <c r="G470" s="5"/>
      <c r="H470" s="5"/>
      <c r="I470" s="5">
        <v>1000</v>
      </c>
      <c r="J470" s="5">
        <f t="shared" si="12"/>
        <v>-1000</v>
      </c>
    </row>
    <row r="471" spans="1:10" x14ac:dyDescent="0.25">
      <c r="A471" s="2"/>
      <c r="B471" s="13">
        <v>46200</v>
      </c>
      <c r="C471" s="2">
        <v>840</v>
      </c>
      <c r="D471" s="3" t="s">
        <v>15</v>
      </c>
      <c r="E471" s="3" t="s">
        <v>277</v>
      </c>
      <c r="F471" s="3" t="s">
        <v>11</v>
      </c>
      <c r="G471" s="5"/>
      <c r="H471" s="5"/>
      <c r="I471" s="5">
        <v>1000</v>
      </c>
      <c r="J471" s="5">
        <f t="shared" si="12"/>
        <v>-1000</v>
      </c>
    </row>
    <row r="472" spans="1:10" x14ac:dyDescent="0.25">
      <c r="A472" s="2"/>
      <c r="B472" s="13">
        <v>46200</v>
      </c>
      <c r="C472" s="2">
        <v>841</v>
      </c>
      <c r="D472" s="3" t="s">
        <v>15</v>
      </c>
      <c r="E472" s="3" t="s">
        <v>33</v>
      </c>
      <c r="F472" s="3" t="s">
        <v>11</v>
      </c>
      <c r="G472" s="5"/>
      <c r="H472" s="5"/>
      <c r="I472" s="5">
        <v>12822</v>
      </c>
      <c r="J472" s="5">
        <f t="shared" si="12"/>
        <v>-12822</v>
      </c>
    </row>
    <row r="473" spans="1:10" x14ac:dyDescent="0.25">
      <c r="A473" s="2"/>
      <c r="B473" s="13">
        <v>46200</v>
      </c>
      <c r="C473" s="2">
        <v>842</v>
      </c>
      <c r="D473" s="3" t="s">
        <v>15</v>
      </c>
      <c r="E473" s="3" t="s">
        <v>171</v>
      </c>
      <c r="F473" s="3" t="s">
        <v>11</v>
      </c>
      <c r="G473" s="5"/>
      <c r="H473" s="5"/>
      <c r="I473" s="5">
        <v>11367.52</v>
      </c>
      <c r="J473" s="5">
        <f t="shared" si="12"/>
        <v>-11367.52</v>
      </c>
    </row>
    <row r="474" spans="1:10" x14ac:dyDescent="0.25">
      <c r="A474" s="2"/>
      <c r="B474" s="13">
        <v>46200</v>
      </c>
      <c r="C474" s="2">
        <v>843</v>
      </c>
      <c r="D474" s="3" t="s">
        <v>15</v>
      </c>
      <c r="E474" s="3" t="s">
        <v>154</v>
      </c>
      <c r="F474" s="3" t="s">
        <v>11</v>
      </c>
      <c r="G474" s="5"/>
      <c r="H474" s="5"/>
      <c r="I474" s="5">
        <v>17454.13</v>
      </c>
      <c r="J474" s="5">
        <f t="shared" si="12"/>
        <v>-17454.13</v>
      </c>
    </row>
    <row r="475" spans="1:10" x14ac:dyDescent="0.25">
      <c r="A475" s="2"/>
      <c r="B475" s="13">
        <v>46200</v>
      </c>
      <c r="C475" s="2">
        <v>844</v>
      </c>
      <c r="D475" s="3" t="s">
        <v>15</v>
      </c>
      <c r="E475" s="3" t="s">
        <v>55</v>
      </c>
      <c r="F475" s="3" t="s">
        <v>11</v>
      </c>
      <c r="G475" s="5"/>
      <c r="H475" s="5"/>
      <c r="I475" s="5">
        <v>31745.5</v>
      </c>
      <c r="J475" s="5">
        <f t="shared" si="12"/>
        <v>-31745.5</v>
      </c>
    </row>
    <row r="476" spans="1:10" x14ac:dyDescent="0.25">
      <c r="A476" s="2"/>
      <c r="B476" s="13">
        <v>46200</v>
      </c>
      <c r="C476" s="2">
        <v>845</v>
      </c>
      <c r="D476" s="3" t="s">
        <v>15</v>
      </c>
      <c r="E476" s="3" t="s">
        <v>356</v>
      </c>
      <c r="F476" s="3" t="s">
        <v>11</v>
      </c>
      <c r="G476" s="5"/>
      <c r="H476" s="5"/>
      <c r="I476" s="5">
        <v>5495.74</v>
      </c>
      <c r="J476" s="5">
        <f t="shared" si="12"/>
        <v>-5495.74</v>
      </c>
    </row>
    <row r="477" spans="1:10" x14ac:dyDescent="0.25">
      <c r="A477" s="2"/>
      <c r="B477" s="13">
        <v>46203</v>
      </c>
      <c r="C477" s="2">
        <v>3229</v>
      </c>
      <c r="D477" s="3" t="s">
        <v>15</v>
      </c>
      <c r="E477" s="3" t="s">
        <v>241</v>
      </c>
      <c r="F477" s="3" t="s">
        <v>11</v>
      </c>
      <c r="G477" s="5"/>
      <c r="H477" s="5">
        <v>1300</v>
      </c>
      <c r="I477" s="5"/>
      <c r="J477" s="5">
        <f t="shared" si="12"/>
        <v>1300</v>
      </c>
    </row>
    <row r="478" spans="1:10" x14ac:dyDescent="0.25">
      <c r="A478" s="2"/>
      <c r="B478" s="13">
        <v>46203</v>
      </c>
      <c r="C478" s="2">
        <v>3230</v>
      </c>
      <c r="D478" s="3" t="s">
        <v>15</v>
      </c>
      <c r="E478" s="3" t="s">
        <v>239</v>
      </c>
      <c r="F478" s="3" t="s">
        <v>11</v>
      </c>
      <c r="G478" s="5"/>
      <c r="H478" s="5">
        <v>1000</v>
      </c>
      <c r="I478" s="5"/>
      <c r="J478" s="5">
        <f t="shared" si="12"/>
        <v>1000</v>
      </c>
    </row>
    <row r="479" spans="1:10" x14ac:dyDescent="0.25">
      <c r="A479" s="2"/>
      <c r="B479" s="13">
        <v>46203</v>
      </c>
      <c r="C479" s="2">
        <v>846</v>
      </c>
      <c r="D479" s="3" t="s">
        <v>15</v>
      </c>
      <c r="E479" s="3" t="s">
        <v>357</v>
      </c>
      <c r="F479" s="3" t="s">
        <v>11</v>
      </c>
      <c r="G479" s="5"/>
      <c r="H479" s="5"/>
      <c r="I479" s="5">
        <v>37000</v>
      </c>
      <c r="J479" s="5">
        <f t="shared" si="12"/>
        <v>-37000</v>
      </c>
    </row>
    <row r="480" spans="1:10" x14ac:dyDescent="0.25">
      <c r="A480" s="2"/>
      <c r="B480" s="13">
        <v>46203</v>
      </c>
      <c r="C480" s="2">
        <v>847</v>
      </c>
      <c r="D480" s="3" t="s">
        <v>15</v>
      </c>
      <c r="E480" s="3" t="s">
        <v>66</v>
      </c>
      <c r="F480" s="3" t="s">
        <v>11</v>
      </c>
      <c r="G480" s="5"/>
      <c r="H480" s="5"/>
      <c r="I480" s="5">
        <v>2955.86</v>
      </c>
      <c r="J480" s="5">
        <f t="shared" si="12"/>
        <v>-2955.86</v>
      </c>
    </row>
    <row r="481" spans="1:12" x14ac:dyDescent="0.25">
      <c r="A481" s="2"/>
      <c r="B481" s="13">
        <v>46203</v>
      </c>
      <c r="C481" s="2">
        <v>848</v>
      </c>
      <c r="D481" s="3" t="s">
        <v>15</v>
      </c>
      <c r="E481" s="3" t="s">
        <v>358</v>
      </c>
      <c r="F481" s="3" t="s">
        <v>11</v>
      </c>
      <c r="G481" s="5"/>
      <c r="H481" s="5"/>
      <c r="I481" s="5">
        <v>300</v>
      </c>
      <c r="J481" s="5">
        <f t="shared" si="12"/>
        <v>-300</v>
      </c>
    </row>
    <row r="482" spans="1:12" x14ac:dyDescent="0.25">
      <c r="A482" s="2"/>
      <c r="B482" s="13">
        <v>46203</v>
      </c>
      <c r="C482" s="2">
        <v>849</v>
      </c>
      <c r="D482" s="3" t="s">
        <v>15</v>
      </c>
      <c r="E482" s="3" t="s">
        <v>89</v>
      </c>
      <c r="F482" s="3" t="s">
        <v>11</v>
      </c>
      <c r="G482" s="5"/>
      <c r="H482" s="5"/>
      <c r="I482" s="5">
        <v>500</v>
      </c>
      <c r="J482" s="5">
        <f t="shared" si="12"/>
        <v>-500</v>
      </c>
    </row>
    <row r="483" spans="1:12" x14ac:dyDescent="0.25">
      <c r="A483" s="2"/>
      <c r="B483" s="13">
        <v>46203</v>
      </c>
      <c r="C483" s="2">
        <v>3231</v>
      </c>
      <c r="D483" s="3" t="s">
        <v>15</v>
      </c>
      <c r="E483" s="3" t="s">
        <v>31</v>
      </c>
      <c r="F483" s="3" t="s">
        <v>11</v>
      </c>
      <c r="G483" s="5"/>
      <c r="H483" s="5">
        <v>300</v>
      </c>
      <c r="I483" s="5"/>
      <c r="J483" s="5">
        <f t="shared" si="12"/>
        <v>300</v>
      </c>
      <c r="K483" t="s">
        <v>311</v>
      </c>
      <c r="L483" t="s">
        <v>312</v>
      </c>
    </row>
    <row r="484" spans="1:12" x14ac:dyDescent="0.25">
      <c r="A484" s="2"/>
      <c r="B484" s="13">
        <v>46203</v>
      </c>
      <c r="C484" s="2">
        <v>3233</v>
      </c>
      <c r="D484" s="3" t="s">
        <v>15</v>
      </c>
      <c r="E484" s="3" t="s">
        <v>53</v>
      </c>
      <c r="F484" s="3" t="s">
        <v>11</v>
      </c>
      <c r="G484" s="5"/>
      <c r="H484" s="29">
        <v>10000</v>
      </c>
      <c r="I484" s="29"/>
      <c r="J484" s="29">
        <f t="shared" si="12"/>
        <v>10000</v>
      </c>
      <c r="K484" s="28">
        <f>SUM(H378:H484)</f>
        <v>683324.78</v>
      </c>
      <c r="L484" s="28">
        <f>SUM(I378:I483)</f>
        <v>228614.42999999996</v>
      </c>
    </row>
    <row r="485" spans="1:12" x14ac:dyDescent="0.25">
      <c r="A485" s="2"/>
      <c r="B485" s="13">
        <v>46204</v>
      </c>
      <c r="C485" s="2">
        <v>850</v>
      </c>
      <c r="D485" s="3" t="s">
        <v>15</v>
      </c>
      <c r="E485" s="3" t="s">
        <v>257</v>
      </c>
      <c r="F485" s="3" t="s">
        <v>11</v>
      </c>
      <c r="G485" s="5"/>
      <c r="H485" s="5"/>
      <c r="I485" s="5">
        <v>35</v>
      </c>
      <c r="J485" s="5">
        <f t="shared" si="12"/>
        <v>-35</v>
      </c>
    </row>
    <row r="486" spans="1:12" x14ac:dyDescent="0.25">
      <c r="A486" s="2"/>
      <c r="B486" s="13">
        <v>46204</v>
      </c>
      <c r="C486" s="2">
        <v>851</v>
      </c>
      <c r="D486" s="3" t="s">
        <v>15</v>
      </c>
      <c r="E486" s="3" t="s">
        <v>135</v>
      </c>
      <c r="F486" s="3" t="s">
        <v>11</v>
      </c>
      <c r="G486" s="5"/>
      <c r="H486" s="5"/>
      <c r="I486" s="5">
        <v>25000</v>
      </c>
      <c r="J486" s="5">
        <f t="shared" si="12"/>
        <v>-25000</v>
      </c>
    </row>
    <row r="487" spans="1:12" x14ac:dyDescent="0.25">
      <c r="A487" s="2"/>
      <c r="B487" s="13">
        <v>46204</v>
      </c>
      <c r="C487" s="2">
        <v>3235</v>
      </c>
      <c r="D487" s="3" t="s">
        <v>15</v>
      </c>
      <c r="E487" s="3" t="s">
        <v>102</v>
      </c>
      <c r="F487" s="3" t="s">
        <v>11</v>
      </c>
      <c r="G487" s="5"/>
      <c r="H487" s="5">
        <v>300</v>
      </c>
      <c r="I487" s="5"/>
      <c r="J487" s="5">
        <f t="shared" ref="J487:J678" si="13">G487+H487-I487</f>
        <v>300</v>
      </c>
    </row>
    <row r="488" spans="1:12" x14ac:dyDescent="0.25">
      <c r="A488" s="2"/>
      <c r="B488" s="13">
        <v>46204</v>
      </c>
      <c r="C488" s="2">
        <v>3238</v>
      </c>
      <c r="D488" s="3" t="s">
        <v>15</v>
      </c>
      <c r="E488" s="3" t="s">
        <v>287</v>
      </c>
      <c r="F488" s="3" t="s">
        <v>11</v>
      </c>
      <c r="G488" s="5"/>
      <c r="H488" s="5">
        <v>100</v>
      </c>
      <c r="I488" s="5"/>
      <c r="J488" s="5">
        <f t="shared" si="13"/>
        <v>100</v>
      </c>
    </row>
    <row r="489" spans="1:12" x14ac:dyDescent="0.25">
      <c r="A489" s="2"/>
      <c r="B489" s="13">
        <v>46205</v>
      </c>
      <c r="C489" s="2">
        <v>852</v>
      </c>
      <c r="D489" s="3" t="s">
        <v>15</v>
      </c>
      <c r="E489" s="3" t="s">
        <v>85</v>
      </c>
      <c r="F489" s="3" t="s">
        <v>11</v>
      </c>
      <c r="G489" s="5"/>
      <c r="H489" s="5"/>
      <c r="I489" s="5">
        <v>10000</v>
      </c>
      <c r="J489" s="5">
        <f t="shared" si="13"/>
        <v>-10000</v>
      </c>
    </row>
    <row r="490" spans="1:12" x14ac:dyDescent="0.25">
      <c r="A490" s="2"/>
      <c r="B490" s="13">
        <v>46205</v>
      </c>
      <c r="C490" s="2">
        <v>3240</v>
      </c>
      <c r="D490" s="3" t="s">
        <v>15</v>
      </c>
      <c r="E490" s="3" t="s">
        <v>364</v>
      </c>
      <c r="F490" s="3" t="s">
        <v>11</v>
      </c>
      <c r="G490" s="5"/>
      <c r="H490" s="5">
        <v>20000</v>
      </c>
      <c r="I490" s="5"/>
      <c r="J490" s="5">
        <f t="shared" si="13"/>
        <v>20000</v>
      </c>
    </row>
    <row r="491" spans="1:12" x14ac:dyDescent="0.25">
      <c r="A491" s="2"/>
      <c r="B491" s="13">
        <v>46205</v>
      </c>
      <c r="C491" s="2">
        <v>3242</v>
      </c>
      <c r="D491" s="3" t="s">
        <v>15</v>
      </c>
      <c r="E491" s="3" t="s">
        <v>111</v>
      </c>
      <c r="F491" s="3" t="s">
        <v>11</v>
      </c>
      <c r="G491" s="5"/>
      <c r="H491" s="5">
        <v>500</v>
      </c>
      <c r="I491" s="5"/>
      <c r="J491" s="5">
        <f t="shared" si="13"/>
        <v>500</v>
      </c>
    </row>
    <row r="492" spans="1:12" x14ac:dyDescent="0.25">
      <c r="A492" s="2"/>
      <c r="B492" s="13">
        <v>46205</v>
      </c>
      <c r="C492" s="2">
        <v>3244</v>
      </c>
      <c r="D492" s="3" t="s">
        <v>15</v>
      </c>
      <c r="E492" s="3" t="s">
        <v>241</v>
      </c>
      <c r="F492" s="3" t="s">
        <v>11</v>
      </c>
      <c r="G492" s="5"/>
      <c r="H492" s="5">
        <v>50</v>
      </c>
      <c r="I492" s="5"/>
      <c r="J492" s="5">
        <f t="shared" si="13"/>
        <v>50</v>
      </c>
    </row>
    <row r="493" spans="1:12" x14ac:dyDescent="0.25">
      <c r="A493" s="2"/>
      <c r="B493" s="13">
        <v>46206</v>
      </c>
      <c r="C493" s="2">
        <v>3250</v>
      </c>
      <c r="D493" s="3" t="s">
        <v>15</v>
      </c>
      <c r="E493" s="3" t="s">
        <v>243</v>
      </c>
      <c r="F493" s="3" t="s">
        <v>11</v>
      </c>
      <c r="G493" s="30"/>
      <c r="H493" s="5">
        <v>1800</v>
      </c>
      <c r="I493" s="5"/>
      <c r="J493" s="5">
        <f t="shared" si="13"/>
        <v>1800</v>
      </c>
    </row>
    <row r="494" spans="1:12" x14ac:dyDescent="0.25">
      <c r="A494" s="2"/>
      <c r="B494" s="13">
        <v>46207</v>
      </c>
      <c r="C494" s="2">
        <v>853</v>
      </c>
      <c r="D494" s="3" t="s">
        <v>15</v>
      </c>
      <c r="E494" s="3" t="s">
        <v>43</v>
      </c>
      <c r="F494" s="3" t="s">
        <v>11</v>
      </c>
      <c r="G494" s="5"/>
      <c r="H494" s="5"/>
      <c r="I494" s="5">
        <v>500</v>
      </c>
      <c r="J494" s="5">
        <f t="shared" si="13"/>
        <v>-500</v>
      </c>
    </row>
    <row r="495" spans="1:12" x14ac:dyDescent="0.25">
      <c r="A495" s="2"/>
      <c r="B495" s="13">
        <v>46209</v>
      </c>
      <c r="C495" s="2">
        <v>3263</v>
      </c>
      <c r="D495" s="3" t="s">
        <v>15</v>
      </c>
      <c r="E495" s="3" t="s">
        <v>365</v>
      </c>
      <c r="F495" s="3" t="s">
        <v>11</v>
      </c>
      <c r="G495" s="5"/>
      <c r="H495" s="5">
        <v>11363.64</v>
      </c>
      <c r="I495" s="5"/>
      <c r="J495" s="5">
        <f t="shared" si="13"/>
        <v>11363.64</v>
      </c>
    </row>
    <row r="496" spans="1:12" x14ac:dyDescent="0.25">
      <c r="A496" s="2"/>
      <c r="B496" s="13">
        <v>46209</v>
      </c>
      <c r="C496" s="2">
        <v>3265</v>
      </c>
      <c r="D496" s="3" t="s">
        <v>15</v>
      </c>
      <c r="E496" s="3" t="s">
        <v>366</v>
      </c>
      <c r="F496" s="3" t="s">
        <v>11</v>
      </c>
      <c r="G496" s="5"/>
      <c r="H496" s="5">
        <v>5681.82</v>
      </c>
      <c r="I496" s="5"/>
      <c r="J496" s="5">
        <f t="shared" si="13"/>
        <v>5681.82</v>
      </c>
    </row>
    <row r="497" spans="1:10" x14ac:dyDescent="0.25">
      <c r="A497" s="2"/>
      <c r="B497" s="13">
        <v>46210</v>
      </c>
      <c r="C497" s="2">
        <v>855</v>
      </c>
      <c r="D497" s="3" t="s">
        <v>15</v>
      </c>
      <c r="E497" s="3" t="s">
        <v>31</v>
      </c>
      <c r="F497" s="3" t="s">
        <v>11</v>
      </c>
      <c r="G497" s="5"/>
      <c r="H497" s="5"/>
      <c r="I497" s="5">
        <v>100</v>
      </c>
      <c r="J497" s="5">
        <f t="shared" si="13"/>
        <v>-100</v>
      </c>
    </row>
    <row r="498" spans="1:10" x14ac:dyDescent="0.25">
      <c r="A498" s="2"/>
      <c r="B498" s="13">
        <v>46210</v>
      </c>
      <c r="C498" s="2">
        <v>856</v>
      </c>
      <c r="D498" s="3" t="s">
        <v>15</v>
      </c>
      <c r="E498" s="3" t="s">
        <v>241</v>
      </c>
      <c r="F498" s="3" t="s">
        <v>11</v>
      </c>
      <c r="G498" s="5"/>
      <c r="H498" s="5"/>
      <c r="I498" s="5">
        <v>400</v>
      </c>
      <c r="J498" s="5">
        <f t="shared" si="13"/>
        <v>-400</v>
      </c>
    </row>
    <row r="499" spans="1:10" x14ac:dyDescent="0.25">
      <c r="A499" s="2"/>
      <c r="B499" s="13">
        <v>46210</v>
      </c>
      <c r="C499" s="2">
        <v>857</v>
      </c>
      <c r="D499" s="3" t="s">
        <v>15</v>
      </c>
      <c r="E499" s="3" t="s">
        <v>367</v>
      </c>
      <c r="F499" s="3" t="s">
        <v>11</v>
      </c>
      <c r="G499" s="5"/>
      <c r="H499" s="5"/>
      <c r="I499" s="5">
        <v>12000</v>
      </c>
      <c r="J499" s="5">
        <f t="shared" si="13"/>
        <v>-12000</v>
      </c>
    </row>
    <row r="500" spans="1:10" x14ac:dyDescent="0.25">
      <c r="A500" s="2"/>
      <c r="B500" s="13">
        <v>46212</v>
      </c>
      <c r="C500" s="2">
        <v>858</v>
      </c>
      <c r="D500" s="3" t="s">
        <v>15</v>
      </c>
      <c r="E500" s="3" t="s">
        <v>135</v>
      </c>
      <c r="F500" s="3" t="s">
        <v>11</v>
      </c>
      <c r="G500" s="5"/>
      <c r="H500" s="5"/>
      <c r="I500" s="5">
        <v>30368</v>
      </c>
      <c r="J500" s="5">
        <f t="shared" si="13"/>
        <v>-30368</v>
      </c>
    </row>
    <row r="501" spans="1:10" x14ac:dyDescent="0.25">
      <c r="A501" s="2"/>
      <c r="B501" s="13">
        <v>46213</v>
      </c>
      <c r="C501" s="2">
        <v>859</v>
      </c>
      <c r="D501" s="3" t="s">
        <v>15</v>
      </c>
      <c r="E501" s="3" t="s">
        <v>129</v>
      </c>
      <c r="F501" s="3" t="s">
        <v>11</v>
      </c>
      <c r="G501" s="5"/>
      <c r="H501" s="5"/>
      <c r="I501" s="5">
        <v>400</v>
      </c>
      <c r="J501" s="5">
        <f t="shared" si="13"/>
        <v>-400</v>
      </c>
    </row>
    <row r="502" spans="1:10" x14ac:dyDescent="0.25">
      <c r="A502" s="2"/>
      <c r="B502" s="13">
        <v>46213</v>
      </c>
      <c r="C502" s="2">
        <v>860</v>
      </c>
      <c r="D502" s="3" t="s">
        <v>15</v>
      </c>
      <c r="E502" s="3" t="s">
        <v>241</v>
      </c>
      <c r="F502" s="3" t="s">
        <v>11</v>
      </c>
      <c r="G502" s="5"/>
      <c r="H502" s="5"/>
      <c r="I502" s="5">
        <v>400</v>
      </c>
      <c r="J502" s="5">
        <f t="shared" si="13"/>
        <v>-400</v>
      </c>
    </row>
    <row r="503" spans="1:10" x14ac:dyDescent="0.25">
      <c r="A503" s="2"/>
      <c r="B503" s="13">
        <v>46213</v>
      </c>
      <c r="C503" s="2">
        <v>862</v>
      </c>
      <c r="D503" s="3" t="s">
        <v>15</v>
      </c>
      <c r="E503" s="3" t="s">
        <v>191</v>
      </c>
      <c r="F503" s="3" t="s">
        <v>11</v>
      </c>
      <c r="G503" s="5"/>
      <c r="H503" s="5"/>
      <c r="I503" s="5">
        <v>3000</v>
      </c>
      <c r="J503" s="5">
        <f t="shared" si="13"/>
        <v>-3000</v>
      </c>
    </row>
    <row r="504" spans="1:10" x14ac:dyDescent="0.25">
      <c r="A504" s="2"/>
      <c r="B504" s="13">
        <v>46213</v>
      </c>
      <c r="C504" s="2">
        <v>863</v>
      </c>
      <c r="D504" s="3" t="s">
        <v>15</v>
      </c>
      <c r="E504" s="3" t="s">
        <v>59</v>
      </c>
      <c r="F504" s="3" t="s">
        <v>11</v>
      </c>
      <c r="G504" s="5"/>
      <c r="H504" s="5"/>
      <c r="I504" s="5">
        <v>700</v>
      </c>
      <c r="J504" s="5">
        <f t="shared" si="13"/>
        <v>-700</v>
      </c>
    </row>
    <row r="505" spans="1:10" x14ac:dyDescent="0.25">
      <c r="A505" s="2"/>
      <c r="B505" s="13">
        <v>46213</v>
      </c>
      <c r="C505" s="2">
        <v>3277</v>
      </c>
      <c r="D505" s="3" t="s">
        <v>15</v>
      </c>
      <c r="E505" s="3" t="s">
        <v>37</v>
      </c>
      <c r="F505" s="3" t="s">
        <v>11</v>
      </c>
      <c r="G505" s="5"/>
      <c r="H505" s="5">
        <v>200</v>
      </c>
      <c r="I505" s="5"/>
      <c r="J505" s="5">
        <f t="shared" si="13"/>
        <v>200</v>
      </c>
    </row>
    <row r="506" spans="1:10" x14ac:dyDescent="0.25">
      <c r="A506" s="2"/>
      <c r="B506" s="13">
        <v>46213</v>
      </c>
      <c r="C506" s="2">
        <v>3284</v>
      </c>
      <c r="D506" s="3" t="s">
        <v>15</v>
      </c>
      <c r="E506" s="3" t="s">
        <v>336</v>
      </c>
      <c r="F506" s="3" t="s">
        <v>11</v>
      </c>
      <c r="G506" s="5"/>
      <c r="H506" s="5">
        <v>300</v>
      </c>
      <c r="I506" s="5"/>
      <c r="J506" s="5">
        <f t="shared" si="13"/>
        <v>300</v>
      </c>
    </row>
    <row r="507" spans="1:10" x14ac:dyDescent="0.25">
      <c r="A507" s="2"/>
      <c r="B507" s="13">
        <v>46213</v>
      </c>
      <c r="C507" s="2">
        <v>3285</v>
      </c>
      <c r="D507" s="3" t="s">
        <v>15</v>
      </c>
      <c r="E507" s="3" t="s">
        <v>43</v>
      </c>
      <c r="F507" s="3" t="s">
        <v>11</v>
      </c>
      <c r="G507" s="5"/>
      <c r="H507" s="5">
        <v>200</v>
      </c>
      <c r="I507" s="5"/>
      <c r="J507" s="5">
        <f t="shared" si="13"/>
        <v>200</v>
      </c>
    </row>
    <row r="508" spans="1:10" x14ac:dyDescent="0.25">
      <c r="A508" s="2"/>
      <c r="B508" s="13">
        <v>46213</v>
      </c>
      <c r="C508" s="2">
        <v>3287</v>
      </c>
      <c r="D508" s="3" t="s">
        <v>15</v>
      </c>
      <c r="E508" s="3" t="s">
        <v>369</v>
      </c>
      <c r="F508" s="3" t="s">
        <v>11</v>
      </c>
      <c r="G508" s="5"/>
      <c r="H508" s="5">
        <v>1136.3699999999999</v>
      </c>
      <c r="I508" s="5"/>
      <c r="J508" s="5">
        <f t="shared" si="13"/>
        <v>1136.3699999999999</v>
      </c>
    </row>
    <row r="509" spans="1:10" x14ac:dyDescent="0.25">
      <c r="A509" s="2"/>
      <c r="B509" s="13">
        <v>46213</v>
      </c>
      <c r="C509" s="2">
        <v>3289</v>
      </c>
      <c r="D509" s="3" t="s">
        <v>15</v>
      </c>
      <c r="E509" s="3" t="s">
        <v>66</v>
      </c>
      <c r="F509" s="3" t="s">
        <v>11</v>
      </c>
      <c r="G509" s="5"/>
      <c r="H509" s="5">
        <v>3000</v>
      </c>
      <c r="I509" s="5"/>
      <c r="J509" s="5">
        <f t="shared" si="13"/>
        <v>3000</v>
      </c>
    </row>
    <row r="510" spans="1:10" x14ac:dyDescent="0.25">
      <c r="A510" s="2"/>
      <c r="B510" s="13">
        <v>46213</v>
      </c>
      <c r="C510" s="2">
        <v>3295</v>
      </c>
      <c r="D510" s="3" t="s">
        <v>15</v>
      </c>
      <c r="E510" s="3" t="s">
        <v>241</v>
      </c>
      <c r="F510" s="3" t="s">
        <v>11</v>
      </c>
      <c r="G510" s="5"/>
      <c r="H510" s="5">
        <v>700</v>
      </c>
      <c r="I510" s="5"/>
      <c r="J510" s="5">
        <f t="shared" si="13"/>
        <v>700</v>
      </c>
    </row>
    <row r="511" spans="1:10" x14ac:dyDescent="0.25">
      <c r="A511" s="2"/>
      <c r="B511" s="13">
        <v>46214</v>
      </c>
      <c r="C511" s="2">
        <v>864</v>
      </c>
      <c r="D511" s="3" t="s">
        <v>15</v>
      </c>
      <c r="E511" s="3" t="s">
        <v>241</v>
      </c>
      <c r="F511" s="3" t="s">
        <v>11</v>
      </c>
      <c r="G511" s="5"/>
      <c r="H511" s="5"/>
      <c r="I511" s="5">
        <v>1500</v>
      </c>
      <c r="J511" s="5">
        <f t="shared" si="13"/>
        <v>-1500</v>
      </c>
    </row>
    <row r="512" spans="1:10" x14ac:dyDescent="0.25">
      <c r="A512" s="2"/>
      <c r="B512" s="13">
        <v>46214</v>
      </c>
      <c r="C512" s="2">
        <v>865</v>
      </c>
      <c r="D512" s="3" t="s">
        <v>15</v>
      </c>
      <c r="E512" s="3" t="s">
        <v>239</v>
      </c>
      <c r="F512" s="3" t="s">
        <v>11</v>
      </c>
      <c r="G512" s="5"/>
      <c r="H512" s="5"/>
      <c r="I512" s="5">
        <v>300</v>
      </c>
      <c r="J512" s="5">
        <f t="shared" si="13"/>
        <v>-300</v>
      </c>
    </row>
    <row r="513" spans="1:10" x14ac:dyDescent="0.25">
      <c r="A513" s="2"/>
      <c r="B513" s="13">
        <v>46214</v>
      </c>
      <c r="C513" s="2">
        <v>866</v>
      </c>
      <c r="D513" s="3" t="s">
        <v>15</v>
      </c>
      <c r="E513" s="3" t="s">
        <v>102</v>
      </c>
      <c r="F513" s="3" t="s">
        <v>11</v>
      </c>
      <c r="G513" s="5"/>
      <c r="H513" s="5"/>
      <c r="I513" s="5">
        <v>380</v>
      </c>
      <c r="J513" s="5">
        <f t="shared" si="13"/>
        <v>-380</v>
      </c>
    </row>
    <row r="514" spans="1:10" x14ac:dyDescent="0.25">
      <c r="A514" s="2"/>
      <c r="B514" s="13">
        <v>46217</v>
      </c>
      <c r="C514" s="2">
        <v>868</v>
      </c>
      <c r="D514" s="3" t="s">
        <v>15</v>
      </c>
      <c r="E514" s="3" t="s">
        <v>53</v>
      </c>
      <c r="F514" s="3" t="s">
        <v>11</v>
      </c>
      <c r="G514" s="5"/>
      <c r="H514" s="5"/>
      <c r="I514" s="5">
        <v>1000</v>
      </c>
      <c r="J514" s="5">
        <f t="shared" si="13"/>
        <v>-1000</v>
      </c>
    </row>
    <row r="515" spans="1:10" x14ac:dyDescent="0.25">
      <c r="A515" s="2"/>
      <c r="B515" s="13">
        <v>46217</v>
      </c>
      <c r="C515" s="2">
        <v>3300</v>
      </c>
      <c r="D515" s="3" t="s">
        <v>15</v>
      </c>
      <c r="E515" s="3" t="s">
        <v>370</v>
      </c>
      <c r="F515" s="3" t="s">
        <v>11</v>
      </c>
      <c r="G515" s="5"/>
      <c r="H515" s="5">
        <v>8683.48</v>
      </c>
      <c r="I515" s="5"/>
      <c r="J515" s="5">
        <f t="shared" si="13"/>
        <v>8683.48</v>
      </c>
    </row>
    <row r="516" spans="1:10" x14ac:dyDescent="0.25">
      <c r="A516" s="2"/>
      <c r="B516" s="13">
        <v>46217</v>
      </c>
      <c r="C516" s="2">
        <v>3308</v>
      </c>
      <c r="D516" s="3" t="s">
        <v>15</v>
      </c>
      <c r="E516" s="3" t="s">
        <v>31</v>
      </c>
      <c r="F516" s="3" t="s">
        <v>11</v>
      </c>
      <c r="G516" s="5"/>
      <c r="H516" s="5">
        <v>500</v>
      </c>
      <c r="I516" s="5"/>
      <c r="J516" s="5">
        <f t="shared" si="13"/>
        <v>500</v>
      </c>
    </row>
    <row r="517" spans="1:10" x14ac:dyDescent="0.25">
      <c r="A517" s="2"/>
      <c r="B517" s="13">
        <v>46217</v>
      </c>
      <c r="C517" s="2">
        <v>3309</v>
      </c>
      <c r="D517" s="3" t="s">
        <v>15</v>
      </c>
      <c r="E517" s="3" t="s">
        <v>241</v>
      </c>
      <c r="F517" s="3" t="s">
        <v>11</v>
      </c>
      <c r="G517" s="5"/>
      <c r="H517" s="5">
        <v>1700</v>
      </c>
      <c r="I517" s="5"/>
      <c r="J517" s="5">
        <f t="shared" si="13"/>
        <v>1700</v>
      </c>
    </row>
    <row r="518" spans="1:10" x14ac:dyDescent="0.25">
      <c r="A518" s="2"/>
      <c r="B518" s="13">
        <v>46218</v>
      </c>
      <c r="C518" s="2">
        <v>3314</v>
      </c>
      <c r="D518" s="3" t="s">
        <v>15</v>
      </c>
      <c r="E518" s="3" t="s">
        <v>171</v>
      </c>
      <c r="F518" s="3" t="s">
        <v>11</v>
      </c>
      <c r="G518" s="5"/>
      <c r="H518" s="5">
        <v>500</v>
      </c>
      <c r="I518" s="5"/>
      <c r="J518" s="5">
        <f t="shared" si="13"/>
        <v>500</v>
      </c>
    </row>
    <row r="519" spans="1:10" x14ac:dyDescent="0.25">
      <c r="A519" s="2"/>
      <c r="B519" s="13">
        <v>46219</v>
      </c>
      <c r="C519" s="2">
        <v>869</v>
      </c>
      <c r="D519" s="3" t="s">
        <v>15</v>
      </c>
      <c r="E519" s="3" t="s">
        <v>241</v>
      </c>
      <c r="F519" s="3" t="s">
        <v>11</v>
      </c>
      <c r="G519" s="5"/>
      <c r="H519" s="5"/>
      <c r="I519" s="5">
        <v>300</v>
      </c>
      <c r="J519" s="5">
        <f t="shared" si="13"/>
        <v>-300</v>
      </c>
    </row>
    <row r="520" spans="1:10" x14ac:dyDescent="0.25">
      <c r="A520" s="2"/>
      <c r="B520" s="13">
        <v>46219</v>
      </c>
      <c r="C520" s="2">
        <v>870</v>
      </c>
      <c r="D520" s="3" t="s">
        <v>15</v>
      </c>
      <c r="E520" s="3" t="s">
        <v>384</v>
      </c>
      <c r="F520" s="3" t="s">
        <v>11</v>
      </c>
      <c r="G520" s="5"/>
      <c r="I520" s="5">
        <v>10000</v>
      </c>
      <c r="J520" s="5">
        <f t="shared" si="13"/>
        <v>-10000</v>
      </c>
    </row>
    <row r="521" spans="1:10" x14ac:dyDescent="0.25">
      <c r="A521" s="2"/>
      <c r="B521" s="13">
        <v>46219</v>
      </c>
      <c r="C521" s="2">
        <v>871</v>
      </c>
      <c r="D521" s="3" t="s">
        <v>15</v>
      </c>
      <c r="E521" s="3" t="s">
        <v>309</v>
      </c>
      <c r="F521" s="3" t="s">
        <v>11</v>
      </c>
      <c r="G521" s="5"/>
      <c r="I521" s="5">
        <v>5311</v>
      </c>
      <c r="J521" s="5">
        <f t="shared" si="13"/>
        <v>-5311</v>
      </c>
    </row>
    <row r="522" spans="1:10" x14ac:dyDescent="0.25">
      <c r="A522" s="2"/>
      <c r="B522" s="13">
        <v>46219</v>
      </c>
      <c r="C522" s="2">
        <v>3320</v>
      </c>
      <c r="D522" s="3" t="s">
        <v>15</v>
      </c>
      <c r="E522" s="3" t="s">
        <v>384</v>
      </c>
      <c r="F522" s="3" t="s">
        <v>11</v>
      </c>
      <c r="G522" s="5"/>
      <c r="H522" s="4">
        <v>10000</v>
      </c>
      <c r="I522" s="5"/>
      <c r="J522" s="5">
        <f t="shared" si="13"/>
        <v>10000</v>
      </c>
    </row>
    <row r="523" spans="1:10" x14ac:dyDescent="0.25">
      <c r="A523" s="2"/>
      <c r="B523" s="13">
        <v>46219</v>
      </c>
      <c r="C523" s="2">
        <v>3321</v>
      </c>
      <c r="D523" s="3" t="s">
        <v>15</v>
      </c>
      <c r="E523" s="3" t="s">
        <v>371</v>
      </c>
      <c r="F523" s="3" t="s">
        <v>11</v>
      </c>
      <c r="G523" s="5"/>
      <c r="H523" s="5">
        <v>10000</v>
      </c>
      <c r="I523" s="5"/>
      <c r="J523" s="5">
        <f t="shared" si="13"/>
        <v>10000</v>
      </c>
    </row>
    <row r="524" spans="1:10" x14ac:dyDescent="0.25">
      <c r="A524" s="2"/>
      <c r="B524" s="13">
        <v>46219</v>
      </c>
      <c r="C524" s="2">
        <v>872</v>
      </c>
      <c r="D524" s="3" t="s">
        <v>15</v>
      </c>
      <c r="E524" s="3" t="s">
        <v>383</v>
      </c>
      <c r="F524" s="3" t="s">
        <v>11</v>
      </c>
      <c r="G524" s="5"/>
      <c r="H524" s="5"/>
      <c r="I524" s="5">
        <v>300</v>
      </c>
      <c r="J524" s="5">
        <f t="shared" si="13"/>
        <v>-300</v>
      </c>
    </row>
    <row r="525" spans="1:10" x14ac:dyDescent="0.25">
      <c r="A525" s="2"/>
      <c r="B525" s="13">
        <v>46220</v>
      </c>
      <c r="C525" s="2">
        <v>873</v>
      </c>
      <c r="D525" s="3" t="s">
        <v>15</v>
      </c>
      <c r="E525" s="3" t="s">
        <v>20</v>
      </c>
      <c r="F525" s="3" t="s">
        <v>11</v>
      </c>
      <c r="G525" s="5"/>
      <c r="H525" s="5"/>
      <c r="I525" s="5">
        <v>1000</v>
      </c>
      <c r="J525" s="5">
        <f t="shared" si="13"/>
        <v>-1000</v>
      </c>
    </row>
    <row r="526" spans="1:10" x14ac:dyDescent="0.25">
      <c r="A526" s="2"/>
      <c r="B526" s="13">
        <v>46220</v>
      </c>
      <c r="C526" s="2">
        <v>874</v>
      </c>
      <c r="D526" s="3" t="s">
        <v>15</v>
      </c>
      <c r="E526" s="3" t="s">
        <v>243</v>
      </c>
      <c r="F526" s="3" t="s">
        <v>11</v>
      </c>
      <c r="G526" s="5"/>
      <c r="H526" s="5"/>
      <c r="I526" s="5">
        <v>500</v>
      </c>
      <c r="J526" s="5">
        <f t="shared" si="13"/>
        <v>-500</v>
      </c>
    </row>
    <row r="527" spans="1:10" x14ac:dyDescent="0.25">
      <c r="A527" s="2"/>
      <c r="B527" s="13">
        <v>46221</v>
      </c>
      <c r="C527" s="2">
        <v>875</v>
      </c>
      <c r="D527" s="3" t="s">
        <v>15</v>
      </c>
      <c r="E527" s="3" t="s">
        <v>31</v>
      </c>
      <c r="F527" s="3" t="s">
        <v>11</v>
      </c>
      <c r="G527" s="5"/>
      <c r="H527" s="5"/>
      <c r="I527" s="5">
        <v>1000</v>
      </c>
      <c r="J527" s="5">
        <f t="shared" si="13"/>
        <v>-1000</v>
      </c>
    </row>
    <row r="528" spans="1:10" x14ac:dyDescent="0.25">
      <c r="A528" s="2"/>
      <c r="B528" s="13">
        <v>46223</v>
      </c>
      <c r="C528" s="2">
        <v>3332</v>
      </c>
      <c r="D528" s="3" t="s">
        <v>15</v>
      </c>
      <c r="E528" s="3" t="s">
        <v>43</v>
      </c>
      <c r="F528" s="3" t="s">
        <v>11</v>
      </c>
      <c r="G528" s="5"/>
      <c r="H528" s="5">
        <v>500</v>
      </c>
      <c r="I528" s="5"/>
      <c r="J528" s="5">
        <f t="shared" si="13"/>
        <v>500</v>
      </c>
    </row>
    <row r="529" spans="1:10" x14ac:dyDescent="0.25">
      <c r="A529" s="2"/>
      <c r="B529" s="13">
        <v>46223</v>
      </c>
      <c r="C529" s="2">
        <v>876</v>
      </c>
      <c r="D529" s="3" t="s">
        <v>15</v>
      </c>
      <c r="E529" s="3" t="s">
        <v>351</v>
      </c>
      <c r="F529" s="3" t="s">
        <v>11</v>
      </c>
      <c r="G529" s="5"/>
      <c r="H529" s="5"/>
      <c r="I529" s="5">
        <v>569.55999999999995</v>
      </c>
      <c r="J529" s="5">
        <f t="shared" si="13"/>
        <v>-569.55999999999995</v>
      </c>
    </row>
    <row r="530" spans="1:10" x14ac:dyDescent="0.25">
      <c r="A530" s="2"/>
      <c r="B530" s="13">
        <v>46223</v>
      </c>
      <c r="C530" s="2">
        <v>877</v>
      </c>
      <c r="D530" s="3" t="s">
        <v>15</v>
      </c>
      <c r="E530" s="3" t="s">
        <v>243</v>
      </c>
      <c r="F530" s="3" t="s">
        <v>11</v>
      </c>
      <c r="G530" s="5"/>
      <c r="H530" s="5"/>
      <c r="I530" s="5">
        <v>100</v>
      </c>
      <c r="J530" s="5">
        <f t="shared" si="13"/>
        <v>-100</v>
      </c>
    </row>
    <row r="531" spans="1:10" x14ac:dyDescent="0.25">
      <c r="A531" s="2"/>
      <c r="B531" s="13">
        <v>46224</v>
      </c>
      <c r="C531" s="2">
        <v>878</v>
      </c>
      <c r="D531" s="3" t="s">
        <v>15</v>
      </c>
      <c r="E531" s="3" t="s">
        <v>241</v>
      </c>
      <c r="F531" s="3" t="s">
        <v>11</v>
      </c>
      <c r="G531" s="5"/>
      <c r="H531" s="5"/>
      <c r="I531" s="5">
        <v>200</v>
      </c>
      <c r="J531" s="5">
        <f t="shared" si="13"/>
        <v>-200</v>
      </c>
    </row>
    <row r="532" spans="1:10" x14ac:dyDescent="0.25">
      <c r="A532" s="2"/>
      <c r="B532" s="13">
        <v>46224</v>
      </c>
      <c r="C532" s="2">
        <v>879</v>
      </c>
      <c r="D532" s="3" t="s">
        <v>15</v>
      </c>
      <c r="E532" s="3" t="s">
        <v>191</v>
      </c>
      <c r="F532" s="3" t="s">
        <v>11</v>
      </c>
      <c r="G532" s="5"/>
      <c r="H532" s="5"/>
      <c r="I532" s="5">
        <v>15000</v>
      </c>
      <c r="J532" s="5">
        <f t="shared" si="13"/>
        <v>-15000</v>
      </c>
    </row>
    <row r="533" spans="1:10" x14ac:dyDescent="0.25">
      <c r="A533" s="2"/>
      <c r="B533" s="13">
        <v>46224</v>
      </c>
      <c r="C533" s="2">
        <v>880</v>
      </c>
      <c r="D533" s="3" t="s">
        <v>15</v>
      </c>
      <c r="E533" s="3" t="s">
        <v>59</v>
      </c>
      <c r="F533" s="3" t="s">
        <v>11</v>
      </c>
      <c r="G533" s="5"/>
      <c r="H533" s="5"/>
      <c r="I533" s="5">
        <v>500</v>
      </c>
      <c r="J533" s="5">
        <f t="shared" si="13"/>
        <v>-500</v>
      </c>
    </row>
    <row r="534" spans="1:10" x14ac:dyDescent="0.25">
      <c r="A534" s="2"/>
      <c r="B534" s="13">
        <v>46224</v>
      </c>
      <c r="C534" s="2">
        <v>881</v>
      </c>
      <c r="D534" s="3" t="s">
        <v>15</v>
      </c>
      <c r="E534" s="3" t="s">
        <v>372</v>
      </c>
      <c r="F534" s="3" t="s">
        <v>11</v>
      </c>
      <c r="G534" s="5"/>
      <c r="H534" s="5"/>
      <c r="I534" s="5">
        <v>1616.93</v>
      </c>
      <c r="J534" s="5">
        <f t="shared" si="13"/>
        <v>-1616.93</v>
      </c>
    </row>
    <row r="535" spans="1:10" x14ac:dyDescent="0.25">
      <c r="A535" s="2"/>
      <c r="B535" s="13">
        <v>46224</v>
      </c>
      <c r="C535" s="2">
        <v>884</v>
      </c>
      <c r="D535" s="3" t="s">
        <v>15</v>
      </c>
      <c r="E535" s="3" t="s">
        <v>20</v>
      </c>
      <c r="F535" s="3" t="s">
        <v>11</v>
      </c>
      <c r="G535" s="5"/>
      <c r="H535" s="5"/>
      <c r="I535" s="5">
        <v>3000</v>
      </c>
      <c r="J535" s="5">
        <f t="shared" si="13"/>
        <v>-3000</v>
      </c>
    </row>
    <row r="536" spans="1:10" x14ac:dyDescent="0.25">
      <c r="A536" s="2"/>
      <c r="B536" s="13">
        <v>46224</v>
      </c>
      <c r="C536" s="2">
        <v>3338</v>
      </c>
      <c r="D536" s="3" t="s">
        <v>15</v>
      </c>
      <c r="E536" s="3" t="s">
        <v>373</v>
      </c>
      <c r="F536" s="3" t="s">
        <v>11</v>
      </c>
      <c r="G536" s="5"/>
      <c r="H536" s="5">
        <v>263560.24</v>
      </c>
      <c r="I536" s="5"/>
      <c r="J536" s="5">
        <f t="shared" si="13"/>
        <v>263560.24</v>
      </c>
    </row>
    <row r="537" spans="1:10" x14ac:dyDescent="0.25">
      <c r="A537" s="2"/>
      <c r="B537" s="13">
        <v>46224</v>
      </c>
      <c r="C537" s="2">
        <v>3341</v>
      </c>
      <c r="D537" s="3" t="s">
        <v>15</v>
      </c>
      <c r="E537" s="3" t="s">
        <v>374</v>
      </c>
      <c r="F537" s="3" t="s">
        <v>11</v>
      </c>
      <c r="G537" s="5"/>
      <c r="H537" s="5">
        <v>1164.77</v>
      </c>
      <c r="I537" s="5"/>
      <c r="J537" s="5">
        <f t="shared" si="13"/>
        <v>1164.77</v>
      </c>
    </row>
    <row r="538" spans="1:10" x14ac:dyDescent="0.25">
      <c r="A538" s="2"/>
      <c r="B538" s="13">
        <v>46224</v>
      </c>
      <c r="C538" s="2">
        <v>3343</v>
      </c>
      <c r="D538" s="3" t="s">
        <v>15</v>
      </c>
      <c r="E538" s="3" t="s">
        <v>105</v>
      </c>
      <c r="F538" s="3" t="s">
        <v>11</v>
      </c>
      <c r="G538" s="5"/>
      <c r="H538" s="5">
        <v>25000</v>
      </c>
      <c r="I538" s="5"/>
      <c r="J538" s="5">
        <f t="shared" si="13"/>
        <v>25000</v>
      </c>
    </row>
    <row r="539" spans="1:10" x14ac:dyDescent="0.25">
      <c r="A539" s="2"/>
      <c r="B539" s="13">
        <v>46225</v>
      </c>
      <c r="C539" s="2">
        <v>3345</v>
      </c>
      <c r="D539" s="3" t="s">
        <v>15</v>
      </c>
      <c r="E539" s="3" t="s">
        <v>31</v>
      </c>
      <c r="F539" s="3" t="s">
        <v>11</v>
      </c>
      <c r="G539" s="5"/>
      <c r="H539" s="5">
        <v>100</v>
      </c>
      <c r="I539" s="5"/>
      <c r="J539" s="5">
        <f t="shared" si="13"/>
        <v>100</v>
      </c>
    </row>
    <row r="540" spans="1:10" x14ac:dyDescent="0.25">
      <c r="A540" s="2"/>
      <c r="B540" s="13">
        <v>46225</v>
      </c>
      <c r="C540" s="2">
        <v>3346</v>
      </c>
      <c r="D540" s="3" t="s">
        <v>15</v>
      </c>
      <c r="E540" s="3" t="s">
        <v>53</v>
      </c>
      <c r="F540" s="3" t="s">
        <v>11</v>
      </c>
      <c r="G540" s="5"/>
      <c r="H540" s="5">
        <v>12000</v>
      </c>
      <c r="I540" s="5"/>
      <c r="J540" s="5">
        <f t="shared" si="13"/>
        <v>12000</v>
      </c>
    </row>
    <row r="541" spans="1:10" x14ac:dyDescent="0.25">
      <c r="A541" s="2"/>
      <c r="B541" s="13">
        <v>46225</v>
      </c>
      <c r="C541" s="2">
        <v>885</v>
      </c>
      <c r="D541" s="3" t="s">
        <v>15</v>
      </c>
      <c r="E541" s="3" t="s">
        <v>20</v>
      </c>
      <c r="F541" s="3" t="s">
        <v>11</v>
      </c>
      <c r="G541" s="5"/>
      <c r="H541" s="5"/>
      <c r="I541" s="5">
        <v>5000</v>
      </c>
      <c r="J541" s="5">
        <f t="shared" si="13"/>
        <v>-5000</v>
      </c>
    </row>
    <row r="542" spans="1:10" x14ac:dyDescent="0.25">
      <c r="A542" s="2"/>
      <c r="B542" s="13">
        <v>46226</v>
      </c>
      <c r="C542" s="2">
        <v>3354</v>
      </c>
      <c r="D542" s="3" t="s">
        <v>15</v>
      </c>
      <c r="E542" s="3" t="s">
        <v>241</v>
      </c>
      <c r="F542" s="3" t="s">
        <v>11</v>
      </c>
      <c r="G542" s="5"/>
      <c r="H542" s="5">
        <v>500</v>
      </c>
      <c r="I542" s="5"/>
      <c r="J542" s="5">
        <f t="shared" si="13"/>
        <v>500</v>
      </c>
    </row>
    <row r="543" spans="1:10" x14ac:dyDescent="0.25">
      <c r="A543" s="2"/>
      <c r="B543" s="13">
        <v>46226</v>
      </c>
      <c r="C543" s="2">
        <v>886</v>
      </c>
      <c r="D543" s="3" t="s">
        <v>15</v>
      </c>
      <c r="E543" s="3" t="s">
        <v>267</v>
      </c>
      <c r="F543" s="3" t="s">
        <v>11</v>
      </c>
      <c r="G543" s="5"/>
      <c r="H543" s="5"/>
      <c r="I543" s="5">
        <v>11030</v>
      </c>
      <c r="J543" s="5">
        <f t="shared" si="13"/>
        <v>-11030</v>
      </c>
    </row>
    <row r="544" spans="1:10" x14ac:dyDescent="0.25">
      <c r="A544" s="2"/>
      <c r="B544" s="13">
        <v>46226</v>
      </c>
      <c r="C544" s="2">
        <v>887</v>
      </c>
      <c r="D544" s="3" t="s">
        <v>15</v>
      </c>
      <c r="E544" s="3" t="s">
        <v>241</v>
      </c>
      <c r="F544" s="3" t="s">
        <v>11</v>
      </c>
      <c r="G544" s="5"/>
      <c r="H544" s="5"/>
      <c r="I544" s="5">
        <v>2000</v>
      </c>
      <c r="J544" s="5">
        <f t="shared" si="13"/>
        <v>-2000</v>
      </c>
    </row>
    <row r="545" spans="1:10" x14ac:dyDescent="0.25">
      <c r="A545" s="2"/>
      <c r="B545" s="13">
        <v>46226</v>
      </c>
      <c r="C545" s="2">
        <v>888</v>
      </c>
      <c r="D545" s="3" t="s">
        <v>15</v>
      </c>
      <c r="E545" s="3" t="s">
        <v>243</v>
      </c>
      <c r="F545" s="3" t="s">
        <v>11</v>
      </c>
      <c r="G545" s="5"/>
      <c r="H545" s="5"/>
      <c r="I545" s="5">
        <v>1600</v>
      </c>
      <c r="J545" s="5">
        <f t="shared" si="13"/>
        <v>-1600</v>
      </c>
    </row>
    <row r="546" spans="1:10" x14ac:dyDescent="0.25">
      <c r="A546" s="2"/>
      <c r="B546" s="13">
        <v>46227</v>
      </c>
      <c r="C546" s="2">
        <v>3368</v>
      </c>
      <c r="D546" s="3" t="s">
        <v>15</v>
      </c>
      <c r="E546" s="3" t="s">
        <v>375</v>
      </c>
      <c r="F546" s="3" t="s">
        <v>11</v>
      </c>
      <c r="G546" s="5"/>
      <c r="H546" s="5">
        <v>1136.0899999999999</v>
      </c>
      <c r="I546" s="5"/>
      <c r="J546" s="5">
        <f t="shared" si="13"/>
        <v>1136.0899999999999</v>
      </c>
    </row>
    <row r="547" spans="1:10" x14ac:dyDescent="0.25">
      <c r="A547" s="2"/>
      <c r="B547" s="13">
        <v>46227</v>
      </c>
      <c r="C547" s="2">
        <v>3371</v>
      </c>
      <c r="D547" s="3" t="s">
        <v>15</v>
      </c>
      <c r="E547" s="3" t="s">
        <v>269</v>
      </c>
      <c r="F547" s="3" t="s">
        <v>11</v>
      </c>
      <c r="G547" s="5"/>
      <c r="H547" s="5">
        <v>1136.3599999999999</v>
      </c>
      <c r="I547" s="5"/>
      <c r="J547" s="5">
        <f t="shared" si="13"/>
        <v>1136.3599999999999</v>
      </c>
    </row>
    <row r="548" spans="1:10" x14ac:dyDescent="0.25">
      <c r="A548" s="2"/>
      <c r="B548" s="13">
        <v>46227</v>
      </c>
      <c r="C548" s="2">
        <v>3384</v>
      </c>
      <c r="D548" s="3" t="s">
        <v>15</v>
      </c>
      <c r="E548" s="3" t="s">
        <v>376</v>
      </c>
      <c r="F548" s="3" t="s">
        <v>11</v>
      </c>
      <c r="G548" s="5"/>
      <c r="H548" s="5">
        <v>296.43</v>
      </c>
      <c r="I548" s="5"/>
      <c r="J548" s="5">
        <f t="shared" si="13"/>
        <v>296.43</v>
      </c>
    </row>
    <row r="549" spans="1:10" x14ac:dyDescent="0.25">
      <c r="A549" s="2"/>
      <c r="B549" s="13">
        <v>46227</v>
      </c>
      <c r="C549" s="2">
        <v>889</v>
      </c>
      <c r="D549" s="3" t="s">
        <v>15</v>
      </c>
      <c r="E549" s="3" t="s">
        <v>53</v>
      </c>
      <c r="F549" s="3" t="s">
        <v>11</v>
      </c>
      <c r="G549" s="5"/>
      <c r="H549" s="5"/>
      <c r="I549" s="5">
        <v>1000</v>
      </c>
      <c r="J549" s="5">
        <f t="shared" si="13"/>
        <v>-1000</v>
      </c>
    </row>
    <row r="550" spans="1:10" x14ac:dyDescent="0.25">
      <c r="A550" s="2"/>
      <c r="B550" s="13">
        <v>46227</v>
      </c>
      <c r="C550" s="2">
        <v>890</v>
      </c>
      <c r="D550" s="3" t="s">
        <v>15</v>
      </c>
      <c r="E550" s="3" t="s">
        <v>254</v>
      </c>
      <c r="F550" s="3" t="s">
        <v>11</v>
      </c>
      <c r="G550" s="5"/>
      <c r="H550" s="5"/>
      <c r="I550" s="5">
        <v>14606.91</v>
      </c>
      <c r="J550" s="5">
        <f t="shared" si="13"/>
        <v>-14606.91</v>
      </c>
    </row>
    <row r="551" spans="1:10" x14ac:dyDescent="0.25">
      <c r="A551" s="2"/>
      <c r="B551" s="13">
        <v>46227</v>
      </c>
      <c r="C551" s="2">
        <v>891</v>
      </c>
      <c r="D551" s="3" t="s">
        <v>15</v>
      </c>
      <c r="E551" s="3" t="s">
        <v>216</v>
      </c>
      <c r="F551" s="3" t="s">
        <v>11</v>
      </c>
      <c r="G551" s="5"/>
      <c r="H551" s="5"/>
      <c r="I551" s="5">
        <v>38507.1</v>
      </c>
      <c r="J551" s="5">
        <f t="shared" si="13"/>
        <v>-38507.1</v>
      </c>
    </row>
    <row r="552" spans="1:10" x14ac:dyDescent="0.25">
      <c r="A552" s="2"/>
      <c r="B552" s="13">
        <v>46227</v>
      </c>
      <c r="C552" s="2">
        <v>894</v>
      </c>
      <c r="D552" s="3" t="s">
        <v>15</v>
      </c>
      <c r="E552" s="3" t="s">
        <v>216</v>
      </c>
      <c r="F552" s="3" t="s">
        <v>11</v>
      </c>
      <c r="G552" s="5"/>
      <c r="H552" s="5"/>
      <c r="I552" s="5">
        <v>46759.77</v>
      </c>
      <c r="J552" s="5">
        <f t="shared" si="13"/>
        <v>-46759.77</v>
      </c>
    </row>
    <row r="553" spans="1:10" x14ac:dyDescent="0.25">
      <c r="A553" s="2"/>
      <c r="B553" s="13">
        <v>46227</v>
      </c>
      <c r="C553" s="2">
        <v>895</v>
      </c>
      <c r="D553" s="3" t="s">
        <v>15</v>
      </c>
      <c r="E553" s="3" t="s">
        <v>360</v>
      </c>
      <c r="F553" s="3" t="s">
        <v>11</v>
      </c>
      <c r="G553" s="5"/>
      <c r="H553" s="5"/>
      <c r="I553" s="5">
        <v>14891.24</v>
      </c>
      <c r="J553" s="5">
        <f t="shared" si="13"/>
        <v>-14891.24</v>
      </c>
    </row>
    <row r="554" spans="1:10" x14ac:dyDescent="0.25">
      <c r="A554" s="2"/>
      <c r="B554" s="13">
        <v>46227</v>
      </c>
      <c r="C554" s="2">
        <v>896</v>
      </c>
      <c r="D554" s="3" t="s">
        <v>15</v>
      </c>
      <c r="E554" s="3" t="s">
        <v>323</v>
      </c>
      <c r="F554" s="3" t="s">
        <v>11</v>
      </c>
      <c r="G554" s="5"/>
      <c r="H554" s="5"/>
      <c r="I554" s="5">
        <v>965.34</v>
      </c>
      <c r="J554" s="5">
        <f t="shared" si="13"/>
        <v>-965.34</v>
      </c>
    </row>
    <row r="555" spans="1:10" x14ac:dyDescent="0.25">
      <c r="A555" s="2"/>
      <c r="B555" s="13">
        <v>46227</v>
      </c>
      <c r="C555" s="2">
        <v>897</v>
      </c>
      <c r="D555" s="3" t="s">
        <v>15</v>
      </c>
      <c r="E555" s="3" t="s">
        <v>377</v>
      </c>
      <c r="F555" s="3" t="s">
        <v>11</v>
      </c>
      <c r="G555" s="5"/>
      <c r="H555" s="5"/>
      <c r="I555" s="5">
        <v>17733.86</v>
      </c>
      <c r="J555" s="5">
        <f t="shared" si="13"/>
        <v>-17733.86</v>
      </c>
    </row>
    <row r="556" spans="1:10" x14ac:dyDescent="0.25">
      <c r="A556" s="2"/>
      <c r="B556" s="13">
        <v>46227</v>
      </c>
      <c r="C556" s="2">
        <v>898</v>
      </c>
      <c r="D556" s="3" t="s">
        <v>15</v>
      </c>
      <c r="E556" s="3" t="s">
        <v>378</v>
      </c>
      <c r="F556" s="3" t="s">
        <v>11</v>
      </c>
      <c r="G556" s="5"/>
      <c r="H556" s="5"/>
      <c r="I556" s="5">
        <v>15549.72</v>
      </c>
      <c r="J556" s="5">
        <f t="shared" si="13"/>
        <v>-15549.72</v>
      </c>
    </row>
    <row r="557" spans="1:10" x14ac:dyDescent="0.25">
      <c r="A557" s="2"/>
      <c r="B557" s="13">
        <v>46227</v>
      </c>
      <c r="C557" s="2">
        <v>899</v>
      </c>
      <c r="D557" s="3" t="s">
        <v>15</v>
      </c>
      <c r="E557" s="3" t="s">
        <v>337</v>
      </c>
      <c r="F557" s="3" t="s">
        <v>11</v>
      </c>
      <c r="G557" s="5"/>
      <c r="H557" s="5"/>
      <c r="I557" s="5">
        <v>12298.94</v>
      </c>
      <c r="J557" s="5">
        <f t="shared" si="13"/>
        <v>-12298.94</v>
      </c>
    </row>
    <row r="558" spans="1:10" x14ac:dyDescent="0.25">
      <c r="A558" s="2"/>
      <c r="B558" s="13">
        <v>46227</v>
      </c>
      <c r="C558" s="2">
        <v>900</v>
      </c>
      <c r="D558" s="3" t="s">
        <v>15</v>
      </c>
      <c r="E558" s="3" t="s">
        <v>115</v>
      </c>
      <c r="F558" s="3" t="s">
        <v>11</v>
      </c>
      <c r="G558" s="5"/>
      <c r="H558" s="5"/>
      <c r="I558" s="5">
        <v>772.01</v>
      </c>
      <c r="J558" s="5">
        <f t="shared" si="13"/>
        <v>-772.01</v>
      </c>
    </row>
    <row r="559" spans="1:10" x14ac:dyDescent="0.25">
      <c r="A559" s="2"/>
      <c r="B559" s="13">
        <v>46227</v>
      </c>
      <c r="C559" s="2">
        <v>901</v>
      </c>
      <c r="D559" s="3" t="s">
        <v>15</v>
      </c>
      <c r="E559" s="3" t="s">
        <v>361</v>
      </c>
      <c r="F559" s="3" t="s">
        <v>11</v>
      </c>
      <c r="G559" s="5"/>
      <c r="H559" s="5"/>
      <c r="I559" s="5">
        <v>1883.57</v>
      </c>
      <c r="J559" s="5">
        <f t="shared" si="13"/>
        <v>-1883.57</v>
      </c>
    </row>
    <row r="560" spans="1:10" x14ac:dyDescent="0.25">
      <c r="A560" s="2"/>
      <c r="B560" s="13">
        <v>46227</v>
      </c>
      <c r="C560" s="2">
        <v>902</v>
      </c>
      <c r="D560" s="3" t="s">
        <v>15</v>
      </c>
      <c r="E560" s="3" t="s">
        <v>28</v>
      </c>
      <c r="F560" s="3" t="s">
        <v>11</v>
      </c>
      <c r="G560" s="5"/>
      <c r="H560" s="5"/>
      <c r="I560" s="5">
        <v>7769.39</v>
      </c>
      <c r="J560" s="5">
        <f t="shared" si="13"/>
        <v>-7769.39</v>
      </c>
    </row>
    <row r="561" spans="1:12" x14ac:dyDescent="0.25">
      <c r="A561" s="2"/>
      <c r="B561" s="13">
        <v>46230</v>
      </c>
      <c r="C561" s="2">
        <v>3390</v>
      </c>
      <c r="D561" s="3" t="s">
        <v>15</v>
      </c>
      <c r="E561" s="3" t="s">
        <v>232</v>
      </c>
      <c r="F561" s="3" t="s">
        <v>11</v>
      </c>
      <c r="G561" s="5"/>
      <c r="H561" s="5">
        <v>200</v>
      </c>
      <c r="I561" s="5"/>
      <c r="J561" s="5">
        <f t="shared" si="13"/>
        <v>200</v>
      </c>
    </row>
    <row r="562" spans="1:12" x14ac:dyDescent="0.25">
      <c r="A562" s="2"/>
      <c r="B562" s="13">
        <v>46230</v>
      </c>
      <c r="C562" s="2">
        <v>903</v>
      </c>
      <c r="D562" s="3" t="s">
        <v>15</v>
      </c>
      <c r="E562" s="3" t="s">
        <v>105</v>
      </c>
      <c r="F562" s="3" t="s">
        <v>11</v>
      </c>
      <c r="G562" s="5"/>
      <c r="H562" s="5"/>
      <c r="I562" s="5">
        <v>1000</v>
      </c>
      <c r="J562" s="5">
        <f t="shared" si="13"/>
        <v>-1000</v>
      </c>
    </row>
    <row r="563" spans="1:12" x14ac:dyDescent="0.25">
      <c r="A563" s="2"/>
      <c r="B563" s="13">
        <v>46230</v>
      </c>
      <c r="C563" s="2">
        <v>3392</v>
      </c>
      <c r="D563" s="3" t="s">
        <v>15</v>
      </c>
      <c r="E563" s="3" t="s">
        <v>379</v>
      </c>
      <c r="F563" s="3" t="s">
        <v>11</v>
      </c>
      <c r="G563" s="5"/>
      <c r="H563" s="5">
        <v>68181.820000000007</v>
      </c>
      <c r="I563" s="5"/>
      <c r="J563" s="5">
        <f t="shared" si="13"/>
        <v>68181.820000000007</v>
      </c>
    </row>
    <row r="564" spans="1:12" x14ac:dyDescent="0.25">
      <c r="A564" s="2"/>
      <c r="B564" s="13">
        <v>46230</v>
      </c>
      <c r="C564" s="2">
        <v>3394</v>
      </c>
      <c r="D564" s="3" t="s">
        <v>15</v>
      </c>
      <c r="E564" s="3" t="s">
        <v>176</v>
      </c>
      <c r="F564" s="3" t="s">
        <v>11</v>
      </c>
      <c r="G564" s="5"/>
      <c r="H564" s="5">
        <v>3000</v>
      </c>
      <c r="I564" s="5"/>
      <c r="J564" s="5">
        <f t="shared" si="13"/>
        <v>3000</v>
      </c>
    </row>
    <row r="565" spans="1:12" x14ac:dyDescent="0.25">
      <c r="A565" s="2"/>
      <c r="B565" s="13">
        <v>46231</v>
      </c>
      <c r="C565" s="2">
        <v>3403</v>
      </c>
      <c r="D565" s="3" t="s">
        <v>15</v>
      </c>
      <c r="E565" s="3" t="s">
        <v>380</v>
      </c>
      <c r="F565" s="3" t="s">
        <v>11</v>
      </c>
      <c r="G565" s="5"/>
      <c r="H565" s="5">
        <v>579.54</v>
      </c>
      <c r="I565" s="5"/>
      <c r="J565" s="5">
        <f t="shared" si="13"/>
        <v>579.54</v>
      </c>
    </row>
    <row r="566" spans="1:12" x14ac:dyDescent="0.25">
      <c r="A566" s="2"/>
      <c r="B566" s="13">
        <v>46231</v>
      </c>
      <c r="C566" s="2">
        <v>3404</v>
      </c>
      <c r="D566" s="3" t="s">
        <v>15</v>
      </c>
      <c r="E566" s="3" t="s">
        <v>381</v>
      </c>
      <c r="F566" s="3" t="s">
        <v>11</v>
      </c>
      <c r="G566" s="5"/>
      <c r="H566" s="5">
        <v>200</v>
      </c>
      <c r="I566" s="5"/>
      <c r="J566" s="5">
        <f t="shared" si="13"/>
        <v>200</v>
      </c>
    </row>
    <row r="567" spans="1:12" x14ac:dyDescent="0.25">
      <c r="A567" s="2"/>
      <c r="B567" s="13">
        <v>46231</v>
      </c>
      <c r="C567" s="2">
        <v>906</v>
      </c>
      <c r="D567" s="3" t="s">
        <v>15</v>
      </c>
      <c r="E567" s="3" t="s">
        <v>105</v>
      </c>
      <c r="F567" s="3" t="s">
        <v>11</v>
      </c>
      <c r="G567" s="5"/>
      <c r="H567" s="5"/>
      <c r="I567" s="5">
        <v>500</v>
      </c>
      <c r="J567" s="5">
        <f t="shared" si="13"/>
        <v>-500</v>
      </c>
    </row>
    <row r="568" spans="1:12" x14ac:dyDescent="0.25">
      <c r="A568" s="2"/>
      <c r="B568" s="13">
        <v>46232</v>
      </c>
      <c r="C568" s="2">
        <v>3408</v>
      </c>
      <c r="D568" s="3" t="s">
        <v>15</v>
      </c>
      <c r="E568" s="3" t="s">
        <v>360</v>
      </c>
      <c r="F568" s="3" t="s">
        <v>11</v>
      </c>
      <c r="G568" s="5"/>
      <c r="H568" s="5">
        <v>11703.3</v>
      </c>
      <c r="I568" s="5"/>
      <c r="J568" s="5">
        <f t="shared" si="13"/>
        <v>11703.3</v>
      </c>
    </row>
    <row r="569" spans="1:12" x14ac:dyDescent="0.25">
      <c r="A569" s="2"/>
      <c r="B569" s="13">
        <v>46232</v>
      </c>
      <c r="C569" s="2">
        <v>3409</v>
      </c>
      <c r="D569" s="3" t="s">
        <v>15</v>
      </c>
      <c r="E569" s="3" t="s">
        <v>382</v>
      </c>
      <c r="F569" s="3" t="s">
        <v>11</v>
      </c>
      <c r="G569" s="5"/>
      <c r="H569" s="5">
        <v>20000</v>
      </c>
      <c r="I569" s="5"/>
      <c r="J569" s="5">
        <f t="shared" si="13"/>
        <v>20000</v>
      </c>
    </row>
    <row r="570" spans="1:12" x14ac:dyDescent="0.25">
      <c r="A570" s="2"/>
      <c r="B570" s="13">
        <v>46233</v>
      </c>
      <c r="C570" s="2">
        <v>3411</v>
      </c>
      <c r="D570" s="3" t="s">
        <v>15</v>
      </c>
      <c r="E570" s="3" t="s">
        <v>241</v>
      </c>
      <c r="F570" s="3" t="s">
        <v>11</v>
      </c>
      <c r="G570" s="5"/>
      <c r="H570" s="5">
        <v>1500</v>
      </c>
      <c r="I570" s="5"/>
      <c r="J570" s="5">
        <f t="shared" si="13"/>
        <v>1500</v>
      </c>
    </row>
    <row r="571" spans="1:12" x14ac:dyDescent="0.25">
      <c r="A571" s="2"/>
      <c r="B571" s="13">
        <v>46233</v>
      </c>
      <c r="C571" s="2">
        <v>3414</v>
      </c>
      <c r="D571" s="3" t="s">
        <v>15</v>
      </c>
      <c r="E571" s="3" t="s">
        <v>243</v>
      </c>
      <c r="F571" s="3" t="s">
        <v>11</v>
      </c>
      <c r="G571" s="5"/>
      <c r="H571" s="5">
        <v>25000</v>
      </c>
      <c r="I571" s="5"/>
      <c r="J571" s="5">
        <f t="shared" si="13"/>
        <v>25000</v>
      </c>
    </row>
    <row r="572" spans="1:12" x14ac:dyDescent="0.25">
      <c r="A572" s="2"/>
      <c r="B572" s="13">
        <v>46233</v>
      </c>
      <c r="C572" s="2">
        <v>3416</v>
      </c>
      <c r="D572" s="3" t="s">
        <v>15</v>
      </c>
      <c r="E572" s="3" t="s">
        <v>287</v>
      </c>
      <c r="F572" s="3" t="s">
        <v>11</v>
      </c>
      <c r="G572" s="5"/>
      <c r="H572" s="5">
        <v>100</v>
      </c>
      <c r="I572" s="5"/>
      <c r="J572" s="5">
        <f t="shared" si="13"/>
        <v>100</v>
      </c>
    </row>
    <row r="573" spans="1:12" x14ac:dyDescent="0.25">
      <c r="A573" s="2"/>
      <c r="B573" s="13">
        <v>46233</v>
      </c>
      <c r="C573" s="2">
        <v>907</v>
      </c>
      <c r="D573" s="3" t="s">
        <v>15</v>
      </c>
      <c r="E573" s="3" t="s">
        <v>336</v>
      </c>
      <c r="F573" s="3" t="s">
        <v>11</v>
      </c>
      <c r="G573" s="5"/>
      <c r="H573" s="5"/>
      <c r="I573" s="5">
        <v>200</v>
      </c>
      <c r="J573" s="5">
        <f t="shared" si="13"/>
        <v>-200</v>
      </c>
    </row>
    <row r="574" spans="1:12" x14ac:dyDescent="0.25">
      <c r="A574" s="2"/>
      <c r="B574" s="13">
        <v>46234</v>
      </c>
      <c r="C574" s="2">
        <v>908</v>
      </c>
      <c r="D574" s="3" t="s">
        <v>15</v>
      </c>
      <c r="E574" s="3" t="s">
        <v>241</v>
      </c>
      <c r="F574" s="3" t="s">
        <v>11</v>
      </c>
      <c r="G574" s="5"/>
      <c r="H574" s="5"/>
      <c r="I574" s="5">
        <v>300</v>
      </c>
      <c r="J574" s="5">
        <f t="shared" si="13"/>
        <v>-300</v>
      </c>
    </row>
    <row r="575" spans="1:12" x14ac:dyDescent="0.25">
      <c r="A575" s="2"/>
      <c r="B575" s="13">
        <v>46234</v>
      </c>
      <c r="C575" s="2">
        <v>909</v>
      </c>
      <c r="D575" s="3" t="s">
        <v>15</v>
      </c>
      <c r="E575" s="3" t="s">
        <v>20</v>
      </c>
      <c r="F575" s="3" t="s">
        <v>11</v>
      </c>
      <c r="G575" s="5"/>
      <c r="H575" s="5"/>
      <c r="I575" s="5">
        <v>1000</v>
      </c>
      <c r="J575" s="5">
        <f t="shared" si="13"/>
        <v>-1000</v>
      </c>
      <c r="K575" t="s">
        <v>311</v>
      </c>
      <c r="L575" t="s">
        <v>312</v>
      </c>
    </row>
    <row r="576" spans="1:12" x14ac:dyDescent="0.25">
      <c r="A576" s="2"/>
      <c r="B576" s="13">
        <v>46234</v>
      </c>
      <c r="C576" s="2">
        <v>910</v>
      </c>
      <c r="D576" s="3" t="s">
        <v>15</v>
      </c>
      <c r="E576" s="3" t="s">
        <v>59</v>
      </c>
      <c r="F576" s="3" t="s">
        <v>11</v>
      </c>
      <c r="G576" s="5"/>
      <c r="H576" s="5"/>
      <c r="I576" s="20">
        <v>2000</v>
      </c>
      <c r="J576" s="20">
        <f t="shared" si="13"/>
        <v>-2000</v>
      </c>
      <c r="K576" s="28">
        <f>SUM(H485:H576)</f>
        <v>512573.86</v>
      </c>
      <c r="L576" s="28">
        <f>SUM(I485:I576)</f>
        <v>322848.33999999997</v>
      </c>
    </row>
    <row r="577" spans="1:10" x14ac:dyDescent="0.25">
      <c r="A577" s="2"/>
      <c r="B577" s="13">
        <v>46237</v>
      </c>
      <c r="C577" s="2">
        <v>3421</v>
      </c>
      <c r="D577" s="3" t="s">
        <v>15</v>
      </c>
      <c r="E577" s="3" t="s">
        <v>371</v>
      </c>
      <c r="F577" s="3" t="s">
        <v>11</v>
      </c>
      <c r="G577" s="5"/>
      <c r="H577" s="5">
        <v>2100</v>
      </c>
      <c r="I577" s="5"/>
      <c r="J577" s="25">
        <f t="shared" si="13"/>
        <v>2100</v>
      </c>
    </row>
    <row r="578" spans="1:10" x14ac:dyDescent="0.25">
      <c r="A578" s="2"/>
      <c r="B578" s="13">
        <v>46237</v>
      </c>
      <c r="C578" s="2">
        <v>3429</v>
      </c>
      <c r="D578" s="3" t="s">
        <v>15</v>
      </c>
      <c r="E578" s="3" t="s">
        <v>385</v>
      </c>
      <c r="F578" s="3" t="s">
        <v>11</v>
      </c>
      <c r="G578" s="5"/>
      <c r="H578" s="5">
        <v>10000</v>
      </c>
      <c r="I578" s="5"/>
      <c r="J578" s="25">
        <f t="shared" si="13"/>
        <v>10000</v>
      </c>
    </row>
    <row r="579" spans="1:10" x14ac:dyDescent="0.25">
      <c r="A579" s="2"/>
      <c r="B579" s="13">
        <v>46237</v>
      </c>
      <c r="C579" s="2">
        <v>911</v>
      </c>
      <c r="D579" s="3" t="s">
        <v>15</v>
      </c>
      <c r="E579" s="3" t="s">
        <v>31</v>
      </c>
      <c r="F579" s="3" t="s">
        <v>11</v>
      </c>
      <c r="G579" s="5"/>
      <c r="H579" s="5"/>
      <c r="I579" s="5">
        <v>100</v>
      </c>
      <c r="J579" s="25">
        <f t="shared" si="13"/>
        <v>-100</v>
      </c>
    </row>
    <row r="580" spans="1:10" x14ac:dyDescent="0.25">
      <c r="A580" s="2"/>
      <c r="B580" s="13">
        <v>46238</v>
      </c>
      <c r="C580" s="2">
        <v>3435</v>
      </c>
      <c r="D580" s="3" t="s">
        <v>15</v>
      </c>
      <c r="E580" s="3" t="s">
        <v>243</v>
      </c>
      <c r="F580" s="3" t="s">
        <v>11</v>
      </c>
      <c r="G580" s="5"/>
      <c r="H580" s="5">
        <v>300</v>
      </c>
      <c r="I580" s="5"/>
      <c r="J580" s="25">
        <f t="shared" si="13"/>
        <v>300</v>
      </c>
    </row>
    <row r="581" spans="1:10" x14ac:dyDescent="0.25">
      <c r="A581" s="2"/>
      <c r="B581" s="13">
        <v>46238</v>
      </c>
      <c r="C581" s="2">
        <v>3442</v>
      </c>
      <c r="D581" s="3" t="s">
        <v>15</v>
      </c>
      <c r="E581" s="3" t="s">
        <v>43</v>
      </c>
      <c r="F581" s="3" t="s">
        <v>11</v>
      </c>
      <c r="G581" s="5"/>
      <c r="H581" s="5">
        <v>400</v>
      </c>
      <c r="I581" s="5"/>
      <c r="J581" s="25">
        <f t="shared" si="13"/>
        <v>400</v>
      </c>
    </row>
    <row r="582" spans="1:10" x14ac:dyDescent="0.25">
      <c r="A582" s="2"/>
      <c r="B582" s="13">
        <v>46238</v>
      </c>
      <c r="C582" s="2">
        <v>3446</v>
      </c>
      <c r="D582" s="3" t="s">
        <v>15</v>
      </c>
      <c r="E582" s="3" t="s">
        <v>386</v>
      </c>
      <c r="F582" s="3" t="s">
        <v>11</v>
      </c>
      <c r="G582" s="5"/>
      <c r="H582" s="5">
        <v>4500</v>
      </c>
      <c r="I582" s="5"/>
      <c r="J582" s="25">
        <f t="shared" si="13"/>
        <v>4500</v>
      </c>
    </row>
    <row r="583" spans="1:10" x14ac:dyDescent="0.25">
      <c r="A583" s="2"/>
      <c r="B583" s="13">
        <v>46238</v>
      </c>
      <c r="C583" s="2">
        <v>3447</v>
      </c>
      <c r="D583" s="3" t="s">
        <v>15</v>
      </c>
      <c r="E583" s="3" t="s">
        <v>241</v>
      </c>
      <c r="F583" s="3" t="s">
        <v>11</v>
      </c>
      <c r="G583" s="5"/>
      <c r="H583" s="5">
        <v>500</v>
      </c>
      <c r="I583" s="5"/>
      <c r="J583" s="25">
        <f t="shared" si="13"/>
        <v>500</v>
      </c>
    </row>
    <row r="584" spans="1:10" x14ac:dyDescent="0.25">
      <c r="A584" s="2"/>
      <c r="B584" s="13">
        <v>46238</v>
      </c>
      <c r="C584" s="2">
        <v>3448</v>
      </c>
      <c r="D584" s="3" t="s">
        <v>15</v>
      </c>
      <c r="E584" s="3" t="s">
        <v>53</v>
      </c>
      <c r="F584" s="3" t="s">
        <v>11</v>
      </c>
      <c r="G584" s="5"/>
      <c r="H584" s="5">
        <v>11000</v>
      </c>
      <c r="I584" s="5"/>
      <c r="J584" s="25">
        <f t="shared" si="13"/>
        <v>11000</v>
      </c>
    </row>
    <row r="585" spans="1:10" x14ac:dyDescent="0.25">
      <c r="A585" s="2"/>
      <c r="B585" s="13">
        <v>46238</v>
      </c>
      <c r="C585" s="2">
        <v>3456</v>
      </c>
      <c r="D585" s="3" t="s">
        <v>15</v>
      </c>
      <c r="E585" s="3" t="s">
        <v>387</v>
      </c>
      <c r="F585" s="3" t="s">
        <v>11</v>
      </c>
      <c r="G585" s="5"/>
      <c r="H585" s="5">
        <v>34090.910000000003</v>
      </c>
      <c r="I585" s="5"/>
      <c r="J585" s="25">
        <f t="shared" si="13"/>
        <v>34090.910000000003</v>
      </c>
    </row>
    <row r="586" spans="1:10" x14ac:dyDescent="0.25">
      <c r="A586" s="2"/>
      <c r="B586" s="13">
        <v>46238</v>
      </c>
      <c r="C586" s="2">
        <v>912</v>
      </c>
      <c r="D586" s="3" t="s">
        <v>15</v>
      </c>
      <c r="E586" s="3" t="s">
        <v>277</v>
      </c>
      <c r="F586" s="3" t="s">
        <v>11</v>
      </c>
      <c r="G586" s="5"/>
      <c r="H586" s="5"/>
      <c r="I586" s="5">
        <v>2200</v>
      </c>
      <c r="J586" s="25">
        <f t="shared" si="13"/>
        <v>-2200</v>
      </c>
    </row>
    <row r="587" spans="1:10" x14ac:dyDescent="0.25">
      <c r="A587" s="2"/>
      <c r="B587" s="13">
        <v>46238</v>
      </c>
      <c r="C587" s="2">
        <v>913</v>
      </c>
      <c r="D587" s="3" t="s">
        <v>15</v>
      </c>
      <c r="E587" s="3" t="s">
        <v>109</v>
      </c>
      <c r="F587" s="3" t="s">
        <v>11</v>
      </c>
      <c r="G587" s="5"/>
      <c r="H587" s="5"/>
      <c r="I587" s="5">
        <v>500</v>
      </c>
      <c r="J587" s="25">
        <f t="shared" si="13"/>
        <v>-500</v>
      </c>
    </row>
    <row r="588" spans="1:10" x14ac:dyDescent="0.25">
      <c r="A588" s="2"/>
      <c r="B588" s="13">
        <v>46239</v>
      </c>
      <c r="C588" s="2">
        <v>914</v>
      </c>
      <c r="D588" s="3" t="s">
        <v>15</v>
      </c>
      <c r="E588" s="3" t="s">
        <v>358</v>
      </c>
      <c r="F588" s="3" t="s">
        <v>11</v>
      </c>
      <c r="G588" s="5"/>
      <c r="H588" s="5"/>
      <c r="I588" s="5">
        <v>700</v>
      </c>
      <c r="J588" s="25">
        <f t="shared" si="13"/>
        <v>-700</v>
      </c>
    </row>
    <row r="589" spans="1:10" x14ac:dyDescent="0.25">
      <c r="A589" s="2"/>
      <c r="B589" s="13">
        <v>46239</v>
      </c>
      <c r="C589" s="2">
        <v>915</v>
      </c>
      <c r="D589" s="3" t="s">
        <v>15</v>
      </c>
      <c r="E589" s="3" t="s">
        <v>61</v>
      </c>
      <c r="F589" s="3" t="s">
        <v>11</v>
      </c>
      <c r="G589" s="5"/>
      <c r="H589" s="5"/>
      <c r="I589" s="5">
        <v>18963.36</v>
      </c>
      <c r="J589" s="25">
        <f t="shared" si="13"/>
        <v>-18963.36</v>
      </c>
    </row>
    <row r="590" spans="1:10" x14ac:dyDescent="0.25">
      <c r="A590" s="2"/>
      <c r="B590" s="13">
        <v>46239</v>
      </c>
      <c r="C590" s="2">
        <v>916</v>
      </c>
      <c r="D590" s="3" t="s">
        <v>15</v>
      </c>
      <c r="E590" s="3" t="s">
        <v>390</v>
      </c>
      <c r="F590" s="3" t="s">
        <v>11</v>
      </c>
      <c r="G590" s="5"/>
      <c r="H590" s="5"/>
      <c r="I590" s="5">
        <v>300</v>
      </c>
      <c r="J590" s="25">
        <f t="shared" si="13"/>
        <v>-300</v>
      </c>
    </row>
    <row r="591" spans="1:10" x14ac:dyDescent="0.25">
      <c r="A591" s="2"/>
      <c r="B591" s="13">
        <v>46239</v>
      </c>
      <c r="C591" s="2">
        <v>3461</v>
      </c>
      <c r="D591" s="3" t="s">
        <v>15</v>
      </c>
      <c r="E591" s="3" t="s">
        <v>388</v>
      </c>
      <c r="F591" s="3" t="s">
        <v>11</v>
      </c>
      <c r="G591" s="5"/>
      <c r="H591" s="5">
        <v>1147.73</v>
      </c>
      <c r="I591" s="5"/>
      <c r="J591" s="25">
        <f t="shared" si="13"/>
        <v>1147.73</v>
      </c>
    </row>
    <row r="592" spans="1:10" x14ac:dyDescent="0.25">
      <c r="A592" s="2"/>
      <c r="B592" s="13">
        <v>46240</v>
      </c>
      <c r="C592" s="2">
        <v>918</v>
      </c>
      <c r="D592" s="3" t="s">
        <v>15</v>
      </c>
      <c r="E592" s="3" t="s">
        <v>336</v>
      </c>
      <c r="F592" s="3" t="s">
        <v>11</v>
      </c>
      <c r="G592" s="5"/>
      <c r="H592" s="5"/>
      <c r="I592" s="5">
        <v>600</v>
      </c>
      <c r="J592" s="25">
        <f t="shared" si="13"/>
        <v>-600</v>
      </c>
    </row>
    <row r="593" spans="1:10" x14ac:dyDescent="0.25">
      <c r="A593" s="2"/>
      <c r="B593" s="13">
        <v>46240</v>
      </c>
      <c r="C593" s="2">
        <v>919</v>
      </c>
      <c r="D593" s="3" t="s">
        <v>15</v>
      </c>
      <c r="E593" s="3" t="s">
        <v>391</v>
      </c>
      <c r="F593" s="3" t="s">
        <v>11</v>
      </c>
      <c r="G593" s="5"/>
      <c r="H593" s="5"/>
      <c r="I593" s="5">
        <v>200</v>
      </c>
      <c r="J593" s="25">
        <f t="shared" si="13"/>
        <v>-200</v>
      </c>
    </row>
    <row r="594" spans="1:10" x14ac:dyDescent="0.25">
      <c r="A594" s="2"/>
      <c r="B594" s="13">
        <v>46240</v>
      </c>
      <c r="C594" s="2">
        <v>920</v>
      </c>
      <c r="D594" s="3" t="s">
        <v>15</v>
      </c>
      <c r="E594" s="3" t="s">
        <v>241</v>
      </c>
      <c r="F594" s="3" t="s">
        <v>11</v>
      </c>
      <c r="G594" s="5"/>
      <c r="H594" s="5"/>
      <c r="I594" s="5">
        <v>115</v>
      </c>
      <c r="J594" s="25">
        <f t="shared" si="13"/>
        <v>-115</v>
      </c>
    </row>
    <row r="595" spans="1:10" x14ac:dyDescent="0.25">
      <c r="A595" s="2"/>
      <c r="B595" s="13">
        <v>46241</v>
      </c>
      <c r="C595" s="2">
        <v>921</v>
      </c>
      <c r="D595" s="3" t="s">
        <v>15</v>
      </c>
      <c r="E595" s="3" t="s">
        <v>24</v>
      </c>
      <c r="F595" s="3" t="s">
        <v>11</v>
      </c>
      <c r="G595" s="5"/>
      <c r="H595" s="5"/>
      <c r="I595" s="5">
        <v>1700</v>
      </c>
      <c r="J595" s="25">
        <f t="shared" si="13"/>
        <v>-1700</v>
      </c>
    </row>
    <row r="596" spans="1:10" x14ac:dyDescent="0.25">
      <c r="A596" s="2"/>
      <c r="B596" s="13">
        <v>46241</v>
      </c>
      <c r="C596" s="2">
        <v>3463</v>
      </c>
      <c r="D596" s="3" t="s">
        <v>15</v>
      </c>
      <c r="E596" s="3" t="s">
        <v>31</v>
      </c>
      <c r="F596" s="3" t="s">
        <v>11</v>
      </c>
      <c r="G596" s="5"/>
      <c r="H596" s="5">
        <v>5000</v>
      </c>
      <c r="I596" s="5"/>
      <c r="J596" s="25">
        <f t="shared" si="13"/>
        <v>5000</v>
      </c>
    </row>
    <row r="597" spans="1:10" x14ac:dyDescent="0.25">
      <c r="A597" s="2"/>
      <c r="B597" s="13">
        <v>46241</v>
      </c>
      <c r="C597" s="2">
        <v>3468</v>
      </c>
      <c r="D597" s="3" t="s">
        <v>15</v>
      </c>
      <c r="E597" s="3" t="s">
        <v>31</v>
      </c>
      <c r="F597" s="3" t="s">
        <v>11</v>
      </c>
      <c r="G597" s="5"/>
      <c r="H597" s="5">
        <v>1200</v>
      </c>
      <c r="I597" s="5"/>
      <c r="J597" s="25">
        <f t="shared" si="13"/>
        <v>1200</v>
      </c>
    </row>
    <row r="598" spans="1:10" x14ac:dyDescent="0.25">
      <c r="A598" s="2"/>
      <c r="B598" s="13">
        <v>46242</v>
      </c>
      <c r="C598" s="2">
        <v>3470</v>
      </c>
      <c r="D598" s="3" t="s">
        <v>15</v>
      </c>
      <c r="E598" s="3" t="s">
        <v>66</v>
      </c>
      <c r="F598" s="3" t="s">
        <v>11</v>
      </c>
      <c r="G598" s="5"/>
      <c r="H598" s="5">
        <v>4000</v>
      </c>
      <c r="I598" s="5"/>
      <c r="J598" s="25">
        <f t="shared" si="13"/>
        <v>4000</v>
      </c>
    </row>
    <row r="599" spans="1:10" x14ac:dyDescent="0.25">
      <c r="A599" s="2"/>
      <c r="B599" s="13">
        <v>46242</v>
      </c>
      <c r="C599" s="2">
        <v>3471</v>
      </c>
      <c r="D599" s="3" t="s">
        <v>15</v>
      </c>
      <c r="E599" s="3" t="s">
        <v>243</v>
      </c>
      <c r="F599" s="3" t="s">
        <v>11</v>
      </c>
      <c r="G599" s="5"/>
      <c r="H599" s="5">
        <v>325</v>
      </c>
      <c r="I599" s="5"/>
      <c r="J599" s="25">
        <f t="shared" si="13"/>
        <v>325</v>
      </c>
    </row>
    <row r="600" spans="1:10" x14ac:dyDescent="0.25">
      <c r="A600" s="2"/>
      <c r="B600" s="13">
        <v>46242</v>
      </c>
      <c r="C600" s="2">
        <v>922</v>
      </c>
      <c r="D600" s="3" t="s">
        <v>15</v>
      </c>
      <c r="E600" s="3" t="s">
        <v>241</v>
      </c>
      <c r="F600" s="3" t="s">
        <v>11</v>
      </c>
      <c r="G600" s="5"/>
      <c r="H600" s="5"/>
      <c r="I600" s="5">
        <v>700</v>
      </c>
      <c r="J600" s="25">
        <f t="shared" si="13"/>
        <v>-700</v>
      </c>
    </row>
    <row r="601" spans="1:10" x14ac:dyDescent="0.25">
      <c r="A601" s="2"/>
      <c r="B601" s="13">
        <v>46242</v>
      </c>
      <c r="C601" s="2">
        <v>923</v>
      </c>
      <c r="D601" s="3" t="s">
        <v>15</v>
      </c>
      <c r="E601" s="3" t="s">
        <v>83</v>
      </c>
      <c r="F601" s="3" t="s">
        <v>11</v>
      </c>
      <c r="G601" s="5"/>
      <c r="H601" s="5"/>
      <c r="I601" s="5">
        <v>100</v>
      </c>
      <c r="J601" s="25">
        <f t="shared" si="13"/>
        <v>-100</v>
      </c>
    </row>
    <row r="602" spans="1:10" x14ac:dyDescent="0.25">
      <c r="A602" s="2"/>
      <c r="B602" s="13">
        <v>46244</v>
      </c>
      <c r="C602" s="2">
        <v>3475</v>
      </c>
      <c r="D602" s="3" t="s">
        <v>15</v>
      </c>
      <c r="E602" s="3" t="s">
        <v>389</v>
      </c>
      <c r="F602" s="3" t="s">
        <v>11</v>
      </c>
      <c r="G602" s="5"/>
      <c r="H602" s="5">
        <v>7850</v>
      </c>
      <c r="I602" s="5"/>
      <c r="J602" s="25">
        <f t="shared" si="13"/>
        <v>7850</v>
      </c>
    </row>
    <row r="603" spans="1:10" x14ac:dyDescent="0.25">
      <c r="A603" s="2"/>
      <c r="B603" s="13">
        <v>46244</v>
      </c>
      <c r="C603" s="2">
        <v>3476</v>
      </c>
      <c r="D603" s="3" t="s">
        <v>15</v>
      </c>
      <c r="E603" s="3" t="s">
        <v>31</v>
      </c>
      <c r="F603" s="3" t="s">
        <v>11</v>
      </c>
      <c r="G603" s="5"/>
      <c r="H603" s="5">
        <v>800</v>
      </c>
      <c r="I603" s="5"/>
      <c r="J603" s="25">
        <f t="shared" si="13"/>
        <v>800</v>
      </c>
    </row>
    <row r="604" spans="1:10" x14ac:dyDescent="0.25">
      <c r="A604" s="2"/>
      <c r="B604" s="13">
        <v>46245</v>
      </c>
      <c r="C604" s="2">
        <v>924</v>
      </c>
      <c r="D604" s="3" t="s">
        <v>15</v>
      </c>
      <c r="E604" s="3" t="s">
        <v>191</v>
      </c>
      <c r="F604" s="3" t="s">
        <v>11</v>
      </c>
      <c r="G604" s="5"/>
      <c r="H604" s="5"/>
      <c r="I604" s="5">
        <v>1000</v>
      </c>
      <c r="J604" s="25">
        <f t="shared" si="13"/>
        <v>-1000</v>
      </c>
    </row>
    <row r="605" spans="1:10" x14ac:dyDescent="0.25">
      <c r="A605" s="2"/>
      <c r="B605" s="13">
        <v>46245</v>
      </c>
      <c r="C605" s="2">
        <v>925</v>
      </c>
      <c r="D605" s="3" t="s">
        <v>15</v>
      </c>
      <c r="E605" s="3" t="s">
        <v>43</v>
      </c>
      <c r="F605" s="3" t="s">
        <v>11</v>
      </c>
      <c r="G605" s="5"/>
      <c r="H605" s="5"/>
      <c r="I605" s="5">
        <v>3000</v>
      </c>
      <c r="J605" s="25">
        <f t="shared" si="13"/>
        <v>-3000</v>
      </c>
    </row>
    <row r="606" spans="1:10" x14ac:dyDescent="0.25">
      <c r="A606" s="2"/>
      <c r="B606" s="13">
        <v>46245</v>
      </c>
      <c r="C606" s="2">
        <v>926</v>
      </c>
      <c r="D606" s="3" t="s">
        <v>15</v>
      </c>
      <c r="E606" s="3" t="s">
        <v>358</v>
      </c>
      <c r="F606" s="3" t="s">
        <v>11</v>
      </c>
      <c r="G606" s="5"/>
      <c r="H606" s="5"/>
      <c r="I606" s="5">
        <v>700</v>
      </c>
      <c r="J606" s="25">
        <f t="shared" si="13"/>
        <v>-700</v>
      </c>
    </row>
    <row r="607" spans="1:10" x14ac:dyDescent="0.25">
      <c r="A607" s="2"/>
      <c r="B607" s="13">
        <v>46246</v>
      </c>
      <c r="C607" s="2">
        <v>3497</v>
      </c>
      <c r="D607" s="3" t="s">
        <v>15</v>
      </c>
      <c r="E607" s="3" t="s">
        <v>392</v>
      </c>
      <c r="F607" s="3" t="s">
        <v>11</v>
      </c>
      <c r="G607" s="5"/>
      <c r="H607" s="5">
        <v>56818.14</v>
      </c>
      <c r="I607" s="5"/>
      <c r="J607" s="25">
        <f t="shared" si="13"/>
        <v>56818.14</v>
      </c>
    </row>
    <row r="608" spans="1:10" x14ac:dyDescent="0.25">
      <c r="A608" s="2"/>
      <c r="B608" s="13">
        <v>46246</v>
      </c>
      <c r="C608" s="2">
        <v>3498</v>
      </c>
      <c r="D608" s="3" t="s">
        <v>15</v>
      </c>
      <c r="E608" s="3" t="s">
        <v>392</v>
      </c>
      <c r="F608" s="3" t="s">
        <v>11</v>
      </c>
      <c r="G608" s="5"/>
      <c r="H608" s="5">
        <v>0.04</v>
      </c>
      <c r="I608" s="5"/>
      <c r="J608" s="25">
        <f t="shared" si="13"/>
        <v>0.04</v>
      </c>
    </row>
    <row r="609" spans="1:10" x14ac:dyDescent="0.25">
      <c r="A609" s="2"/>
      <c r="B609" s="13">
        <v>46246</v>
      </c>
      <c r="C609" s="2">
        <v>927</v>
      </c>
      <c r="D609" s="3" t="s">
        <v>15</v>
      </c>
      <c r="E609" s="3" t="s">
        <v>241</v>
      </c>
      <c r="F609" s="3" t="s">
        <v>11</v>
      </c>
      <c r="G609" s="5"/>
      <c r="H609" s="5"/>
      <c r="I609" s="5">
        <v>500</v>
      </c>
      <c r="J609" s="25">
        <f t="shared" si="13"/>
        <v>-500</v>
      </c>
    </row>
    <row r="610" spans="1:10" x14ac:dyDescent="0.25">
      <c r="A610" s="2"/>
      <c r="B610" s="13">
        <v>46246</v>
      </c>
      <c r="C610" s="2">
        <v>928</v>
      </c>
      <c r="D610" s="3" t="s">
        <v>15</v>
      </c>
      <c r="E610" s="3" t="s">
        <v>31</v>
      </c>
      <c r="F610" s="3" t="s">
        <v>11</v>
      </c>
      <c r="G610" s="5"/>
      <c r="H610" s="5"/>
      <c r="I610" s="5">
        <v>200</v>
      </c>
      <c r="J610" s="25">
        <f t="shared" si="13"/>
        <v>-200</v>
      </c>
    </row>
    <row r="611" spans="1:10" s="32" customFormat="1" x14ac:dyDescent="0.25">
      <c r="A611" s="21"/>
      <c r="B611" s="23">
        <v>46247</v>
      </c>
      <c r="C611" s="21">
        <v>3506</v>
      </c>
      <c r="D611" s="31" t="s">
        <v>15</v>
      </c>
      <c r="E611" s="31" t="s">
        <v>313</v>
      </c>
      <c r="F611" s="31" t="s">
        <v>11</v>
      </c>
      <c r="G611" s="25"/>
      <c r="H611" s="25">
        <v>55000</v>
      </c>
      <c r="I611" s="25"/>
      <c r="J611" s="25">
        <f t="shared" si="13"/>
        <v>55000</v>
      </c>
    </row>
    <row r="612" spans="1:10" x14ac:dyDescent="0.25">
      <c r="A612" s="2"/>
      <c r="B612" s="13">
        <v>46247</v>
      </c>
      <c r="C612" s="2">
        <v>3510</v>
      </c>
      <c r="D612" s="3" t="s">
        <v>15</v>
      </c>
      <c r="E612" s="3" t="s">
        <v>393</v>
      </c>
      <c r="F612" s="3" t="s">
        <v>11</v>
      </c>
      <c r="G612" s="5"/>
      <c r="H612" s="5">
        <v>300</v>
      </c>
      <c r="I612" s="5"/>
      <c r="J612" s="25">
        <f t="shared" si="13"/>
        <v>300</v>
      </c>
    </row>
    <row r="613" spans="1:10" x14ac:dyDescent="0.25">
      <c r="A613" s="2"/>
      <c r="B613" s="13">
        <v>46247</v>
      </c>
      <c r="C613" s="2">
        <v>3411</v>
      </c>
      <c r="D613" s="3" t="s">
        <v>15</v>
      </c>
      <c r="E613" s="3" t="s">
        <v>394</v>
      </c>
      <c r="F613" s="3" t="s">
        <v>11</v>
      </c>
      <c r="G613" s="5"/>
      <c r="H613" s="5">
        <v>45454.54</v>
      </c>
      <c r="I613" s="5"/>
      <c r="J613" s="25">
        <f t="shared" si="13"/>
        <v>45454.54</v>
      </c>
    </row>
    <row r="614" spans="1:10" x14ac:dyDescent="0.25">
      <c r="A614" s="2"/>
      <c r="B614" s="13">
        <v>46247</v>
      </c>
      <c r="C614" s="2">
        <v>929</v>
      </c>
      <c r="D614" s="3" t="s">
        <v>15</v>
      </c>
      <c r="E614" s="3" t="s">
        <v>393</v>
      </c>
      <c r="F614" s="3" t="s">
        <v>11</v>
      </c>
      <c r="G614" s="5"/>
      <c r="H614" s="5"/>
      <c r="I614" s="5">
        <v>9000</v>
      </c>
      <c r="J614" s="25">
        <f t="shared" si="13"/>
        <v>-9000</v>
      </c>
    </row>
    <row r="615" spans="1:10" x14ac:dyDescent="0.25">
      <c r="A615" s="2"/>
      <c r="B615" s="13">
        <v>46247</v>
      </c>
      <c r="C615" s="2">
        <v>930</v>
      </c>
      <c r="D615" s="3" t="s">
        <v>15</v>
      </c>
      <c r="E615" s="3" t="s">
        <v>277</v>
      </c>
      <c r="F615" s="3" t="s">
        <v>11</v>
      </c>
      <c r="G615" s="5"/>
      <c r="H615" s="5"/>
      <c r="I615" s="5">
        <v>200</v>
      </c>
      <c r="J615" s="25">
        <f t="shared" si="13"/>
        <v>-200</v>
      </c>
    </row>
    <row r="616" spans="1:10" x14ac:dyDescent="0.25">
      <c r="A616" s="2"/>
      <c r="B616" s="13">
        <v>46248</v>
      </c>
      <c r="C616" s="2">
        <v>3517</v>
      </c>
      <c r="D616" s="3" t="s">
        <v>15</v>
      </c>
      <c r="E616" s="3" t="s">
        <v>31</v>
      </c>
      <c r="F616" s="3" t="s">
        <v>11</v>
      </c>
      <c r="G616" s="5"/>
      <c r="H616" s="5">
        <v>300</v>
      </c>
      <c r="I616" s="5"/>
      <c r="J616" s="25">
        <f t="shared" si="13"/>
        <v>300</v>
      </c>
    </row>
    <row r="617" spans="1:10" x14ac:dyDescent="0.25">
      <c r="A617" s="2"/>
      <c r="B617" s="13">
        <v>46248</v>
      </c>
      <c r="C617" s="2">
        <v>3518</v>
      </c>
      <c r="D617" s="3" t="s">
        <v>15</v>
      </c>
      <c r="E617" s="3" t="s">
        <v>395</v>
      </c>
      <c r="F617" s="3" t="s">
        <v>11</v>
      </c>
      <c r="G617" s="5"/>
      <c r="H617" s="5">
        <v>1144.8900000000001</v>
      </c>
      <c r="I617" s="5"/>
      <c r="J617" s="25">
        <f t="shared" si="13"/>
        <v>1144.8900000000001</v>
      </c>
    </row>
    <row r="618" spans="1:10" x14ac:dyDescent="0.25">
      <c r="A618" s="2"/>
      <c r="B618" s="13">
        <v>46248</v>
      </c>
      <c r="C618" s="2">
        <v>931</v>
      </c>
      <c r="D618" s="3" t="s">
        <v>15</v>
      </c>
      <c r="E618" s="3" t="s">
        <v>396</v>
      </c>
      <c r="F618" s="3" t="s">
        <v>11</v>
      </c>
      <c r="G618" s="5"/>
      <c r="H618" s="5"/>
      <c r="I618" s="5">
        <v>51000</v>
      </c>
      <c r="J618" s="25">
        <f t="shared" si="13"/>
        <v>-51000</v>
      </c>
    </row>
    <row r="619" spans="1:10" x14ac:dyDescent="0.25">
      <c r="A619" s="2"/>
      <c r="B619" s="13">
        <v>46248</v>
      </c>
      <c r="C619" s="2">
        <v>933</v>
      </c>
      <c r="D619" s="3" t="s">
        <v>15</v>
      </c>
      <c r="E619" s="3" t="s">
        <v>397</v>
      </c>
      <c r="F619" s="3" t="s">
        <v>11</v>
      </c>
      <c r="G619" s="5"/>
      <c r="H619" s="5"/>
      <c r="I619" s="5">
        <v>200</v>
      </c>
      <c r="J619" s="25">
        <f t="shared" si="13"/>
        <v>-200</v>
      </c>
    </row>
    <row r="620" spans="1:10" x14ac:dyDescent="0.25">
      <c r="A620" s="2"/>
      <c r="B620" s="13">
        <v>46249</v>
      </c>
      <c r="C620" s="2">
        <v>934</v>
      </c>
      <c r="D620" s="3" t="s">
        <v>15</v>
      </c>
      <c r="E620" s="3" t="s">
        <v>309</v>
      </c>
      <c r="F620" s="3" t="s">
        <v>11</v>
      </c>
      <c r="G620" s="5"/>
      <c r="H620" s="5"/>
      <c r="I620" s="5">
        <v>5354</v>
      </c>
      <c r="J620" s="25">
        <f t="shared" si="13"/>
        <v>-5354</v>
      </c>
    </row>
    <row r="621" spans="1:10" x14ac:dyDescent="0.25">
      <c r="A621" s="2"/>
      <c r="B621" s="13">
        <v>46249</v>
      </c>
      <c r="C621" s="2">
        <v>935</v>
      </c>
      <c r="D621" s="3" t="s">
        <v>15</v>
      </c>
      <c r="E621" s="3" t="s">
        <v>397</v>
      </c>
      <c r="F621" s="3" t="s">
        <v>11</v>
      </c>
      <c r="G621" s="5"/>
      <c r="H621" s="5"/>
      <c r="I621" s="5">
        <v>1200</v>
      </c>
      <c r="J621" s="25">
        <f t="shared" si="13"/>
        <v>-1200</v>
      </c>
    </row>
    <row r="622" spans="1:10" x14ac:dyDescent="0.25">
      <c r="A622" s="2"/>
      <c r="B622" s="13">
        <v>46249</v>
      </c>
      <c r="C622" s="2">
        <v>936</v>
      </c>
      <c r="D622" s="3" t="s">
        <v>15</v>
      </c>
      <c r="E622" s="3" t="s">
        <v>16</v>
      </c>
      <c r="F622" s="3" t="s">
        <v>11</v>
      </c>
      <c r="G622" s="5"/>
      <c r="H622" s="5"/>
      <c r="I622" s="5">
        <v>4500</v>
      </c>
      <c r="J622" s="25">
        <f t="shared" si="13"/>
        <v>-4500</v>
      </c>
    </row>
    <row r="623" spans="1:10" x14ac:dyDescent="0.25">
      <c r="A623" s="2"/>
      <c r="B623" s="13">
        <v>46249</v>
      </c>
      <c r="C623" s="2">
        <v>937</v>
      </c>
      <c r="D623" s="3" t="s">
        <v>15</v>
      </c>
      <c r="E623" s="3" t="s">
        <v>20</v>
      </c>
      <c r="F623" s="3" t="s">
        <v>11</v>
      </c>
      <c r="G623" s="5"/>
      <c r="H623" s="5"/>
      <c r="I623" s="5">
        <v>1000</v>
      </c>
      <c r="J623" s="25">
        <f t="shared" si="13"/>
        <v>-1000</v>
      </c>
    </row>
    <row r="624" spans="1:10" x14ac:dyDescent="0.25">
      <c r="A624" s="2"/>
      <c r="B624" s="13">
        <v>46251</v>
      </c>
      <c r="C624" s="2">
        <v>3530</v>
      </c>
      <c r="D624" s="3" t="s">
        <v>15</v>
      </c>
      <c r="E624" s="3" t="s">
        <v>57</v>
      </c>
      <c r="F624" s="3" t="s">
        <v>11</v>
      </c>
      <c r="G624" s="5"/>
      <c r="H624" s="5">
        <v>11363.64</v>
      </c>
      <c r="I624" s="5"/>
      <c r="J624" s="25">
        <f t="shared" si="13"/>
        <v>11363.64</v>
      </c>
    </row>
    <row r="625" spans="1:10" x14ac:dyDescent="0.25">
      <c r="A625" s="2"/>
      <c r="B625" s="13">
        <v>46251</v>
      </c>
      <c r="C625" s="2">
        <v>938</v>
      </c>
      <c r="D625" s="3" t="s">
        <v>15</v>
      </c>
      <c r="E625" s="3" t="s">
        <v>53</v>
      </c>
      <c r="F625" s="3" t="s">
        <v>11</v>
      </c>
      <c r="G625" s="5"/>
      <c r="I625" s="5">
        <v>11000</v>
      </c>
      <c r="J625" s="25">
        <f t="shared" si="13"/>
        <v>-11000</v>
      </c>
    </row>
    <row r="626" spans="1:10" x14ac:dyDescent="0.25">
      <c r="A626" s="2"/>
      <c r="B626" s="13">
        <v>46251</v>
      </c>
      <c r="C626" s="2">
        <v>939</v>
      </c>
      <c r="D626" s="3" t="s">
        <v>15</v>
      </c>
      <c r="E626" s="3" t="s">
        <v>289</v>
      </c>
      <c r="F626" s="3" t="s">
        <v>11</v>
      </c>
      <c r="G626" s="5"/>
      <c r="H626" s="5"/>
      <c r="I626" s="5">
        <v>200</v>
      </c>
      <c r="J626" s="25">
        <f t="shared" si="13"/>
        <v>-200</v>
      </c>
    </row>
    <row r="627" spans="1:10" x14ac:dyDescent="0.25">
      <c r="A627" s="2"/>
      <c r="B627" s="13">
        <v>46251</v>
      </c>
      <c r="C627" s="2">
        <v>940</v>
      </c>
      <c r="D627" s="3" t="s">
        <v>15</v>
      </c>
      <c r="E627" s="3" t="s">
        <v>191</v>
      </c>
      <c r="F627" s="3" t="s">
        <v>11</v>
      </c>
      <c r="G627" s="5"/>
      <c r="H627" s="5"/>
      <c r="I627" s="5">
        <v>3000</v>
      </c>
      <c r="J627" s="25">
        <f t="shared" si="13"/>
        <v>-3000</v>
      </c>
    </row>
    <row r="628" spans="1:10" x14ac:dyDescent="0.25">
      <c r="A628" s="2"/>
      <c r="B628" s="13">
        <v>46251</v>
      </c>
      <c r="C628" s="2">
        <v>941</v>
      </c>
      <c r="D628" s="3" t="s">
        <v>15</v>
      </c>
      <c r="E628" s="3" t="s">
        <v>243</v>
      </c>
      <c r="F628" s="3" t="s">
        <v>11</v>
      </c>
      <c r="G628" s="5"/>
      <c r="H628" s="5"/>
      <c r="I628" s="5">
        <v>300</v>
      </c>
      <c r="J628" s="25">
        <f t="shared" si="13"/>
        <v>-300</v>
      </c>
    </row>
    <row r="629" spans="1:10" x14ac:dyDescent="0.25">
      <c r="A629" s="2"/>
      <c r="B629" s="13">
        <v>46252</v>
      </c>
      <c r="C629" s="2">
        <v>3533</v>
      </c>
      <c r="D629" s="3" t="s">
        <v>15</v>
      </c>
      <c r="E629" s="3" t="s">
        <v>43</v>
      </c>
      <c r="F629" s="3" t="s">
        <v>11</v>
      </c>
      <c r="G629" s="5"/>
      <c r="H629" s="5">
        <v>400</v>
      </c>
      <c r="I629" s="5"/>
      <c r="J629" s="25">
        <f t="shared" si="13"/>
        <v>400</v>
      </c>
    </row>
    <row r="630" spans="1:10" x14ac:dyDescent="0.25">
      <c r="A630" s="2"/>
      <c r="B630" s="13">
        <v>46252</v>
      </c>
      <c r="C630" s="2">
        <v>3535</v>
      </c>
      <c r="D630" s="3" t="s">
        <v>15</v>
      </c>
      <c r="E630" s="3" t="s">
        <v>95</v>
      </c>
      <c r="F630" s="3" t="s">
        <v>11</v>
      </c>
      <c r="G630" s="5"/>
      <c r="H630" s="5">
        <v>1144.8800000000001</v>
      </c>
      <c r="I630" s="5"/>
      <c r="J630" s="25">
        <f t="shared" si="13"/>
        <v>1144.8800000000001</v>
      </c>
    </row>
    <row r="631" spans="1:10" x14ac:dyDescent="0.25">
      <c r="A631" s="2"/>
      <c r="B631" s="13">
        <v>46252</v>
      </c>
      <c r="C631" s="2">
        <v>942</v>
      </c>
      <c r="D631" s="3" t="s">
        <v>15</v>
      </c>
      <c r="E631" s="3" t="s">
        <v>397</v>
      </c>
      <c r="F631" s="3" t="s">
        <v>11</v>
      </c>
      <c r="G631" s="5"/>
      <c r="H631" s="5"/>
      <c r="I631" s="5">
        <v>100</v>
      </c>
      <c r="J631" s="25">
        <f t="shared" si="13"/>
        <v>-100</v>
      </c>
    </row>
    <row r="632" spans="1:10" x14ac:dyDescent="0.25">
      <c r="A632" s="2"/>
      <c r="B632" s="13">
        <v>46252</v>
      </c>
      <c r="C632" s="2">
        <v>944</v>
      </c>
      <c r="D632" s="3" t="s">
        <v>15</v>
      </c>
      <c r="E632" s="3" t="s">
        <v>59</v>
      </c>
      <c r="F632" s="3" t="s">
        <v>11</v>
      </c>
      <c r="G632" s="5"/>
      <c r="H632" s="5"/>
      <c r="I632" s="5">
        <v>4000</v>
      </c>
      <c r="J632" s="25">
        <f t="shared" si="13"/>
        <v>-4000</v>
      </c>
    </row>
    <row r="633" spans="1:10" x14ac:dyDescent="0.25">
      <c r="A633" s="2"/>
      <c r="B633" s="13">
        <v>46253</v>
      </c>
      <c r="C633" s="2">
        <v>945</v>
      </c>
      <c r="D633" s="3" t="s">
        <v>15</v>
      </c>
      <c r="E633" s="3" t="s">
        <v>115</v>
      </c>
      <c r="F633" s="3" t="s">
        <v>11</v>
      </c>
      <c r="G633" s="5"/>
      <c r="H633" s="5"/>
      <c r="I633" s="5">
        <v>7654</v>
      </c>
      <c r="J633" s="25">
        <f t="shared" si="13"/>
        <v>-7654</v>
      </c>
    </row>
    <row r="634" spans="1:10" x14ac:dyDescent="0.25">
      <c r="A634" s="2"/>
      <c r="B634" s="13">
        <v>46253</v>
      </c>
      <c r="C634" s="2">
        <v>946</v>
      </c>
      <c r="D634" s="3" t="s">
        <v>15</v>
      </c>
      <c r="E634" s="3" t="s">
        <v>289</v>
      </c>
      <c r="F634" s="3" t="s">
        <v>11</v>
      </c>
      <c r="G634" s="5"/>
      <c r="H634" s="5"/>
      <c r="I634" s="5">
        <v>200</v>
      </c>
      <c r="J634" s="25">
        <f t="shared" si="13"/>
        <v>-200</v>
      </c>
    </row>
    <row r="635" spans="1:10" x14ac:dyDescent="0.25">
      <c r="A635" s="2"/>
      <c r="B635" s="13">
        <v>46254</v>
      </c>
      <c r="C635" s="2">
        <v>947</v>
      </c>
      <c r="D635" s="3" t="s">
        <v>15</v>
      </c>
      <c r="E635" s="3" t="s">
        <v>53</v>
      </c>
      <c r="F635" s="3" t="s">
        <v>11</v>
      </c>
      <c r="G635" s="5"/>
      <c r="H635" s="5"/>
      <c r="I635" s="5">
        <v>6000</v>
      </c>
      <c r="J635" s="25">
        <f t="shared" si="13"/>
        <v>-6000</v>
      </c>
    </row>
    <row r="636" spans="1:10" x14ac:dyDescent="0.25">
      <c r="A636" s="2"/>
      <c r="B636" s="13">
        <v>46254</v>
      </c>
      <c r="C636" s="2">
        <v>948</v>
      </c>
      <c r="D636" s="3" t="s">
        <v>15</v>
      </c>
      <c r="E636" s="3" t="s">
        <v>59</v>
      </c>
      <c r="F636" s="3" t="s">
        <v>11</v>
      </c>
      <c r="G636" s="5"/>
      <c r="H636" s="5"/>
      <c r="I636" s="5">
        <v>500</v>
      </c>
      <c r="J636" s="25">
        <f t="shared" si="13"/>
        <v>-500</v>
      </c>
    </row>
    <row r="637" spans="1:10" x14ac:dyDescent="0.25">
      <c r="A637" s="2"/>
      <c r="B637" s="13">
        <v>46255</v>
      </c>
      <c r="C637" s="2">
        <v>3542</v>
      </c>
      <c r="D637" s="3" t="s">
        <v>15</v>
      </c>
      <c r="E637" s="3" t="s">
        <v>336</v>
      </c>
      <c r="F637" s="3" t="s">
        <v>11</v>
      </c>
      <c r="G637" s="5"/>
      <c r="H637" s="5">
        <v>600</v>
      </c>
      <c r="I637" s="5"/>
      <c r="J637" s="25">
        <f t="shared" si="13"/>
        <v>600</v>
      </c>
    </row>
    <row r="638" spans="1:10" x14ac:dyDescent="0.25">
      <c r="A638" s="2"/>
      <c r="B638" s="13">
        <v>46255</v>
      </c>
      <c r="C638" s="2">
        <v>3543</v>
      </c>
      <c r="D638" s="3" t="s">
        <v>15</v>
      </c>
      <c r="E638" s="3" t="s">
        <v>313</v>
      </c>
      <c r="F638" s="3" t="s">
        <v>11</v>
      </c>
      <c r="G638" s="5"/>
      <c r="H638" s="5">
        <v>70000</v>
      </c>
      <c r="I638" s="5"/>
      <c r="J638" s="25">
        <f t="shared" si="13"/>
        <v>70000</v>
      </c>
    </row>
    <row r="639" spans="1:10" x14ac:dyDescent="0.25">
      <c r="A639" s="2"/>
      <c r="B639" s="13">
        <v>46255</v>
      </c>
      <c r="C639" s="2">
        <v>3544</v>
      </c>
      <c r="D639" s="3" t="s">
        <v>15</v>
      </c>
      <c r="E639" s="3" t="s">
        <v>49</v>
      </c>
      <c r="F639" s="3" t="s">
        <v>11</v>
      </c>
      <c r="G639" s="5"/>
      <c r="H639" s="5">
        <v>500</v>
      </c>
      <c r="I639" s="5"/>
      <c r="J639" s="25">
        <f t="shared" si="13"/>
        <v>500</v>
      </c>
    </row>
    <row r="640" spans="1:10" x14ac:dyDescent="0.25">
      <c r="A640" s="2"/>
      <c r="B640" s="13">
        <v>46255</v>
      </c>
      <c r="C640" s="2">
        <v>949</v>
      </c>
      <c r="D640" s="3" t="s">
        <v>15</v>
      </c>
      <c r="E640" s="3" t="s">
        <v>347</v>
      </c>
      <c r="F640" s="3" t="s">
        <v>11</v>
      </c>
      <c r="G640" s="5"/>
      <c r="H640" s="5"/>
      <c r="I640" s="5">
        <v>4000</v>
      </c>
      <c r="J640" s="25">
        <f t="shared" si="13"/>
        <v>-4000</v>
      </c>
    </row>
    <row r="641" spans="1:10" x14ac:dyDescent="0.25">
      <c r="A641" s="2"/>
      <c r="B641" s="13">
        <v>46255</v>
      </c>
      <c r="C641" s="2">
        <v>950</v>
      </c>
      <c r="D641" s="3" t="s">
        <v>15</v>
      </c>
      <c r="E641" s="3" t="s">
        <v>243</v>
      </c>
      <c r="F641" s="3" t="s">
        <v>11</v>
      </c>
      <c r="G641" s="5"/>
      <c r="H641" s="5"/>
      <c r="I641" s="5">
        <v>300</v>
      </c>
      <c r="J641" s="25">
        <f t="shared" si="13"/>
        <v>-300</v>
      </c>
    </row>
    <row r="642" spans="1:10" x14ac:dyDescent="0.25">
      <c r="A642" s="2"/>
      <c r="B642" s="13">
        <v>46255</v>
      </c>
      <c r="C642" s="2">
        <v>951</v>
      </c>
      <c r="D642" s="3" t="s">
        <v>15</v>
      </c>
      <c r="E642" s="3" t="s">
        <v>356</v>
      </c>
      <c r="F642" s="3" t="s">
        <v>11</v>
      </c>
      <c r="G642" s="5"/>
      <c r="H642" s="5"/>
      <c r="I642" s="5">
        <v>7874.17</v>
      </c>
      <c r="J642" s="25">
        <f t="shared" si="13"/>
        <v>-7874.17</v>
      </c>
    </row>
    <row r="643" spans="1:10" x14ac:dyDescent="0.25">
      <c r="A643" s="2"/>
      <c r="B643" s="13">
        <v>46255</v>
      </c>
      <c r="C643" s="2">
        <v>952</v>
      </c>
      <c r="D643" s="3" t="s">
        <v>15</v>
      </c>
      <c r="E643" s="3" t="s">
        <v>20</v>
      </c>
      <c r="F643" s="3" t="s">
        <v>11</v>
      </c>
      <c r="G643" s="5"/>
      <c r="H643" s="5"/>
      <c r="I643" s="5">
        <v>2000</v>
      </c>
      <c r="J643" s="25">
        <f t="shared" si="13"/>
        <v>-2000</v>
      </c>
    </row>
    <row r="644" spans="1:10" x14ac:dyDescent="0.25">
      <c r="A644" s="2"/>
      <c r="B644" s="13">
        <v>46256</v>
      </c>
      <c r="C644" s="2">
        <v>3546</v>
      </c>
      <c r="D644" s="3" t="s">
        <v>15</v>
      </c>
      <c r="E644" s="3" t="s">
        <v>313</v>
      </c>
      <c r="F644" s="3" t="s">
        <v>11</v>
      </c>
      <c r="G644" s="5"/>
      <c r="H644" s="5">
        <v>32477</v>
      </c>
      <c r="I644" s="5"/>
      <c r="J644" s="25">
        <f t="shared" si="13"/>
        <v>32477</v>
      </c>
    </row>
    <row r="645" spans="1:10" x14ac:dyDescent="0.25">
      <c r="A645" s="2" t="s">
        <v>301</v>
      </c>
      <c r="B645" s="13">
        <v>46256</v>
      </c>
      <c r="C645" s="2">
        <v>3547</v>
      </c>
      <c r="D645" s="3" t="s">
        <v>15</v>
      </c>
      <c r="E645" s="3" t="s">
        <v>243</v>
      </c>
      <c r="F645" s="3" t="s">
        <v>11</v>
      </c>
      <c r="G645" s="5"/>
      <c r="H645" s="5">
        <v>200</v>
      </c>
      <c r="I645" s="5"/>
      <c r="J645" s="25">
        <f t="shared" si="13"/>
        <v>200</v>
      </c>
    </row>
    <row r="646" spans="1:10" x14ac:dyDescent="0.25">
      <c r="A646" s="2"/>
      <c r="B646" s="13">
        <v>46256</v>
      </c>
      <c r="C646" s="2">
        <v>953</v>
      </c>
      <c r="D646" s="3" t="s">
        <v>15</v>
      </c>
      <c r="E646" s="3" t="s">
        <v>398</v>
      </c>
      <c r="F646" s="3" t="s">
        <v>11</v>
      </c>
      <c r="G646" s="5"/>
      <c r="H646" s="5"/>
      <c r="I646" s="5">
        <v>1100</v>
      </c>
      <c r="J646" s="25">
        <f t="shared" si="13"/>
        <v>-1100</v>
      </c>
    </row>
    <row r="647" spans="1:10" x14ac:dyDescent="0.25">
      <c r="A647" s="2"/>
      <c r="B647" s="13">
        <v>46256</v>
      </c>
      <c r="C647" s="2">
        <v>954</v>
      </c>
      <c r="D647" s="3" t="s">
        <v>15</v>
      </c>
      <c r="E647" s="3" t="s">
        <v>53</v>
      </c>
      <c r="F647" s="3" t="s">
        <v>11</v>
      </c>
      <c r="G647" s="5"/>
      <c r="H647" s="5"/>
      <c r="I647" s="5">
        <v>1500</v>
      </c>
      <c r="J647" s="25">
        <f t="shared" si="13"/>
        <v>-1500</v>
      </c>
    </row>
    <row r="648" spans="1:10" s="32" customFormat="1" x14ac:dyDescent="0.25">
      <c r="A648" s="21"/>
      <c r="B648" s="23">
        <v>46256</v>
      </c>
      <c r="C648" s="21">
        <v>955</v>
      </c>
      <c r="D648" s="31" t="s">
        <v>15</v>
      </c>
      <c r="E648" s="31" t="s">
        <v>191</v>
      </c>
      <c r="F648" s="31" t="s">
        <v>11</v>
      </c>
      <c r="G648" s="25"/>
      <c r="H648" s="25"/>
      <c r="I648" s="25">
        <v>300</v>
      </c>
      <c r="J648" s="25">
        <f t="shared" si="13"/>
        <v>-300</v>
      </c>
    </row>
    <row r="649" spans="1:10" x14ac:dyDescent="0.25">
      <c r="A649" s="2"/>
      <c r="B649" s="13">
        <v>46258</v>
      </c>
      <c r="C649" s="2">
        <v>3548</v>
      </c>
      <c r="D649" s="3" t="s">
        <v>15</v>
      </c>
      <c r="E649" s="3" t="s">
        <v>389</v>
      </c>
      <c r="F649" s="3" t="s">
        <v>11</v>
      </c>
      <c r="G649" s="5"/>
      <c r="H649" s="5">
        <v>800</v>
      </c>
      <c r="I649" s="5"/>
      <c r="J649" s="25">
        <f t="shared" si="13"/>
        <v>800</v>
      </c>
    </row>
    <row r="650" spans="1:10" x14ac:dyDescent="0.25">
      <c r="A650" s="2"/>
      <c r="B650" s="13">
        <v>46258</v>
      </c>
      <c r="C650" s="2">
        <v>3549</v>
      </c>
      <c r="D650" s="3" t="s">
        <v>15</v>
      </c>
      <c r="E650" s="3" t="s">
        <v>43</v>
      </c>
      <c r="F650" s="3" t="s">
        <v>11</v>
      </c>
      <c r="G650" s="5"/>
      <c r="H650" s="5">
        <v>500</v>
      </c>
      <c r="I650" s="5"/>
      <c r="J650" s="25">
        <f t="shared" si="13"/>
        <v>500</v>
      </c>
    </row>
    <row r="651" spans="1:10" x14ac:dyDescent="0.25">
      <c r="A651" s="2"/>
      <c r="B651" s="13">
        <v>46258</v>
      </c>
      <c r="C651" s="2">
        <v>957</v>
      </c>
      <c r="D651" s="3" t="s">
        <v>15</v>
      </c>
      <c r="E651" s="3" t="s">
        <v>239</v>
      </c>
      <c r="F651" s="3" t="s">
        <v>11</v>
      </c>
      <c r="G651" s="5"/>
      <c r="H651" s="5"/>
      <c r="I651" s="5">
        <v>1150</v>
      </c>
      <c r="J651" s="25">
        <f t="shared" si="13"/>
        <v>-1150</v>
      </c>
    </row>
    <row r="652" spans="1:10" x14ac:dyDescent="0.25">
      <c r="A652" s="2"/>
      <c r="B652" s="13">
        <v>46259</v>
      </c>
      <c r="C652" s="2">
        <v>3559</v>
      </c>
      <c r="D652" s="3" t="s">
        <v>15</v>
      </c>
      <c r="E652" s="3" t="s">
        <v>74</v>
      </c>
      <c r="F652" s="3" t="s">
        <v>11</v>
      </c>
      <c r="G652" s="5"/>
      <c r="H652" s="5">
        <v>10000</v>
      </c>
      <c r="I652" s="5"/>
      <c r="J652" s="25">
        <f t="shared" si="13"/>
        <v>10000</v>
      </c>
    </row>
    <row r="653" spans="1:10" x14ac:dyDescent="0.25">
      <c r="A653" s="2"/>
      <c r="B653" s="13">
        <v>46259</v>
      </c>
      <c r="C653" s="2">
        <v>3560</v>
      </c>
      <c r="D653" s="3" t="s">
        <v>15</v>
      </c>
      <c r="E653" s="3" t="s">
        <v>31</v>
      </c>
      <c r="F653" s="3" t="s">
        <v>11</v>
      </c>
      <c r="G653" s="5"/>
      <c r="H653" s="5">
        <v>100</v>
      </c>
      <c r="I653" s="5"/>
      <c r="J653" s="25">
        <f t="shared" si="13"/>
        <v>100</v>
      </c>
    </row>
    <row r="654" spans="1:10" x14ac:dyDescent="0.25">
      <c r="A654" s="2"/>
      <c r="B654" s="13">
        <v>46259</v>
      </c>
      <c r="C654" s="2">
        <v>3561</v>
      </c>
      <c r="D654" s="3" t="s">
        <v>15</v>
      </c>
      <c r="E654" s="3" t="s">
        <v>31</v>
      </c>
      <c r="F654" s="3" t="s">
        <v>11</v>
      </c>
      <c r="G654" s="5"/>
      <c r="H654" s="5">
        <v>100</v>
      </c>
      <c r="I654" s="5"/>
      <c r="J654" s="25">
        <f t="shared" si="13"/>
        <v>100</v>
      </c>
    </row>
    <row r="655" spans="1:10" x14ac:dyDescent="0.25">
      <c r="A655" s="2"/>
      <c r="B655" s="13">
        <v>46259</v>
      </c>
      <c r="C655" s="2">
        <v>3565</v>
      </c>
      <c r="D655" s="3" t="s">
        <v>15</v>
      </c>
      <c r="E655" s="3" t="s">
        <v>129</v>
      </c>
      <c r="F655" s="3" t="s">
        <v>11</v>
      </c>
      <c r="G655" s="5"/>
      <c r="H655" s="5">
        <v>22727.279999999999</v>
      </c>
      <c r="I655" s="5"/>
      <c r="J655" s="25">
        <f t="shared" si="13"/>
        <v>22727.279999999999</v>
      </c>
    </row>
    <row r="656" spans="1:10" x14ac:dyDescent="0.25">
      <c r="A656" s="2"/>
      <c r="B656" s="13">
        <v>46259</v>
      </c>
      <c r="C656" s="2">
        <v>958</v>
      </c>
      <c r="D656" s="3" t="s">
        <v>15</v>
      </c>
      <c r="E656" s="3" t="s">
        <v>31</v>
      </c>
      <c r="F656" s="3" t="s">
        <v>11</v>
      </c>
      <c r="G656" s="5"/>
      <c r="H656" s="5"/>
      <c r="I656" s="5">
        <v>500</v>
      </c>
      <c r="J656" s="25">
        <f t="shared" si="13"/>
        <v>-500</v>
      </c>
    </row>
    <row r="657" spans="1:10" x14ac:dyDescent="0.25">
      <c r="A657" s="2"/>
      <c r="B657" s="13">
        <v>46259</v>
      </c>
      <c r="C657" s="2">
        <v>959</v>
      </c>
      <c r="D657" s="3" t="s">
        <v>15</v>
      </c>
      <c r="E657" s="3" t="s">
        <v>277</v>
      </c>
      <c r="F657" s="3" t="s">
        <v>11</v>
      </c>
      <c r="G657" s="5"/>
      <c r="H657" s="5"/>
      <c r="I657" s="5">
        <v>200</v>
      </c>
      <c r="J657" s="25">
        <f t="shared" si="13"/>
        <v>-200</v>
      </c>
    </row>
    <row r="658" spans="1:10" x14ac:dyDescent="0.25">
      <c r="A658" s="2"/>
      <c r="B658" s="13">
        <v>46259</v>
      </c>
      <c r="C658" s="2">
        <v>960</v>
      </c>
      <c r="D658" s="3" t="s">
        <v>15</v>
      </c>
      <c r="E658" s="3" t="s">
        <v>370</v>
      </c>
      <c r="F658" s="3" t="s">
        <v>11</v>
      </c>
      <c r="G658" s="5"/>
      <c r="H658" s="5"/>
      <c r="I658" s="5">
        <v>3263</v>
      </c>
      <c r="J658" s="25">
        <f t="shared" si="13"/>
        <v>-3263</v>
      </c>
    </row>
    <row r="659" spans="1:10" x14ac:dyDescent="0.25">
      <c r="A659" s="2"/>
      <c r="B659" s="13">
        <v>46260</v>
      </c>
      <c r="C659" s="2">
        <v>961</v>
      </c>
      <c r="D659" s="3" t="s">
        <v>15</v>
      </c>
      <c r="E659" s="3" t="s">
        <v>241</v>
      </c>
      <c r="F659" s="3" t="s">
        <v>11</v>
      </c>
      <c r="G659" s="5"/>
      <c r="H659" s="5"/>
      <c r="I659" s="5">
        <v>400</v>
      </c>
      <c r="J659" s="25">
        <f t="shared" si="13"/>
        <v>-400</v>
      </c>
    </row>
    <row r="660" spans="1:10" x14ac:dyDescent="0.25">
      <c r="A660" s="2"/>
      <c r="B660" s="13">
        <v>46261</v>
      </c>
      <c r="C660" s="2">
        <v>962</v>
      </c>
      <c r="D660" s="3" t="s">
        <v>15</v>
      </c>
      <c r="E660" s="3" t="s">
        <v>313</v>
      </c>
      <c r="F660" s="3" t="s">
        <v>11</v>
      </c>
      <c r="G660" s="5"/>
      <c r="H660" s="5"/>
      <c r="I660" s="5">
        <v>70000</v>
      </c>
      <c r="J660" s="25">
        <f t="shared" si="13"/>
        <v>-70000</v>
      </c>
    </row>
    <row r="661" spans="1:10" x14ac:dyDescent="0.25">
      <c r="A661" s="2"/>
      <c r="B661" s="13">
        <v>46261</v>
      </c>
      <c r="C661" s="2">
        <v>963</v>
      </c>
      <c r="D661" s="3" t="s">
        <v>15</v>
      </c>
      <c r="E661" s="3" t="s">
        <v>31</v>
      </c>
      <c r="F661" s="3" t="s">
        <v>11</v>
      </c>
      <c r="G661" s="5"/>
      <c r="H661" s="5"/>
      <c r="I661" s="5">
        <v>1300</v>
      </c>
      <c r="J661" s="25">
        <f t="shared" si="13"/>
        <v>-1300</v>
      </c>
    </row>
    <row r="662" spans="1:10" x14ac:dyDescent="0.25">
      <c r="A662" s="2"/>
      <c r="B662" s="13">
        <v>46261</v>
      </c>
      <c r="C662" s="2">
        <v>964</v>
      </c>
      <c r="D662" s="3" t="s">
        <v>15</v>
      </c>
      <c r="E662" s="3" t="s">
        <v>397</v>
      </c>
      <c r="F662" s="3" t="s">
        <v>11</v>
      </c>
      <c r="G662" s="5"/>
      <c r="H662" s="5"/>
      <c r="I662" s="5">
        <v>500</v>
      </c>
      <c r="J662" s="25">
        <f t="shared" si="13"/>
        <v>-500</v>
      </c>
    </row>
    <row r="663" spans="1:10" x14ac:dyDescent="0.25">
      <c r="A663" s="2"/>
      <c r="B663" s="13">
        <v>46262</v>
      </c>
      <c r="C663" s="2">
        <v>3580</v>
      </c>
      <c r="D663" s="3" t="s">
        <v>15</v>
      </c>
      <c r="E663" s="3" t="s">
        <v>399</v>
      </c>
      <c r="F663" s="3" t="s">
        <v>11</v>
      </c>
      <c r="G663" s="5"/>
      <c r="H663" s="5">
        <v>568.17999999999995</v>
      </c>
      <c r="I663" s="5"/>
      <c r="J663" s="25">
        <f t="shared" si="13"/>
        <v>568.17999999999995</v>
      </c>
    </row>
    <row r="664" spans="1:10" x14ac:dyDescent="0.25">
      <c r="A664" s="2"/>
      <c r="B664" s="13">
        <v>46262</v>
      </c>
      <c r="C664" s="2">
        <v>3582</v>
      </c>
      <c r="D664" s="3" t="s">
        <v>15</v>
      </c>
      <c r="E664" s="3" t="s">
        <v>37</v>
      </c>
      <c r="F664" s="3" t="s">
        <v>11</v>
      </c>
      <c r="G664" s="5"/>
      <c r="H664" s="5">
        <v>200</v>
      </c>
      <c r="I664" s="5"/>
      <c r="J664" s="25">
        <f t="shared" si="13"/>
        <v>200</v>
      </c>
    </row>
    <row r="665" spans="1:10" x14ac:dyDescent="0.25">
      <c r="A665" s="2"/>
      <c r="B665" s="13">
        <v>46262</v>
      </c>
      <c r="C665" s="2">
        <v>3583</v>
      </c>
      <c r="D665" s="3" t="s">
        <v>15</v>
      </c>
      <c r="E665" s="3" t="s">
        <v>105</v>
      </c>
      <c r="F665" s="3" t="s">
        <v>11</v>
      </c>
      <c r="G665" s="5"/>
      <c r="H665" s="5">
        <v>17000</v>
      </c>
      <c r="I665" s="5"/>
      <c r="J665" s="25">
        <f t="shared" si="13"/>
        <v>17000</v>
      </c>
    </row>
    <row r="666" spans="1:10" x14ac:dyDescent="0.25">
      <c r="A666" s="2"/>
      <c r="B666" s="13">
        <v>46262</v>
      </c>
      <c r="C666" s="2">
        <v>3584</v>
      </c>
      <c r="D666" s="3" t="s">
        <v>15</v>
      </c>
      <c r="E666" s="3" t="s">
        <v>400</v>
      </c>
      <c r="F666" s="3" t="s">
        <v>11</v>
      </c>
      <c r="G666" s="5"/>
      <c r="H666" s="5">
        <v>1147.72</v>
      </c>
      <c r="I666" s="5"/>
      <c r="J666" s="25">
        <f t="shared" si="13"/>
        <v>1147.72</v>
      </c>
    </row>
    <row r="667" spans="1:10" x14ac:dyDescent="0.25">
      <c r="A667" s="2"/>
      <c r="B667" s="13">
        <v>46262</v>
      </c>
      <c r="C667" s="2">
        <v>3586</v>
      </c>
      <c r="D667" s="3" t="s">
        <v>15</v>
      </c>
      <c r="E667" s="3" t="s">
        <v>401</v>
      </c>
      <c r="F667" s="3" t="s">
        <v>11</v>
      </c>
      <c r="G667" s="5"/>
      <c r="H667" s="5">
        <v>1147.72</v>
      </c>
      <c r="I667" s="5"/>
      <c r="J667" s="25">
        <f t="shared" si="13"/>
        <v>1147.72</v>
      </c>
    </row>
    <row r="668" spans="1:10" x14ac:dyDescent="0.25">
      <c r="A668" s="2"/>
      <c r="B668" s="13">
        <v>46262</v>
      </c>
      <c r="C668" s="2">
        <v>3590</v>
      </c>
      <c r="D668" s="3" t="s">
        <v>15</v>
      </c>
      <c r="E668" s="3" t="s">
        <v>402</v>
      </c>
      <c r="F668" s="3" t="s">
        <v>11</v>
      </c>
      <c r="G668" s="5"/>
      <c r="H668" s="5">
        <v>1136.3699999999999</v>
      </c>
      <c r="I668" s="5"/>
      <c r="J668" s="25">
        <f t="shared" si="13"/>
        <v>1136.3699999999999</v>
      </c>
    </row>
    <row r="669" spans="1:10" x14ac:dyDescent="0.25">
      <c r="A669" s="2"/>
      <c r="B669" s="13">
        <v>46262</v>
      </c>
      <c r="C669" s="2">
        <v>3593</v>
      </c>
      <c r="D669" s="3" t="s">
        <v>15</v>
      </c>
      <c r="E669" s="3" t="s">
        <v>403</v>
      </c>
      <c r="F669" s="3" t="s">
        <v>11</v>
      </c>
      <c r="G669" s="5"/>
      <c r="H669" s="5">
        <v>100</v>
      </c>
      <c r="I669" s="5"/>
      <c r="J669" s="25">
        <f t="shared" si="13"/>
        <v>100</v>
      </c>
    </row>
    <row r="670" spans="1:10" x14ac:dyDescent="0.25">
      <c r="A670" s="2"/>
      <c r="B670" s="13">
        <v>46262</v>
      </c>
      <c r="C670" s="2">
        <v>3600</v>
      </c>
      <c r="D670" s="3" t="s">
        <v>15</v>
      </c>
      <c r="E670" s="3" t="s">
        <v>404</v>
      </c>
      <c r="F670" s="3" t="s">
        <v>11</v>
      </c>
      <c r="G670" s="5"/>
      <c r="H670" s="5">
        <v>400</v>
      </c>
      <c r="I670" s="5"/>
      <c r="J670" s="25">
        <f t="shared" si="13"/>
        <v>400</v>
      </c>
    </row>
    <row r="671" spans="1:10" x14ac:dyDescent="0.25">
      <c r="A671" s="2"/>
      <c r="B671" s="13">
        <v>46170</v>
      </c>
      <c r="C671" s="2">
        <v>3601</v>
      </c>
      <c r="D671" s="3" t="s">
        <v>15</v>
      </c>
      <c r="E671" s="3" t="s">
        <v>16</v>
      </c>
      <c r="F671" s="3" t="s">
        <v>11</v>
      </c>
      <c r="G671" s="5"/>
      <c r="H671" s="5">
        <v>17500</v>
      </c>
      <c r="I671" s="5"/>
      <c r="J671" s="25">
        <f t="shared" si="13"/>
        <v>17500</v>
      </c>
    </row>
    <row r="672" spans="1:10" x14ac:dyDescent="0.25">
      <c r="A672" s="2"/>
      <c r="B672" s="13">
        <v>46262</v>
      </c>
      <c r="C672" s="2">
        <v>3602</v>
      </c>
      <c r="D672" s="3" t="s">
        <v>15</v>
      </c>
      <c r="E672" s="3" t="s">
        <v>287</v>
      </c>
      <c r="F672" s="3" t="s">
        <v>11</v>
      </c>
      <c r="G672" s="5"/>
      <c r="H672" s="5">
        <v>200</v>
      </c>
      <c r="I672" s="5"/>
      <c r="J672" s="25">
        <f t="shared" si="13"/>
        <v>200</v>
      </c>
    </row>
    <row r="673" spans="1:12" x14ac:dyDescent="0.25">
      <c r="A673" s="2"/>
      <c r="B673" s="13">
        <v>46262</v>
      </c>
      <c r="C673" s="2">
        <v>968</v>
      </c>
      <c r="D673" s="3" t="s">
        <v>15</v>
      </c>
      <c r="E673" s="3" t="s">
        <v>249</v>
      </c>
      <c r="F673" s="3" t="s">
        <v>11</v>
      </c>
      <c r="G673" s="5"/>
      <c r="H673" s="5"/>
      <c r="I673" s="5">
        <v>1000</v>
      </c>
      <c r="J673" s="25">
        <f t="shared" si="13"/>
        <v>-1000</v>
      </c>
    </row>
    <row r="674" spans="1:12" x14ac:dyDescent="0.25">
      <c r="A674" s="2"/>
      <c r="B674" s="13">
        <v>46262</v>
      </c>
      <c r="C674" s="2">
        <v>970</v>
      </c>
      <c r="D674" s="3" t="s">
        <v>15</v>
      </c>
      <c r="E674" s="3" t="s">
        <v>267</v>
      </c>
      <c r="F674" s="3" t="s">
        <v>11</v>
      </c>
      <c r="G674" s="5"/>
      <c r="H674" s="5"/>
      <c r="I674" s="5">
        <v>12517.81</v>
      </c>
      <c r="J674" s="25">
        <f t="shared" si="13"/>
        <v>-12517.81</v>
      </c>
    </row>
    <row r="675" spans="1:12" x14ac:dyDescent="0.25">
      <c r="A675" s="2"/>
      <c r="B675" s="13">
        <v>46262</v>
      </c>
      <c r="C675" s="2">
        <v>971</v>
      </c>
      <c r="D675" s="3" t="s">
        <v>15</v>
      </c>
      <c r="E675" s="3" t="s">
        <v>317</v>
      </c>
      <c r="F675" s="3" t="s">
        <v>11</v>
      </c>
      <c r="G675" s="5"/>
      <c r="H675" s="5"/>
      <c r="I675" s="5">
        <v>8795.07</v>
      </c>
      <c r="J675" s="25">
        <f t="shared" si="13"/>
        <v>-8795.07</v>
      </c>
    </row>
    <row r="676" spans="1:12" x14ac:dyDescent="0.25">
      <c r="A676" s="2"/>
      <c r="B676" s="13">
        <v>46262</v>
      </c>
      <c r="C676" s="2">
        <v>972</v>
      </c>
      <c r="D676" s="3" t="s">
        <v>15</v>
      </c>
      <c r="E676" s="3" t="s">
        <v>172</v>
      </c>
      <c r="F676" s="3" t="s">
        <v>11</v>
      </c>
      <c r="G676" s="5"/>
      <c r="H676" s="5"/>
      <c r="I676" s="5">
        <v>15488.38</v>
      </c>
      <c r="J676" s="25">
        <f t="shared" si="13"/>
        <v>-15488.38</v>
      </c>
    </row>
    <row r="677" spans="1:12" x14ac:dyDescent="0.25">
      <c r="A677" s="2"/>
      <c r="B677" s="13">
        <v>46265</v>
      </c>
      <c r="C677" s="2">
        <v>973</v>
      </c>
      <c r="D677" s="3" t="s">
        <v>15</v>
      </c>
      <c r="E677" s="3" t="s">
        <v>277</v>
      </c>
      <c r="F677" s="3" t="s">
        <v>11</v>
      </c>
      <c r="G677" s="5"/>
      <c r="H677" s="5"/>
      <c r="I677" s="5">
        <v>150</v>
      </c>
      <c r="J677" s="25">
        <f t="shared" si="13"/>
        <v>-150</v>
      </c>
      <c r="K677" t="s">
        <v>311</v>
      </c>
      <c r="L677" t="s">
        <v>312</v>
      </c>
    </row>
    <row r="678" spans="1:12" x14ac:dyDescent="0.25">
      <c r="A678" s="2"/>
      <c r="B678" s="13"/>
      <c r="C678" s="2"/>
      <c r="D678" s="3"/>
      <c r="E678" s="3"/>
      <c r="F678" s="3"/>
      <c r="G678" s="5"/>
      <c r="H678" s="5"/>
      <c r="I678" s="5"/>
      <c r="J678" s="25">
        <f t="shared" si="13"/>
        <v>0</v>
      </c>
      <c r="K678" s="4">
        <f>SUM(H577:H678)</f>
        <v>432544.04</v>
      </c>
      <c r="L678" s="4">
        <f>SUM(I579:I678)</f>
        <v>269324.78999999998</v>
      </c>
    </row>
    <row r="679" spans="1:12" ht="30.75" customHeight="1" x14ac:dyDescent="0.25">
      <c r="A679" s="2"/>
      <c r="B679" s="2"/>
      <c r="C679" s="2"/>
      <c r="D679" s="3"/>
      <c r="E679" s="6" t="s">
        <v>280</v>
      </c>
      <c r="F679" s="3"/>
      <c r="G679" s="10">
        <f>SUM(G4:G485)</f>
        <v>0</v>
      </c>
      <c r="H679" s="11">
        <f>SUM(H1:H678)</f>
        <v>3620116.3100000015</v>
      </c>
      <c r="I679" s="12">
        <f>SUM(I1:I678)</f>
        <v>1348045.62</v>
      </c>
      <c r="J679" s="5">
        <f>G679+H679-I679</f>
        <v>2272070.6900000013</v>
      </c>
      <c r="K679" s="4"/>
    </row>
    <row r="681" spans="1:12" x14ac:dyDescent="0.25">
      <c r="I681" s="4">
        <v>432544.04</v>
      </c>
      <c r="J681" s="4">
        <v>269324.78999999998</v>
      </c>
    </row>
    <row r="682" spans="1:12" x14ac:dyDescent="0.25">
      <c r="I682" s="4">
        <f>I681-K678</f>
        <v>0</v>
      </c>
      <c r="J682" s="4">
        <f>L678-J681</f>
        <v>0</v>
      </c>
    </row>
  </sheetData>
  <autoFilter ref="B3:J3" xr:uid="{79E30513-890A-49A1-8ACE-FC3EA13905C9}"/>
  <mergeCells count="2">
    <mergeCell ref="A1:J1"/>
    <mergeCell ref="B2:D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AHORRO ENERO 2026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JULIANA LAYNEZ</cp:lastModifiedBy>
  <cp:lastPrinted>2026-07-27T19:44:54Z</cp:lastPrinted>
  <dcterms:created xsi:type="dcterms:W3CDTF">2023-12-21T22:17:18Z</dcterms:created>
  <dcterms:modified xsi:type="dcterms:W3CDTF">2026-09-16T22:03:34Z</dcterms:modified>
</cp:coreProperties>
</file>