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omif Chajul\Documents\ROSY MARICELDA\CAJA CHICA\"/>
    </mc:Choice>
  </mc:AlternateContent>
  <xr:revisionPtr revIDLastSave="0" documentId="13_ncr:1_{2AF28790-7F53-4B44-B2CD-69BA5790CC0F}" xr6:coauthVersionLast="47" xr6:coauthVersionMax="47" xr10:uidLastSave="{00000000-0000-0000-0000-000000000000}"/>
  <bookViews>
    <workbookView xWindow="-120" yWindow="-120" windowWidth="20730" windowHeight="11040" xr2:uid="{00000000-000D-0000-FFFF-FFFF00000000}"/>
  </bookViews>
  <sheets>
    <sheet name="Caja Chica" sheetId="1" r:id="rId1"/>
    <sheet name="Hoja1" sheetId="3" r:id="rId2"/>
    <sheet name="Arqueo Caja Chica 21-08-23" sheetId="2" r:id="rId3"/>
  </sheets>
  <definedNames>
    <definedName name="_xlnm.Print_Titles" localSheetId="0">'Caja Chica'!$1:$5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83" i="1" l="1"/>
  <c r="K394" i="1"/>
  <c r="K387" i="1"/>
  <c r="L382" i="1"/>
  <c r="J382" i="1"/>
  <c r="L380" i="1"/>
  <c r="L381" i="1" s="1"/>
  <c r="K388" i="1"/>
  <c r="J379" i="1"/>
  <c r="K390" i="1"/>
  <c r="J368" i="1"/>
  <c r="K391" i="1"/>
  <c r="K396" i="1"/>
  <c r="J328" i="1"/>
  <c r="J358" i="1"/>
  <c r="J383" i="1" l="1"/>
  <c r="K393" i="1"/>
  <c r="K392" i="1"/>
  <c r="K336" i="1"/>
  <c r="K332" i="1"/>
  <c r="K334" i="1"/>
  <c r="K337" i="1"/>
  <c r="K329" i="1"/>
  <c r="J317" i="1"/>
  <c r="G15" i="3"/>
  <c r="G14" i="3"/>
  <c r="G13" i="3"/>
  <c r="G12" i="3"/>
  <c r="G11" i="3"/>
  <c r="G10" i="3"/>
  <c r="G9" i="3"/>
  <c r="G8" i="3"/>
  <c r="H16" i="3" s="1"/>
  <c r="G7" i="3"/>
  <c r="G6" i="3"/>
  <c r="G5" i="3"/>
  <c r="G4" i="3"/>
  <c r="G3" i="3"/>
  <c r="K270" i="1"/>
  <c r="K339" i="1"/>
  <c r="J303" i="1"/>
  <c r="K341" i="1"/>
  <c r="J295" i="1"/>
  <c r="K338" i="1"/>
  <c r="K265" i="1"/>
  <c r="K274" i="1"/>
  <c r="K273" i="1"/>
  <c r="K272" i="1"/>
  <c r="J264" i="1"/>
  <c r="K271" i="1"/>
  <c r="K71" i="1"/>
  <c r="K276" i="1"/>
  <c r="K275" i="1"/>
  <c r="J251" i="1"/>
  <c r="K277" i="1"/>
  <c r="K171" i="1"/>
  <c r="K216" i="1"/>
  <c r="J241" i="1"/>
  <c r="J208" i="1"/>
  <c r="K162" i="1"/>
  <c r="K163" i="1"/>
  <c r="L398" i="1" l="1"/>
  <c r="N398" i="1" s="1"/>
  <c r="J329" i="1"/>
  <c r="L280" i="1"/>
  <c r="N280" i="1" s="1"/>
  <c r="L344" i="1"/>
  <c r="N344" i="1" s="1"/>
  <c r="J265" i="1"/>
  <c r="K209" i="1"/>
  <c r="K218" i="1"/>
  <c r="K217" i="1"/>
  <c r="K214" i="1"/>
  <c r="J198" i="1"/>
  <c r="J159" i="1"/>
  <c r="K220" i="1"/>
  <c r="K219" i="1"/>
  <c r="K113" i="1"/>
  <c r="J101" i="1"/>
  <c r="K159" i="1"/>
  <c r="K167" i="1"/>
  <c r="K170" i="1"/>
  <c r="K108" i="1"/>
  <c r="K107" i="1"/>
  <c r="K168" i="1"/>
  <c r="K164" i="1"/>
  <c r="K169" i="1"/>
  <c r="K166" i="1"/>
  <c r="J69" i="1"/>
  <c r="K69" i="1"/>
  <c r="J209" i="1" l="1"/>
  <c r="L224" i="1"/>
  <c r="N224" i="1" s="1"/>
  <c r="L173" i="1"/>
  <c r="N173" i="1" s="1"/>
  <c r="M69" i="1"/>
  <c r="K101" i="1"/>
  <c r="K111" i="1"/>
  <c r="K109" i="1"/>
  <c r="K106" i="1"/>
  <c r="K72" i="1"/>
  <c r="K77" i="1"/>
  <c r="K76" i="1"/>
  <c r="K75" i="1"/>
  <c r="K74" i="1"/>
  <c r="K73" i="1"/>
  <c r="K81" i="1"/>
  <c r="K79" i="1"/>
  <c r="K80" i="1"/>
  <c r="M173" i="1" l="1"/>
  <c r="L82" i="1"/>
  <c r="N82" i="1" s="1"/>
  <c r="L115" i="1"/>
  <c r="N115" i="1" s="1"/>
  <c r="M115" i="1" l="1"/>
  <c r="L7" i="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l="1"/>
  <c r="L66" i="1" s="1"/>
  <c r="L67" i="1" s="1"/>
  <c r="L68" i="1" s="1"/>
  <c r="L69" i="1" s="1"/>
  <c r="L86" i="1" s="1"/>
  <c r="L87" i="1" s="1"/>
  <c r="L88" i="1" s="1"/>
  <c r="L89" i="1" s="1"/>
  <c r="L90" i="1" s="1"/>
  <c r="L91" i="1" s="1"/>
  <c r="L92" i="1" s="1"/>
  <c r="L93" i="1" s="1"/>
  <c r="L94" i="1" s="1"/>
  <c r="L95" i="1" s="1"/>
  <c r="L96" i="1" s="1"/>
  <c r="L97" i="1" s="1"/>
  <c r="L98" i="1" s="1"/>
  <c r="L99" i="1" s="1"/>
  <c r="J82" i="2"/>
  <c r="J81" i="2"/>
  <c r="J80" i="2"/>
  <c r="J79" i="2"/>
  <c r="J78" i="2"/>
  <c r="J77" i="2"/>
  <c r="J75" i="2"/>
  <c r="J74" i="2"/>
  <c r="J73" i="2"/>
  <c r="J72" i="2"/>
  <c r="J71" i="2"/>
  <c r="J70" i="2"/>
  <c r="J69" i="2"/>
  <c r="K65" i="2"/>
  <c r="J65" i="2"/>
  <c r="L61" i="2"/>
  <c r="L62" i="2" s="1"/>
  <c r="L63" i="2" s="1"/>
  <c r="L64" i="2" s="1"/>
  <c r="L7" i="2"/>
  <c r="L8" i="2" s="1"/>
  <c r="L9" i="2" s="1"/>
  <c r="L10" i="2" s="1"/>
  <c r="L11" i="2" s="1"/>
  <c r="K12" i="2"/>
  <c r="J12" i="2"/>
  <c r="J29" i="2"/>
  <c r="J28" i="2"/>
  <c r="J27" i="2"/>
  <c r="J26" i="2"/>
  <c r="J25" i="2"/>
  <c r="J24" i="2"/>
  <c r="J22" i="2"/>
  <c r="J21" i="2"/>
  <c r="J20" i="2"/>
  <c r="J19" i="2"/>
  <c r="J18" i="2"/>
  <c r="J17" i="2"/>
  <c r="J16" i="2"/>
  <c r="L100" i="1" l="1"/>
  <c r="L122" i="1" s="1"/>
  <c r="K82" i="2"/>
  <c r="L83" i="2" s="1"/>
  <c r="L85" i="2" s="1"/>
  <c r="K75" i="2"/>
  <c r="K22" i="2"/>
  <c r="K29" i="2"/>
  <c r="L178" i="1" l="1"/>
  <c r="L179" i="1" s="1"/>
  <c r="L180" i="1" s="1"/>
  <c r="L181" i="1" s="1"/>
  <c r="L182" i="1" s="1"/>
  <c r="L123" i="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9" i="1" s="1"/>
  <c r="L30" i="2"/>
  <c r="L32" i="2" s="1"/>
  <c r="L2642" i="1"/>
  <c r="L2643" i="1" s="1"/>
  <c r="L2644" i="1" s="1"/>
  <c r="L2645" i="1" s="1"/>
  <c r="L2646" i="1" s="1"/>
  <c r="L2647" i="1" s="1"/>
  <c r="L2648" i="1" s="1"/>
  <c r="L2649" i="1" s="1"/>
  <c r="L2650" i="1" s="1"/>
  <c r="L2651" i="1" s="1"/>
  <c r="L2652" i="1" s="1"/>
  <c r="L2653" i="1" s="1"/>
  <c r="L2654" i="1" s="1"/>
  <c r="L2655" i="1" s="1"/>
  <c r="L2656" i="1" s="1"/>
  <c r="L2657" i="1" s="1"/>
  <c r="L2658" i="1" s="1"/>
  <c r="L2659" i="1" s="1"/>
  <c r="L2660" i="1" s="1"/>
  <c r="L2661" i="1" s="1"/>
  <c r="L2662" i="1" s="1"/>
  <c r="L2663" i="1" s="1"/>
  <c r="L2664" i="1" s="1"/>
  <c r="L2665" i="1" s="1"/>
  <c r="L2666" i="1" s="1"/>
  <c r="L2667" i="1" s="1"/>
  <c r="L2668" i="1" s="1"/>
  <c r="L2669" i="1" s="1"/>
  <c r="L2670" i="1" s="1"/>
  <c r="L2671" i="1" s="1"/>
  <c r="L2672" i="1" s="1"/>
  <c r="L2673" i="1" s="1"/>
  <c r="L2674" i="1" s="1"/>
  <c r="L2675" i="1" s="1"/>
  <c r="L2676" i="1" s="1"/>
  <c r="L2677" i="1" s="1"/>
  <c r="L2678" i="1" s="1"/>
  <c r="L2679" i="1" s="1"/>
  <c r="L2680" i="1" s="1"/>
  <c r="L2681" i="1" s="1"/>
  <c r="L2682" i="1" s="1"/>
  <c r="L2683" i="1" s="1"/>
  <c r="L2684" i="1" s="1"/>
  <c r="L2685" i="1" s="1"/>
  <c r="L2686" i="1" s="1"/>
  <c r="L2687" i="1" s="1"/>
  <c r="L2688" i="1" s="1"/>
  <c r="L2689" i="1" s="1"/>
  <c r="L2690" i="1" s="1"/>
  <c r="L2691" i="1" s="1"/>
  <c r="L2692" i="1" s="1"/>
  <c r="L2693" i="1" s="1"/>
  <c r="L2694" i="1" s="1"/>
  <c r="L2695" i="1" s="1"/>
  <c r="L2696" i="1" s="1"/>
  <c r="L2697" i="1" s="1"/>
  <c r="L2698" i="1" s="1"/>
  <c r="L2699" i="1" s="1"/>
  <c r="L2700" i="1" s="1"/>
  <c r="L2701" i="1" s="1"/>
  <c r="L2702" i="1" s="1"/>
  <c r="L2703" i="1" s="1"/>
  <c r="L2704" i="1" s="1"/>
  <c r="L2705" i="1" s="1"/>
  <c r="L2706" i="1" s="1"/>
  <c r="L2707" i="1" s="1"/>
  <c r="L2708" i="1" s="1"/>
  <c r="L2709" i="1" s="1"/>
  <c r="L2710" i="1" s="1"/>
  <c r="L2711" i="1" s="1"/>
  <c r="L2712" i="1" s="1"/>
  <c r="L2713" i="1" s="1"/>
  <c r="L2714" i="1" s="1"/>
  <c r="L2715" i="1" s="1"/>
  <c r="L2716" i="1" s="1"/>
  <c r="L2717" i="1" s="1"/>
  <c r="L2718" i="1" s="1"/>
  <c r="L2719" i="1" s="1"/>
  <c r="L2720" i="1" s="1"/>
  <c r="L2721" i="1" s="1"/>
  <c r="L2722" i="1" s="1"/>
  <c r="L2723" i="1" s="1"/>
  <c r="L2724" i="1" s="1"/>
  <c r="L2725" i="1" s="1"/>
  <c r="L2726" i="1" s="1"/>
  <c r="L2727" i="1" s="1"/>
  <c r="L2728" i="1" s="1"/>
  <c r="L2729" i="1" s="1"/>
  <c r="L2730" i="1" s="1"/>
  <c r="L2731" i="1" s="1"/>
  <c r="L2732" i="1" s="1"/>
  <c r="L2733" i="1" s="1"/>
  <c r="L2734" i="1" s="1"/>
  <c r="L2735" i="1" s="1"/>
  <c r="L2736" i="1" s="1"/>
  <c r="L2737" i="1" s="1"/>
  <c r="L2738" i="1" s="1"/>
  <c r="L2739" i="1" s="1"/>
  <c r="L2740" i="1" s="1"/>
  <c r="L2741" i="1" s="1"/>
  <c r="L2742" i="1" s="1"/>
  <c r="L2743" i="1" s="1"/>
  <c r="L2744" i="1" s="1"/>
  <c r="L2745" i="1" s="1"/>
  <c r="L2746" i="1" s="1"/>
  <c r="L2747" i="1" s="1"/>
  <c r="L2748" i="1" s="1"/>
  <c r="L2749" i="1" s="1"/>
  <c r="L2750" i="1" s="1"/>
  <c r="L2751" i="1" s="1"/>
  <c r="L2752" i="1" s="1"/>
  <c r="L2753" i="1" s="1"/>
  <c r="L2754" i="1" s="1"/>
  <c r="L2755" i="1" s="1"/>
  <c r="L2756" i="1" s="1"/>
  <c r="L2757" i="1" s="1"/>
  <c r="L2758" i="1" s="1"/>
  <c r="L2759" i="1" s="1"/>
  <c r="L2760" i="1" s="1"/>
  <c r="L2761" i="1" s="1"/>
  <c r="L2762" i="1" s="1"/>
  <c r="L2763" i="1" s="1"/>
  <c r="L2764" i="1" s="1"/>
  <c r="L2765" i="1" s="1"/>
  <c r="L2766" i="1" s="1"/>
  <c r="L2767" i="1" s="1"/>
  <c r="L2768" i="1" s="1"/>
  <c r="L2769" i="1" s="1"/>
  <c r="L2770" i="1" s="1"/>
  <c r="L2771" i="1" s="1"/>
  <c r="L2772" i="1" s="1"/>
  <c r="L2773" i="1" s="1"/>
  <c r="L2774" i="1" s="1"/>
  <c r="L2775" i="1" s="1"/>
  <c r="L2776" i="1" s="1"/>
  <c r="L2777" i="1" s="1"/>
  <c r="L2778" i="1" s="1"/>
  <c r="L2779" i="1" s="1"/>
  <c r="L2780" i="1" s="1"/>
  <c r="L2781" i="1" s="1"/>
  <c r="L2782" i="1" s="1"/>
  <c r="L2783" i="1" s="1"/>
  <c r="L2784" i="1" s="1"/>
  <c r="L2785" i="1" s="1"/>
  <c r="L2786" i="1" s="1"/>
  <c r="L2787" i="1" s="1"/>
  <c r="L2788" i="1" s="1"/>
  <c r="L2789" i="1" s="1"/>
  <c r="L2790" i="1" s="1"/>
  <c r="L2791" i="1" s="1"/>
  <c r="L2792" i="1" s="1"/>
  <c r="L2793" i="1" s="1"/>
  <c r="L2794" i="1" s="1"/>
  <c r="L2795" i="1" s="1"/>
  <c r="L2796" i="1" s="1"/>
  <c r="L2797" i="1" s="1"/>
  <c r="L2798" i="1" s="1"/>
  <c r="L2799" i="1" s="1"/>
  <c r="L2800" i="1" s="1"/>
  <c r="L2801" i="1" s="1"/>
  <c r="L2802" i="1" s="1"/>
  <c r="L2803" i="1" s="1"/>
  <c r="L2804" i="1" s="1"/>
  <c r="L2805" i="1" s="1"/>
  <c r="L2806" i="1" s="1"/>
  <c r="L2807" i="1" s="1"/>
  <c r="L2808" i="1" s="1"/>
  <c r="L2809" i="1" s="1"/>
  <c r="L2810" i="1" s="1"/>
  <c r="L2811" i="1" s="1"/>
  <c r="L2812" i="1" s="1"/>
  <c r="L2813" i="1" s="1"/>
  <c r="L2814" i="1" s="1"/>
  <c r="L2815" i="1" s="1"/>
  <c r="L2816" i="1" s="1"/>
  <c r="L2817" i="1" s="1"/>
  <c r="L2818" i="1" s="1"/>
  <c r="L2819" i="1" s="1"/>
  <c r="L2820" i="1" s="1"/>
  <c r="L2821" i="1" s="1"/>
  <c r="L2822" i="1" s="1"/>
  <c r="L2823" i="1" s="1"/>
  <c r="L2824" i="1" s="1"/>
  <c r="L2825" i="1" s="1"/>
  <c r="L2826" i="1" s="1"/>
  <c r="L2827" i="1" s="1"/>
  <c r="L2828" i="1" s="1"/>
  <c r="L2829" i="1" s="1"/>
  <c r="L2830" i="1" s="1"/>
  <c r="L2831" i="1" s="1"/>
  <c r="L2832" i="1" s="1"/>
  <c r="L2833" i="1" s="1"/>
  <c r="L2834" i="1" s="1"/>
  <c r="L2835" i="1" s="1"/>
  <c r="L2836" i="1" s="1"/>
  <c r="L2837" i="1" s="1"/>
  <c r="L2838" i="1" s="1"/>
  <c r="L2839" i="1" s="1"/>
  <c r="L2840" i="1" s="1"/>
  <c r="L2841" i="1" s="1"/>
  <c r="L2842" i="1" s="1"/>
  <c r="L2843" i="1" s="1"/>
  <c r="L2844" i="1" s="1"/>
  <c r="L2845" i="1" s="1"/>
  <c r="L2846" i="1" s="1"/>
  <c r="L2847" i="1" s="1"/>
  <c r="L2848" i="1" s="1"/>
  <c r="L2849" i="1" s="1"/>
  <c r="L2850" i="1" s="1"/>
  <c r="L2851" i="1" s="1"/>
  <c r="L2852" i="1" s="1"/>
  <c r="L2853" i="1" s="1"/>
  <c r="L2854" i="1" s="1"/>
  <c r="L2855" i="1" s="1"/>
  <c r="L2856" i="1" s="1"/>
  <c r="L2857" i="1" s="1"/>
  <c r="L2858" i="1" s="1"/>
  <c r="L2859" i="1" s="1"/>
  <c r="L2860" i="1" s="1"/>
  <c r="L2861" i="1" s="1"/>
  <c r="L2862" i="1" s="1"/>
  <c r="L2863" i="1" s="1"/>
  <c r="L2864" i="1" s="1"/>
  <c r="L2865" i="1" s="1"/>
  <c r="L2866" i="1" s="1"/>
  <c r="L2867" i="1" s="1"/>
  <c r="L2868" i="1" s="1"/>
  <c r="L2869" i="1" s="1"/>
  <c r="L2870" i="1" s="1"/>
  <c r="L2871" i="1" s="1"/>
  <c r="L2872" i="1" s="1"/>
  <c r="L2873" i="1" s="1"/>
  <c r="L2874" i="1" s="1"/>
  <c r="L2875" i="1" s="1"/>
  <c r="L2876" i="1" s="1"/>
  <c r="L2877" i="1" s="1"/>
  <c r="L2878" i="1" s="1"/>
  <c r="L2879" i="1" s="1"/>
  <c r="L2880" i="1" s="1"/>
  <c r="L2881" i="1" s="1"/>
  <c r="L2882" i="1" s="1"/>
  <c r="L2883" i="1" s="1"/>
  <c r="L2884" i="1" s="1"/>
  <c r="L2885" i="1" s="1"/>
  <c r="L2886" i="1" s="1"/>
  <c r="L2887" i="1" s="1"/>
  <c r="L2888" i="1" s="1"/>
  <c r="L2889" i="1" s="1"/>
  <c r="L2890" i="1" s="1"/>
  <c r="L2891" i="1" s="1"/>
  <c r="L2892" i="1" s="1"/>
  <c r="L2893" i="1" s="1"/>
  <c r="L2894" i="1" s="1"/>
  <c r="L2895" i="1" s="1"/>
  <c r="L2896" i="1" s="1"/>
  <c r="L2897" i="1" s="1"/>
  <c r="L2898" i="1" s="1"/>
  <c r="L2899" i="1" s="1"/>
  <c r="L2900" i="1" s="1"/>
  <c r="L2901" i="1" s="1"/>
  <c r="L2902" i="1" s="1"/>
  <c r="L2903" i="1" s="1"/>
  <c r="L2904" i="1" s="1"/>
  <c r="L2905" i="1" s="1"/>
  <c r="L2906" i="1" s="1"/>
  <c r="L2907" i="1" s="1"/>
  <c r="L2908" i="1" s="1"/>
  <c r="L2909" i="1" s="1"/>
  <c r="L2910" i="1" s="1"/>
  <c r="L2911" i="1" s="1"/>
  <c r="L2912" i="1" s="1"/>
  <c r="L2913" i="1" s="1"/>
  <c r="L2914" i="1" s="1"/>
  <c r="L2915" i="1" s="1"/>
  <c r="L2916" i="1" s="1"/>
  <c r="L2917" i="1" s="1"/>
  <c r="L2918" i="1" s="1"/>
  <c r="L2919" i="1" s="1"/>
  <c r="L2920" i="1" s="1"/>
  <c r="L2921" i="1" s="1"/>
  <c r="L2922" i="1" s="1"/>
  <c r="L2923" i="1" s="1"/>
  <c r="L2924" i="1" s="1"/>
  <c r="L2925" i="1" s="1"/>
  <c r="L2926" i="1" s="1"/>
  <c r="L2927" i="1" s="1"/>
  <c r="L2928" i="1" s="1"/>
  <c r="L2929" i="1" s="1"/>
  <c r="L2930" i="1" s="1"/>
  <c r="L2931" i="1" s="1"/>
  <c r="L2932" i="1" s="1"/>
  <c r="L2933" i="1" s="1"/>
  <c r="L2934" i="1" s="1"/>
  <c r="L2935" i="1" s="1"/>
  <c r="L2936" i="1" s="1"/>
  <c r="L2937" i="1" s="1"/>
  <c r="L2938" i="1" s="1"/>
  <c r="L2939" i="1" s="1"/>
  <c r="L2940" i="1" s="1"/>
  <c r="L2941" i="1" s="1"/>
  <c r="L2942" i="1" s="1"/>
  <c r="L2943" i="1" s="1"/>
  <c r="L2944" i="1" s="1"/>
  <c r="L2945" i="1" s="1"/>
  <c r="L2946" i="1" s="1"/>
  <c r="L2947" i="1" s="1"/>
  <c r="L2948" i="1" s="1"/>
  <c r="L2949" i="1" s="1"/>
  <c r="L2950" i="1" s="1"/>
  <c r="L2951" i="1" s="1"/>
  <c r="L2952" i="1" s="1"/>
  <c r="L2953" i="1" s="1"/>
  <c r="L2954" i="1" s="1"/>
  <c r="L2955" i="1" s="1"/>
  <c r="L2956" i="1" s="1"/>
  <c r="L2957" i="1" s="1"/>
  <c r="L2958" i="1" s="1"/>
  <c r="L2959" i="1" s="1"/>
  <c r="L2960" i="1" s="1"/>
  <c r="L2961" i="1" s="1"/>
  <c r="L2962" i="1" s="1"/>
  <c r="L2963" i="1" s="1"/>
  <c r="L2964" i="1" s="1"/>
  <c r="L2965" i="1" s="1"/>
  <c r="L2966" i="1" s="1"/>
  <c r="L2967" i="1" s="1"/>
  <c r="L2968" i="1" s="1"/>
  <c r="L2969" i="1" s="1"/>
  <c r="L2970" i="1" s="1"/>
  <c r="L2971" i="1" s="1"/>
  <c r="L2972" i="1" s="1"/>
  <c r="L2973" i="1" s="1"/>
  <c r="L2974" i="1" s="1"/>
  <c r="L2975" i="1" s="1"/>
  <c r="L2976" i="1" s="1"/>
  <c r="L2977" i="1" s="1"/>
  <c r="L2978" i="1" s="1"/>
  <c r="L2979" i="1" s="1"/>
  <c r="L2980" i="1" s="1"/>
  <c r="L2981" i="1" s="1"/>
  <c r="L2982" i="1" s="1"/>
  <c r="L2983" i="1" s="1"/>
  <c r="L2984" i="1" s="1"/>
  <c r="L2985" i="1" s="1"/>
  <c r="L2986" i="1" s="1"/>
  <c r="L2987" i="1" s="1"/>
  <c r="L2988" i="1" s="1"/>
  <c r="L2989" i="1" s="1"/>
  <c r="L2990" i="1" s="1"/>
  <c r="L2991" i="1" s="1"/>
  <c r="L2992" i="1" s="1"/>
  <c r="L2993" i="1" s="1"/>
  <c r="L2994" i="1" s="1"/>
  <c r="L2995" i="1" s="1"/>
  <c r="L2996" i="1" s="1"/>
  <c r="L2997" i="1" s="1"/>
  <c r="L2998" i="1" s="1"/>
  <c r="L2999" i="1" s="1"/>
  <c r="L3000" i="1" s="1"/>
  <c r="L3001" i="1" s="1"/>
  <c r="L3002" i="1" s="1"/>
  <c r="L3003" i="1" s="1"/>
  <c r="L3004" i="1" s="1"/>
  <c r="L3005" i="1" s="1"/>
  <c r="L3006" i="1" s="1"/>
  <c r="L3007" i="1" s="1"/>
  <c r="L3008" i="1" s="1"/>
  <c r="L3009" i="1" s="1"/>
  <c r="L3010" i="1" s="1"/>
  <c r="L3011" i="1" s="1"/>
  <c r="L3012" i="1" s="1"/>
  <c r="L3013" i="1" s="1"/>
  <c r="L3014" i="1" s="1"/>
  <c r="L3015" i="1" s="1"/>
  <c r="L3016" i="1" s="1"/>
  <c r="L3017" i="1" s="1"/>
  <c r="L3018" i="1" s="1"/>
  <c r="L3019" i="1" s="1"/>
  <c r="L3020" i="1" s="1"/>
  <c r="L3021" i="1" s="1"/>
  <c r="L3022" i="1" s="1"/>
  <c r="L3023" i="1" s="1"/>
  <c r="L3024" i="1" s="1"/>
  <c r="L3025" i="1" s="1"/>
  <c r="L3026" i="1" s="1"/>
  <c r="L3027" i="1" s="1"/>
  <c r="L3028" i="1" s="1"/>
  <c r="L3029" i="1" s="1"/>
  <c r="L3030" i="1" s="1"/>
  <c r="L3031" i="1" s="1"/>
  <c r="L3032" i="1" s="1"/>
  <c r="L3033" i="1" s="1"/>
  <c r="L3034" i="1" s="1"/>
  <c r="L3035" i="1" s="1"/>
  <c r="L3036" i="1" s="1"/>
  <c r="L3037" i="1" s="1"/>
  <c r="L3038" i="1" s="1"/>
  <c r="L3039" i="1" s="1"/>
  <c r="L3040" i="1" s="1"/>
  <c r="L3041" i="1" s="1"/>
  <c r="L3042" i="1" s="1"/>
  <c r="L3043" i="1" s="1"/>
  <c r="L3044" i="1" s="1"/>
  <c r="L3045" i="1" s="1"/>
  <c r="L3046" i="1" s="1"/>
  <c r="L3047" i="1" s="1"/>
  <c r="L3048" i="1" s="1"/>
  <c r="L3049" i="1" s="1"/>
  <c r="L3050" i="1" s="1"/>
  <c r="L3051" i="1" s="1"/>
  <c r="L3052" i="1" s="1"/>
  <c r="L3053" i="1" s="1"/>
  <c r="L3054" i="1" s="1"/>
  <c r="L3055" i="1" s="1"/>
  <c r="L3056" i="1" s="1"/>
  <c r="L3057" i="1" s="1"/>
  <c r="L3058" i="1" s="1"/>
  <c r="L3059" i="1" s="1"/>
  <c r="L3060" i="1" s="1"/>
  <c r="L3061" i="1" s="1"/>
  <c r="L3062" i="1" s="1"/>
  <c r="L3063" i="1" s="1"/>
  <c r="L3064" i="1" s="1"/>
  <c r="L3065" i="1" s="1"/>
  <c r="L3066" i="1" s="1"/>
  <c r="L3067" i="1" s="1"/>
  <c r="L3068" i="1" s="1"/>
  <c r="L3069" i="1" s="1"/>
  <c r="L3070" i="1" s="1"/>
  <c r="L3071" i="1" s="1"/>
  <c r="L3072" i="1" s="1"/>
  <c r="L3073" i="1" s="1"/>
  <c r="L3074" i="1" s="1"/>
  <c r="L3075" i="1" s="1"/>
  <c r="L3076" i="1" s="1"/>
  <c r="L3077" i="1" s="1"/>
  <c r="L3078" i="1" s="1"/>
  <c r="L3079" i="1" s="1"/>
  <c r="L3080" i="1" s="1"/>
  <c r="L3081" i="1" s="1"/>
  <c r="L3082" i="1" s="1"/>
  <c r="L3083" i="1" s="1"/>
  <c r="L3084" i="1" s="1"/>
  <c r="L3085" i="1" s="1"/>
  <c r="L3086" i="1" s="1"/>
  <c r="L3087" i="1" s="1"/>
  <c r="L3088" i="1" s="1"/>
  <c r="L3089" i="1" s="1"/>
  <c r="L3090" i="1" s="1"/>
  <c r="L3091" i="1" s="1"/>
  <c r="L3092" i="1" s="1"/>
  <c r="L3093" i="1" s="1"/>
  <c r="L3094" i="1" s="1"/>
  <c r="L3095" i="1" s="1"/>
  <c r="L3096" i="1" s="1"/>
  <c r="L3097" i="1" s="1"/>
  <c r="L3098" i="1" s="1"/>
  <c r="L3099" i="1" s="1"/>
  <c r="L3100" i="1" s="1"/>
  <c r="L3101" i="1" s="1"/>
  <c r="L3102" i="1" s="1"/>
  <c r="L3103" i="1" s="1"/>
  <c r="L3104" i="1" s="1"/>
  <c r="L3105" i="1" s="1"/>
  <c r="L3106" i="1" s="1"/>
  <c r="L3107" i="1" s="1"/>
  <c r="L3108" i="1" s="1"/>
  <c r="L3109" i="1" s="1"/>
  <c r="L3110" i="1" s="1"/>
  <c r="L3111" i="1" s="1"/>
  <c r="L3112" i="1" s="1"/>
  <c r="L3113" i="1" s="1"/>
  <c r="L3114" i="1" s="1"/>
  <c r="L3115" i="1" s="1"/>
  <c r="L3116" i="1" s="1"/>
  <c r="L3117" i="1" s="1"/>
  <c r="L3118" i="1" s="1"/>
  <c r="L3119" i="1" s="1"/>
  <c r="L3120" i="1" s="1"/>
  <c r="L3121" i="1" s="1"/>
  <c r="L3122" i="1" s="1"/>
  <c r="L3123" i="1" s="1"/>
  <c r="L3124" i="1" s="1"/>
  <c r="L3125" i="1" s="1"/>
  <c r="L3126" i="1" s="1"/>
  <c r="L3127" i="1" s="1"/>
  <c r="L3128" i="1" s="1"/>
  <c r="L3129" i="1" s="1"/>
  <c r="L3130" i="1" s="1"/>
  <c r="L3131" i="1" s="1"/>
  <c r="L3132" i="1" s="1"/>
  <c r="L3133" i="1" s="1"/>
  <c r="L3134" i="1" s="1"/>
  <c r="L3135" i="1" s="1"/>
  <c r="L3136" i="1" s="1"/>
  <c r="L3137" i="1" s="1"/>
  <c r="L3138" i="1" s="1"/>
  <c r="L3139" i="1" s="1"/>
  <c r="L3140" i="1" s="1"/>
  <c r="L3141" i="1" s="1"/>
  <c r="L3142" i="1" s="1"/>
  <c r="L3143" i="1" s="1"/>
  <c r="L3144" i="1" s="1"/>
  <c r="L3145" i="1" s="1"/>
  <c r="L3146" i="1" s="1"/>
  <c r="L3147" i="1" s="1"/>
  <c r="L3148" i="1" s="1"/>
  <c r="L3149" i="1" s="1"/>
  <c r="L3150" i="1" s="1"/>
  <c r="L3151" i="1" s="1"/>
  <c r="L3152" i="1" s="1"/>
  <c r="L3153" i="1" s="1"/>
  <c r="L3154" i="1" s="1"/>
  <c r="L3155" i="1" s="1"/>
  <c r="L3156" i="1" s="1"/>
  <c r="L3157" i="1" s="1"/>
  <c r="L3158" i="1" s="1"/>
  <c r="L3159" i="1" s="1"/>
  <c r="L3160" i="1" s="1"/>
  <c r="L3161" i="1" s="1"/>
  <c r="L3162" i="1" s="1"/>
  <c r="L3163" i="1" s="1"/>
  <c r="L3164" i="1" s="1"/>
  <c r="L3165" i="1" s="1"/>
  <c r="L3166" i="1" s="1"/>
  <c r="L3167" i="1" s="1"/>
  <c r="L3168" i="1" s="1"/>
  <c r="L3169" i="1" s="1"/>
  <c r="L3170" i="1" s="1"/>
  <c r="L3171" i="1" s="1"/>
  <c r="L3172" i="1" s="1"/>
  <c r="L3173" i="1" s="1"/>
  <c r="L3174" i="1" s="1"/>
  <c r="L3175" i="1" s="1"/>
  <c r="L3176" i="1" s="1"/>
  <c r="L3177" i="1" s="1"/>
  <c r="L3178" i="1" s="1"/>
  <c r="L3179" i="1" s="1"/>
  <c r="L3180" i="1" s="1"/>
  <c r="L3181" i="1" s="1"/>
  <c r="L3182" i="1" s="1"/>
  <c r="L3183" i="1" s="1"/>
  <c r="L3184" i="1" s="1"/>
  <c r="L3185" i="1" s="1"/>
  <c r="L3186" i="1" s="1"/>
  <c r="L3187" i="1" s="1"/>
  <c r="L3188" i="1" s="1"/>
  <c r="L3189" i="1" s="1"/>
  <c r="L3190" i="1" s="1"/>
  <c r="L3191" i="1" s="1"/>
  <c r="L3192" i="1" s="1"/>
  <c r="L3193" i="1" s="1"/>
  <c r="L3194" i="1" s="1"/>
  <c r="L3195" i="1" s="1"/>
  <c r="L3196" i="1" s="1"/>
  <c r="L3197" i="1" s="1"/>
  <c r="L3198" i="1" s="1"/>
  <c r="L3199" i="1" s="1"/>
  <c r="L3200" i="1" s="1"/>
  <c r="L3201" i="1" s="1"/>
  <c r="L3202" i="1" s="1"/>
  <c r="L3203" i="1" s="1"/>
  <c r="L3204" i="1" s="1"/>
  <c r="L3205" i="1" s="1"/>
  <c r="L3206" i="1" s="1"/>
  <c r="L3207" i="1" s="1"/>
  <c r="L3208" i="1" s="1"/>
  <c r="L3209" i="1" s="1"/>
  <c r="L3210" i="1" s="1"/>
  <c r="L3211" i="1" s="1"/>
  <c r="L3212" i="1" s="1"/>
  <c r="L3213" i="1" s="1"/>
  <c r="L3214" i="1" s="1"/>
  <c r="L3215" i="1" s="1"/>
  <c r="L3216" i="1" s="1"/>
  <c r="L3217" i="1" s="1"/>
  <c r="L3218" i="1" s="1"/>
  <c r="L3219" i="1" s="1"/>
  <c r="L3220" i="1" s="1"/>
  <c r="L3221" i="1" s="1"/>
  <c r="L3222" i="1" s="1"/>
  <c r="L3223" i="1" s="1"/>
  <c r="L3224" i="1" s="1"/>
  <c r="L3225" i="1" s="1"/>
  <c r="L3226" i="1" s="1"/>
  <c r="L3227" i="1" s="1"/>
  <c r="L3228" i="1" s="1"/>
  <c r="L3229" i="1" s="1"/>
  <c r="L3230" i="1" s="1"/>
  <c r="L3231" i="1" s="1"/>
  <c r="L3232" i="1" s="1"/>
  <c r="L3233" i="1" s="1"/>
  <c r="L3234" i="1" s="1"/>
  <c r="L3235" i="1" s="1"/>
  <c r="L3236" i="1" s="1"/>
  <c r="L3237" i="1" s="1"/>
  <c r="L3238" i="1" s="1"/>
  <c r="L3239" i="1" s="1"/>
  <c r="L3240" i="1" s="1"/>
  <c r="L3241" i="1" s="1"/>
  <c r="L3242" i="1" s="1"/>
  <c r="L3243" i="1" s="1"/>
  <c r="L3244" i="1" s="1"/>
  <c r="L3245" i="1" s="1"/>
  <c r="L3246" i="1" s="1"/>
  <c r="L3247" i="1" s="1"/>
  <c r="L3248" i="1" s="1"/>
  <c r="L3249" i="1" s="1"/>
  <c r="L3250" i="1" s="1"/>
  <c r="L3251" i="1" s="1"/>
  <c r="L3252" i="1" s="1"/>
  <c r="L3253" i="1" s="1"/>
  <c r="L3254" i="1" s="1"/>
  <c r="L3255" i="1" s="1"/>
  <c r="L3256" i="1" s="1"/>
  <c r="L3257" i="1" s="1"/>
  <c r="L3258" i="1" s="1"/>
  <c r="L3259" i="1" s="1"/>
  <c r="L3260" i="1" s="1"/>
  <c r="L3261" i="1" s="1"/>
  <c r="L3262" i="1" s="1"/>
  <c r="L3263" i="1" s="1"/>
  <c r="L3264" i="1" s="1"/>
  <c r="L3265" i="1" s="1"/>
  <c r="L3266" i="1" s="1"/>
  <c r="L3267" i="1" s="1"/>
  <c r="L3268" i="1" s="1"/>
  <c r="L3269" i="1" s="1"/>
  <c r="L3270" i="1" s="1"/>
  <c r="L3271" i="1" s="1"/>
  <c r="L3272" i="1" s="1"/>
  <c r="L3273" i="1" s="1"/>
  <c r="L3274" i="1" s="1"/>
  <c r="L3275" i="1" s="1"/>
  <c r="L3276" i="1" s="1"/>
  <c r="L3277" i="1" s="1"/>
  <c r="L3278" i="1" s="1"/>
  <c r="L3279" i="1" s="1"/>
  <c r="L3280" i="1" s="1"/>
  <c r="L3281" i="1" s="1"/>
  <c r="L3282" i="1" s="1"/>
  <c r="L183" i="1" l="1"/>
  <c r="L184" i="1" s="1"/>
  <c r="L185" i="1" s="1"/>
  <c r="L186" i="1" s="1"/>
  <c r="L187" i="1" s="1"/>
  <c r="L188" i="1" s="1"/>
  <c r="L189" i="1" s="1"/>
  <c r="L190" i="1" s="1"/>
  <c r="L191" i="1" s="1"/>
  <c r="L192" i="1" s="1"/>
  <c r="L193" i="1" s="1"/>
  <c r="L194" i="1" s="1"/>
  <c r="L195" i="1" s="1"/>
  <c r="L196" i="1" s="1"/>
  <c r="L197" i="1" s="1"/>
  <c r="L158" i="1"/>
  <c r="L198" i="1" l="1"/>
  <c r="L199" i="1" s="1"/>
  <c r="L200" i="1" s="1"/>
  <c r="L201" i="1" s="1"/>
  <c r="L202" i="1" s="1"/>
  <c r="L203" i="1" s="1"/>
  <c r="L204" i="1" s="1"/>
  <c r="M193" i="1"/>
  <c r="L205" i="1" l="1"/>
  <c r="L206" i="1" s="1"/>
  <c r="L207" i="1" s="1"/>
  <c r="L208" i="1" s="1"/>
  <c r="L228" i="1" s="1"/>
  <c r="L229" i="1" s="1"/>
  <c r="L230" i="1" s="1"/>
  <c r="L231" i="1" s="1"/>
  <c r="L232" i="1" s="1"/>
  <c r="L233" i="1" s="1"/>
  <c r="L234" i="1" s="1"/>
  <c r="L235" i="1" s="1"/>
  <c r="L236" i="1" s="1"/>
  <c r="L237" i="1" s="1"/>
  <c r="L238" i="1" s="1"/>
  <c r="L239" i="1" s="1"/>
  <c r="L240" i="1" l="1"/>
  <c r="L241" i="1" s="1"/>
  <c r="L242" i="1" s="1"/>
  <c r="L243" i="1" l="1"/>
  <c r="L244" i="1" l="1"/>
  <c r="L245" i="1" s="1"/>
  <c r="L246" i="1" s="1"/>
  <c r="L247" i="1" s="1"/>
  <c r="L248" i="1" s="1"/>
  <c r="L249" i="1" s="1"/>
  <c r="L250" i="1" s="1"/>
  <c r="L251" i="1" s="1"/>
  <c r="L252" i="1" s="1"/>
  <c r="L253" i="1" s="1"/>
  <c r="L254" i="1" s="1"/>
  <c r="L255" i="1" s="1"/>
  <c r="L256" i="1" s="1"/>
  <c r="L257" i="1" s="1"/>
  <c r="L258" i="1" s="1"/>
  <c r="L259" i="1" s="1"/>
  <c r="L260" i="1" s="1"/>
  <c r="L261" i="1" s="1"/>
  <c r="L262" i="1" l="1"/>
  <c r="L263" i="1" s="1"/>
  <c r="L264"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l="1"/>
  <c r="L320" i="1" s="1"/>
  <c r="L321" i="1" s="1"/>
  <c r="L322" i="1" s="1"/>
  <c r="L323" i="1" s="1"/>
  <c r="L324" i="1" s="1"/>
  <c r="L325" i="1" s="1"/>
  <c r="L326" i="1" s="1"/>
  <c r="L327" i="1" s="1"/>
  <c r="L328" i="1" s="1"/>
  <c r="L348" i="1" s="1"/>
  <c r="L349" i="1" s="1"/>
  <c r="L350" i="1" s="1"/>
  <c r="L351" i="1" s="1"/>
  <c r="L352" i="1" s="1"/>
  <c r="L353" i="1" s="1"/>
  <c r="L354" i="1" s="1"/>
  <c r="L355" i="1" s="1"/>
  <c r="L356" i="1" l="1"/>
  <c r="L357" i="1" s="1"/>
  <c r="L358" i="1" l="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Comif Chajul</author>
  </authors>
  <commentList>
    <comment ref="E21" authorId="0" shapeId="0" xr:uid="{6C9C1EBD-7E09-459E-A4E3-011B707D0BA9}">
      <text>
        <r>
          <rPr>
            <b/>
            <sz val="9"/>
            <color indexed="81"/>
            <rFont val="Tahoma"/>
            <family val="2"/>
          </rPr>
          <t>Comif Chajul:</t>
        </r>
        <r>
          <rPr>
            <sz val="9"/>
            <color indexed="81"/>
            <rFont val="Tahoma"/>
            <family val="2"/>
          </rPr>
          <t xml:space="preserve">
</t>
        </r>
      </text>
    </comment>
    <comment ref="F21" authorId="0" shapeId="0" xr:uid="{7E1CD30A-429D-43F4-8C67-28CEF4A91AF5}">
      <text>
        <r>
          <rPr>
            <b/>
            <sz val="9"/>
            <color indexed="81"/>
            <rFont val="Tahoma"/>
            <family val="2"/>
          </rPr>
          <t>Comif Chajul:</t>
        </r>
        <r>
          <rPr>
            <sz val="9"/>
            <color indexed="81"/>
            <rFont val="Tahoma"/>
            <family val="2"/>
          </rPr>
          <t xml:space="preserve">
</t>
        </r>
      </text>
    </comment>
  </commentList>
</comments>
</file>

<file path=xl/sharedStrings.xml><?xml version="1.0" encoding="utf-8"?>
<sst xmlns="http://schemas.openxmlformats.org/spreadsheetml/2006/main" count="1339" uniqueCount="425">
  <si>
    <t>COOPERATIVA INTEGRAL DE AHORRO Y CREDITO</t>
  </si>
  <si>
    <t>"MAYA INVERSIONES FUTURAS" RESPONSABILIDAD LIMITADA</t>
  </si>
  <si>
    <t>Año</t>
  </si>
  <si>
    <t>TIPO</t>
  </si>
  <si>
    <t>(Expresado en Quetzales)</t>
  </si>
  <si>
    <t>Saldo Inicial de Caja</t>
  </si>
  <si>
    <t xml:space="preserve"> No.CH.</t>
  </si>
  <si>
    <t>CANTIDAD</t>
  </si>
  <si>
    <t>Recibo-Entrada</t>
  </si>
  <si>
    <t>Recibo-Salida</t>
  </si>
  <si>
    <t xml:space="preserve"> SALDO</t>
  </si>
  <si>
    <t>FECHA</t>
  </si>
  <si>
    <t>MOV</t>
  </si>
  <si>
    <t>DOC.</t>
  </si>
  <si>
    <t>NOMBRE DEL BENEFICIARIO</t>
  </si>
  <si>
    <t xml:space="preserve">DESCRIPCION </t>
  </si>
  <si>
    <t>BANCOS</t>
  </si>
  <si>
    <t>INGRESO</t>
  </si>
  <si>
    <t>EGRESO</t>
  </si>
  <si>
    <t>LIBRO AUXILIAR DE CAJA CHICA</t>
  </si>
  <si>
    <t>AÑO</t>
  </si>
  <si>
    <t>MES</t>
  </si>
  <si>
    <t>01</t>
  </si>
  <si>
    <t>DTE</t>
  </si>
  <si>
    <t>SE COMPRO COMBUSTIBLE</t>
  </si>
  <si>
    <t>ENERGUATE</t>
  </si>
  <si>
    <t>PAGO DE ENERGIA ELECTRICA</t>
  </si>
  <si>
    <t>ASOCIACION PARA EL DESARROLLO INTEGRAL FILANTROPIS</t>
  </si>
  <si>
    <t>PAGO DE INTERNET</t>
  </si>
  <si>
    <t>MULTISERVICIOS TECNICOS F&amp;P</t>
  </si>
  <si>
    <t>ESTACION DE SERVICIOS MARANATHA</t>
  </si>
  <si>
    <t>08</t>
  </si>
  <si>
    <t>NIS</t>
  </si>
  <si>
    <t>Cooperativa Integral de Ahorro y Credito</t>
  </si>
  <si>
    <t>"Maya Inversiones Futuras", R.L.</t>
  </si>
  <si>
    <t>Arqueo de Caja</t>
  </si>
  <si>
    <t>21/08/2023 Hora:3:00 pm a 6:15 pm</t>
  </si>
  <si>
    <t xml:space="preserve">Saldo Inicial  (al 27/04/2023) Según Auxiliar </t>
  </si>
  <si>
    <t>ARQUEO DEL EFECTIVO</t>
  </si>
  <si>
    <t>Recuento</t>
  </si>
  <si>
    <t>Cantidad</t>
  </si>
  <si>
    <t xml:space="preserve">Billetes </t>
  </si>
  <si>
    <t>Denominacion</t>
  </si>
  <si>
    <t>Total</t>
  </si>
  <si>
    <t>Q.200.00</t>
  </si>
  <si>
    <t>Q.100.00</t>
  </si>
  <si>
    <t>Q.50.00</t>
  </si>
  <si>
    <t>Q.20.00</t>
  </si>
  <si>
    <t>Q.10.00</t>
  </si>
  <si>
    <t>Q.5.00</t>
  </si>
  <si>
    <t>Q.1.00</t>
  </si>
  <si>
    <t>Monedas</t>
  </si>
  <si>
    <t>Q.0.50</t>
  </si>
  <si>
    <t>Q.0.25</t>
  </si>
  <si>
    <t>Q.0.10</t>
  </si>
  <si>
    <t>Q.0.05</t>
  </si>
  <si>
    <t>Q.0.01</t>
  </si>
  <si>
    <t>Total Efectivo</t>
  </si>
  <si>
    <t>DIFERENCIA</t>
  </si>
  <si>
    <t>El dia 21 de Agosto de 2023 se hizo arqueo al Receptor Pagador  Lorenza Raquel Pantzay Sánchez,  en su presencia</t>
  </si>
  <si>
    <t xml:space="preserve">presentandonos       los      documentos   de   ingresos  y   egresos   como  tambien   los   depositos y </t>
  </si>
  <si>
    <t>arqueo y  se incluyo con el total del efectivo encontrado. La diferencia radica en los centavos.</t>
  </si>
  <si>
    <t xml:space="preserve">Se    devolvieron     los    documentos   de    forma  íntegra   a la persona   encargada   sin que haga  falta   </t>
  </si>
  <si>
    <t>alguno de los documentos recibiendolos en su entera satisfaccion.</t>
  </si>
  <si>
    <t xml:space="preserve">Observaciones:  </t>
  </si>
  <si>
    <t xml:space="preserve">Luis Santiago Ceto Bernal </t>
  </si>
  <si>
    <t>Julio Vicente Perez Soliz</t>
  </si>
  <si>
    <t>Presidente</t>
  </si>
  <si>
    <t>Secretario</t>
  </si>
  <si>
    <t>Lorenza Raquel Pantzay Sanchez</t>
  </si>
  <si>
    <t>Catarina Guzman Raymundo</t>
  </si>
  <si>
    <t>Receptor-Pagador</t>
  </si>
  <si>
    <t>Vocal I</t>
  </si>
  <si>
    <t>Total Ingresos-Egresos</t>
  </si>
  <si>
    <r>
      <t>facturas para proceder a realizar la revision  se encontro un sobrante de</t>
    </r>
    <r>
      <rPr>
        <u/>
        <sz val="11"/>
        <rFont val="Arial Narrow"/>
        <family val="2"/>
      </rPr>
      <t xml:space="preserve">  Q. 0.01. Centavos  </t>
    </r>
    <r>
      <rPr>
        <sz val="11"/>
        <rFont val="Arial Narrow"/>
        <family val="2"/>
      </rPr>
      <t xml:space="preserve">de acuerdo con el </t>
    </r>
  </si>
  <si>
    <t>SERVICIOS DE COMPUTADORA Y OTROS</t>
  </si>
  <si>
    <t>REC</t>
  </si>
  <si>
    <t>.</t>
  </si>
  <si>
    <t>ASOCIACION CHAJULENSE</t>
  </si>
  <si>
    <t>SUPER ESTACION CAMPO ALEGRE</t>
  </si>
  <si>
    <t>MULTISERVICIOS TECNICOS LAYNEZ</t>
  </si>
  <si>
    <t>LIQUIDCION DE CAJA CHICA</t>
  </si>
  <si>
    <t>MISCELANEA Y LIBRERÍA YESHUA</t>
  </si>
  <si>
    <t>MES DE ENERO 2,026</t>
  </si>
  <si>
    <t>TIENDA LA ECONOMICA</t>
  </si>
  <si>
    <t>SE COMPRO COMBUSTIBLE PARA COMISION DE VIGILANCIA POR ARQUEO EN AGENCIA CHAJUL</t>
  </si>
  <si>
    <t>SE COMPRO 5 LIBRAS DE CAFÉ TOSTADO Y MOLIDO</t>
  </si>
  <si>
    <t>SE COMPRO 1 BOTE DE BASURERO BAYBEN MEDIANO</t>
  </si>
  <si>
    <t xml:space="preserve">SE COMPRO 4 TOHALLAS </t>
  </si>
  <si>
    <t>SE COMPRO 3 BOTE MIKY</t>
  </si>
  <si>
    <t xml:space="preserve">SE COMPRO 4 TOHALLAS MICROFIBRA </t>
  </si>
  <si>
    <t>1 ENGRAPADORA SWINGLINE</t>
  </si>
  <si>
    <t>1 PERFORADOR (S) PF-20</t>
  </si>
  <si>
    <t>1 PAQUETE DE FOLDER MANILA TAMAÑO CARTA</t>
  </si>
  <si>
    <t>1 PAQUETE DE FOLDER MANILA TAMAÑO OFICIO</t>
  </si>
  <si>
    <t>1 CAJA DE CLIPS DE COLORES 33mm</t>
  </si>
  <si>
    <t>1 CAJA DE CLIPS DE COLORES JUMBO</t>
  </si>
  <si>
    <t>1 RESMA DE PAPEL BOND CARTA</t>
  </si>
  <si>
    <t>1 RESMA DE PAPEL BOND OFICIO</t>
  </si>
  <si>
    <t>1 CALCULADORA (S) CASIO MX-12B</t>
  </si>
  <si>
    <t>1 TIJERA (S) STANLEY #9</t>
  </si>
  <si>
    <t>1 PEGAMENTO (S) EN BARRA PRITT 42g</t>
  </si>
  <si>
    <t>1 CUCHILLA (S) ARTESCO 18mm</t>
  </si>
  <si>
    <t>1 REGLA (S) DE METAL DE 30 CM</t>
  </si>
  <si>
    <t>PAQUETE(S) DE POSTIT 3X3 600 HOJAS 6 COLORES</t>
  </si>
  <si>
    <t xml:space="preserve">DE </t>
  </si>
  <si>
    <t>3 LAPICERO(S) BIC (CAJA(S) DE LAPICEROS BIC 12 UNIDADES</t>
  </si>
  <si>
    <t>15 PLATOS DE BOXBOL</t>
  </si>
  <si>
    <t>15 JUGOS</t>
  </si>
  <si>
    <t>16 UNIDADES DE PAN</t>
  </si>
  <si>
    <t xml:space="preserve">LORENZA RAQUEL PANTZAY SANCHEZ </t>
  </si>
  <si>
    <t>POR PAGO DE SERVICIO DE INTERNET DE LA COOPERATIVA CORRESPONDIENTE AL MES DE ENERO 2,026</t>
  </si>
  <si>
    <t>FERRETERIA CHAVELITA</t>
  </si>
  <si>
    <t xml:space="preserve">1 REGLETA </t>
  </si>
  <si>
    <t>COMEDOR Y RESTAURANTE "ELSIM"</t>
  </si>
  <si>
    <t>1 POR CONSUMO DE ALIMENTOS</t>
  </si>
  <si>
    <t>SE COMPRO CONBUSTIBLE POR SUPERVICION DE GARANTIA</t>
  </si>
  <si>
    <t>FOTO Y PRODUCCIONES SANCHEZ</t>
  </si>
  <si>
    <t>1 MOUSE INALAMBRICO MARCA LOGITEC</t>
  </si>
  <si>
    <t>1 HUB DE 4 ENTRADAS 2.0 MARCA MAXELL</t>
  </si>
  <si>
    <t>SE COMPRO COMBUSTIBLE POR OBSERVACION DE GARANTIA EN ILOM</t>
  </si>
  <si>
    <t>FERRETERIA CASA GRANDE</t>
  </si>
  <si>
    <t>SE COMPRO 4 BOMBILLAS LED ALTA POTENCIA 30W-6500K-E27 ACEM NUEVASA</t>
  </si>
  <si>
    <t>DISTRIBUIDORA DE ELECTRICIDAD DE OCCIDENTE</t>
  </si>
  <si>
    <t>POR PAGO DE SERVICIO DE ENERGIA ELECTRICA DE LA COOPERATIVA CORRESPONDIENTE AL MES DE ENERO 2,026</t>
  </si>
  <si>
    <t>COMUNICACIONES CELULARES, S.A.</t>
  </si>
  <si>
    <t>POR PAGO DE SERVICIO DE LINEA TELEFONICA  DE LA COOPERATIVA CORRESPONDIENTE AL MES DE DICIEMBRE</t>
  </si>
  <si>
    <t>TRANSPORTE EMPAQUE Y ALMACENAJE SOCIEDAD ANONIMA</t>
  </si>
  <si>
    <t>1 SERVICIO DE TRANSPORTE DE SOBRES Y PAQUETES EN TODA LA REPUBLICA</t>
  </si>
  <si>
    <t>OFICINA JURIDICA PROFESIONAL UZIAS MIGUEL LOPEZ CRUZ</t>
  </si>
  <si>
    <t>ESCRITURA PUBLICA DE CONTRATO MUTUO CON GARANTIA HIPOTECARIA DE DERECHOS POSESORIOS DE BIEN INMUEBLE</t>
  </si>
  <si>
    <t>SANDRA FABIOLA VÁSQUEZ GOMEZ  INFOTEC</t>
  </si>
  <si>
    <t>1 TINTA PARA CANON G-11K</t>
  </si>
  <si>
    <t>1 TINTA PARA CANON G-11Y</t>
  </si>
  <si>
    <t>1 TINTA PARA CANON G-11M</t>
  </si>
  <si>
    <t>1TINTA PARA CANON G-11C</t>
  </si>
  <si>
    <t xml:space="preserve">SE COMPRO COMBUSTIBLE POR SALIDA DE VIAJE A NEBAJ DE MATEO PARA HIR CON LIC JOSE TERRAZA </t>
  </si>
  <si>
    <t>SE COMPRO COMBUSTIBLE POR OBSERVACION DE GARANTIA EN ILOM ECHO POR DIEGO ASICONA LAYNEZ</t>
  </si>
  <si>
    <t xml:space="preserve">SUPER ESTACION CAMPO ALEGRE </t>
  </si>
  <si>
    <t>SE COMPRO COMBUSTIBLE PARA VIAJE A NEBAJ PARA PRESTIMISTAS Y MATEO CANAY</t>
  </si>
  <si>
    <t>SE COMPRO COMBUSTIBLE POR OBSERACION DE GARANTIA REALIZADO POR MATEO CANAY</t>
  </si>
  <si>
    <t>SE COMPRO GASOLINA PARA LA PLANTA POR FALTA DE ENERGIA ELECTRICA</t>
  </si>
  <si>
    <t>RESTAURANTE LAS DELICIAS</t>
  </si>
  <si>
    <t>POR CONSUMO DE ALIMENTOS DE MATEO CANAY POR OBSERVACION DE TERRENO DE LA COOPERATIVA</t>
  </si>
  <si>
    <t>RESTAURANTE ASADOS EL PASABIEN</t>
  </si>
  <si>
    <t xml:space="preserve">1 POR CONSUMO DE ALIMENTOS DE MATEO CANAY POR ACOMPAÑAMIENTO DE PRESTAMISTA EN AGENCIA NEBAJ </t>
  </si>
  <si>
    <t>SE COMPRO COMBUSTIBLE POR OBSERVACION DE GARANTIA EN ILOM DE MARIA CABA CABA Y PETRONILA GUZMAN RAMIREZ</t>
  </si>
  <si>
    <t>PLANILLA</t>
  </si>
  <si>
    <t>DIEGO LAYNEZ ASICONA</t>
  </si>
  <si>
    <t>SUPERVICION DE GARANTIA DEL SEÑOR DOMINGO RAMIREZ ASICONA ALDEA CHEL Y ACTUALIZACION DE FOTOS DE GARANTIA DE MIGUEL LOPEZ RAMOSN ALDEA LAS PILAS (POR CREDITO DE JEISON EDUARDO LOPEZ COBO)</t>
  </si>
  <si>
    <t>SUPERVICION DE GARANTIA DEL SEÑOR FRANCISCO GALLEGO SANCHEZ ALDEA ILOM</t>
  </si>
  <si>
    <t>SUPERVICION DE GARANTIA DE MANUELA CABA DEL BARRIO Y ACTUALIAZION DE FOTOS DE GARANTIA DE JUANA CABA GUZMAN EN LA ALDEA ILOM</t>
  </si>
  <si>
    <t>1 POR COMPRA DE 1 REBOSO PARA LA AFILIACION DE LA CCA DE COSTA RICA</t>
  </si>
  <si>
    <t>HOTEL Y RESTAURANTE REAL LA VILLA</t>
  </si>
  <si>
    <t>1 ALMUERZO</t>
  </si>
  <si>
    <t>SE COMPRO COMBUSTIBLE POR ACOMPAÑAMIENTO DE PRESTIMISA EN AGENCIA CENTRAL DE NEBAJ POR MATEO CANAY</t>
  </si>
  <si>
    <t>LIQUIDACION DE CAJA CHICA</t>
  </si>
  <si>
    <t>POR COMPRA DE 8 UNIDADES DE TABLA PARA REMODELACION AGENCIA CHAJUL Y POR 3 DOCENAS DE PARALES USADAS PARA REMODELACION DE LA AGENCIA CHAJUL</t>
  </si>
  <si>
    <t>6 LIBRAS DE CAFÉ TOSTADO Y MOLIDO</t>
  </si>
  <si>
    <t>02</t>
  </si>
  <si>
    <t xml:space="preserve">POR OSERVARCION DE GARANTIA EN VISIQUICHUM Y ALDEA CHEL </t>
  </si>
  <si>
    <t>MES DE FEBrero 2,026</t>
  </si>
  <si>
    <t>SE COMPRO COMBUSTIBLE PARA LA PLANTA POR FALTA DE ENERGIA ELECTRICA</t>
  </si>
  <si>
    <t>OFICINA JURIDICA TOMAS RAYMUNDO RAYMUNDO</t>
  </si>
  <si>
    <t>ELABORACION DE CONTRATO DE RECONOCIMIENTO DE DEUDA CON GARANTIA HIPOTECARIA DE FECHA 20/02/2026, DEL SEÑOR FRANCISCO PASCUAL PEDRO, ASOCIADO DE LA COOPERATIVA</t>
  </si>
  <si>
    <t>ASOCIACION CHAJULENSE VA`L VAQ QUYOL</t>
  </si>
  <si>
    <t>FONG TECHNOLOGY</t>
  </si>
  <si>
    <t>VENTILADOR LAP TOP NC6130 5 NIVELES UNIDAD UNO</t>
  </si>
  <si>
    <t xml:space="preserve">MISCELANEA MARIA TERESA </t>
  </si>
  <si>
    <t>SE COMPRO UN GARAFON DE AGUA PARA SALVAVIDAS</t>
  </si>
  <si>
    <t xml:space="preserve">CAFETIN </t>
  </si>
  <si>
    <t>CONSUMO DE ALIMENTO</t>
  </si>
  <si>
    <t>SE COMPRO COMBUSTIBLE POR VISITA EN AGENCIA CHAJUL</t>
  </si>
  <si>
    <t>REC:</t>
  </si>
  <si>
    <t>MES DE marzo 2,026</t>
  </si>
  <si>
    <t>POR PAGO DE SERVICIO DE LINEA TELEFONICA  DE LA COOPERATIVA CORRESPONDIENTE AL MES DE DE FEBRERO 2026</t>
  </si>
  <si>
    <t>03</t>
  </si>
  <si>
    <t>POR CONSUMO DE 11 ALIMENTOS</t>
  </si>
  <si>
    <t>POR CONSUMO DE GASEOSAS</t>
  </si>
  <si>
    <t>FERRETERIA NE LU</t>
  </si>
  <si>
    <t>2 ARMADURA/TOMACORRIENTES STAINLESS</t>
  </si>
  <si>
    <t>1 CINTA AISLAR 3MM</t>
  </si>
  <si>
    <t>1 PINZA PELA CABLE EPICA</t>
  </si>
  <si>
    <t>1 BOLSA DE TORNILLOS 1plg</t>
  </si>
  <si>
    <t>1 BOLSA DE TORNILLOS 2plg</t>
  </si>
  <si>
    <t>1 BOLSA DE GRAPA "12"</t>
  </si>
  <si>
    <t>1 PROBADOR DE CORRIENTE SIN CONTACTO</t>
  </si>
  <si>
    <t>1 GUANTE "M" pretul</t>
  </si>
  <si>
    <t>Telefono</t>
  </si>
  <si>
    <t>Energia electrica</t>
  </si>
  <si>
    <t>RESUMEN DE GASTOS</t>
  </si>
  <si>
    <t>Gastos diversos Agencia Chajul</t>
  </si>
  <si>
    <t>Cafeteria y Limpieza</t>
  </si>
  <si>
    <t>Combustibles y Lubricantes</t>
  </si>
  <si>
    <t>Alimentacion</t>
  </si>
  <si>
    <t>Interet</t>
  </si>
  <si>
    <t>Suministros de Oficina</t>
  </si>
  <si>
    <t>Rep Y Man. de Oficinas</t>
  </si>
  <si>
    <t>INBODOSIFIC</t>
  </si>
  <si>
    <t>POR LIMPIEZA DE CISTERNA DE AGENCIA CHAJUL</t>
  </si>
  <si>
    <t>Comisiones gastos</t>
  </si>
  <si>
    <t>Fletes y acarreo</t>
  </si>
  <si>
    <t>Rep Y Man. Agen Chajul</t>
  </si>
  <si>
    <t>Proyeccion social</t>
  </si>
  <si>
    <t>total</t>
  </si>
  <si>
    <t>RESUMEN DE GASTOS Caja Chica</t>
  </si>
  <si>
    <t>SE COMPRO COMBUSTIBLE POR OBSERVACION DE GARANTIA ALDEA ILOM</t>
  </si>
  <si>
    <t xml:space="preserve">SE COMPRO COMBUSTIBLE POR OBSERVACION DE GARANTIA EN ILOM </t>
  </si>
  <si>
    <t xml:space="preserve">SE COMPRO COMBUSTIBLE POR ASAMBLEA GENERAL </t>
  </si>
  <si>
    <t>SE COMPRO COMBUSTIBLE POR OBSERVASION DE GARANTIA EN ALDEA ILOM</t>
  </si>
  <si>
    <t xml:space="preserve">SE COMPRO COMBUSTIBLE POR ACTUALIZACION DE FOTOS DE LA AGENCIA CENTRAL </t>
  </si>
  <si>
    <t>SE COMPRO COMBUSTIBLE POR SUPERVISION DE GARANTIA EN SAN JUAN COTZAL</t>
  </si>
  <si>
    <t>SUMA TOTAL</t>
  </si>
  <si>
    <t>Caja Chica</t>
  </si>
  <si>
    <t>POR SUPERVICION DE GARANTIA EN LA ALDEA ILOM</t>
  </si>
  <si>
    <t>POR CONSUMO DE ALIMENTOS</t>
  </si>
  <si>
    <t>POR OBSERVACION DE GARANTIA ALDEA ILOM</t>
  </si>
  <si>
    <t>GASPAR WALTER RAYMUNDO MENDOZA</t>
  </si>
  <si>
    <t>SERVICIO DE LINEA TELEFONICA CORRESPONDEINTE AL MES DE ENERO, FEBRERO Y MARZO 2026</t>
  </si>
  <si>
    <t>SUPER ESTACION DE SERVICIOS MARANATHA</t>
  </si>
  <si>
    <t>1 ADAPTADOR BLUETHOOT, 3PARES DE BATERIA ALCALINAS AA DURACELL, 3PARES DE BATERIAS ALCALINAS AA DURACELL</t>
  </si>
  <si>
    <t>POR PAGO DE SERVICIO DE INTERNET DE LA COOPERATIVA CORRESPONDIENTE AL MES DE MARZO 2,026</t>
  </si>
  <si>
    <t>POR PAGO DE SERVICIO DE LINEA TELEFONICA  DE LA COOPERATIVA CORRESPONDIENTE AL MES DE DE MARZO 2026</t>
  </si>
  <si>
    <t>SE COMPRO 12 LIBRAS DE CAFÉ TOSTADO Y MOLIDO</t>
  </si>
  <si>
    <t xml:space="preserve">SERVICIO TECNICOS "MATEO CANAY" </t>
  </si>
  <si>
    <t>PAGO DE SERVICIO DE TELEFONO MES DE MARZO 2026</t>
  </si>
  <si>
    <t>OFICINA JURIDICA PROFESIONAL</t>
  </si>
  <si>
    <t>CONTRATO MUTUO CON GARANTIA HIPOTECARIA DE DERECHO POSESORIOS SOBRE BIEN INMUEBLE</t>
  </si>
  <si>
    <t>ROSY MARICELDA CALEL IMUL</t>
  </si>
  <si>
    <t>MES DE ABRIL 2,026</t>
  </si>
  <si>
    <t>04</t>
  </si>
  <si>
    <r>
      <t>ASOCIACION PARA EL DESARROLLO INTEGRAL FILANTROPIS, ONG</t>
    </r>
    <r>
      <rPr>
        <b/>
        <sz val="12"/>
        <color theme="1"/>
        <rFont val="Calibri"/>
        <family val="2"/>
        <scheme val="minor"/>
      </rPr>
      <t>"</t>
    </r>
  </si>
  <si>
    <t>MATEO CANAY ASICONA</t>
  </si>
  <si>
    <t>GASPAR WALTER RAYMUNDO MENDEZ</t>
  </si>
  <si>
    <t>3634711424</t>
  </si>
  <si>
    <t xml:space="preserve">LIQUIDACION DE LA CAJA CHICA </t>
  </si>
  <si>
    <t>6568814</t>
  </si>
  <si>
    <t>DISTRIBUIDORA DE ELECTRICIDAD DE OCCIDENTE S.A</t>
  </si>
  <si>
    <t>PAGO DE SERVICIO DE ENERGIA ELECTRICA CORRESPONDIENTE AL MES DE ABRIL 2026</t>
  </si>
  <si>
    <t>COMBUSTIBLE POR VISITA REALIZADO EN LA AGENCIA CENTRAL EN EL DIA MARTES , MIERCOLES. DEL MES DE ABRIL 2026 POR DIEGO LAYNEZ PROMOTOR DE CREDITOS</t>
  </si>
  <si>
    <t>COMBUSTIBLE POR VISITA REALIZADO EN LA AGENCIA CENTRAL EN EL DIA MIERCOLES DEL MES DE ABRIL 2026 POR  MATEO CANAY ASICONA JEFE DE LA AGENCIA CHAJUL</t>
  </si>
  <si>
    <t>GASTO POR DESAYUNO EN LA ASAMBLEA EXTRAORDINARIO EN NEBAJ DEL DIA SABADO 11 DE ABRIL 2026</t>
  </si>
  <si>
    <t>GASTO POR DESAYUNO EN LA ASAMBLEA EXTRAORDINARIO EN NABAJ DEL DIA SABADO 11 DE ABRIL 2026</t>
  </si>
  <si>
    <t>COMBUSTIBLE POR  VIAJAR EN NEBAJ POR LA ASAMBLEA EXRAORDINARIO EN EL DIA SABADO 11 DE ABRIL 2026 POR GASPAR WALTER RAYMUNDO MENDOZA PROMOTOR DE CREDITOS</t>
  </si>
  <si>
    <t>2026</t>
  </si>
  <si>
    <t>3205</t>
  </si>
  <si>
    <t>COMBUSTIBLE POR ACTUALIZACION DE GARANTIA DE ANA RAMIREZ LAYNEZ Y SUPERVISION DE GARANTIA DE PEDRO BOP EN LA ALDEA ILOM POR  DIEGO LAYNEZ ASICONA PROMOTOR DE CREDITO</t>
  </si>
  <si>
    <t xml:space="preserve">POR ACTUALIZACION DE GARANTIA DE ANA RAMIREZ LAYNEZ Y SUPERVISION DE GARANTIA DE PEDREO BOP EN ÑA ALDEA ILOM POR GASPAR WALTER RAYMUNDO MENDEZ  PROMOTOR DE CREDITO </t>
  </si>
  <si>
    <t>MARIA JULIANA LAYNEZ LAYNEZ</t>
  </si>
  <si>
    <t>POR PAGO DE SERVICIO DE LINEA TELEFONICA  DE LA COOPERATIVA CORRESPONDIENTE AL MES DE ABRIL 2026</t>
  </si>
  <si>
    <t>COMUNICACIONES CELULARES, S.A</t>
  </si>
  <si>
    <t>PARQUEO PEREZ</t>
  </si>
  <si>
    <t>CHEQ</t>
  </si>
  <si>
    <t>POR ESTACIONAR EL VEHICULO POR DOS HORAS POR COMISION DE VIGILANCIA  DE ARQUEO,  AGENCIA CHAJUL</t>
  </si>
  <si>
    <t>COMBUSTIBLE POR COMICION DE VIGILANCIA DE ARQUEO, AGENCIA CHAJUL</t>
  </si>
  <si>
    <t>COMBUSTIBLE POR SUPERVISAR GARANTIA POR MATEO CANAY ASICONA  JEFE DE LA AGENCIA CHAJUL</t>
  </si>
  <si>
    <t>COMBUSTIBLE POR IR EN LA AGENCIA CENTRAL A TOMAR FOTO DE LA AGENCIA EN EL DIA MIERCULES 22 DE ABRIL POR DOMINGO RUBEN CANAY ASICONA POR DIRECTOR DE PAGINA WEB</t>
  </si>
  <si>
    <t>CHEQUE</t>
  </si>
  <si>
    <t>ARRENDAMIENTO K`UMU`S</t>
  </si>
  <si>
    <t>MULTI TECNICOS LAYNEZ</t>
  </si>
  <si>
    <t xml:space="preserve"> SE COMPRO 5 PORCION DE DESAYUNO POR PERSONAJE DE LA COOPERATIVA POR LA CAPACITACION DEL DIA SABADO 25 DE ABRIL 2026</t>
  </si>
  <si>
    <t>SE COMPRO COMBUSTIBLE PARA LA PLANTA POR FALTA DE ENERGIA ELECTRICA DEL DIA LUNES 27 DE ABRIL 2026</t>
  </si>
  <si>
    <t>SE COMPRO COMBUSTIBLE POR SUPERVISION DE GARANTIA EN LA ALDEA ILOM DEL SEÑOR PEDRO MATOM  LAYNEZ POR DIEGO LAYNEZ ASICONA PROMOTOR DE CREDITO</t>
  </si>
  <si>
    <t>SE COMPRO COMBUSTIBLE POR SUPERVISION DE GARANTIA EN LA ALDEA ILOM DEL SEÑOR PEDRO MATOM LAYNEZ  POR GASPAR WALTER RAYMUNDO MENDOZA</t>
  </si>
  <si>
    <t xml:space="preserve">PAGO DE ESTACIONAMIENTO  POR PERSONAJE DE LA COOPERATIVA POR LA CAPACITACION DEL DIA SABADO 25 DE ABRIL POR AGENCIA CHAJUL </t>
  </si>
  <si>
    <t>05</t>
  </si>
  <si>
    <t>SE COMPRO 20 UNIDADES DE TOSTADA DE POLLO POR PERSONAJES DE LA COOPERATIVA AGENCIA CHAJUL</t>
  </si>
  <si>
    <t>SE COMPRO 11 UNIDADES JUGOS DEL VALLES SURTIDO POR PERSONAJES DE LA COOPERATIVA AGENCIA CHAJUL</t>
  </si>
  <si>
    <t>PAGO DE SERVICIO DE TELEFONO MES DE ABRIL 2026 POR EL JEFE DE LA AGENCIA CHAJUL</t>
  </si>
  <si>
    <t>cheque</t>
  </si>
  <si>
    <t>POR PAGO DE SERVICIO DE INTERNET DE LA COOPERATIVA CORRESPONDIENTE AL MES DE ABRIL 2,026</t>
  </si>
  <si>
    <t>Caja Chica a banco</t>
  </si>
  <si>
    <t>SE COMPRO COMBUSTIBLE POR SUPERVISAR GARANTIA POR MATEO CANAY ASICONA  JEFE DE LA AGENCIA CHAJUL</t>
  </si>
  <si>
    <t>MULTI SERVICIOS TECNICOS LAYNEZ</t>
  </si>
  <si>
    <t>SE COMPRO COMBUSTIBLE POR SUPERVISAR GARANTIA POR LA SEÑORA CRISTINA ELIZABETH CAAL TUM EN LA ALDEA IXLA, SUPERVISA GARANTIA ALDEA RIO AZUL POR GASPAR WALTER RAYMUNDO MENDOZA PROMOTOR DE CREDITO</t>
  </si>
  <si>
    <t>SE COMPRO GASOLINA PARA LA PLANTA POR FALTA DE ENERGIA ELECTRICA DEL DIA MIERCULES 06 DE MAYO 2026</t>
  </si>
  <si>
    <t>SE COMPRO COMBUSTIBLE POR SUPERVISION DE GARANTIA EN LA ALDEA IXLA DEL SEÑOR PEDRO LUIS TOMA Y COMISION EN LA ALDEA VIPECH Y SUPERVISAR GARANTIA EN LA ALDEA RIO AZUL POR DIEGO LAYNEZ ASICONA PROMOTOR DE CREDITO</t>
  </si>
  <si>
    <t>SE COMPRO 6 JUGOS POR IR EN LA ALDEA VI PECH CON LIC. JOSE Y LIC. MATEO Y PERSONAJE DE LA COOPERATIVA DIA MARTES 2026 POR AGENCIA CHAJUL</t>
  </si>
  <si>
    <t>SUPER ESTACION COMPO ALEGRE</t>
  </si>
  <si>
    <t>SE COMPRO COMBUSTIBLE POR ACTUALIZACION DE FOTOS DE LA AGENCIA CENTRAL POR  DOMINGO RUBEN CANAY ASICONA POR DIRECTOR DE PAGINA WEB</t>
  </si>
  <si>
    <t>MES DE MAYO 2,026</t>
  </si>
  <si>
    <t>SE COMPRO GASOLINA PARA LA PLANTA POR FALTA DE ENERGIA ELECTRICA DEL DIA VIERNES  08 DE MAYO 2026</t>
  </si>
  <si>
    <t>SE COMPRO  2 LITRO DE ACEITE PARA LA PLANTA DEL DIA VIERNES 08 DE MAYO 2026 AGENCIA CHAJUL</t>
  </si>
  <si>
    <t>POR CONSUMO ALIMENTACION VISITAR DE UN ACTIVO  FIJO DE TERRONO DE LA COOPERATIVA  JUNTO CON EL COMPREDOR  EN NEBAJ POR JEFE DE LA AGENCIA CHAJUL DEL DIA SABADO 09 DE MAYO 2026</t>
  </si>
  <si>
    <t>EL PERRO MARINO</t>
  </si>
  <si>
    <t>DISTRIBUIDORA SHAC</t>
  </si>
  <si>
    <t>SE COMPRO JUEGO DE COPA CON RACH 3/8 PARA LA PLANTA DEL DIA SABADO 09 DE MAYO 2026</t>
  </si>
  <si>
    <t>SE COMPRO COMBUSTIBLE POR VISITAR  DE UN ACTIVO FIJO DE TERRRENO DE LA COOPERATIVA DEL DI SABADO 09 DE MAYO 2026 POR JEFE DE LA AGENCIA CHAJUL</t>
  </si>
  <si>
    <t>SE COMPRO UN ALMUERZO POR JEFE DE LA AGENCIA CHAJUL</t>
  </si>
  <si>
    <t>COMBUSTIBLE POR LA PARCIPACION EN LA ASAMBLEA EXTRAORDINARIO DEL DIA SABADO 11 DE ABRIL Y COMBUSTIBLE POR LA REUNION CON EL LINCIENCIADO  JOSE TERRAZA EL DIA JUEVES 16 DE ABRIL 2026 POR EL JEFE DE LA AGENCIA CHAJUL</t>
  </si>
  <si>
    <t>SE COMPRO COMBUSTIBLE POR VISITAR MOROSO Y COMBUSTBLE POR LA REUNION CON EL LIC. JOSE TERRAZA  EL DIA MIERCULES 13 DE MAYO 2026 POR JEFE DE LA AGENCIA CHAJUL</t>
  </si>
  <si>
    <t>FTE</t>
  </si>
  <si>
    <t>PAGO DE SERVICIO DE ENERGIA ELECTRICA DE LA COOPERATIVA CORRESPONDIENTE AL MES DE MAYO 2026 AGENCIA CHAJUL</t>
  </si>
  <si>
    <t>TRANSPORTES KHANAYITO</t>
  </si>
  <si>
    <t>SE COMPRO GASOLINA PAPA LA PLANTA POR FALTA DE ENERGIA ELECTRICA DEL DIA VIERNES 15 DE MAYO EN AGENCIA CHAJUL</t>
  </si>
  <si>
    <t>SE COMPRO GASOLINA PARA LA PLANTA POR FALTA DE ENERGIA ELECTRICA DEL DIA JUEVEZ 14 DE MAYO 2026 EN AGENCIA CHAJUL</t>
  </si>
  <si>
    <t>SE COMPRO GASOLINA PARA LA PLANTA POR FALTA DE ENERGIA ELECTRICA DEL DIA MARTES 12 DE MAYO 2026 EN AGENCIA CHAJUL</t>
  </si>
  <si>
    <t>SE COMPRO COMBUSTIBLE POR VISITAR LA AGENCIA CENTRAL Y SUPERVISA GARANTIA EN XOLTZICHEN POR DIEGO LAYNEZ ASICONA PROMOTOR DE CREDITO DEL DIA MIERCULES 13 DE MAYA 2026 A</t>
  </si>
  <si>
    <t>SE COMPRO 4 CARRETA  DE ARENA DE  RIO LA REPARACION DE LA PILA  EN EL TERCES, SE COMPRO 4 CARRETA DE PIEDRIN PARA LA REPARACION DE LA PILA EN EL RERCER NIVEL NIVEL, SE COMPRO 4 QUINTAL DE CEMENTO PROGRESO  PARA REPARACION DE LA PILA, SE COMPRO 4 QUINTAL DE CEMENTO PROGRESO  PARA REPARACION DE LA PILA EN LA EN LA AGENCIA CHAJUL</t>
  </si>
  <si>
    <t>COMIF, R.L CHAJUL</t>
  </si>
  <si>
    <t>POR PAGO DE SERVICIO DE LINEA TELEFONICA  DE LA COOPERATIVA CORRESPONDIENTE AL MES DE MAYO 2026 AGENCIA CHAJUL</t>
  </si>
  <si>
    <t>SE COMPRO GASOLINA PAPA LA PLANTA POR FALTA DE ENERGIA ELECTRICA DEL DIA LUNES 18 DE MAYO EN AGENCIA CHAJUL</t>
  </si>
  <si>
    <t>SE COMPRO COMBUSTIBLE POR SUPERVISAR GARANTIA DEL DIA MIERCULES 20 DE MAYO 2026 POR JEFE DE LA AGENCIA CHAJUL</t>
  </si>
  <si>
    <t>SE COMPRO GASOLINA PARA LA PLANTA POR FALTA DE ENERGIA ELECTRICA DEL DIA JUEVEZ 21 DE MAYO 2026 EN AGENCIA CHAJUL</t>
  </si>
  <si>
    <t>SE COMBRO COMBUSTIBLE POR DEJAR UNOS DOCUMENTOS EN LA AGENCIA CENTRAL DEL DIA JUEVES 20 DE MAYO 2026 POR PROMOTOR DE CREDITO GASPAR WALTER RAYMUNDO MENDOZA AGENCIA CHAJUL</t>
  </si>
  <si>
    <t>SE COMPRO GASOLINA PARA LA PLANTA POR FALTA DE ENERGIA ELECTRICA DEL DIA LUNES 25 DE MAYO 2026 AGENCIA CHAJUL</t>
  </si>
  <si>
    <t>CONTRATO MATUO DE INMUEBLE  DEL SEÑOR ANDRES RIVERA ESCOBAR DEL SABADO 23 DE MAYO 2026 AGENCIA CHAJUL</t>
  </si>
  <si>
    <t>SE COMPRO COMBUSTIBLE   DE POLICIA NACIONAL CIVIL LANZAMIENTO EN LA ALDEA XIX DEL DIA MARTES 26 DE MAYO 2026 AGENCIA CHAJUL</t>
  </si>
  <si>
    <t>SE COMPRO COMBUSTIBLE POR ACTUALIZACION DEL GARANTIA EN LA ALDEA ILOM  DEL DIA JUEVEZ 28 DE MAYO 2026 POR PROMOTOR DE CREDITO DIEGO LAYNEZ ASICONA AGENCIA CHAJUL</t>
  </si>
  <si>
    <t>SE COMPRO COMBUSTIBLE  DEL DIA JUEVEZ 28 DE MAYO 2026 POR PROMOTOR DE CREDITO GASPAR WALTER RAYMUNDO MENDOZA AGENCIA CHAJUL</t>
  </si>
  <si>
    <t>SE COMPRO UN ALMUERZO Y  PAGO DE VIAJE DE TUCTUC POR GARANTIA DE CANDELARIA UTUY JUAN EN LA ALDEA ILOM DEL  POR PROMOTOR DE PREDITO DIEGO LAYNEZ ASICONA AGENCIA CHAJUL</t>
  </si>
  <si>
    <t>PAGO DE SERVICIO DE TELEFONODEL  MES DE MAYO 2026 POR EL JEFE DE LA AGENCIA CHAJUL</t>
  </si>
  <si>
    <t>IGRESO</t>
  </si>
  <si>
    <t>MES DE JUNIO 2,026</t>
  </si>
  <si>
    <t>06</t>
  </si>
  <si>
    <t>SERVICIO TECNICOS RAYMUNDO</t>
  </si>
  <si>
    <t>ARRENDAMIENTO KU`MU`S</t>
  </si>
  <si>
    <t>SE PAGO PARQUEO POR PARQUEAR VEHICULOS POR PERSONAJE DE LA COOPERATIVA POR PARTICIPAR EN LA MISA DE LA COOPERATIVA EN NEBAJ DEL DIA DOMINGO 31 DE MAYO 2026 AGENCIA CHAJUL</t>
  </si>
  <si>
    <t>SE COMPRO COMBUSTIBLE POR PARTICIPAR EN LA MISA DE LA COOPERATIVA DEL DIA DOMINGO 31 DE MAYO AGENCIA CHAJUL POR JEFE DE LA AGENCIA</t>
  </si>
  <si>
    <t>SE COMPRO COMBUSTIBLE 31 DE MAYO AGENCIA CHAJUL POR JEFE DE LA AGENCIA</t>
  </si>
  <si>
    <t>SE COMPRO UN ALMUERZO  ACTUALIZAR GARANTIA EN LA ALDEA ILOM POR  PROMOTOR DE CREDITO GASPAR WALTER MENDOZA RAYMUNDO</t>
  </si>
  <si>
    <t>POR PAGO DE SERVICIO DE INTERNET DE LA COOPERATIVA CORRESPONDIENTE AL MES DE JUNIO 2,026</t>
  </si>
  <si>
    <t>COMEDOR Y CAFETARIA MATIUS</t>
  </si>
  <si>
    <t>SE COMPRO 6 ALMUERZO POR LA CAPASITACION DE IVE EN LA AGENCIA CHAJUL DEL DIA MARTES 02 DE JUNIO 2026</t>
  </si>
  <si>
    <t xml:space="preserve">SE COMPRO DOS ALMUERZO POR PERSONAJE DE LA COOPERATIVA DEL DIA JUEVEZ 04 DE JUNIO 2026 AGENCIA CHAJUL POR ATENCION AL CLIENTE ROSY MARICELDA CALEL IMUL Y RECEPTOR Y PAGADOR MARIA JULIANA LAYNEZ LAYNEZ </t>
  </si>
  <si>
    <t>SE COMPRO GASOLINA PARA LA PLANTA POR FALTA DE ENERGIA ELECTRICA DEL DIA JUEVEZ 04 DE JUNIO 2026 AGENCIA CHAJUL</t>
  </si>
  <si>
    <t>SE COMPRO DOS ALMUERZO POR VISITAR DE MOROSAS CATARINA FELICIA MARCOS BRITO, MARTA PACHECO RAMIREZ, ROSA DIAZ CABA DE CABA Y CANDELARIA UTUY EN LA ALDEA ILOM POR PROMOTORES DE CREDITOS DIEGO LAYNEZ ASICONA Y GASPAR WALTER RAYMUNDO MENDOZA AGENCIA CHAJUL</t>
  </si>
  <si>
    <t>SE COMPRO COMBUSTIBLE POR VISITAR DE MOROSAS CATARITA MARCOS BRITOS MARTA PACHECO RAMIREZ, ROSA DIAZ CABA DE CABA, Y CADELARIA UTUY JUAN EN LA ALDEA ILOM POR PROMOTOR DE CREDITOS DIEGO LAYNEZ ASICONA</t>
  </si>
  <si>
    <t>SE COMPRO COMBUSTIBLE POR SUPERVISAR MORROSAS EN LA ALDEA ILOM POR PROMOTRO DE CREDITO GASPAR WALTER RAYMUNDO MENDOZA</t>
  </si>
  <si>
    <t>SE COMPRO GASOLINA PARA LA PLANTA POR FALTA DE ENERGIA ELECTRICA DEL DIA  LUNES 08 DE JUNIO 2026 AGENCIA CHAJUL</t>
  </si>
  <si>
    <t>TERRETERIA CHAVELITA</t>
  </si>
  <si>
    <t>SE COMPRO CEPILLO DE METAL Y 1 ESCOBA PARA LIMPIAR EL ROTOPLASTICO DEL DIA LUNES 08 DE JUNIO 2026 AGENCIA CHAJUL</t>
  </si>
  <si>
    <t>ABARROTERIA LATY</t>
  </si>
  <si>
    <t>SE COMPRO 20 GOTORADE UVA Y 7 DORITOS Y 10 DORITOS PEQUEÑOS PARA LA REFACCION DE JUNTA DIRECTIVA  Y CONSEJO DE ADMINISTRACION Y COMISION DE VIGILANCIA Y COMETE DE CREDITO POR UN REUNION EN LA AGENCIA CHAJUL DEL DIA MARTES 09 DE JUNIO 2026</t>
  </si>
  <si>
    <t>SE COMPRO COMBUSTIBLE POR SUPERVISAR GARANRIA Y POR IR EN LA AGENCIA CENTRAL DEL DIA VIERNES 12 DE JUNIO 2026 POR JEFE DE LA AGENCIA CHAJUL</t>
  </si>
  <si>
    <t>NE LIXH S.A</t>
  </si>
  <si>
    <t>SE COMPRO 40 UNIDADES TAPE TRASPARENTE SE UTILIZA PARA EXPEDIENTE Y OTROS MAS EN LA AGENCIA CHAJUL DEL DIA SABADO 13 DE JUNIO 2026</t>
  </si>
  <si>
    <t>SE COMPRO GASOLINA PARA LA PLANTA POR FALTA DE ENERGIA ELECTRICA DEL DIAS LUNES 15 DE JUNIO 2026 AGENCIA CHAJUL</t>
  </si>
  <si>
    <t>CIA INTERNACIONAL DE PRODUCTOS Y SERVICIO S.A</t>
  </si>
  <si>
    <t>SE COMPRO 1 RESMA PAPEL CARTA 75G Y SE COMPRO 2 RESMA PAPEL REPORTE OFICIO 75G SE UTILIZA EN LA OFICINA DE AGENCIA CHAJUL DEL DIA LUNES 12 DE JUNIO 2026</t>
  </si>
  <si>
    <t>PAGO DE SERVICIO DE ENERGIA ELECTRICA DE LA COOPERATIVA CORRESPONDIENTE AL MES DE JUNIO 2026 AGENCIA CHAJUL</t>
  </si>
  <si>
    <t>RESRTAURANTE EL AMANECER</t>
  </si>
  <si>
    <t>RESRTAURANTE  SABOR UNICO</t>
  </si>
  <si>
    <t xml:space="preserve">SE COMPRO COMBUSTIBLE POR IR EN LA REUNION CON EL LIC. JOSE Y SUPERVISAR GARANTIA Y VISITAR UN ACTIVO FIJO DE TERRENO DEL DIA MIERCOLES 14 DE JUNIO 2026 POR JEFE DE LA AGRENCIA CHAJUL </t>
  </si>
  <si>
    <t>SE COMPRO DOS ALMUERZO POR SUPERVISAR GARANTIA  Y VISITAR UN ACTIVO FIJO DE TERRENO DEL DIA MIERCOLES 14 DE JUNIO 2026 POR JEFE DE LA AGENCIA CHAJUL</t>
  </si>
  <si>
    <t>SE COMPRO DOS ALMUERZO  POR SUPERVISAR GARANTIA DEL FRANCISCO RAMIREZ, ROSA RAMIREZ ORTEGA, AMALIA DIAZ CABA,  Y FRANCISCO  EN LA ALDEA ILOM DEL DIA MERCOLES 17 DE JUNIO 2026 POR PROMOTOR DE CREDITO DIEGO LAYNEZ ASICONA, GASPAR WALTER RAYMUNDO MENDOZA</t>
  </si>
  <si>
    <t>SE COMPRO COMBUSTIBLE POR SUPERVISAR GARANTIA DEL FRANCISCO RAMIREZ, ROSA RAMIREZ ORTEGA, AMALIA DIAZ CABA,  Y FRANCISCO  EN LA ALDEA ILOM  DEL DIA MIERCOLES 17 DE JUNIO 2026 POR PROMOTOR DE GASPAR WALTER RAYMUNDO MENDOZA</t>
  </si>
  <si>
    <t>SE COMPRO COMBUSTIBLE POR SUPERVISAR GARANTIA DEL FRANCISCO RAMIREZ, ROSA RAMIREZ ORTEGA, AMALIA DIAZ CABA,  Y FRANCISCO  EN LA ALDEA ILOM  DEL DIA MIERCOLES 17 DE JUNIO 2026 POR PROMOTOR DE CREDITO DIEGO LAYNEZ ASICONA</t>
  </si>
  <si>
    <t>SE COMPRO DOS ALMUERZO POR QUEDARSE EN LA AGENCIA CHAJUL POR PERSONAJE DE LA COOPERATIVA DEL DIA MIERCOLES 17 DE JUNIO 2026</t>
  </si>
  <si>
    <t>SE COMPRO COMBUSTIBLE POR DIAGNOSTICO DE REDES DE INTERNET EN LA AGENCIA ACUL POR RUBEN CANAY GALINGO DEL DIA MIERCOLES 17 DE JUNIO 2026</t>
  </si>
  <si>
    <t>SE COMPRO UN ALMUERZO POR DIAGNOSTICO DE REDES DE INTERNET EN LA AGENCIA ACUL POR RUBEN CANAY GALINGO DEL DIA MIERCOLES 17 DE JUNIO 2026</t>
  </si>
  <si>
    <t>SE COMPRO 4 DESAYUNOS POR PARTICIPACION EN LA CAPACITACION DE LEY INTEGRAL EL LAVADO DE DINERO  DEL DIA SABADO 20 DE JUNIO 2026AGENCIA CHAJUL</t>
  </si>
  <si>
    <t>LIBRERÍA Y MISCELANEA  SANCHEZ</t>
  </si>
  <si>
    <t>SE COMPRO 2 RESMAS DE FOLDER TAMAÑO CARTA COLOR VERDE Y 2 RESMAS DE FOLDER TAMAÑO CARTA EN COLOR AMARILLO 1 BOLSA DE HULE DE COLOR CAFÉ 5 POSTIT DE 5 COLORES 3*3 PULGADAS DEL DIA VIERNES 19 DE JUNIO 2026 AGENCIA CHAJUL</t>
  </si>
  <si>
    <t>SE PAGO PARQUEO POR PARQUEAR MOTOCICLISTA  DE PERSONAJE DE LA COOPERATIVA POR PARTICIPAR EN LA CAPACITACION DE LEY INTRGRAL DE LAVADO DE DINERO  EN NEBAJ DEL DIA SABADO  20 DE JUNIO  2026 AGENCIA CHAJUL</t>
  </si>
  <si>
    <t>SE COMPRO GASOLINA PARA LA PLANTA POR FALTA DE ENRGIA ELECTRIGA DEL DIA LUNES 22 DE JUNIO 2026</t>
  </si>
  <si>
    <t>Rutilio Estanislao  Sáenz Rivera</t>
  </si>
  <si>
    <t>Magdalena Guzman Marcos</t>
  </si>
  <si>
    <t>Secretaria</t>
  </si>
  <si>
    <t xml:space="preserve">facturas para proceder a realizar la revision  se encontro un sobrante de  Q. 0.00. Centavos  de acuerdo con el </t>
  </si>
  <si>
    <t xml:space="preserve">El  sobrante se queda en caja por decision unanime de la comision de vigilancia </t>
  </si>
  <si>
    <t>caso de faltante sera reembolsado de inmediato por la persona encargada cuando se hace  el arqueo.</t>
  </si>
  <si>
    <t>El dia 22 de Junio de 2026  se hizo arqueo al  Atencion Al Cliente Rosy Maricelda Calel Imul,  en su presencia</t>
  </si>
  <si>
    <t xml:space="preserve">presentandonos       los      documentos   de   Caja Chica   como  tambien   los   depositos y </t>
  </si>
  <si>
    <t>Atencion Al Cliente</t>
  </si>
  <si>
    <t>Rosy Maricelda Calel Imul</t>
  </si>
  <si>
    <t>RESTAURANTE QUINO</t>
  </si>
  <si>
    <t>SE COMPRO UN ALMUERZO POR COBRO REALIZADO EN LA ALDEA ILOM  DE CATARINA FELICIA MARCOS BRITO Y VISITA DE MOROSA CANDELARIA UTUY JUAN AGENCIA CHAJUL</t>
  </si>
  <si>
    <t>INTERNET Y MISCELANEA JYR</t>
  </si>
  <si>
    <t>SE COMPRO UN CABLE FUENTE DE PODER PARA CPU DEL DIA LUNES 22 DE JUNIO 2026 AGENCIA CHAJUL</t>
  </si>
  <si>
    <t>SE COMPRO COMBUSTIBLE POR SUPERVISAR DE GARANTIA EN LA FINCA LOS EABALLITOS Y EN LA ALDEA CAMPO ALEGRE DEL ASOCIADO FRANCISCO PASCUAL PEDRO, AGENCIA CHAJUL POR PROMOTOR DE CREDITO DIEGO  LAYNEZ ASICONA</t>
  </si>
  <si>
    <t>SE COMPRO COMBUSTIBLE POR SUPERVISAR DE GARANTIA EN LA FINCA LOS EABALLITOS Y EN LA ALDEA CAMPO ALEGRE DEL ASOCIADO FRANCISCO PASCUAL PEDRO, AGENCIA CHAJUL POR PROMOTOR DE  GASPAR WALTER RAYMUNDO MENDOZA</t>
  </si>
  <si>
    <t>COMUNICACIÓNES  CELULARES S.A</t>
  </si>
  <si>
    <t>SE COMPRO GASOLINA PARA LA PLANTA POR FALTA DE ENERGIA ELECTRICA DEL DIA SABADO 27 DE JUNIO 2026, AGENCIA CHAJUL</t>
  </si>
  <si>
    <t>SE PAGO DE SERVICIO DE LINEA TELEFONICA DE LA COOPERATIVA CORRESPONDIENTE AL MES DE JUNIO 2026, AGENCIA CHAJUL</t>
  </si>
  <si>
    <t>SE PAGO SERVICIO DE LINEA TELEFONICA CORRESPONDIENTE A LOS MESES DE ABRIL, MAYO , JUNIO DEL AÑO 2026 POR PROMOTOR DE CRIDITO DIEGO LAYNEZ ASICONA AGENCIA CHAJUL</t>
  </si>
  <si>
    <t>SERVICIO DE INTERNET VENTAS DE ACCESORIO Y MULTISERVICIO "MI CIBER"</t>
  </si>
  <si>
    <t>PAGO DE SERVIO DE TELEFOSONO DEL MES DE JUNIO 2026, POR JEFE DE AGENCIA CHAJUL</t>
  </si>
  <si>
    <t>SE COMPRO COMBUSTIBLE POR SUPERVISAR GARANTIA Y VISITAR MOROSOS POR JEFE DE LA AGENCIA CHAJUL</t>
  </si>
  <si>
    <t xml:space="preserve"> </t>
  </si>
  <si>
    <t>SE COMPRO 20 UNIDADES TOSTADA DE POLLO Y 10 UNIDADES JUGOS DEL VALLE REFACCION DE LOS COMICION DE VIGILANCIA DE ARQUEO DEL LUNES 22 DE JUNIO 2026 AGENCIA CHAJUL</t>
  </si>
  <si>
    <t>REFACCIONES LU`KAB`</t>
  </si>
  <si>
    <t>31/06/2026</t>
  </si>
  <si>
    <t>07</t>
  </si>
  <si>
    <t>POR PAGO DE SERVICIO DE INTERNET DE LA COOPERATIVA CORRESPONDIENTE AL MES DE JULIO 2,026 AGENCIA CHAJUL</t>
  </si>
  <si>
    <t>SE COMPRO GASOLINA PARA LA PLANTA  POR FALTA DE ENERGIA ELCTRICA DEL DIA VIERNES 3 DE JULIO 2026 AGENCIA CHAJUL</t>
  </si>
  <si>
    <t>ABARROTERIA LETY</t>
  </si>
  <si>
    <t>SE COMPRO 1 BANDEJA DE AGUA PURA SALVAVIDA PARA LOS JUNTA DIRECCITIVA POR VISITAR EL TERRERO DE LA COOPERATIVA AGENCIA CHAJUL</t>
  </si>
  <si>
    <t>COMERDOR Y CAFETERIA MATIUS</t>
  </si>
  <si>
    <t>SE COMPRO 13 HAMBURGUESA PARA LA RECCIONES DE LAS JUNTAS DIRECTIVA POR VISITAR TERRENO DE LA COOPERATIVA DEL DIA SABADO 04 DE JULIO 2026 AGENCIA CHAJUL</t>
  </si>
  <si>
    <t>SE COMPRO 12 UNIDADES CAFÉ TOSTADO Y MOLINO PARA PERSONAJE DE LA COOPERATIVA AGENCIA CHAJUL</t>
  </si>
  <si>
    <t>SE COPRO GASILONA PARA LA PLANTA POR FALTA DE ENERGIA ELECTRICA AGENCIA CHAJUL</t>
  </si>
  <si>
    <r>
      <t xml:space="preserve">           </t>
    </r>
    <r>
      <rPr>
        <b/>
        <sz val="14"/>
        <color theme="1"/>
        <rFont val="Calibri"/>
        <family val="2"/>
        <scheme val="minor"/>
      </rPr>
      <t xml:space="preserve">  Recibo-Salida</t>
    </r>
  </si>
  <si>
    <t>PAGO DE ENERGIA ELECTRICA DE LA ARRENDAMIENTO DE LA COOPERATIVA AGENCIA CHAJUL</t>
  </si>
  <si>
    <t>RESTAURANTE EL AMANECER</t>
  </si>
  <si>
    <t>SE COMPRO UN ALMUERZO PARA ACTIVACION DE OFFICE WORD DEL SERVICIO CONFIGURACION DE CORREO,  INSTITUCIONES, KYO CERA ESOSGS AGENCIA CENTRAL POR DOMINGO RUBEN CANAY CANAY GALLEGO</t>
  </si>
  <si>
    <t>SE COMPRO COMBUSTIBLE PARA ACTIVACION DE OFFICE WORD DEL SERVICIO CONFIGURACION DE CORREO,  INSTITUCIONES, KYO CERA ESOSGS AGENCIA CENTRAL POR DOMINGO RUBEN CANAY CANAY GALLEGO</t>
  </si>
  <si>
    <t>SEPER ESTACION CAMPO ALEGRE</t>
  </si>
  <si>
    <t>DE MONTAÑA, RESTAURANTE HOTEL Y JARDIN PARA EVENTOS</t>
  </si>
  <si>
    <t>SE COMPRO DOS ALMUERZO PARA PERSONAJE DE LA COOPERATIVA POR NO SALIR EN SU HORA DE ALMUERZO AGENCIA CHAJUL</t>
  </si>
  <si>
    <t>SE PAGO DE SERVICIO DE LINEA TELEFONICA DE LA COOPERATIVA CORRESPONDIENTE AL MES DE JULIO 2026, AGENCIA CHAJUL</t>
  </si>
  <si>
    <t>TRANSPORTE Y FLETES RAYMUNDO</t>
  </si>
  <si>
    <t>SE COMPRO DOS ALMUERZO POR SUPERVISAR GARANTIA EN LA ALDEA ILOM POR PROMOTOR DE CREDITO  DIEGO LAYNEZ ASICONA Y GASPAR WALTER RAYMUNDO MENDOZA AGENCIA CHAJUL</t>
  </si>
  <si>
    <t>SE COMPRO COMBUSTIBLE POR SUPERVISAR GARANTIA EN LA ALDEA ILOM POR PROMOTOR DE CREDITO DIEGO LAYNEZ ASICONA AGENCIA CHAJUL</t>
  </si>
  <si>
    <t>SE COMPRO COMBUSTIBLE POR SUPERVISAR DE GARANTIA DOMINGO CABA CABA EN LA ALDEA ILOM POR PROMOTOR DE CREDITO GASPAR WALTER RAYMUNDO MENDOZA AGENCIA CHAJUL</t>
  </si>
  <si>
    <t>SE PAGO  TRANSPORTE DE LOS JUNTAS DIRECTIVA POR LICITAMIENTO DE LA ASOCIADA ROSA BATZ AGENCIA CHAJUL</t>
  </si>
  <si>
    <t>RESTAURANTE LA FUENTE</t>
  </si>
  <si>
    <t>SE COMPRO 5 CENAS POR PERSONAJE DE LA COOPERATIVA POR POR PARTICIPAR EN EL TALLESR TECNICOS ADMINISTRACION DE CARTERA CREDITICIA AGENCIA CHAJUL</t>
  </si>
  <si>
    <t>RESTAURANTE CONEJO DE FUENTE</t>
  </si>
  <si>
    <t>SE COMPRO 4 ALMUERZO POR PERSONAJE DE LA COOPERATIVA POR PARTICIPAR EN EL TALLER TECNICOS ADMINISTRACION DE CARTERA CREDITICIA AGENCIA CHAJUL</t>
  </si>
  <si>
    <t>GASOLINERA AMERICA</t>
  </si>
  <si>
    <t>SE COMPRO COMBUSTIBLE  POR PARTICIPAR EN EL TALLER TECNICOS ADMINISTRACION DE CARTERA CREDITICIA AGENCIA CHAJUL</t>
  </si>
  <si>
    <t>SE COMPRO  ALIMENTACION POR PERSONAJE DE LA COOPERATIVA POR PARTICIPAR EN EL TALLER TECNICOS ADMINISTRACION DE CARTERA CREDITICIA AGENCIA CHAJUL</t>
  </si>
  <si>
    <t>SE COMPRO  4 CENAS POR PERSONAJE DE LA COOPERATIVA POR PARTICIPAR EN EL TALLER TECNICOS ADMINISTRACION DE CARTERA CREDITICIA AGENCIA CHAJUL</t>
  </si>
  <si>
    <t>SE COMPRO COMBUSTIBLE POR INSTALACION DE IMPRESORA EPSON Y WORKFORCE PRO AGENCIA CENTRAL POR DOMINGO RUBEN</t>
  </si>
  <si>
    <t>SE COMPRO COMBUSTIBLE POR IR A UN REUNION CON EL LIC. JOSE EN NEBAJ POR JEFE DE LA AGENCIA CHAJUL  MATEO CANAY ASICONA</t>
  </si>
  <si>
    <t>GASOLINERA RIO AZUL</t>
  </si>
  <si>
    <t>SE COMPRO COMBUSTIBLE POR SUPERVISAR GARANTIA Y VISITAR MOROSOS AGENCIA CHAJUL POR JEFE DE LA AGENCIA, MATEO CANAY ASICONA</t>
  </si>
  <si>
    <t>OFICINA JURIDICA  PROFESIONAL</t>
  </si>
  <si>
    <t>SE COMPRO GASOLINA PARA LA PLANTA POR FALTA DE ENERGIA ELECTRICA AGENCIA CHAJUL</t>
  </si>
  <si>
    <t>CONTRATO MUTUO Y CON GARANTIA  HIPOTECARIA DE MARIA ADELINA JOVITA CABA CANAY DE ZUÑIGA AGENCIA CHAJUL</t>
  </si>
  <si>
    <t>RECEPCION DE LIMPIEZA</t>
  </si>
  <si>
    <t>COMIF R.L AGENCIA CHAJUL</t>
  </si>
  <si>
    <t xml:space="preserve"> PAGO POR SERVICIO DE ARRENDAMIENTO DE PARQUEO PARA BEHICULOS AGENCIA CHAJUL CORRESPONDIENTE DE MESES DE JULIO, AGOSTO Y SEPTIEMBRE 2026</t>
  </si>
  <si>
    <t>REFACCIONERIA SAN FRANCISCO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</si>
</sst>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quot;* #,##0.00_-;\-&quot;Q&quot;* #,##0.00_-;_-&quot;Q&quot;* &quot;-&quot;??_-;_-@_-"/>
    <numFmt numFmtId="43" formatCode="_-* #,##0.00_-;\-* #,##0.00_-;_-* &quot;-&quot;??_-;_-@_-"/>
    <numFmt numFmtId="164" formatCode="_(* #,##0.00_);_(* \(#,##0.00\);_(* &quot;-&quot;??_);_(@_)"/>
    <numFmt numFmtId="165" formatCode="dd/mm/yy;@"/>
    <numFmt numFmtId="166" formatCode="_-[$Q-100A]* #,##0.00_ ;_-[$Q-100A]* \-#,##0.00\ ;_-[$Q-100A]* &quot;-&quot;??_ ;_-@_ "/>
    <numFmt numFmtId="167" formatCode="&quot;Q&quot;#,##0.00"/>
    <numFmt numFmtId="168" formatCode="_(* #,##0_);_(* \(#,##0\);_(* &quot;-&quot;??_);_(@_)"/>
    <numFmt numFmtId="169" formatCode="_-[$Q-100A]* #,##0.00_-;\-[$Q-100A]* #,##0.00_-;_-[$Q-100A]* &quot;-&quot;??_-;_-@_-"/>
  </numFmts>
  <fonts count="26" x14ac:knownFonts="1">
    <font>
      <sz val="11"/>
      <color theme="1"/>
      <name val="Calibri"/>
      <family val="2"/>
      <scheme val="minor"/>
    </font>
    <font>
      <sz val="11"/>
      <color theme="1"/>
      <name val="Calibri"/>
      <family val="2"/>
      <scheme val="minor"/>
    </font>
    <font>
      <sz val="11"/>
      <color indexed="8"/>
      <name val="Calibri"/>
      <family val="2"/>
    </font>
    <font>
      <sz val="8"/>
      <name val="Calibri"/>
      <family val="2"/>
      <scheme val="minor"/>
    </font>
    <font>
      <sz val="11"/>
      <name val="Arial Narrow"/>
      <family val="2"/>
    </font>
    <font>
      <sz val="11"/>
      <color theme="1"/>
      <name val="Arial Narrow"/>
      <family val="2"/>
    </font>
    <font>
      <b/>
      <sz val="11"/>
      <color indexed="8"/>
      <name val="Arial Narrow"/>
      <family val="2"/>
    </font>
    <font>
      <b/>
      <sz val="11"/>
      <name val="Arial Narrow"/>
      <family val="2"/>
    </font>
    <font>
      <b/>
      <u/>
      <sz val="11"/>
      <name val="Arial Narrow"/>
      <family val="2"/>
    </font>
    <font>
      <u/>
      <sz val="11"/>
      <name val="Arial Narrow"/>
      <family val="2"/>
    </font>
    <font>
      <sz val="12"/>
      <color theme="1"/>
      <name val="Calibri"/>
      <family val="2"/>
      <scheme val="minor"/>
    </font>
    <font>
      <b/>
      <sz val="11"/>
      <color theme="1"/>
      <name val="Calibri"/>
      <family val="2"/>
      <scheme val="minor"/>
    </font>
    <font>
      <b/>
      <sz val="12"/>
      <color indexed="8"/>
      <name val="Calibri"/>
      <family val="2"/>
    </font>
    <font>
      <b/>
      <sz val="12"/>
      <color rgb="FFFF0000"/>
      <name val="Algerian"/>
      <family val="5"/>
    </font>
    <font>
      <b/>
      <sz val="12"/>
      <color theme="1"/>
      <name val="Calibri"/>
      <family val="2"/>
      <scheme val="minor"/>
    </font>
    <font>
      <sz val="12"/>
      <name val="Calibri"/>
      <family val="2"/>
      <scheme val="minor"/>
    </font>
    <font>
      <sz val="12"/>
      <color rgb="FFFF0000"/>
      <name val="Calibri"/>
      <family val="2"/>
      <scheme val="minor"/>
    </font>
    <font>
      <sz val="12"/>
      <name val="Calibri"/>
      <family val="2"/>
    </font>
    <font>
      <b/>
      <sz val="9"/>
      <color indexed="81"/>
      <name val="Tahoma"/>
      <family val="2"/>
    </font>
    <font>
      <sz val="9"/>
      <color indexed="81"/>
      <name val="Tahoma"/>
      <family val="2"/>
    </font>
    <font>
      <b/>
      <sz val="12"/>
      <name val="Calibri"/>
      <family val="2"/>
      <scheme val="minor"/>
    </font>
    <font>
      <b/>
      <u/>
      <sz val="12"/>
      <name val="Calibri"/>
      <family val="2"/>
      <scheme val="minor"/>
    </font>
    <font>
      <b/>
      <sz val="14"/>
      <color theme="1"/>
      <name val="Calibri"/>
      <family val="2"/>
      <scheme val="minor"/>
    </font>
    <font>
      <sz val="11"/>
      <name val="Calibri"/>
      <family val="2"/>
      <scheme val="minor"/>
    </font>
    <font>
      <b/>
      <sz val="12"/>
      <color rgb="FFFF0000"/>
      <name val="Calibri"/>
      <family val="2"/>
      <scheme val="minor"/>
    </font>
    <font>
      <b/>
      <sz val="11"/>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s>
  <cellStyleXfs count="4">
    <xf numFmtId="0" fontId="0" fillId="0" borderId="0"/>
    <xf numFmtId="43" fontId="1" fillId="0" borderId="0" applyFont="0" applyFill="0" applyBorder="0" applyAlignment="0" applyProtection="0"/>
    <xf numFmtId="164" fontId="2" fillId="0" borderId="0" applyFont="0" applyFill="0" applyBorder="0" applyAlignment="0" applyProtection="0"/>
    <xf numFmtId="44" fontId="1" fillId="0" borderId="0" applyFont="0" applyFill="0" applyBorder="0" applyAlignment="0" applyProtection="0"/>
  </cellStyleXfs>
  <cellXfs count="112">
    <xf numFmtId="0" fontId="0" fillId="0" borderId="0" xfId="0"/>
    <xf numFmtId="167" fontId="4" fillId="0" borderId="0" xfId="2" applyNumberFormat="1" applyFont="1"/>
    <xf numFmtId="165" fontId="5" fillId="0" borderId="0" xfId="0" applyNumberFormat="1" applyFont="1" applyAlignment="1">
      <alignment horizontal="center"/>
    </xf>
    <xf numFmtId="49" fontId="5" fillId="0" borderId="0" xfId="0" applyNumberFormat="1" applyFont="1" applyAlignment="1">
      <alignment horizontal="center"/>
    </xf>
    <xf numFmtId="49" fontId="6" fillId="0" borderId="0" xfId="0" applyNumberFormat="1" applyFont="1" applyAlignment="1">
      <alignment horizontal="center"/>
    </xf>
    <xf numFmtId="14" fontId="6" fillId="0" borderId="0" xfId="0" applyNumberFormat="1" applyFont="1" applyAlignment="1">
      <alignment horizontal="center"/>
    </xf>
    <xf numFmtId="0" fontId="5" fillId="0" borderId="0" xfId="0" applyFont="1" applyAlignment="1">
      <alignment horizontal="center"/>
    </xf>
    <xf numFmtId="0" fontId="6" fillId="0" borderId="0" xfId="0" applyFont="1"/>
    <xf numFmtId="0" fontId="6" fillId="0" borderId="0" xfId="0" applyFont="1" applyAlignment="1">
      <alignment horizontal="left"/>
    </xf>
    <xf numFmtId="43" fontId="5" fillId="0" borderId="0" xfId="1" applyFont="1"/>
    <xf numFmtId="0" fontId="5" fillId="0" borderId="0" xfId="0" applyFont="1"/>
    <xf numFmtId="165" fontId="6" fillId="0" borderId="0" xfId="0" applyNumberFormat="1" applyFont="1" applyAlignment="1">
      <alignment horizontal="center"/>
    </xf>
    <xf numFmtId="0" fontId="6" fillId="0" borderId="0" xfId="0" applyFont="1" applyAlignment="1">
      <alignment horizontal="center"/>
    </xf>
    <xf numFmtId="49" fontId="5" fillId="0" borderId="0" xfId="0" applyNumberFormat="1" applyFont="1"/>
    <xf numFmtId="164" fontId="5" fillId="0" borderId="0" xfId="2" applyFont="1" applyFill="1" applyBorder="1"/>
    <xf numFmtId="167" fontId="4" fillId="2" borderId="3" xfId="2" applyNumberFormat="1" applyFont="1" applyFill="1" applyBorder="1"/>
    <xf numFmtId="167" fontId="7" fillId="0" borderId="0" xfId="2" applyNumberFormat="1" applyFont="1"/>
    <xf numFmtId="167" fontId="4" fillId="0" borderId="0" xfId="2" applyNumberFormat="1" applyFont="1" applyAlignment="1"/>
    <xf numFmtId="43" fontId="6" fillId="0" borderId="0" xfId="1" applyFont="1" applyAlignment="1">
      <alignment horizontal="center"/>
    </xf>
    <xf numFmtId="166" fontId="6" fillId="0" borderId="0" xfId="0" applyNumberFormat="1" applyFont="1" applyAlignment="1">
      <alignment horizontal="center"/>
    </xf>
    <xf numFmtId="166" fontId="7" fillId="0" borderId="0" xfId="1" applyNumberFormat="1" applyFont="1"/>
    <xf numFmtId="167" fontId="7" fillId="2" borderId="3" xfId="2" applyNumberFormat="1" applyFont="1" applyFill="1" applyBorder="1"/>
    <xf numFmtId="167" fontId="8" fillId="0" borderId="0" xfId="2" applyNumberFormat="1" applyFont="1"/>
    <xf numFmtId="168" fontId="4" fillId="0" borderId="1" xfId="2" applyNumberFormat="1" applyFont="1" applyBorder="1" applyAlignment="1">
      <alignment horizontal="center"/>
    </xf>
    <xf numFmtId="164" fontId="4" fillId="0" borderId="0" xfId="2" applyFont="1"/>
    <xf numFmtId="167" fontId="4" fillId="0" borderId="0" xfId="2" applyNumberFormat="1" applyFont="1" applyAlignment="1">
      <alignment horizontal="left"/>
    </xf>
    <xf numFmtId="168" fontId="4" fillId="0" borderId="2" xfId="2" applyNumberFormat="1" applyFont="1" applyBorder="1" applyAlignment="1">
      <alignment horizontal="center"/>
    </xf>
    <xf numFmtId="168" fontId="4" fillId="0" borderId="0" xfId="2" applyNumberFormat="1" applyFont="1" applyAlignment="1">
      <alignment horizontal="center"/>
    </xf>
    <xf numFmtId="167" fontId="7" fillId="2" borderId="0" xfId="2" applyNumberFormat="1" applyFont="1" applyFill="1"/>
    <xf numFmtId="167" fontId="4" fillId="0" borderId="3" xfId="2" applyNumberFormat="1" applyFont="1" applyBorder="1"/>
    <xf numFmtId="167" fontId="4" fillId="0" borderId="0" xfId="2" applyNumberFormat="1" applyFont="1" applyAlignment="1">
      <alignment horizontal="center" vertical="center"/>
    </xf>
    <xf numFmtId="167" fontId="4" fillId="0" borderId="0" xfId="2" applyNumberFormat="1" applyFont="1" applyAlignment="1">
      <alignment horizontal="left" vertical="center"/>
    </xf>
    <xf numFmtId="167" fontId="4" fillId="0" borderId="0" xfId="2" applyNumberFormat="1" applyFont="1" applyAlignment="1">
      <alignment horizontal="center"/>
    </xf>
    <xf numFmtId="0" fontId="10" fillId="0" borderId="0" xfId="0" applyFont="1"/>
    <xf numFmtId="49" fontId="10" fillId="0" borderId="0" xfId="0" applyNumberFormat="1" applyFont="1"/>
    <xf numFmtId="164" fontId="10" fillId="0" borderId="0" xfId="2" applyFont="1" applyFill="1" applyBorder="1"/>
    <xf numFmtId="166" fontId="10" fillId="0" borderId="0" xfId="0" applyNumberFormat="1" applyFont="1"/>
    <xf numFmtId="165" fontId="10" fillId="0" borderId="0" xfId="0" applyNumberFormat="1" applyFont="1" applyAlignment="1">
      <alignment horizontal="center"/>
    </xf>
    <xf numFmtId="0" fontId="10" fillId="0" borderId="0" xfId="0" applyFont="1" applyAlignment="1">
      <alignment horizontal="center"/>
    </xf>
    <xf numFmtId="43" fontId="10" fillId="0" borderId="0" xfId="1" applyFont="1"/>
    <xf numFmtId="49" fontId="10" fillId="0" borderId="0" xfId="0" applyNumberFormat="1" applyFont="1" applyAlignment="1">
      <alignment horizontal="center"/>
    </xf>
    <xf numFmtId="165" fontId="12" fillId="0" borderId="0" xfId="0" applyNumberFormat="1" applyFont="1" applyAlignment="1">
      <alignment horizontal="center"/>
    </xf>
    <xf numFmtId="0" fontId="12" fillId="0" borderId="0" xfId="0" applyFont="1" applyAlignment="1">
      <alignment horizontal="center"/>
    </xf>
    <xf numFmtId="49" fontId="12" fillId="0" borderId="0" xfId="0" applyNumberFormat="1" applyFont="1" applyAlignment="1">
      <alignment horizontal="center"/>
    </xf>
    <xf numFmtId="14" fontId="12" fillId="0" borderId="0" xfId="0" applyNumberFormat="1" applyFont="1" applyAlignment="1">
      <alignment horizontal="center"/>
    </xf>
    <xf numFmtId="0" fontId="12" fillId="0" borderId="0" xfId="0" applyFont="1"/>
    <xf numFmtId="0" fontId="12" fillId="0" borderId="0" xfId="0" applyFont="1" applyAlignment="1">
      <alignment horizontal="left"/>
    </xf>
    <xf numFmtId="43" fontId="12" fillId="0" borderId="0" xfId="1" applyFont="1" applyAlignment="1">
      <alignment horizontal="center"/>
    </xf>
    <xf numFmtId="0" fontId="13" fillId="0" borderId="0" xfId="0" applyFont="1" applyAlignment="1">
      <alignment horizontal="center" vertical="center"/>
    </xf>
    <xf numFmtId="165" fontId="14" fillId="0" borderId="0" xfId="0" applyNumberFormat="1" applyFont="1" applyAlignment="1">
      <alignment horizontal="center"/>
    </xf>
    <xf numFmtId="0" fontId="14" fillId="0" borderId="0" xfId="0" applyFont="1"/>
    <xf numFmtId="49" fontId="14" fillId="0" borderId="0" xfId="0" applyNumberFormat="1" applyFont="1"/>
    <xf numFmtId="0" fontId="14" fillId="0" borderId="0" xfId="0" applyFont="1" applyAlignment="1">
      <alignment horizontal="center"/>
    </xf>
    <xf numFmtId="164" fontId="14" fillId="0" borderId="0" xfId="2" applyFont="1" applyFill="1" applyBorder="1"/>
    <xf numFmtId="166" fontId="14" fillId="0" borderId="0" xfId="0" applyNumberFormat="1" applyFont="1"/>
    <xf numFmtId="44" fontId="10" fillId="0" borderId="0" xfId="3" applyFont="1"/>
    <xf numFmtId="44" fontId="14" fillId="0" borderId="0" xfId="3" applyFont="1"/>
    <xf numFmtId="0" fontId="15" fillId="0" borderId="0" xfId="0" applyFont="1" applyAlignment="1">
      <alignment horizontal="center" vertical="center"/>
    </xf>
    <xf numFmtId="0" fontId="16" fillId="0" borderId="0" xfId="0" applyFont="1"/>
    <xf numFmtId="44" fontId="10" fillId="0" borderId="0" xfId="0" applyNumberFormat="1" applyFont="1"/>
    <xf numFmtId="0" fontId="11" fillId="0" borderId="0" xfId="0" applyFont="1"/>
    <xf numFmtId="44" fontId="10" fillId="0" borderId="0" xfId="3" applyFont="1" applyFill="1"/>
    <xf numFmtId="44" fontId="14" fillId="0" borderId="0" xfId="3" applyFont="1" applyFill="1"/>
    <xf numFmtId="44" fontId="10" fillId="0" borderId="0" xfId="3" applyFont="1" applyFill="1" applyAlignment="1">
      <alignment horizontal="center"/>
    </xf>
    <xf numFmtId="165" fontId="10" fillId="2" borderId="0" xfId="0" applyNumberFormat="1" applyFont="1" applyFill="1" applyAlignment="1">
      <alignment horizontal="center"/>
    </xf>
    <xf numFmtId="0" fontId="10" fillId="2" borderId="0" xfId="0" applyFont="1" applyFill="1"/>
    <xf numFmtId="49" fontId="10" fillId="2" borderId="0" xfId="0" applyNumberFormat="1" applyFont="1" applyFill="1"/>
    <xf numFmtId="0" fontId="10" fillId="2" borderId="0" xfId="0" applyFont="1" applyFill="1" applyAlignment="1">
      <alignment horizontal="center"/>
    </xf>
    <xf numFmtId="164" fontId="10" fillId="2" borderId="0" xfId="2" applyFont="1" applyFill="1" applyBorder="1"/>
    <xf numFmtId="44" fontId="10" fillId="2" borderId="0" xfId="3" applyFont="1" applyFill="1"/>
    <xf numFmtId="166" fontId="14" fillId="2" borderId="0" xfId="0" applyNumberFormat="1" applyFont="1" applyFill="1"/>
    <xf numFmtId="44" fontId="14" fillId="0" borderId="0" xfId="0" applyNumberFormat="1" applyFont="1"/>
    <xf numFmtId="169" fontId="10" fillId="0" borderId="0" xfId="0" applyNumberFormat="1" applyFont="1"/>
    <xf numFmtId="44" fontId="0" fillId="0" borderId="0" xfId="3" applyFont="1"/>
    <xf numFmtId="0" fontId="17" fillId="0" borderId="0" xfId="0" applyFont="1" applyAlignment="1">
      <alignment horizontal="center" vertical="center"/>
    </xf>
    <xf numFmtId="164" fontId="10" fillId="0" borderId="0" xfId="2" applyFont="1" applyFill="1" applyBorder="1" applyAlignment="1">
      <alignment horizontal="left"/>
    </xf>
    <xf numFmtId="0" fontId="15" fillId="0" borderId="0" xfId="0" applyFont="1" applyAlignment="1">
      <alignment horizontal="left" vertical="center"/>
    </xf>
    <xf numFmtId="167" fontId="15" fillId="0" borderId="0" xfId="2" applyNumberFormat="1" applyFont="1"/>
    <xf numFmtId="0" fontId="15" fillId="0" borderId="0" xfId="2" applyNumberFormat="1" applyFont="1"/>
    <xf numFmtId="167" fontId="15" fillId="0" borderId="0" xfId="2" applyNumberFormat="1" applyFont="1" applyAlignment="1">
      <alignment horizontal="center"/>
    </xf>
    <xf numFmtId="0" fontId="15" fillId="0" borderId="0" xfId="2" applyNumberFormat="1" applyFont="1" applyAlignment="1">
      <alignment horizontal="center"/>
    </xf>
    <xf numFmtId="167" fontId="15" fillId="0" borderId="0" xfId="2" applyNumberFormat="1" applyFont="1" applyAlignment="1">
      <alignment horizontal="center" vertical="center"/>
    </xf>
    <xf numFmtId="44" fontId="15" fillId="0" borderId="0" xfId="3" applyFont="1"/>
    <xf numFmtId="167" fontId="15" fillId="0" borderId="3" xfId="2" applyNumberFormat="1" applyFont="1" applyBorder="1"/>
    <xf numFmtId="167" fontId="15" fillId="0" borderId="0" xfId="2" applyNumberFormat="1" applyFont="1" applyAlignment="1">
      <alignment horizontal="left"/>
    </xf>
    <xf numFmtId="167" fontId="20" fillId="0" borderId="0" xfId="2" applyNumberFormat="1" applyFont="1"/>
    <xf numFmtId="0" fontId="20" fillId="0" borderId="0" xfId="2" applyNumberFormat="1" applyFont="1"/>
    <xf numFmtId="167" fontId="21" fillId="0" borderId="0" xfId="2" applyNumberFormat="1" applyFont="1"/>
    <xf numFmtId="44" fontId="20" fillId="0" borderId="0" xfId="3" applyFont="1"/>
    <xf numFmtId="0" fontId="15" fillId="0" borderId="1" xfId="2" applyNumberFormat="1" applyFont="1" applyBorder="1" applyAlignment="1">
      <alignment horizontal="center"/>
    </xf>
    <xf numFmtId="0" fontId="15" fillId="0" borderId="2" xfId="2" applyNumberFormat="1" applyFont="1" applyBorder="1" applyAlignment="1">
      <alignment horizontal="center"/>
    </xf>
    <xf numFmtId="167" fontId="20" fillId="2" borderId="0" xfId="2" applyNumberFormat="1" applyFont="1" applyFill="1"/>
    <xf numFmtId="49" fontId="15" fillId="0" borderId="0" xfId="2" applyNumberFormat="1" applyFont="1"/>
    <xf numFmtId="0" fontId="15" fillId="0" borderId="0" xfId="3" applyNumberFormat="1" applyFont="1"/>
    <xf numFmtId="14" fontId="15" fillId="0" borderId="0" xfId="2" applyNumberFormat="1" applyFont="1"/>
    <xf numFmtId="167" fontId="23" fillId="0" borderId="0" xfId="2" applyNumberFormat="1" applyFont="1"/>
    <xf numFmtId="0" fontId="24" fillId="0" borderId="0" xfId="0" applyFont="1" applyAlignment="1">
      <alignment horizontal="center" vertical="center"/>
    </xf>
    <xf numFmtId="44" fontId="23" fillId="0" borderId="0" xfId="2" applyNumberFormat="1" applyFont="1"/>
    <xf numFmtId="0" fontId="23" fillId="0" borderId="0" xfId="2" applyNumberFormat="1" applyFont="1"/>
    <xf numFmtId="44" fontId="25" fillId="0" borderId="0" xfId="2" applyNumberFormat="1" applyFont="1"/>
    <xf numFmtId="0" fontId="1" fillId="0" borderId="0" xfId="0" applyFont="1"/>
    <xf numFmtId="167" fontId="23" fillId="0" borderId="0" xfId="2" applyNumberFormat="1" applyFont="1" applyAlignment="1"/>
    <xf numFmtId="14" fontId="10" fillId="0" borderId="0" xfId="0" applyNumberFormat="1" applyFont="1" applyAlignment="1">
      <alignment horizontal="right" vertical="center"/>
    </xf>
    <xf numFmtId="14" fontId="15" fillId="0" borderId="0" xfId="2" applyNumberFormat="1" applyFont="1" applyAlignment="1">
      <alignment horizontal="right" vertical="center"/>
    </xf>
    <xf numFmtId="167" fontId="15" fillId="0" borderId="0" xfId="2" applyNumberFormat="1" applyFont="1" applyAlignment="1">
      <alignment horizontal="center"/>
    </xf>
    <xf numFmtId="0" fontId="12" fillId="2" borderId="0" xfId="0" applyFont="1" applyFill="1" applyAlignment="1">
      <alignment horizontal="center"/>
    </xf>
    <xf numFmtId="165" fontId="12" fillId="0" borderId="0" xfId="0" applyNumberFormat="1" applyFont="1" applyAlignment="1">
      <alignment horizontal="center"/>
    </xf>
    <xf numFmtId="0" fontId="12" fillId="0" borderId="0" xfId="0" applyFont="1" applyAlignment="1">
      <alignment horizontal="center"/>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Alignment="1">
      <alignment horizontal="center"/>
    </xf>
    <xf numFmtId="167" fontId="4" fillId="0" borderId="0" xfId="2" applyNumberFormat="1" applyFont="1" applyAlignment="1">
      <alignment horizontal="left"/>
    </xf>
  </cellXfs>
  <cellStyles count="4">
    <cellStyle name="Millares" xfId="1" builtinId="3"/>
    <cellStyle name="Millares 2" xfId="2" xr:uid="{00000000-0005-0000-0000-000001000000}"/>
    <cellStyle name="Moneda" xfId="3"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130342</xdr:colOff>
      <xdr:row>0</xdr:row>
      <xdr:rowOff>0</xdr:rowOff>
    </xdr:from>
    <xdr:to>
      <xdr:col>5</xdr:col>
      <xdr:colOff>2105526</xdr:colOff>
      <xdr:row>3</xdr:row>
      <xdr:rowOff>80210</xdr:rowOff>
    </xdr:to>
    <xdr:pic>
      <xdr:nvPicPr>
        <xdr:cNvPr id="2" name="Objeto 1">
          <a:extLst>
            <a:ext uri="{FF2B5EF4-FFF2-40B4-BE49-F238E27FC236}">
              <a16:creationId xmlns:a16="http://schemas.microsoft.com/office/drawing/2014/main" id="{00000000-0008-0000-0000-00000200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766" b="-383"/>
        <a:stretch>
          <a:fillRect/>
        </a:stretch>
      </xdr:blipFill>
      <xdr:spPr bwMode="auto">
        <a:xfrm>
          <a:off x="130342" y="0"/>
          <a:ext cx="4722395" cy="7018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282"/>
  <sheetViews>
    <sheetView tabSelected="1" zoomScale="78" zoomScaleNormal="78" workbookViewId="0">
      <pane ySplit="5" topLeftCell="A370" activePane="bottomLeft" state="frozen"/>
      <selection pane="bottomLeft" activeCell="G384" sqref="G384"/>
    </sheetView>
  </sheetViews>
  <sheetFormatPr baseColWidth="10" defaultColWidth="11.42578125" defaultRowHeight="0" customHeight="1" zeroHeight="1" outlineLevelCol="7" x14ac:dyDescent="0.25"/>
  <cols>
    <col min="1" max="1" width="10.7109375" style="37" customWidth="1"/>
    <col min="2" max="2" width="6.42578125" style="40" customWidth="1" outlineLevel="1"/>
    <col min="3" max="3" width="4.28515625" style="40" customWidth="1" outlineLevel="1"/>
    <col min="4" max="4" width="5.85546875" style="33" customWidth="1"/>
    <col min="5" max="5" width="13.28515625" style="38" customWidth="1"/>
    <col min="6" max="6" width="41.85546875" style="33" customWidth="1"/>
    <col min="7" max="7" width="17.28515625" style="33" customWidth="1"/>
    <col min="8" max="8" width="9" style="33" customWidth="1"/>
    <col min="9" max="9" width="11.7109375" style="39" customWidth="1"/>
    <col min="10" max="10" width="25.28515625" style="55" customWidth="1"/>
    <col min="11" max="11" width="14" style="55" customWidth="1"/>
    <col min="12" max="12" width="13" style="54" customWidth="1" outlineLevel="7"/>
    <col min="13" max="13" width="19.85546875" style="39" hidden="1" customWidth="1"/>
    <col min="14" max="14" width="17.85546875" style="39" customWidth="1"/>
    <col min="15" max="16384" width="11.42578125" style="33"/>
  </cols>
  <sheetData>
    <row r="1" spans="1:14" ht="15.75" x14ac:dyDescent="0.25">
      <c r="F1" s="106" t="s">
        <v>0</v>
      </c>
      <c r="G1" s="106"/>
      <c r="H1" s="106"/>
      <c r="I1" s="106"/>
      <c r="J1" s="106"/>
      <c r="K1" s="106"/>
      <c r="L1" s="106"/>
    </row>
    <row r="2" spans="1:14" ht="15.75" x14ac:dyDescent="0.25">
      <c r="F2" s="106" t="s">
        <v>1</v>
      </c>
      <c r="G2" s="106"/>
      <c r="H2" s="106"/>
      <c r="I2" s="106"/>
      <c r="J2" s="106"/>
      <c r="K2" s="106"/>
      <c r="L2" s="106"/>
    </row>
    <row r="3" spans="1:14" ht="15.75" x14ac:dyDescent="0.25">
      <c r="F3" s="107" t="s">
        <v>19</v>
      </c>
      <c r="G3" s="107"/>
      <c r="H3" s="107"/>
      <c r="I3" s="107"/>
      <c r="J3" s="107"/>
      <c r="K3" s="107"/>
      <c r="L3" s="107"/>
    </row>
    <row r="4" spans="1:14" ht="18.75" x14ac:dyDescent="0.3">
      <c r="C4" s="43" t="s">
        <v>2</v>
      </c>
      <c r="D4" s="44"/>
      <c r="F4" s="38" t="s">
        <v>4</v>
      </c>
      <c r="G4" s="45" t="s">
        <v>5</v>
      </c>
      <c r="H4" s="46" t="s">
        <v>6</v>
      </c>
      <c r="I4" s="47" t="s">
        <v>7</v>
      </c>
      <c r="J4" s="55" t="s">
        <v>8</v>
      </c>
      <c r="K4" s="56" t="s">
        <v>392</v>
      </c>
    </row>
    <row r="5" spans="1:14" ht="15.75" x14ac:dyDescent="0.25">
      <c r="A5" s="41" t="s">
        <v>11</v>
      </c>
      <c r="B5" s="40" t="s">
        <v>20</v>
      </c>
      <c r="C5" s="40" t="s">
        <v>21</v>
      </c>
      <c r="D5" s="44"/>
      <c r="E5" s="42" t="s">
        <v>13</v>
      </c>
      <c r="F5" s="42" t="s">
        <v>14</v>
      </c>
      <c r="G5" s="42" t="s">
        <v>15</v>
      </c>
      <c r="H5" s="105" t="s">
        <v>16</v>
      </c>
      <c r="I5" s="105"/>
      <c r="J5" s="56" t="s">
        <v>17</v>
      </c>
      <c r="K5" s="56" t="s">
        <v>18</v>
      </c>
      <c r="L5" s="56" t="s">
        <v>312</v>
      </c>
    </row>
    <row r="6" spans="1:14" ht="17.25" x14ac:dyDescent="0.25">
      <c r="B6" s="33"/>
      <c r="C6" s="34"/>
      <c r="F6" s="48" t="s">
        <v>83</v>
      </c>
      <c r="I6" s="33"/>
      <c r="L6" s="54">
        <v>2000</v>
      </c>
    </row>
    <row r="7" spans="1:14" ht="15.75" x14ac:dyDescent="0.25">
      <c r="A7" s="37">
        <v>46024</v>
      </c>
      <c r="B7" s="33">
        <v>2026</v>
      </c>
      <c r="C7" s="34" t="s">
        <v>22</v>
      </c>
      <c r="D7" s="33" t="s">
        <v>23</v>
      </c>
      <c r="E7" s="38">
        <v>3044560335</v>
      </c>
      <c r="F7" s="35" t="s">
        <v>79</v>
      </c>
      <c r="G7" s="33" t="s">
        <v>85</v>
      </c>
      <c r="I7" s="33"/>
      <c r="K7" s="61">
        <v>200</v>
      </c>
      <c r="L7" s="54">
        <f t="shared" ref="L7:L65" si="0">L6+J7-K7</f>
        <v>1800</v>
      </c>
    </row>
    <row r="8" spans="1:14" ht="15.75" x14ac:dyDescent="0.25">
      <c r="A8" s="37">
        <v>46024</v>
      </c>
      <c r="B8" s="33">
        <v>2026</v>
      </c>
      <c r="C8" s="34" t="s">
        <v>22</v>
      </c>
      <c r="D8" s="33" t="s">
        <v>23</v>
      </c>
      <c r="E8" s="38">
        <v>399590978</v>
      </c>
      <c r="F8" s="35" t="s">
        <v>78</v>
      </c>
      <c r="G8" s="33" t="s">
        <v>86</v>
      </c>
      <c r="I8" s="33"/>
      <c r="K8" s="61">
        <v>200</v>
      </c>
      <c r="L8" s="54">
        <f t="shared" si="0"/>
        <v>1600</v>
      </c>
      <c r="M8" s="33"/>
      <c r="N8" s="33"/>
    </row>
    <row r="9" spans="1:14" ht="15.75" x14ac:dyDescent="0.25">
      <c r="A9" s="37">
        <v>46025</v>
      </c>
      <c r="B9" s="33">
        <v>2026</v>
      </c>
      <c r="C9" s="34" t="s">
        <v>22</v>
      </c>
      <c r="D9" s="33" t="s">
        <v>23</v>
      </c>
      <c r="E9" s="38">
        <v>3901507652</v>
      </c>
      <c r="F9" s="35" t="s">
        <v>84</v>
      </c>
      <c r="G9" s="33" t="s">
        <v>87</v>
      </c>
      <c r="I9" s="33"/>
      <c r="K9" s="61">
        <v>50</v>
      </c>
      <c r="L9" s="54">
        <f t="shared" si="0"/>
        <v>1550</v>
      </c>
      <c r="M9" s="33"/>
      <c r="N9" s="33"/>
    </row>
    <row r="10" spans="1:14" ht="15.75" x14ac:dyDescent="0.25">
      <c r="A10" s="37">
        <v>46025</v>
      </c>
      <c r="B10" s="33">
        <v>2026</v>
      </c>
      <c r="C10" s="34" t="s">
        <v>22</v>
      </c>
      <c r="D10" s="33" t="s">
        <v>23</v>
      </c>
      <c r="E10" s="38">
        <v>3901507652</v>
      </c>
      <c r="F10" s="35" t="s">
        <v>84</v>
      </c>
      <c r="G10" s="33" t="s">
        <v>88</v>
      </c>
      <c r="I10" s="33"/>
      <c r="K10" s="61">
        <v>80</v>
      </c>
      <c r="L10" s="54">
        <f t="shared" si="0"/>
        <v>1470</v>
      </c>
      <c r="M10" s="33"/>
      <c r="N10" s="33"/>
    </row>
    <row r="11" spans="1:14" ht="15.75" x14ac:dyDescent="0.25">
      <c r="A11" s="37">
        <v>46025</v>
      </c>
      <c r="B11" s="33">
        <v>2026</v>
      </c>
      <c r="C11" s="34" t="s">
        <v>22</v>
      </c>
      <c r="D11" s="33" t="s">
        <v>23</v>
      </c>
      <c r="E11" s="38">
        <v>3901507652</v>
      </c>
      <c r="F11" s="35" t="s">
        <v>84</v>
      </c>
      <c r="G11" s="33" t="s">
        <v>89</v>
      </c>
      <c r="I11" s="33"/>
      <c r="K11" s="61">
        <v>75</v>
      </c>
      <c r="L11" s="54">
        <f t="shared" si="0"/>
        <v>1395</v>
      </c>
      <c r="M11" s="33"/>
      <c r="N11" s="33"/>
    </row>
    <row r="12" spans="1:14" ht="15.75" x14ac:dyDescent="0.25">
      <c r="A12" s="37">
        <v>46025</v>
      </c>
      <c r="B12" s="33">
        <v>2026</v>
      </c>
      <c r="C12" s="34" t="s">
        <v>22</v>
      </c>
      <c r="D12" s="33" t="s">
        <v>23</v>
      </c>
      <c r="E12" s="38">
        <v>3901507652</v>
      </c>
      <c r="F12" s="35" t="s">
        <v>84</v>
      </c>
      <c r="G12" s="33" t="s">
        <v>90</v>
      </c>
      <c r="I12" s="33"/>
      <c r="K12" s="61">
        <v>20</v>
      </c>
      <c r="L12" s="54">
        <f t="shared" si="0"/>
        <v>1375</v>
      </c>
      <c r="M12" s="33"/>
      <c r="N12" s="33"/>
    </row>
    <row r="13" spans="1:14" ht="15.75" x14ac:dyDescent="0.25">
      <c r="A13" s="37">
        <v>46026</v>
      </c>
      <c r="B13" s="33">
        <v>2026</v>
      </c>
      <c r="C13" s="34" t="s">
        <v>22</v>
      </c>
      <c r="D13" s="33" t="s">
        <v>23</v>
      </c>
      <c r="E13" s="38">
        <v>1090667471</v>
      </c>
      <c r="F13" s="35" t="s">
        <v>82</v>
      </c>
      <c r="G13" s="33" t="s">
        <v>91</v>
      </c>
      <c r="I13" s="33"/>
      <c r="K13" s="61">
        <v>100</v>
      </c>
      <c r="L13" s="54">
        <f t="shared" si="0"/>
        <v>1275</v>
      </c>
      <c r="M13" s="33"/>
      <c r="N13" s="33"/>
    </row>
    <row r="14" spans="1:14" ht="15.75" x14ac:dyDescent="0.25">
      <c r="A14" s="37">
        <v>46026</v>
      </c>
      <c r="B14" s="33">
        <v>2026</v>
      </c>
      <c r="C14" s="34" t="s">
        <v>22</v>
      </c>
      <c r="D14" s="33" t="s">
        <v>23</v>
      </c>
      <c r="E14" s="38">
        <v>1090667471</v>
      </c>
      <c r="F14" s="35" t="s">
        <v>82</v>
      </c>
      <c r="G14" s="33" t="s">
        <v>92</v>
      </c>
      <c r="I14" s="33"/>
      <c r="K14" s="61">
        <v>35</v>
      </c>
      <c r="L14" s="54">
        <f t="shared" si="0"/>
        <v>1240</v>
      </c>
      <c r="M14" s="33"/>
      <c r="N14" s="33"/>
    </row>
    <row r="15" spans="1:14" ht="15.75" x14ac:dyDescent="0.25">
      <c r="A15" s="37">
        <v>46026</v>
      </c>
      <c r="B15" s="33">
        <v>2026</v>
      </c>
      <c r="C15" s="34" t="s">
        <v>22</v>
      </c>
      <c r="D15" s="33" t="s">
        <v>23</v>
      </c>
      <c r="E15" s="38">
        <v>1090667471</v>
      </c>
      <c r="F15" s="35" t="s">
        <v>82</v>
      </c>
      <c r="G15" s="33" t="s">
        <v>93</v>
      </c>
      <c r="I15" s="33"/>
      <c r="K15" s="61">
        <v>85</v>
      </c>
      <c r="L15" s="54">
        <f t="shared" si="0"/>
        <v>1155</v>
      </c>
      <c r="M15" s="33"/>
      <c r="N15" s="33"/>
    </row>
    <row r="16" spans="1:14" ht="15.75" x14ac:dyDescent="0.25">
      <c r="A16" s="37">
        <v>46026</v>
      </c>
      <c r="B16" s="33">
        <v>2026</v>
      </c>
      <c r="C16" s="34" t="s">
        <v>22</v>
      </c>
      <c r="D16" s="33" t="s">
        <v>23</v>
      </c>
      <c r="E16" s="38">
        <v>1090667471</v>
      </c>
      <c r="F16" s="35" t="s">
        <v>82</v>
      </c>
      <c r="G16" s="33" t="s">
        <v>94</v>
      </c>
      <c r="I16" s="33"/>
      <c r="K16" s="61">
        <v>95</v>
      </c>
      <c r="L16" s="54">
        <f t="shared" si="0"/>
        <v>1060</v>
      </c>
      <c r="M16" s="33"/>
      <c r="N16" s="33"/>
    </row>
    <row r="17" spans="1:14" ht="15.75" x14ac:dyDescent="0.25">
      <c r="A17" s="37">
        <v>46026</v>
      </c>
      <c r="B17" s="33">
        <v>2026</v>
      </c>
      <c r="C17" s="34" t="s">
        <v>22</v>
      </c>
      <c r="D17" s="33" t="s">
        <v>23</v>
      </c>
      <c r="E17" s="38">
        <v>1090667471</v>
      </c>
      <c r="F17" s="35" t="s">
        <v>82</v>
      </c>
      <c r="G17" s="33" t="s">
        <v>95</v>
      </c>
      <c r="I17" s="33"/>
      <c r="K17" s="61">
        <v>10</v>
      </c>
      <c r="L17" s="54">
        <f t="shared" si="0"/>
        <v>1050</v>
      </c>
      <c r="M17" s="33"/>
      <c r="N17" s="33"/>
    </row>
    <row r="18" spans="1:14" ht="15.75" x14ac:dyDescent="0.25">
      <c r="A18" s="37">
        <v>46026</v>
      </c>
      <c r="B18" s="33">
        <v>2026</v>
      </c>
      <c r="C18" s="34" t="s">
        <v>22</v>
      </c>
      <c r="D18" s="33" t="s">
        <v>23</v>
      </c>
      <c r="E18" s="38">
        <v>1090667471</v>
      </c>
      <c r="F18" s="35" t="s">
        <v>82</v>
      </c>
      <c r="G18" s="33" t="s">
        <v>96</v>
      </c>
      <c r="I18" s="33"/>
      <c r="K18" s="61">
        <v>12</v>
      </c>
      <c r="L18" s="54">
        <f t="shared" si="0"/>
        <v>1038</v>
      </c>
      <c r="M18" s="33"/>
      <c r="N18" s="33"/>
    </row>
    <row r="19" spans="1:14" ht="15.75" x14ac:dyDescent="0.25">
      <c r="A19" s="37">
        <v>46026</v>
      </c>
      <c r="B19" s="33">
        <v>2026</v>
      </c>
      <c r="C19" s="34" t="s">
        <v>22</v>
      </c>
      <c r="D19" s="33" t="s">
        <v>23</v>
      </c>
      <c r="E19" s="38">
        <v>1090667471</v>
      </c>
      <c r="F19" s="35" t="s">
        <v>82</v>
      </c>
      <c r="G19" s="33" t="s">
        <v>97</v>
      </c>
      <c r="I19" s="33"/>
      <c r="K19" s="61">
        <v>45</v>
      </c>
      <c r="L19" s="54">
        <f t="shared" si="0"/>
        <v>993</v>
      </c>
      <c r="M19" s="33"/>
      <c r="N19" s="33"/>
    </row>
    <row r="20" spans="1:14" ht="15.75" x14ac:dyDescent="0.25">
      <c r="A20" s="37">
        <v>46026</v>
      </c>
      <c r="B20" s="33">
        <v>2026</v>
      </c>
      <c r="C20" s="34" t="s">
        <v>22</v>
      </c>
      <c r="D20" s="33" t="s">
        <v>23</v>
      </c>
      <c r="E20" s="38">
        <v>1090667471</v>
      </c>
      <c r="F20" s="35" t="s">
        <v>82</v>
      </c>
      <c r="G20" s="33" t="s">
        <v>98</v>
      </c>
      <c r="I20" s="33"/>
      <c r="K20" s="61">
        <v>50</v>
      </c>
      <c r="L20" s="54">
        <f t="shared" si="0"/>
        <v>943</v>
      </c>
      <c r="M20" s="33"/>
      <c r="N20" s="33"/>
    </row>
    <row r="21" spans="1:14" ht="15.75" x14ac:dyDescent="0.25">
      <c r="A21" s="37">
        <v>46026</v>
      </c>
      <c r="B21" s="33">
        <v>2026</v>
      </c>
      <c r="C21" s="34" t="s">
        <v>22</v>
      </c>
      <c r="D21" s="33" t="s">
        <v>23</v>
      </c>
      <c r="E21" s="38">
        <v>1090667471</v>
      </c>
      <c r="F21" s="35" t="s">
        <v>82</v>
      </c>
      <c r="G21" s="33" t="s">
        <v>99</v>
      </c>
      <c r="I21" s="33"/>
      <c r="K21" s="61">
        <v>250</v>
      </c>
      <c r="L21" s="54">
        <f t="shared" si="0"/>
        <v>693</v>
      </c>
      <c r="M21" s="33"/>
      <c r="N21" s="33"/>
    </row>
    <row r="22" spans="1:14" ht="15.75" x14ac:dyDescent="0.25">
      <c r="A22" s="37">
        <v>46026</v>
      </c>
      <c r="B22" s="33">
        <v>2026</v>
      </c>
      <c r="C22" s="34" t="s">
        <v>22</v>
      </c>
      <c r="D22" s="33" t="s">
        <v>23</v>
      </c>
      <c r="E22" s="38">
        <v>1090667471</v>
      </c>
      <c r="F22" s="35" t="s">
        <v>82</v>
      </c>
      <c r="G22" s="33" t="s">
        <v>100</v>
      </c>
      <c r="I22" s="33"/>
      <c r="K22" s="61">
        <v>30</v>
      </c>
      <c r="L22" s="54">
        <f t="shared" si="0"/>
        <v>663</v>
      </c>
      <c r="M22" s="33"/>
      <c r="N22" s="33"/>
    </row>
    <row r="23" spans="1:14" ht="15.75" x14ac:dyDescent="0.25">
      <c r="A23" s="37">
        <v>46026</v>
      </c>
      <c r="B23" s="33">
        <v>2026</v>
      </c>
      <c r="C23" s="34" t="s">
        <v>22</v>
      </c>
      <c r="D23" s="33" t="s">
        <v>23</v>
      </c>
      <c r="E23" s="38">
        <v>1090667471</v>
      </c>
      <c r="F23" s="35" t="s">
        <v>82</v>
      </c>
      <c r="G23" s="33" t="s">
        <v>101</v>
      </c>
      <c r="I23" s="33"/>
      <c r="K23" s="61">
        <v>25</v>
      </c>
      <c r="L23" s="54">
        <f t="shared" si="0"/>
        <v>638</v>
      </c>
      <c r="M23" s="33"/>
      <c r="N23" s="33"/>
    </row>
    <row r="24" spans="1:14" ht="15.75" x14ac:dyDescent="0.25">
      <c r="A24" s="37">
        <v>46026</v>
      </c>
      <c r="B24" s="33">
        <v>2026</v>
      </c>
      <c r="C24" s="34" t="s">
        <v>22</v>
      </c>
      <c r="D24" s="33" t="s">
        <v>23</v>
      </c>
      <c r="E24" s="38">
        <v>1090667471</v>
      </c>
      <c r="F24" s="35" t="s">
        <v>82</v>
      </c>
      <c r="G24" s="33" t="s">
        <v>102</v>
      </c>
      <c r="I24" s="33"/>
      <c r="K24" s="61">
        <v>10</v>
      </c>
      <c r="L24" s="54">
        <f t="shared" si="0"/>
        <v>628</v>
      </c>
      <c r="M24" s="33"/>
      <c r="N24" s="33"/>
    </row>
    <row r="25" spans="1:14" ht="15.75" x14ac:dyDescent="0.25">
      <c r="A25" s="37">
        <v>46026</v>
      </c>
      <c r="B25" s="33">
        <v>2026</v>
      </c>
      <c r="C25" s="34" t="s">
        <v>22</v>
      </c>
      <c r="D25" s="33" t="s">
        <v>23</v>
      </c>
      <c r="E25" s="38">
        <v>1090667471</v>
      </c>
      <c r="F25" s="35" t="s">
        <v>82</v>
      </c>
      <c r="G25" s="33" t="s">
        <v>103</v>
      </c>
      <c r="I25" s="33"/>
      <c r="K25" s="61">
        <v>10</v>
      </c>
      <c r="L25" s="54">
        <f t="shared" si="0"/>
        <v>618</v>
      </c>
      <c r="M25" s="33"/>
      <c r="N25" s="33"/>
    </row>
    <row r="26" spans="1:14" ht="15.75" x14ac:dyDescent="0.25">
      <c r="A26" s="37">
        <v>46026</v>
      </c>
      <c r="B26" s="33">
        <v>2026</v>
      </c>
      <c r="C26" s="34" t="s">
        <v>22</v>
      </c>
      <c r="D26" s="33" t="s">
        <v>23</v>
      </c>
      <c r="E26" s="38">
        <v>1090667471</v>
      </c>
      <c r="F26" s="35" t="s">
        <v>82</v>
      </c>
      <c r="G26" s="33" t="s">
        <v>104</v>
      </c>
      <c r="H26" s="33" t="s">
        <v>105</v>
      </c>
      <c r="I26" s="33"/>
      <c r="K26" s="61">
        <v>48</v>
      </c>
      <c r="L26" s="54">
        <f t="shared" si="0"/>
        <v>570</v>
      </c>
      <c r="M26" s="33"/>
      <c r="N26" s="33"/>
    </row>
    <row r="27" spans="1:14" ht="15.75" x14ac:dyDescent="0.25">
      <c r="A27" s="37">
        <v>46026</v>
      </c>
      <c r="B27" s="33">
        <v>2026</v>
      </c>
      <c r="C27" s="34" t="s">
        <v>22</v>
      </c>
      <c r="D27" s="33" t="s">
        <v>23</v>
      </c>
      <c r="E27" s="38">
        <v>1090667471</v>
      </c>
      <c r="F27" s="35" t="s">
        <v>82</v>
      </c>
      <c r="G27" s="33" t="s">
        <v>106</v>
      </c>
      <c r="I27" s="33"/>
      <c r="K27" s="61">
        <v>72</v>
      </c>
      <c r="L27" s="54">
        <f t="shared" si="0"/>
        <v>498</v>
      </c>
      <c r="M27" s="33"/>
      <c r="N27" s="33"/>
    </row>
    <row r="28" spans="1:14" ht="15.75" x14ac:dyDescent="0.25">
      <c r="A28" s="37">
        <v>46027</v>
      </c>
      <c r="B28" s="33">
        <v>2026</v>
      </c>
      <c r="C28" s="34" t="s">
        <v>22</v>
      </c>
      <c r="D28" s="33" t="s">
        <v>23</v>
      </c>
      <c r="E28" s="38">
        <v>1948862617</v>
      </c>
      <c r="F28" s="35" t="s">
        <v>80</v>
      </c>
      <c r="G28" s="33" t="s">
        <v>107</v>
      </c>
      <c r="I28" s="33"/>
      <c r="K28" s="61">
        <v>150</v>
      </c>
      <c r="L28" s="54">
        <f t="shared" si="0"/>
        <v>348</v>
      </c>
      <c r="M28" s="33"/>
      <c r="N28" s="33"/>
    </row>
    <row r="29" spans="1:14" ht="15.75" x14ac:dyDescent="0.25">
      <c r="A29" s="37">
        <v>46027</v>
      </c>
      <c r="B29" s="33">
        <v>2026</v>
      </c>
      <c r="C29" s="34" t="s">
        <v>22</v>
      </c>
      <c r="D29" s="33" t="s">
        <v>23</v>
      </c>
      <c r="E29" s="38">
        <v>1948862617</v>
      </c>
      <c r="F29" s="35" t="s">
        <v>80</v>
      </c>
      <c r="G29" s="33" t="s">
        <v>108</v>
      </c>
      <c r="I29" s="33"/>
      <c r="K29" s="61">
        <v>90</v>
      </c>
      <c r="L29" s="54">
        <f t="shared" si="0"/>
        <v>258</v>
      </c>
      <c r="M29" s="33"/>
      <c r="N29" s="33"/>
    </row>
    <row r="30" spans="1:14" ht="15.75" x14ac:dyDescent="0.25">
      <c r="A30" s="37">
        <v>46027</v>
      </c>
      <c r="B30" s="33">
        <v>2026</v>
      </c>
      <c r="C30" s="34" t="s">
        <v>22</v>
      </c>
      <c r="D30" s="33" t="s">
        <v>23</v>
      </c>
      <c r="E30" s="38">
        <v>1948862617</v>
      </c>
      <c r="F30" s="35" t="s">
        <v>80</v>
      </c>
      <c r="G30" s="33" t="s">
        <v>109</v>
      </c>
      <c r="I30" s="33"/>
      <c r="K30" s="61">
        <v>20</v>
      </c>
      <c r="L30" s="54">
        <f t="shared" si="0"/>
        <v>238</v>
      </c>
      <c r="M30" s="33"/>
      <c r="N30" s="33"/>
    </row>
    <row r="31" spans="1:14" ht="15.75" x14ac:dyDescent="0.25">
      <c r="A31" s="37">
        <v>46027</v>
      </c>
      <c r="B31" s="33">
        <v>2026</v>
      </c>
      <c r="C31" s="34" t="s">
        <v>22</v>
      </c>
      <c r="D31" s="33" t="s">
        <v>76</v>
      </c>
      <c r="E31" s="38">
        <v>587</v>
      </c>
      <c r="F31" s="35" t="s">
        <v>110</v>
      </c>
      <c r="G31" s="33" t="s">
        <v>81</v>
      </c>
      <c r="I31" s="33">
        <v>1762</v>
      </c>
      <c r="J31" s="55">
        <v>1762</v>
      </c>
      <c r="K31" s="61"/>
      <c r="L31" s="54">
        <f t="shared" si="0"/>
        <v>2000</v>
      </c>
      <c r="M31" s="33"/>
      <c r="N31" s="33"/>
    </row>
    <row r="32" spans="1:14" ht="15.75" x14ac:dyDescent="0.25">
      <c r="A32" s="37">
        <v>46024</v>
      </c>
      <c r="B32" s="33">
        <v>2026</v>
      </c>
      <c r="C32" s="34" t="s">
        <v>22</v>
      </c>
      <c r="D32" s="33" t="s">
        <v>23</v>
      </c>
      <c r="E32" s="38">
        <v>3823652698</v>
      </c>
      <c r="F32" s="35" t="s">
        <v>27</v>
      </c>
      <c r="G32" s="33" t="s">
        <v>111</v>
      </c>
      <c r="I32" s="33"/>
      <c r="K32" s="61">
        <v>280</v>
      </c>
      <c r="L32" s="54">
        <f t="shared" si="0"/>
        <v>1720</v>
      </c>
      <c r="M32" s="33"/>
      <c r="N32" s="33"/>
    </row>
    <row r="33" spans="1:14" ht="15.75" x14ac:dyDescent="0.25">
      <c r="A33" s="37">
        <v>46028</v>
      </c>
      <c r="B33" s="33">
        <v>2026</v>
      </c>
      <c r="C33" s="34" t="s">
        <v>22</v>
      </c>
      <c r="D33" s="33" t="s">
        <v>23</v>
      </c>
      <c r="E33" s="38">
        <v>3431419363</v>
      </c>
      <c r="F33" s="35" t="s">
        <v>112</v>
      </c>
      <c r="G33" s="33" t="s">
        <v>113</v>
      </c>
      <c r="I33" s="33"/>
      <c r="K33" s="61">
        <v>80</v>
      </c>
      <c r="L33" s="54">
        <f t="shared" si="0"/>
        <v>1640</v>
      </c>
      <c r="M33" s="33"/>
      <c r="N33" s="33"/>
    </row>
    <row r="34" spans="1:14" ht="15.75" x14ac:dyDescent="0.25">
      <c r="A34" s="37">
        <v>46029</v>
      </c>
      <c r="B34" s="33">
        <v>2026</v>
      </c>
      <c r="C34" s="34" t="s">
        <v>22</v>
      </c>
      <c r="D34" s="33" t="s">
        <v>23</v>
      </c>
      <c r="E34" s="38">
        <v>1585859703</v>
      </c>
      <c r="F34" s="35" t="s">
        <v>114</v>
      </c>
      <c r="G34" s="33" t="s">
        <v>115</v>
      </c>
      <c r="H34" s="58"/>
      <c r="I34" s="33"/>
      <c r="K34" s="61">
        <v>180</v>
      </c>
      <c r="L34" s="54">
        <f t="shared" si="0"/>
        <v>1460</v>
      </c>
      <c r="M34" s="33"/>
      <c r="N34" s="33"/>
    </row>
    <row r="35" spans="1:14" ht="15.75" x14ac:dyDescent="0.25">
      <c r="A35" s="37">
        <v>46029</v>
      </c>
      <c r="B35" s="33">
        <v>2026</v>
      </c>
      <c r="C35" s="34" t="s">
        <v>22</v>
      </c>
      <c r="D35" s="33" t="s">
        <v>23</v>
      </c>
      <c r="E35" s="38">
        <v>2048804210</v>
      </c>
      <c r="F35" s="35" t="s">
        <v>30</v>
      </c>
      <c r="G35" s="33" t="s">
        <v>116</v>
      </c>
      <c r="I35" s="33"/>
      <c r="K35" s="61">
        <v>52</v>
      </c>
      <c r="L35" s="54">
        <f t="shared" si="0"/>
        <v>1408</v>
      </c>
      <c r="M35" s="33"/>
      <c r="N35" s="33"/>
    </row>
    <row r="36" spans="1:14" ht="15.75" x14ac:dyDescent="0.25">
      <c r="A36" s="37">
        <v>46024</v>
      </c>
      <c r="B36" s="33">
        <v>2026</v>
      </c>
      <c r="C36" s="34" t="s">
        <v>22</v>
      </c>
      <c r="D36" s="33" t="s">
        <v>23</v>
      </c>
      <c r="E36" s="38">
        <v>2505395255</v>
      </c>
      <c r="F36" s="35" t="s">
        <v>117</v>
      </c>
      <c r="G36" s="33" t="s">
        <v>118</v>
      </c>
      <c r="I36" s="33"/>
      <c r="K36" s="61">
        <v>190</v>
      </c>
      <c r="L36" s="54">
        <f t="shared" si="0"/>
        <v>1218</v>
      </c>
      <c r="M36" s="33"/>
      <c r="N36" s="33"/>
    </row>
    <row r="37" spans="1:14" ht="15.75" x14ac:dyDescent="0.25">
      <c r="A37" s="37">
        <v>46024</v>
      </c>
      <c r="B37" s="33">
        <v>2026</v>
      </c>
      <c r="C37" s="34" t="s">
        <v>22</v>
      </c>
      <c r="D37" s="33" t="s">
        <v>23</v>
      </c>
      <c r="E37" s="38">
        <v>2505395255</v>
      </c>
      <c r="F37" s="35" t="s">
        <v>117</v>
      </c>
      <c r="G37" s="33" t="s">
        <v>119</v>
      </c>
      <c r="I37" s="33"/>
      <c r="K37" s="61">
        <v>110</v>
      </c>
      <c r="L37" s="54">
        <f t="shared" si="0"/>
        <v>1108</v>
      </c>
      <c r="M37" s="33"/>
      <c r="N37" s="33"/>
    </row>
    <row r="38" spans="1:14" ht="15.75" x14ac:dyDescent="0.25">
      <c r="A38" s="37">
        <v>46032</v>
      </c>
      <c r="B38" s="33">
        <v>2026</v>
      </c>
      <c r="C38" s="34" t="s">
        <v>22</v>
      </c>
      <c r="D38" s="33" t="s">
        <v>23</v>
      </c>
      <c r="E38" s="38">
        <v>2364034345</v>
      </c>
      <c r="F38" s="57" t="s">
        <v>30</v>
      </c>
      <c r="G38" s="33" t="s">
        <v>120</v>
      </c>
      <c r="I38" s="33"/>
      <c r="K38" s="61">
        <v>50</v>
      </c>
      <c r="L38" s="54">
        <f t="shared" si="0"/>
        <v>1058</v>
      </c>
      <c r="M38" s="33"/>
      <c r="N38" s="33"/>
    </row>
    <row r="39" spans="1:14" ht="15.75" x14ac:dyDescent="0.25">
      <c r="A39" s="37">
        <v>46034</v>
      </c>
      <c r="B39" s="33">
        <v>2026</v>
      </c>
      <c r="C39" s="34" t="s">
        <v>22</v>
      </c>
      <c r="D39" s="33" t="s">
        <v>23</v>
      </c>
      <c r="E39" s="38">
        <v>756238667</v>
      </c>
      <c r="F39" s="35" t="s">
        <v>121</v>
      </c>
      <c r="G39" s="33" t="s">
        <v>122</v>
      </c>
      <c r="I39" s="33"/>
      <c r="K39" s="61">
        <v>160</v>
      </c>
      <c r="L39" s="54">
        <f t="shared" si="0"/>
        <v>898</v>
      </c>
      <c r="M39" s="33"/>
      <c r="N39" s="33"/>
    </row>
    <row r="40" spans="1:14" s="65" customFormat="1" ht="15.75" x14ac:dyDescent="0.25">
      <c r="A40" s="64">
        <v>46034</v>
      </c>
      <c r="B40" s="65">
        <v>2026</v>
      </c>
      <c r="C40" s="66" t="s">
        <v>22</v>
      </c>
      <c r="D40" s="65" t="s">
        <v>23</v>
      </c>
      <c r="E40" s="67">
        <v>3075230483</v>
      </c>
      <c r="F40" s="68" t="s">
        <v>123</v>
      </c>
      <c r="G40" s="65" t="s">
        <v>124</v>
      </c>
      <c r="J40" s="69"/>
      <c r="K40" s="69">
        <v>314</v>
      </c>
      <c r="L40" s="70">
        <f t="shared" si="0"/>
        <v>584</v>
      </c>
    </row>
    <row r="41" spans="1:14" ht="15.75" x14ac:dyDescent="0.25">
      <c r="A41" s="37">
        <v>46036</v>
      </c>
      <c r="B41" s="33">
        <v>2026</v>
      </c>
      <c r="C41" s="34" t="s">
        <v>22</v>
      </c>
      <c r="D41" s="33" t="s">
        <v>23</v>
      </c>
      <c r="E41" s="38">
        <v>549209681</v>
      </c>
      <c r="F41" s="35" t="s">
        <v>127</v>
      </c>
      <c r="G41" s="33" t="s">
        <v>128</v>
      </c>
      <c r="I41" s="33"/>
      <c r="K41" s="61">
        <v>75</v>
      </c>
      <c r="L41" s="54">
        <f t="shared" si="0"/>
        <v>509</v>
      </c>
      <c r="M41" s="33"/>
      <c r="N41" s="33"/>
    </row>
    <row r="42" spans="1:14" ht="15.75" x14ac:dyDescent="0.25">
      <c r="A42" s="37">
        <v>46038</v>
      </c>
      <c r="B42" s="33">
        <v>2026</v>
      </c>
      <c r="C42" s="34" t="s">
        <v>22</v>
      </c>
      <c r="D42" s="33" t="s">
        <v>23</v>
      </c>
      <c r="E42" s="38">
        <v>2117158937</v>
      </c>
      <c r="F42" s="35" t="s">
        <v>125</v>
      </c>
      <c r="G42" s="33" t="s">
        <v>126</v>
      </c>
      <c r="I42" s="33"/>
      <c r="K42" s="61">
        <v>329</v>
      </c>
      <c r="L42" s="54">
        <f t="shared" si="0"/>
        <v>180</v>
      </c>
      <c r="M42" s="33"/>
      <c r="N42" s="33"/>
    </row>
    <row r="43" spans="1:14" ht="15.75" x14ac:dyDescent="0.25">
      <c r="A43" s="37">
        <v>46038</v>
      </c>
      <c r="B43" s="33">
        <v>2026</v>
      </c>
      <c r="C43" s="34" t="s">
        <v>22</v>
      </c>
      <c r="D43" s="33" t="s">
        <v>76</v>
      </c>
      <c r="E43" s="38">
        <v>595</v>
      </c>
      <c r="F43" s="35" t="s">
        <v>110</v>
      </c>
      <c r="G43" s="33" t="s">
        <v>81</v>
      </c>
      <c r="I43" s="33"/>
      <c r="J43" s="55">
        <v>1820</v>
      </c>
      <c r="K43" s="61"/>
      <c r="L43" s="54">
        <f t="shared" si="0"/>
        <v>2000</v>
      </c>
      <c r="M43" s="33"/>
      <c r="N43" s="33"/>
    </row>
    <row r="44" spans="1:14" ht="15.75" x14ac:dyDescent="0.25">
      <c r="A44" s="37">
        <v>46038</v>
      </c>
      <c r="B44" s="33">
        <v>2026</v>
      </c>
      <c r="C44" s="34" t="s">
        <v>22</v>
      </c>
      <c r="D44" s="33" t="s">
        <v>23</v>
      </c>
      <c r="E44" s="38">
        <v>1013792833</v>
      </c>
      <c r="F44" s="35" t="s">
        <v>129</v>
      </c>
      <c r="G44" s="33" t="s">
        <v>130</v>
      </c>
      <c r="I44" s="33"/>
      <c r="K44" s="61">
        <v>500</v>
      </c>
      <c r="L44" s="54">
        <f t="shared" si="0"/>
        <v>1500</v>
      </c>
      <c r="M44" s="33"/>
      <c r="N44" s="33"/>
    </row>
    <row r="45" spans="1:14" ht="15.75" x14ac:dyDescent="0.25">
      <c r="A45" s="37">
        <v>46038</v>
      </c>
      <c r="B45" s="33">
        <v>2026</v>
      </c>
      <c r="C45" s="34" t="s">
        <v>22</v>
      </c>
      <c r="D45" s="33" t="s">
        <v>23</v>
      </c>
      <c r="E45" s="38">
        <v>1193036840</v>
      </c>
      <c r="F45" s="35" t="s">
        <v>30</v>
      </c>
      <c r="G45" s="33" t="s">
        <v>136</v>
      </c>
      <c r="I45" s="33"/>
      <c r="K45" s="61">
        <v>50</v>
      </c>
      <c r="L45" s="54">
        <f t="shared" si="0"/>
        <v>1450</v>
      </c>
      <c r="M45" s="33"/>
      <c r="N45" s="33"/>
    </row>
    <row r="46" spans="1:14" ht="15.75" x14ac:dyDescent="0.25">
      <c r="A46" s="37">
        <v>46041</v>
      </c>
      <c r="B46" s="33">
        <v>2026</v>
      </c>
      <c r="C46" s="34" t="s">
        <v>22</v>
      </c>
      <c r="D46" s="33" t="s">
        <v>23</v>
      </c>
      <c r="E46" s="38">
        <v>2411481733</v>
      </c>
      <c r="F46" s="35" t="s">
        <v>131</v>
      </c>
      <c r="G46" s="33" t="s">
        <v>132</v>
      </c>
      <c r="I46" s="33"/>
      <c r="K46" s="61">
        <v>125</v>
      </c>
      <c r="L46" s="54">
        <f t="shared" si="0"/>
        <v>1325</v>
      </c>
      <c r="M46" s="33"/>
      <c r="N46" s="33"/>
    </row>
    <row r="47" spans="1:14" ht="15.75" x14ac:dyDescent="0.25">
      <c r="A47" s="37">
        <v>46041</v>
      </c>
      <c r="B47" s="33">
        <v>2026</v>
      </c>
      <c r="C47" s="34" t="s">
        <v>22</v>
      </c>
      <c r="D47" s="33" t="s">
        <v>23</v>
      </c>
      <c r="E47" s="38">
        <v>2411481733</v>
      </c>
      <c r="F47" s="35" t="s">
        <v>131</v>
      </c>
      <c r="G47" s="33" t="s">
        <v>133</v>
      </c>
      <c r="I47" s="33"/>
      <c r="K47" s="61">
        <v>125</v>
      </c>
      <c r="L47" s="54">
        <f t="shared" si="0"/>
        <v>1200</v>
      </c>
      <c r="M47" s="33"/>
      <c r="N47" s="33"/>
    </row>
    <row r="48" spans="1:14" ht="15.75" x14ac:dyDescent="0.25">
      <c r="A48" s="37">
        <v>46041</v>
      </c>
      <c r="B48" s="33">
        <v>2026</v>
      </c>
      <c r="C48" s="34" t="s">
        <v>22</v>
      </c>
      <c r="D48" s="33" t="s">
        <v>23</v>
      </c>
      <c r="E48" s="38">
        <v>2411481733</v>
      </c>
      <c r="F48" s="35" t="s">
        <v>131</v>
      </c>
      <c r="G48" s="33" t="s">
        <v>134</v>
      </c>
      <c r="I48" s="33"/>
      <c r="K48" s="61">
        <v>125</v>
      </c>
      <c r="L48" s="54">
        <f t="shared" si="0"/>
        <v>1075</v>
      </c>
      <c r="M48" s="33"/>
      <c r="N48" s="33"/>
    </row>
    <row r="49" spans="1:14" ht="15.75" x14ac:dyDescent="0.25">
      <c r="A49" s="37">
        <v>46041</v>
      </c>
      <c r="B49" s="33">
        <v>2026</v>
      </c>
      <c r="C49" s="34" t="s">
        <v>22</v>
      </c>
      <c r="D49" s="33" t="s">
        <v>23</v>
      </c>
      <c r="E49" s="38">
        <v>2411481733</v>
      </c>
      <c r="F49" s="35" t="s">
        <v>131</v>
      </c>
      <c r="G49" s="33" t="s">
        <v>135</v>
      </c>
      <c r="I49" s="33"/>
      <c r="K49" s="61">
        <v>125</v>
      </c>
      <c r="L49" s="54">
        <f t="shared" si="0"/>
        <v>950</v>
      </c>
      <c r="M49" s="33"/>
      <c r="N49" s="33"/>
    </row>
    <row r="50" spans="1:14" ht="15.75" x14ac:dyDescent="0.25">
      <c r="A50" s="37">
        <v>46042</v>
      </c>
      <c r="B50" s="33">
        <v>2026</v>
      </c>
      <c r="C50" s="34" t="s">
        <v>22</v>
      </c>
      <c r="D50" s="33" t="s">
        <v>23</v>
      </c>
      <c r="E50" s="38">
        <v>3062975413</v>
      </c>
      <c r="F50" s="35" t="s">
        <v>30</v>
      </c>
      <c r="G50" s="33" t="s">
        <v>137</v>
      </c>
      <c r="I50" s="33"/>
      <c r="K50" s="61">
        <v>50</v>
      </c>
      <c r="L50" s="54">
        <f t="shared" si="0"/>
        <v>900</v>
      </c>
      <c r="M50" s="33"/>
      <c r="N50" s="33"/>
    </row>
    <row r="51" spans="1:14" ht="15.75" x14ac:dyDescent="0.25">
      <c r="A51" s="37">
        <v>46042</v>
      </c>
      <c r="B51" s="33">
        <v>2026</v>
      </c>
      <c r="C51" s="34" t="s">
        <v>22</v>
      </c>
      <c r="D51" s="33" t="s">
        <v>23</v>
      </c>
      <c r="E51" s="38">
        <v>3861659721</v>
      </c>
      <c r="F51" s="35" t="s">
        <v>138</v>
      </c>
      <c r="G51" s="33" t="s">
        <v>139</v>
      </c>
      <c r="I51" s="33"/>
      <c r="K51" s="61">
        <v>300</v>
      </c>
      <c r="L51" s="54">
        <f t="shared" si="0"/>
        <v>600</v>
      </c>
      <c r="M51" s="33"/>
      <c r="N51" s="33"/>
    </row>
    <row r="52" spans="1:14" ht="15.75" x14ac:dyDescent="0.25">
      <c r="A52" s="37">
        <v>46044</v>
      </c>
      <c r="B52" s="33">
        <v>2026</v>
      </c>
      <c r="C52" s="34" t="s">
        <v>22</v>
      </c>
      <c r="D52" s="33" t="s">
        <v>23</v>
      </c>
      <c r="E52" s="38">
        <v>2305246085</v>
      </c>
      <c r="F52" s="35" t="s">
        <v>30</v>
      </c>
      <c r="G52" s="33" t="s">
        <v>141</v>
      </c>
      <c r="I52" s="33"/>
      <c r="K52" s="61">
        <v>185</v>
      </c>
      <c r="L52" s="54">
        <f t="shared" si="0"/>
        <v>415</v>
      </c>
      <c r="M52" s="33"/>
      <c r="N52" s="33"/>
    </row>
    <row r="53" spans="1:14" ht="15.75" x14ac:dyDescent="0.25">
      <c r="A53" s="37">
        <v>46045</v>
      </c>
      <c r="B53" s="33">
        <v>2026</v>
      </c>
      <c r="C53" s="34" t="s">
        <v>22</v>
      </c>
      <c r="D53" s="33" t="s">
        <v>23</v>
      </c>
      <c r="E53" s="38">
        <v>2815118857</v>
      </c>
      <c r="F53" s="35" t="s">
        <v>30</v>
      </c>
      <c r="G53" s="33" t="s">
        <v>140</v>
      </c>
      <c r="I53" s="33"/>
      <c r="K53" s="61">
        <v>230</v>
      </c>
      <c r="L53" s="54">
        <f t="shared" si="0"/>
        <v>185</v>
      </c>
      <c r="M53" s="33"/>
      <c r="N53" s="33" t="s">
        <v>77</v>
      </c>
    </row>
    <row r="54" spans="1:14" ht="15.75" x14ac:dyDescent="0.25">
      <c r="A54" s="37">
        <v>46048</v>
      </c>
      <c r="B54" s="33">
        <v>2026</v>
      </c>
      <c r="C54" s="34" t="s">
        <v>22</v>
      </c>
      <c r="D54" s="33" t="s">
        <v>76</v>
      </c>
      <c r="E54" s="38">
        <v>604</v>
      </c>
      <c r="F54" s="35" t="s">
        <v>110</v>
      </c>
      <c r="G54" s="33" t="s">
        <v>81</v>
      </c>
      <c r="I54" s="33"/>
      <c r="J54" s="55">
        <v>1815</v>
      </c>
      <c r="K54" s="61"/>
      <c r="L54" s="54">
        <f t="shared" si="0"/>
        <v>2000</v>
      </c>
      <c r="M54" s="33"/>
      <c r="N54" s="33"/>
    </row>
    <row r="55" spans="1:14" ht="15.75" x14ac:dyDescent="0.25">
      <c r="A55" s="37">
        <v>46047</v>
      </c>
      <c r="B55" s="33">
        <v>2026</v>
      </c>
      <c r="C55" s="34" t="s">
        <v>22</v>
      </c>
      <c r="D55" s="33" t="s">
        <v>23</v>
      </c>
      <c r="E55" s="38">
        <v>583943984</v>
      </c>
      <c r="F55" s="35" t="s">
        <v>142</v>
      </c>
      <c r="G55" s="33" t="s">
        <v>143</v>
      </c>
      <c r="I55" s="33"/>
      <c r="K55" s="61">
        <v>140</v>
      </c>
      <c r="L55" s="54">
        <f t="shared" si="0"/>
        <v>1860</v>
      </c>
      <c r="M55" s="33"/>
      <c r="N55" s="33"/>
    </row>
    <row r="56" spans="1:14" ht="15.75" x14ac:dyDescent="0.25">
      <c r="A56" s="37">
        <v>46050</v>
      </c>
      <c r="B56" s="33">
        <v>2026</v>
      </c>
      <c r="C56" s="34" t="s">
        <v>22</v>
      </c>
      <c r="D56" s="33" t="s">
        <v>23</v>
      </c>
      <c r="E56" s="38">
        <v>1353993512</v>
      </c>
      <c r="F56" s="35" t="s">
        <v>144</v>
      </c>
      <c r="G56" s="33" t="s">
        <v>145</v>
      </c>
      <c r="I56" s="33"/>
      <c r="K56" s="61">
        <v>295</v>
      </c>
      <c r="L56" s="54">
        <f t="shared" si="0"/>
        <v>1565</v>
      </c>
      <c r="M56" s="33"/>
      <c r="N56" s="33"/>
    </row>
    <row r="57" spans="1:14" ht="15.75" x14ac:dyDescent="0.25">
      <c r="A57" s="37">
        <v>46051</v>
      </c>
      <c r="B57" s="33">
        <v>2026</v>
      </c>
      <c r="C57" s="34" t="s">
        <v>22</v>
      </c>
      <c r="D57" s="33" t="s">
        <v>23</v>
      </c>
      <c r="E57" s="38">
        <v>1587432239</v>
      </c>
      <c r="F57" s="35" t="s">
        <v>30</v>
      </c>
      <c r="G57" s="33" t="s">
        <v>146</v>
      </c>
      <c r="I57" s="33"/>
      <c r="K57" s="61">
        <v>50</v>
      </c>
      <c r="L57" s="54">
        <f t="shared" si="0"/>
        <v>1515</v>
      </c>
      <c r="M57" s="33"/>
      <c r="N57" s="33"/>
    </row>
    <row r="58" spans="1:14" ht="15.75" x14ac:dyDescent="0.25">
      <c r="A58" s="37">
        <v>46051</v>
      </c>
      <c r="B58" s="33">
        <v>2026</v>
      </c>
      <c r="C58" s="34" t="s">
        <v>22</v>
      </c>
      <c r="E58" s="38" t="s">
        <v>147</v>
      </c>
      <c r="F58" s="35" t="s">
        <v>148</v>
      </c>
      <c r="G58" s="33" t="s">
        <v>149</v>
      </c>
      <c r="I58" s="33"/>
      <c r="K58" s="61">
        <v>145</v>
      </c>
      <c r="L58" s="54">
        <f t="shared" si="0"/>
        <v>1370</v>
      </c>
      <c r="M58" s="33"/>
      <c r="N58" s="33"/>
    </row>
    <row r="59" spans="1:14" ht="15.75" x14ac:dyDescent="0.25">
      <c r="A59" s="37">
        <v>46051</v>
      </c>
      <c r="B59" s="33">
        <v>2026</v>
      </c>
      <c r="C59" s="34" t="s">
        <v>22</v>
      </c>
      <c r="E59" s="38" t="s">
        <v>147</v>
      </c>
      <c r="F59" s="35" t="s">
        <v>148</v>
      </c>
      <c r="G59" s="33" t="s">
        <v>150</v>
      </c>
      <c r="I59" s="33"/>
      <c r="K59" s="61">
        <v>45</v>
      </c>
      <c r="L59" s="54">
        <f t="shared" si="0"/>
        <v>1325</v>
      </c>
      <c r="M59" s="33"/>
      <c r="N59" s="33"/>
    </row>
    <row r="60" spans="1:14" ht="15.75" x14ac:dyDescent="0.25">
      <c r="A60" s="37">
        <v>46051</v>
      </c>
      <c r="B60" s="33">
        <v>2026</v>
      </c>
      <c r="C60" s="34" t="s">
        <v>22</v>
      </c>
      <c r="E60" s="38" t="s">
        <v>147</v>
      </c>
      <c r="F60" s="35" t="s">
        <v>148</v>
      </c>
      <c r="G60" s="33" t="s">
        <v>151</v>
      </c>
      <c r="I60" s="33"/>
      <c r="K60" s="61">
        <v>45</v>
      </c>
      <c r="L60" s="54">
        <f t="shared" si="0"/>
        <v>1280</v>
      </c>
      <c r="M60" s="33"/>
      <c r="N60" s="33"/>
    </row>
    <row r="61" spans="1:14" ht="15.75" x14ac:dyDescent="0.25">
      <c r="A61" s="37">
        <v>46051</v>
      </c>
      <c r="B61" s="33">
        <v>2026</v>
      </c>
      <c r="C61" s="34" t="s">
        <v>22</v>
      </c>
      <c r="D61" s="33" t="s">
        <v>23</v>
      </c>
      <c r="E61" s="38">
        <v>1678919646</v>
      </c>
      <c r="F61" s="35" t="s">
        <v>0</v>
      </c>
      <c r="G61" s="33" t="s">
        <v>152</v>
      </c>
      <c r="I61" s="33"/>
      <c r="K61" s="61">
        <v>1000</v>
      </c>
      <c r="L61" s="54">
        <f t="shared" si="0"/>
        <v>280</v>
      </c>
      <c r="M61" s="33"/>
      <c r="N61" s="33"/>
    </row>
    <row r="62" spans="1:14" ht="15.75" x14ac:dyDescent="0.25">
      <c r="A62" s="37">
        <v>46051</v>
      </c>
      <c r="B62" s="33">
        <v>2026</v>
      </c>
      <c r="C62" s="34" t="s">
        <v>22</v>
      </c>
      <c r="D62" s="33" t="s">
        <v>23</v>
      </c>
      <c r="E62" s="38">
        <v>3193523034</v>
      </c>
      <c r="F62" s="35" t="s">
        <v>153</v>
      </c>
      <c r="G62" s="33" t="s">
        <v>154</v>
      </c>
      <c r="I62" s="33"/>
      <c r="K62" s="61">
        <v>130</v>
      </c>
      <c r="L62" s="54">
        <f t="shared" si="0"/>
        <v>150</v>
      </c>
      <c r="M62" s="33"/>
      <c r="N62" s="33"/>
    </row>
    <row r="63" spans="1:14" ht="15.75" x14ac:dyDescent="0.25">
      <c r="A63" s="37">
        <v>46051</v>
      </c>
      <c r="B63" s="33">
        <v>2026</v>
      </c>
      <c r="C63" s="34" t="s">
        <v>22</v>
      </c>
      <c r="D63" s="33" t="s">
        <v>23</v>
      </c>
      <c r="E63" s="38">
        <v>1121078361</v>
      </c>
      <c r="F63" s="35" t="s">
        <v>30</v>
      </c>
      <c r="G63" s="33" t="s">
        <v>155</v>
      </c>
      <c r="I63" s="33"/>
      <c r="K63" s="61">
        <v>55</v>
      </c>
      <c r="L63" s="54">
        <f t="shared" si="0"/>
        <v>95</v>
      </c>
      <c r="M63" s="33"/>
      <c r="N63" s="33"/>
    </row>
    <row r="64" spans="1:14" ht="15.75" x14ac:dyDescent="0.25">
      <c r="A64" s="37">
        <v>46051</v>
      </c>
      <c r="B64" s="33">
        <v>2026</v>
      </c>
      <c r="C64" s="34" t="s">
        <v>22</v>
      </c>
      <c r="D64" s="33" t="s">
        <v>76</v>
      </c>
      <c r="E64" s="38">
        <v>612</v>
      </c>
      <c r="F64" s="35" t="s">
        <v>110</v>
      </c>
      <c r="G64" s="33" t="s">
        <v>156</v>
      </c>
      <c r="I64" s="33"/>
      <c r="J64" s="55">
        <v>1905</v>
      </c>
      <c r="K64" s="61"/>
      <c r="L64" s="54">
        <f t="shared" si="0"/>
        <v>2000</v>
      </c>
      <c r="M64" s="33"/>
      <c r="N64" s="33"/>
    </row>
    <row r="65" spans="1:14" ht="15.75" x14ac:dyDescent="0.25">
      <c r="A65" s="37">
        <v>46051</v>
      </c>
      <c r="B65" s="33">
        <v>2026</v>
      </c>
      <c r="C65" s="34" t="s">
        <v>22</v>
      </c>
      <c r="D65" s="33" t="s">
        <v>23</v>
      </c>
      <c r="E65" s="38">
        <v>2682277577</v>
      </c>
      <c r="F65" s="35" t="s">
        <v>0</v>
      </c>
      <c r="G65" s="33" t="s">
        <v>157</v>
      </c>
      <c r="I65" s="33"/>
      <c r="K65" s="61">
        <v>1900</v>
      </c>
      <c r="L65" s="54">
        <f t="shared" si="0"/>
        <v>100</v>
      </c>
      <c r="M65" s="33"/>
      <c r="N65" s="33"/>
    </row>
    <row r="66" spans="1:14" ht="15.75" x14ac:dyDescent="0.25">
      <c r="A66" s="37">
        <v>46052</v>
      </c>
      <c r="B66" s="33">
        <v>2026</v>
      </c>
      <c r="C66" s="34"/>
      <c r="D66" s="33" t="s">
        <v>76</v>
      </c>
      <c r="E66" s="38">
        <v>615</v>
      </c>
      <c r="F66" s="35" t="s">
        <v>110</v>
      </c>
      <c r="G66" s="33" t="s">
        <v>156</v>
      </c>
      <c r="I66" s="33"/>
      <c r="J66" s="55">
        <v>1900</v>
      </c>
      <c r="K66" s="61"/>
      <c r="L66" s="54">
        <f>L65+J66-K66</f>
        <v>2000</v>
      </c>
      <c r="M66" s="33"/>
      <c r="N66" s="33"/>
    </row>
    <row r="67" spans="1:14" ht="15.75" x14ac:dyDescent="0.25">
      <c r="A67" s="37">
        <v>46052</v>
      </c>
      <c r="B67" s="33">
        <v>2026</v>
      </c>
      <c r="C67" s="34" t="s">
        <v>22</v>
      </c>
      <c r="D67" s="33" t="s">
        <v>23</v>
      </c>
      <c r="E67" s="38">
        <v>212946596</v>
      </c>
      <c r="F67" s="35" t="s">
        <v>78</v>
      </c>
      <c r="G67" s="33" t="s">
        <v>158</v>
      </c>
      <c r="I67" s="33"/>
      <c r="K67" s="61">
        <v>240</v>
      </c>
      <c r="L67" s="54">
        <f>L66+J67-K67</f>
        <v>1760</v>
      </c>
      <c r="M67" s="33"/>
      <c r="N67" s="33"/>
    </row>
    <row r="68" spans="1:14" ht="15.75" x14ac:dyDescent="0.25">
      <c r="A68" s="37">
        <v>46052</v>
      </c>
      <c r="B68" s="33">
        <v>2026</v>
      </c>
      <c r="C68" s="34" t="s">
        <v>22</v>
      </c>
      <c r="D68" s="33" t="s">
        <v>76</v>
      </c>
      <c r="E68" s="38">
        <v>616</v>
      </c>
      <c r="F68" s="35" t="s">
        <v>110</v>
      </c>
      <c r="G68" s="33" t="s">
        <v>156</v>
      </c>
      <c r="I68" s="33"/>
      <c r="J68" s="55">
        <v>240</v>
      </c>
      <c r="K68" s="61"/>
      <c r="L68" s="54">
        <f t="shared" ref="L68:L69" si="1">L67+J68-K68</f>
        <v>2000</v>
      </c>
      <c r="M68" s="33"/>
      <c r="N68" s="33"/>
    </row>
    <row r="69" spans="1:14" ht="15.75" x14ac:dyDescent="0.25">
      <c r="B69" s="33"/>
      <c r="C69" s="34"/>
      <c r="F69" s="35" t="s">
        <v>212</v>
      </c>
      <c r="I69" s="33"/>
      <c r="J69" s="56">
        <f>SUM(J7:J68)</f>
        <v>9442</v>
      </c>
      <c r="K69" s="56">
        <f>SUM(K7:K68)</f>
        <v>9442</v>
      </c>
      <c r="L69" s="54">
        <f t="shared" si="1"/>
        <v>2000</v>
      </c>
      <c r="M69" s="59">
        <f>J69-K69</f>
        <v>0</v>
      </c>
      <c r="N69" s="33"/>
    </row>
    <row r="70" spans="1:14" ht="15.75" x14ac:dyDescent="0.25">
      <c r="B70" s="33"/>
      <c r="C70" s="34"/>
      <c r="F70" s="60" t="s">
        <v>205</v>
      </c>
      <c r="G70" s="50"/>
      <c r="I70" s="33"/>
      <c r="K70" s="61"/>
      <c r="M70" s="33"/>
      <c r="N70" s="33"/>
    </row>
    <row r="71" spans="1:14" ht="15.75" x14ac:dyDescent="0.25">
      <c r="B71" s="33"/>
      <c r="C71" s="34"/>
      <c r="F71" t="s">
        <v>196</v>
      </c>
      <c r="G71" s="59"/>
      <c r="I71" s="33"/>
      <c r="K71" s="61">
        <f>SUM(K13,K14,K15,K16,K17,K18,K19,K20,K21,K22,K23,K24,K25,K26,K27,K33,K36,K37,K46,K47,K48,K49)</f>
        <v>1757</v>
      </c>
      <c r="M71" s="33"/>
      <c r="N71" s="33"/>
    </row>
    <row r="72" spans="1:14" ht="15.75" x14ac:dyDescent="0.25">
      <c r="B72" s="33"/>
      <c r="C72" s="34"/>
      <c r="F72" t="s">
        <v>192</v>
      </c>
      <c r="G72" s="59"/>
      <c r="I72" s="33"/>
      <c r="K72" s="61">
        <f>SUM(K8,K9,K10,K11,K12,K28,K29,K30,K34,K56,K55,K62,K67)</f>
        <v>1670</v>
      </c>
      <c r="M72" s="33"/>
      <c r="N72" s="33"/>
    </row>
    <row r="73" spans="1:14" ht="15.75" x14ac:dyDescent="0.25">
      <c r="B73" s="33"/>
      <c r="C73" s="34"/>
      <c r="F73" t="s">
        <v>193</v>
      </c>
      <c r="G73" s="59"/>
      <c r="I73" s="33"/>
      <c r="K73" s="61">
        <f>SUM(K7,K35,K38,K50,K51,K52,K53,K45,K57,K58,K59,K60,K63)</f>
        <v>1457</v>
      </c>
      <c r="M73" s="33"/>
      <c r="N73" s="33"/>
    </row>
    <row r="74" spans="1:14" ht="15.75" x14ac:dyDescent="0.25">
      <c r="B74" s="33"/>
      <c r="C74" s="34"/>
      <c r="F74" t="s">
        <v>200</v>
      </c>
      <c r="G74" s="59"/>
      <c r="I74" s="33"/>
      <c r="K74" s="61">
        <f>SUM(K44)</f>
        <v>500</v>
      </c>
      <c r="M74" s="33"/>
      <c r="N74" s="33"/>
    </row>
    <row r="75" spans="1:14" ht="15.75" x14ac:dyDescent="0.25">
      <c r="B75" s="33"/>
      <c r="C75" s="34"/>
      <c r="F75" t="s">
        <v>188</v>
      </c>
      <c r="G75" s="59"/>
      <c r="I75" s="33"/>
      <c r="K75" s="61">
        <f>K42</f>
        <v>329</v>
      </c>
      <c r="M75" s="33"/>
      <c r="N75" s="33"/>
    </row>
    <row r="76" spans="1:14" ht="15.75" x14ac:dyDescent="0.25">
      <c r="B76" s="33"/>
      <c r="C76" s="34"/>
      <c r="F76" t="s">
        <v>195</v>
      </c>
      <c r="G76" s="55"/>
      <c r="I76" s="33"/>
      <c r="K76" s="61">
        <f>SUM(K32)</f>
        <v>280</v>
      </c>
      <c r="M76" s="33"/>
      <c r="N76" s="33"/>
    </row>
    <row r="77" spans="1:14" ht="15.75" x14ac:dyDescent="0.25">
      <c r="B77" s="33"/>
      <c r="C77" s="34"/>
      <c r="F77" t="s">
        <v>189</v>
      </c>
      <c r="G77" s="59"/>
      <c r="I77" s="33"/>
      <c r="K77" s="61">
        <f>SUM(K40)</f>
        <v>314</v>
      </c>
      <c r="M77" s="33"/>
      <c r="N77" s="33"/>
    </row>
    <row r="78" spans="1:14" ht="15.75" x14ac:dyDescent="0.25">
      <c r="B78" s="33"/>
      <c r="C78" s="34"/>
      <c r="F78" s="35" t="s">
        <v>191</v>
      </c>
      <c r="G78" s="59"/>
      <c r="I78" s="33"/>
      <c r="K78" s="61"/>
      <c r="M78" s="33"/>
      <c r="N78" s="33"/>
    </row>
    <row r="79" spans="1:14" ht="15.75" x14ac:dyDescent="0.25">
      <c r="B79" s="33"/>
      <c r="C79" s="34"/>
      <c r="F79" s="35" t="s">
        <v>202</v>
      </c>
      <c r="G79" s="59"/>
      <c r="I79" s="33"/>
      <c r="K79" s="61">
        <f>SUM(K65+K39)</f>
        <v>2060</v>
      </c>
      <c r="M79" s="33"/>
      <c r="N79" s="33"/>
    </row>
    <row r="80" spans="1:14" ht="15.75" x14ac:dyDescent="0.25">
      <c r="B80" s="33"/>
      <c r="C80" s="34"/>
      <c r="F80" s="35" t="s">
        <v>201</v>
      </c>
      <c r="G80" s="59"/>
      <c r="I80" s="33"/>
      <c r="K80" s="61">
        <f>SUM(K41)</f>
        <v>75</v>
      </c>
      <c r="M80" s="33"/>
      <c r="N80" s="33"/>
    </row>
    <row r="81" spans="1:14" ht="15.75" x14ac:dyDescent="0.25">
      <c r="B81" s="33"/>
      <c r="C81" s="34"/>
      <c r="F81" s="35" t="s">
        <v>203</v>
      </c>
      <c r="G81" s="59"/>
      <c r="I81" s="33"/>
      <c r="K81" s="61">
        <f>SUM(K61)</f>
        <v>1000</v>
      </c>
      <c r="M81" s="33"/>
      <c r="N81" s="33"/>
    </row>
    <row r="82" spans="1:14" ht="15.75" x14ac:dyDescent="0.25">
      <c r="B82" s="33"/>
      <c r="C82" s="34"/>
      <c r="F82" s="35" t="s">
        <v>204</v>
      </c>
      <c r="I82" s="33"/>
      <c r="K82" s="61"/>
      <c r="L82" s="54">
        <f>SUM(K71:K81)</f>
        <v>9442</v>
      </c>
      <c r="M82" s="33"/>
      <c r="N82" s="59">
        <f>K69-L82</f>
        <v>0</v>
      </c>
    </row>
    <row r="83" spans="1:14" ht="15.75" x14ac:dyDescent="0.25">
      <c r="B83" s="33"/>
      <c r="C83" s="34"/>
      <c r="F83" s="35"/>
      <c r="I83" s="33"/>
      <c r="K83" s="61"/>
      <c r="M83" s="33"/>
      <c r="N83" s="33"/>
    </row>
    <row r="84" spans="1:14" ht="15.75" x14ac:dyDescent="0.25">
      <c r="B84" s="33"/>
      <c r="C84" s="34"/>
      <c r="F84" s="35"/>
      <c r="I84" s="33"/>
      <c r="K84" s="61"/>
      <c r="M84" s="33"/>
      <c r="N84" s="33"/>
    </row>
    <row r="85" spans="1:14" ht="15.75" x14ac:dyDescent="0.25">
      <c r="B85" s="33"/>
      <c r="C85" s="34"/>
      <c r="F85" s="35"/>
      <c r="I85" s="33"/>
      <c r="K85" s="61"/>
      <c r="M85" s="33"/>
      <c r="N85" s="33"/>
    </row>
    <row r="86" spans="1:14" ht="17.25" x14ac:dyDescent="0.25">
      <c r="B86" s="33"/>
      <c r="C86" s="34"/>
      <c r="F86" s="48" t="s">
        <v>161</v>
      </c>
      <c r="I86" s="33"/>
      <c r="K86" s="61"/>
      <c r="L86" s="54">
        <f>L69</f>
        <v>2000</v>
      </c>
      <c r="M86" s="33"/>
      <c r="N86" s="33"/>
    </row>
    <row r="87" spans="1:14" ht="15.75" x14ac:dyDescent="0.25">
      <c r="A87" s="37">
        <v>46056</v>
      </c>
      <c r="B87" s="33">
        <v>2026</v>
      </c>
      <c r="C87" s="34" t="s">
        <v>22</v>
      </c>
      <c r="D87" s="33" t="s">
        <v>23</v>
      </c>
      <c r="E87" s="38">
        <v>4071376147</v>
      </c>
      <c r="F87" s="35" t="s">
        <v>163</v>
      </c>
      <c r="G87" s="33" t="s">
        <v>164</v>
      </c>
      <c r="I87" s="33"/>
      <c r="J87" s="61"/>
      <c r="K87" s="61">
        <v>300</v>
      </c>
      <c r="L87" s="54">
        <f t="shared" ref="L87:L97" si="2">L86+J87-K87</f>
        <v>1700</v>
      </c>
      <c r="M87" s="33"/>
      <c r="N87" s="33"/>
    </row>
    <row r="88" spans="1:14" ht="15.75" x14ac:dyDescent="0.25">
      <c r="A88" s="37">
        <v>46055</v>
      </c>
      <c r="B88" s="33">
        <v>2026</v>
      </c>
      <c r="C88" s="34" t="s">
        <v>159</v>
      </c>
      <c r="D88" s="33" t="s">
        <v>23</v>
      </c>
      <c r="E88" s="38">
        <v>3219146102</v>
      </c>
      <c r="F88" s="35" t="s">
        <v>27</v>
      </c>
      <c r="G88" s="33" t="s">
        <v>111</v>
      </c>
      <c r="I88" s="33"/>
      <c r="J88" s="61"/>
      <c r="K88" s="61">
        <v>280</v>
      </c>
      <c r="L88" s="54">
        <f t="shared" si="2"/>
        <v>1420</v>
      </c>
      <c r="M88" s="33"/>
      <c r="N88" s="33"/>
    </row>
    <row r="89" spans="1:14" ht="15.75" x14ac:dyDescent="0.25">
      <c r="A89" s="37">
        <v>46055</v>
      </c>
      <c r="B89" s="33">
        <v>2026</v>
      </c>
      <c r="C89" s="34" t="s">
        <v>159</v>
      </c>
      <c r="D89" s="33" t="s">
        <v>23</v>
      </c>
      <c r="E89" s="38">
        <v>2191214368</v>
      </c>
      <c r="F89" s="35" t="s">
        <v>30</v>
      </c>
      <c r="G89" s="33" t="s">
        <v>206</v>
      </c>
      <c r="I89" s="33"/>
      <c r="J89" s="61"/>
      <c r="K89" s="61">
        <v>50</v>
      </c>
      <c r="L89" s="54">
        <f t="shared" si="2"/>
        <v>1370</v>
      </c>
      <c r="M89" s="33"/>
      <c r="N89" s="33"/>
    </row>
    <row r="90" spans="1:14" ht="15.75" x14ac:dyDescent="0.25">
      <c r="A90" s="37">
        <v>46058</v>
      </c>
      <c r="B90" s="33">
        <v>2026</v>
      </c>
      <c r="C90" s="34" t="s">
        <v>159</v>
      </c>
      <c r="D90" s="33">
        <v>2</v>
      </c>
      <c r="E90" s="38" t="s">
        <v>147</v>
      </c>
      <c r="F90" s="35" t="s">
        <v>148</v>
      </c>
      <c r="G90" s="33" t="s">
        <v>160</v>
      </c>
      <c r="I90" s="33"/>
      <c r="J90" s="61"/>
      <c r="K90" s="61">
        <v>145</v>
      </c>
      <c r="L90" s="54">
        <f t="shared" si="2"/>
        <v>1225</v>
      </c>
      <c r="M90" s="33"/>
      <c r="N90" s="33"/>
    </row>
    <row r="91" spans="1:14" ht="15.75" x14ac:dyDescent="0.25">
      <c r="A91" s="37">
        <v>46070</v>
      </c>
      <c r="B91" s="33">
        <v>2023</v>
      </c>
      <c r="C91" s="34" t="s">
        <v>159</v>
      </c>
      <c r="D91" s="33" t="s">
        <v>23</v>
      </c>
      <c r="E91" s="38">
        <v>2458600517</v>
      </c>
      <c r="F91" s="35" t="s">
        <v>30</v>
      </c>
      <c r="G91" s="33" t="s">
        <v>207</v>
      </c>
      <c r="I91" s="33"/>
      <c r="J91" s="61"/>
      <c r="K91" s="61">
        <v>50</v>
      </c>
      <c r="L91" s="54">
        <f t="shared" si="2"/>
        <v>1175</v>
      </c>
      <c r="M91" s="33"/>
      <c r="N91" s="33"/>
    </row>
    <row r="92" spans="1:14" ht="15.75" x14ac:dyDescent="0.25">
      <c r="A92" s="37">
        <v>46074</v>
      </c>
      <c r="B92" s="33">
        <v>2026</v>
      </c>
      <c r="C92" s="34" t="s">
        <v>159</v>
      </c>
      <c r="D92" s="33" t="s">
        <v>23</v>
      </c>
      <c r="E92" s="38">
        <v>2458600517</v>
      </c>
      <c r="F92" s="35" t="s">
        <v>30</v>
      </c>
      <c r="G92" s="33" t="s">
        <v>208</v>
      </c>
      <c r="I92" s="33"/>
      <c r="J92" s="61"/>
      <c r="K92" s="61">
        <v>70</v>
      </c>
      <c r="L92" s="54">
        <f t="shared" si="2"/>
        <v>1105</v>
      </c>
      <c r="M92" s="33"/>
      <c r="N92" s="33"/>
    </row>
    <row r="93" spans="1:14" ht="15.75" x14ac:dyDescent="0.25">
      <c r="A93" s="37">
        <v>46076</v>
      </c>
      <c r="B93" s="33">
        <v>2026</v>
      </c>
      <c r="C93" s="34" t="s">
        <v>159</v>
      </c>
      <c r="D93" s="33" t="s">
        <v>23</v>
      </c>
      <c r="E93" s="38">
        <v>1500006167</v>
      </c>
      <c r="F93" s="35" t="s">
        <v>30</v>
      </c>
      <c r="G93" s="33" t="s">
        <v>162</v>
      </c>
      <c r="I93" s="33"/>
      <c r="J93" s="61"/>
      <c r="K93" s="61">
        <v>195</v>
      </c>
      <c r="L93" s="54">
        <f t="shared" si="2"/>
        <v>910</v>
      </c>
      <c r="M93" s="33"/>
      <c r="N93" s="33"/>
    </row>
    <row r="94" spans="1:14" ht="15.75" x14ac:dyDescent="0.25">
      <c r="A94" s="37">
        <v>46078</v>
      </c>
      <c r="B94" s="33">
        <v>2026</v>
      </c>
      <c r="C94" s="34" t="s">
        <v>159</v>
      </c>
      <c r="D94" s="33" t="s">
        <v>23</v>
      </c>
      <c r="E94" s="38">
        <v>2675460794</v>
      </c>
      <c r="F94" s="35" t="s">
        <v>165</v>
      </c>
      <c r="G94" s="33" t="s">
        <v>86</v>
      </c>
      <c r="I94" s="33"/>
      <c r="J94" s="61"/>
      <c r="K94" s="61">
        <v>200</v>
      </c>
      <c r="L94" s="54">
        <f t="shared" si="2"/>
        <v>710</v>
      </c>
      <c r="M94" s="33"/>
      <c r="N94" s="33"/>
    </row>
    <row r="95" spans="1:14" ht="15.75" x14ac:dyDescent="0.25">
      <c r="A95" s="37">
        <v>46078</v>
      </c>
      <c r="B95" s="33">
        <v>2026</v>
      </c>
      <c r="C95" s="34" t="s">
        <v>159</v>
      </c>
      <c r="D95" s="33" t="s">
        <v>23</v>
      </c>
      <c r="E95" s="38">
        <v>678776420</v>
      </c>
      <c r="F95" s="35" t="s">
        <v>166</v>
      </c>
      <c r="G95" s="33" t="s">
        <v>167</v>
      </c>
      <c r="I95" s="33"/>
      <c r="J95" s="61"/>
      <c r="K95" s="61">
        <v>135</v>
      </c>
      <c r="L95" s="54">
        <f t="shared" si="2"/>
        <v>575</v>
      </c>
      <c r="M95" s="33"/>
      <c r="N95" s="33"/>
    </row>
    <row r="96" spans="1:14" ht="15.75" x14ac:dyDescent="0.25">
      <c r="A96" s="37">
        <v>46079</v>
      </c>
      <c r="B96" s="33">
        <v>2026</v>
      </c>
      <c r="C96" s="34" t="s">
        <v>159</v>
      </c>
      <c r="D96" s="33" t="s">
        <v>23</v>
      </c>
      <c r="E96" s="38">
        <v>2436975051</v>
      </c>
      <c r="F96" s="35" t="s">
        <v>168</v>
      </c>
      <c r="G96" s="33" t="s">
        <v>169</v>
      </c>
      <c r="I96" s="33"/>
      <c r="J96" s="61"/>
      <c r="K96" s="61">
        <v>20</v>
      </c>
      <c r="L96" s="54">
        <f t="shared" si="2"/>
        <v>555</v>
      </c>
      <c r="M96" s="33"/>
      <c r="N96" s="33"/>
    </row>
    <row r="97" spans="1:14" ht="15.75" x14ac:dyDescent="0.25">
      <c r="A97" s="37">
        <v>46080</v>
      </c>
      <c r="B97" s="33">
        <v>2026</v>
      </c>
      <c r="C97" s="34" t="s">
        <v>159</v>
      </c>
      <c r="D97" s="33" t="s">
        <v>23</v>
      </c>
      <c r="E97" s="38">
        <v>1876706539</v>
      </c>
      <c r="F97" s="35" t="s">
        <v>170</v>
      </c>
      <c r="G97" s="33" t="s">
        <v>171</v>
      </c>
      <c r="I97" s="33"/>
      <c r="J97" s="61"/>
      <c r="K97" s="61">
        <v>125</v>
      </c>
      <c r="L97" s="54">
        <f t="shared" si="2"/>
        <v>430</v>
      </c>
      <c r="M97" s="33"/>
      <c r="N97" s="33"/>
    </row>
    <row r="98" spans="1:14" ht="15.75" x14ac:dyDescent="0.25">
      <c r="A98" s="37">
        <v>46081</v>
      </c>
      <c r="B98" s="33">
        <v>2026</v>
      </c>
      <c r="C98" s="34" t="s">
        <v>159</v>
      </c>
      <c r="D98" s="33" t="s">
        <v>23</v>
      </c>
      <c r="E98" s="38">
        <v>1946109995</v>
      </c>
      <c r="F98" s="35" t="s">
        <v>79</v>
      </c>
      <c r="G98" s="33" t="s">
        <v>172</v>
      </c>
      <c r="I98" s="33"/>
      <c r="J98" s="61"/>
      <c r="K98" s="61">
        <v>200</v>
      </c>
      <c r="L98" s="54">
        <f t="shared" ref="L98:L99" si="3">L97+J98-K98</f>
        <v>230</v>
      </c>
      <c r="M98" s="33"/>
      <c r="N98" s="33"/>
    </row>
    <row r="99" spans="1:14" ht="15.75" x14ac:dyDescent="0.25">
      <c r="A99" s="37">
        <v>46083</v>
      </c>
      <c r="B99" s="33">
        <v>2026</v>
      </c>
      <c r="C99" s="34" t="s">
        <v>159</v>
      </c>
      <c r="D99" s="33" t="s">
        <v>173</v>
      </c>
      <c r="E99" s="38">
        <v>652</v>
      </c>
      <c r="F99" s="35" t="s">
        <v>110</v>
      </c>
      <c r="G99" s="33" t="s">
        <v>156</v>
      </c>
      <c r="I99" s="33"/>
      <c r="J99" s="62">
        <v>1770</v>
      </c>
      <c r="K99" s="62"/>
      <c r="L99" s="54">
        <f t="shared" si="3"/>
        <v>2000</v>
      </c>
      <c r="M99" s="33"/>
      <c r="N99" s="33"/>
    </row>
    <row r="100" spans="1:14" ht="15.75" x14ac:dyDescent="0.25">
      <c r="B100" s="33"/>
      <c r="C100" s="34"/>
      <c r="F100" s="35"/>
      <c r="I100" s="33"/>
      <c r="J100" s="62"/>
      <c r="K100" s="61"/>
      <c r="L100" s="54">
        <f>L99+J100-K100</f>
        <v>2000</v>
      </c>
      <c r="M100" s="33"/>
      <c r="N100" s="33"/>
    </row>
    <row r="101" spans="1:14" ht="15.75" x14ac:dyDescent="0.25">
      <c r="B101" s="33"/>
      <c r="C101" s="34"/>
      <c r="F101" s="35" t="s">
        <v>212</v>
      </c>
      <c r="I101" s="33"/>
      <c r="J101" s="62">
        <f>SUM(J87:J99)</f>
        <v>1770</v>
      </c>
      <c r="K101" s="62">
        <f>SUM(K87:K100)</f>
        <v>1770</v>
      </c>
      <c r="M101" s="33"/>
      <c r="N101" s="33"/>
    </row>
    <row r="102" spans="1:14" ht="15.75" x14ac:dyDescent="0.25">
      <c r="B102" s="33"/>
      <c r="C102" s="34"/>
      <c r="F102" s="35"/>
      <c r="I102" s="33"/>
      <c r="J102" s="62"/>
      <c r="K102" s="61"/>
      <c r="M102" s="33"/>
      <c r="N102" s="33"/>
    </row>
    <row r="103" spans="1:14" ht="15.75" x14ac:dyDescent="0.25">
      <c r="B103" s="33"/>
      <c r="C103" s="34"/>
      <c r="F103" s="35"/>
      <c r="I103" s="33"/>
      <c r="J103" s="62"/>
      <c r="K103" s="61"/>
      <c r="M103" s="33"/>
      <c r="N103" s="33"/>
    </row>
    <row r="104" spans="1:14" ht="15.75" x14ac:dyDescent="0.25">
      <c r="B104" s="33"/>
      <c r="C104" s="34"/>
      <c r="F104" s="35"/>
      <c r="I104" s="33"/>
      <c r="J104" s="62"/>
      <c r="K104" s="61"/>
      <c r="M104" s="33"/>
      <c r="N104" s="33"/>
    </row>
    <row r="105" spans="1:14" ht="15.75" x14ac:dyDescent="0.25">
      <c r="B105" s="33"/>
      <c r="C105" s="34"/>
      <c r="F105" s="60" t="s">
        <v>190</v>
      </c>
      <c r="G105" s="59"/>
      <c r="I105" s="33"/>
      <c r="J105" s="62"/>
      <c r="K105" s="61"/>
      <c r="M105" s="33"/>
      <c r="N105" s="33"/>
    </row>
    <row r="106" spans="1:14" ht="15.75" x14ac:dyDescent="0.25">
      <c r="B106" s="33"/>
      <c r="C106" s="34"/>
      <c r="F106" t="s">
        <v>196</v>
      </c>
      <c r="G106" s="59"/>
      <c r="I106" s="33"/>
      <c r="J106" s="62"/>
      <c r="K106" s="61">
        <f>SUM(K95)</f>
        <v>135</v>
      </c>
      <c r="M106" s="33"/>
      <c r="N106" s="33"/>
    </row>
    <row r="107" spans="1:14" ht="15.75" x14ac:dyDescent="0.25">
      <c r="B107" s="33"/>
      <c r="C107" s="34"/>
      <c r="F107" t="s">
        <v>192</v>
      </c>
      <c r="G107" s="59"/>
      <c r="I107" s="33"/>
      <c r="J107" s="62"/>
      <c r="K107" s="61">
        <f>SUM(G16420,K94,K96,K97,)</f>
        <v>345</v>
      </c>
      <c r="M107" s="33"/>
      <c r="N107" s="33"/>
    </row>
    <row r="108" spans="1:14" ht="15.75" x14ac:dyDescent="0.25">
      <c r="B108" s="33"/>
      <c r="C108" s="34"/>
      <c r="F108" t="s">
        <v>193</v>
      </c>
      <c r="G108" s="59"/>
      <c r="I108" s="33"/>
      <c r="J108" s="62"/>
      <c r="K108" s="61">
        <f>SUM(K89,K91,K92,K93:K93,K96,K98)</f>
        <v>585</v>
      </c>
      <c r="M108" s="33"/>
      <c r="N108" s="33"/>
    </row>
    <row r="109" spans="1:14" ht="15.75" x14ac:dyDescent="0.25">
      <c r="B109" s="33"/>
      <c r="C109" s="34"/>
      <c r="F109" t="s">
        <v>194</v>
      </c>
      <c r="G109" s="59"/>
      <c r="I109" s="33"/>
      <c r="J109" s="62"/>
      <c r="K109" s="61">
        <f>SUM(K97)</f>
        <v>125</v>
      </c>
      <c r="M109" s="33"/>
      <c r="N109" s="33"/>
    </row>
    <row r="110" spans="1:14" ht="15.75" x14ac:dyDescent="0.25">
      <c r="B110" s="33"/>
      <c r="C110" s="34"/>
      <c r="F110" t="s">
        <v>188</v>
      </c>
      <c r="G110" s="59"/>
      <c r="I110" s="33"/>
      <c r="J110" s="62"/>
      <c r="K110" s="61"/>
      <c r="M110" s="33"/>
      <c r="N110" s="33"/>
    </row>
    <row r="111" spans="1:14" ht="15.75" x14ac:dyDescent="0.25">
      <c r="B111" s="33"/>
      <c r="C111" s="34"/>
      <c r="F111" t="s">
        <v>195</v>
      </c>
      <c r="G111" s="59"/>
      <c r="I111" s="33"/>
      <c r="J111" s="62"/>
      <c r="K111" s="61">
        <f>SUM(K88)</f>
        <v>280</v>
      </c>
      <c r="M111" s="33"/>
      <c r="N111" s="33"/>
    </row>
    <row r="112" spans="1:14" ht="15.75" x14ac:dyDescent="0.25">
      <c r="B112" s="33"/>
      <c r="C112" s="34"/>
      <c r="F112" t="s">
        <v>189</v>
      </c>
      <c r="G112" s="59"/>
      <c r="I112" s="33"/>
      <c r="J112" s="62"/>
      <c r="K112" s="61"/>
      <c r="M112" s="33"/>
      <c r="N112" s="33"/>
    </row>
    <row r="113" spans="1:14" ht="15.75" x14ac:dyDescent="0.25">
      <c r="B113" s="33"/>
      <c r="C113" s="34"/>
      <c r="F113" s="35" t="s">
        <v>191</v>
      </c>
      <c r="G113" s="59"/>
      <c r="I113" s="33"/>
      <c r="J113" s="62"/>
      <c r="K113" s="61">
        <f>SUM(K87)</f>
        <v>300</v>
      </c>
      <c r="M113" s="33"/>
      <c r="N113" s="33"/>
    </row>
    <row r="114" spans="1:14" ht="15.75" x14ac:dyDescent="0.25">
      <c r="B114" s="33"/>
      <c r="C114" s="34"/>
      <c r="F114" s="35" t="s">
        <v>197</v>
      </c>
      <c r="G114" s="59"/>
      <c r="I114" s="33"/>
      <c r="J114" s="62"/>
      <c r="K114" s="61"/>
      <c r="M114" s="59"/>
      <c r="N114" s="33"/>
    </row>
    <row r="115" spans="1:14" ht="15.75" x14ac:dyDescent="0.25">
      <c r="B115" s="33"/>
      <c r="C115" s="34"/>
      <c r="F115" s="53" t="s">
        <v>213</v>
      </c>
      <c r="G115" s="71"/>
      <c r="I115" s="33"/>
      <c r="J115" s="61"/>
      <c r="K115" s="61"/>
      <c r="L115" s="54">
        <f>SUM(K106:K114)</f>
        <v>1770</v>
      </c>
      <c r="M115" s="59">
        <f>K101-L115</f>
        <v>0</v>
      </c>
      <c r="N115" s="72">
        <f>L115-K101</f>
        <v>0</v>
      </c>
    </row>
    <row r="116" spans="1:14" ht="0" hidden="1" customHeight="1" x14ac:dyDescent="0.25">
      <c r="G116" s="59"/>
    </row>
    <row r="117" spans="1:14" ht="0" hidden="1" customHeight="1" x14ac:dyDescent="0.25">
      <c r="G117" s="59"/>
    </row>
    <row r="118" spans="1:14" ht="0" hidden="1" customHeight="1" x14ac:dyDescent="0.25">
      <c r="G118" s="59"/>
    </row>
    <row r="119" spans="1:14" ht="15.75" x14ac:dyDescent="0.25">
      <c r="B119" s="33"/>
      <c r="C119" s="34"/>
      <c r="F119" s="53"/>
      <c r="G119" s="59"/>
      <c r="I119" s="33"/>
      <c r="J119" s="61"/>
      <c r="K119" s="62"/>
      <c r="M119" s="33"/>
      <c r="N119" s="33"/>
    </row>
    <row r="120" spans="1:14" ht="15.75" x14ac:dyDescent="0.25">
      <c r="B120" s="33"/>
      <c r="C120" s="34"/>
      <c r="F120" s="53"/>
      <c r="G120" s="59"/>
      <c r="I120" s="33"/>
      <c r="J120" s="61"/>
      <c r="K120" s="62"/>
      <c r="M120" s="33"/>
      <c r="N120" s="33"/>
    </row>
    <row r="121" spans="1:14" ht="15.75" x14ac:dyDescent="0.25">
      <c r="B121" s="33"/>
      <c r="C121" s="34"/>
      <c r="F121" s="53"/>
      <c r="G121" s="59"/>
      <c r="I121" s="33"/>
      <c r="J121" s="61"/>
      <c r="K121" s="61"/>
      <c r="M121" s="33"/>
      <c r="N121" s="33"/>
    </row>
    <row r="122" spans="1:14" ht="17.25" x14ac:dyDescent="0.25">
      <c r="B122" s="33"/>
      <c r="C122" s="34"/>
      <c r="F122" s="48" t="s">
        <v>174</v>
      </c>
      <c r="I122" s="33"/>
      <c r="J122" s="61"/>
      <c r="K122" s="61"/>
      <c r="L122" s="54">
        <f>L100</f>
        <v>2000</v>
      </c>
      <c r="M122" s="33"/>
      <c r="N122" s="33"/>
    </row>
    <row r="123" spans="1:14" ht="15.75" x14ac:dyDescent="0.25">
      <c r="A123" s="37">
        <v>46083</v>
      </c>
      <c r="B123" s="33">
        <v>2026</v>
      </c>
      <c r="C123" s="34" t="s">
        <v>176</v>
      </c>
      <c r="D123" s="33" t="s">
        <v>23</v>
      </c>
      <c r="E123" s="38">
        <v>3497674229</v>
      </c>
      <c r="F123" s="35" t="s">
        <v>125</v>
      </c>
      <c r="G123" s="33" t="s">
        <v>175</v>
      </c>
      <c r="I123" s="33"/>
      <c r="J123" s="61"/>
      <c r="K123" s="61">
        <v>329</v>
      </c>
      <c r="L123" s="54">
        <f>L122+J123-K123</f>
        <v>1671</v>
      </c>
      <c r="M123" s="33"/>
      <c r="N123" s="33"/>
    </row>
    <row r="124" spans="1:14" ht="15.75" x14ac:dyDescent="0.25">
      <c r="A124" s="37">
        <v>46085</v>
      </c>
      <c r="B124" s="33">
        <v>2026</v>
      </c>
      <c r="C124" s="34" t="s">
        <v>176</v>
      </c>
      <c r="D124" s="33" t="s">
        <v>23</v>
      </c>
      <c r="E124" s="38">
        <v>363547770</v>
      </c>
      <c r="F124" s="35" t="s">
        <v>170</v>
      </c>
      <c r="G124" s="33" t="s">
        <v>177</v>
      </c>
      <c r="I124" s="33"/>
      <c r="J124" s="61"/>
      <c r="K124" s="61">
        <v>715</v>
      </c>
      <c r="L124" s="54">
        <f>L123+J124-K124</f>
        <v>956</v>
      </c>
      <c r="M124" s="33"/>
      <c r="N124" s="33"/>
    </row>
    <row r="125" spans="1:14" ht="15.75" x14ac:dyDescent="0.25">
      <c r="A125" s="37">
        <v>46085</v>
      </c>
      <c r="B125" s="33">
        <v>2026</v>
      </c>
      <c r="C125" s="34" t="s">
        <v>176</v>
      </c>
      <c r="D125" s="33" t="s">
        <v>23</v>
      </c>
      <c r="E125" s="38">
        <v>363547770</v>
      </c>
      <c r="F125" s="35" t="s">
        <v>170</v>
      </c>
      <c r="G125" s="33" t="s">
        <v>178</v>
      </c>
      <c r="I125" s="33"/>
      <c r="J125" s="61"/>
      <c r="K125" s="61">
        <v>240</v>
      </c>
      <c r="L125" s="54">
        <f t="shared" ref="L125:L141" si="4">L124+J125-K125</f>
        <v>716</v>
      </c>
      <c r="M125" s="33"/>
      <c r="N125" s="33"/>
    </row>
    <row r="126" spans="1:14" ht="15.75" x14ac:dyDescent="0.25">
      <c r="A126" s="37">
        <v>46085</v>
      </c>
      <c r="B126" s="33">
        <v>2026</v>
      </c>
      <c r="C126" s="34" t="s">
        <v>176</v>
      </c>
      <c r="D126" s="33" t="s">
        <v>23</v>
      </c>
      <c r="E126" s="38">
        <v>133909305</v>
      </c>
      <c r="F126" s="35" t="s">
        <v>179</v>
      </c>
      <c r="G126" s="33" t="s">
        <v>180</v>
      </c>
      <c r="I126" s="33"/>
      <c r="J126" s="61"/>
      <c r="K126" s="61">
        <v>60</v>
      </c>
      <c r="L126" s="54">
        <f t="shared" si="4"/>
        <v>656</v>
      </c>
      <c r="M126" s="33"/>
      <c r="N126" s="33"/>
    </row>
    <row r="127" spans="1:14" ht="15.75" x14ac:dyDescent="0.25">
      <c r="A127" s="37">
        <v>46085</v>
      </c>
      <c r="B127" s="33">
        <v>2026</v>
      </c>
      <c r="C127" s="34" t="s">
        <v>176</v>
      </c>
      <c r="D127" s="33" t="s">
        <v>23</v>
      </c>
      <c r="E127" s="38">
        <v>133909305</v>
      </c>
      <c r="F127" s="35" t="s">
        <v>179</v>
      </c>
      <c r="G127" s="33" t="s">
        <v>181</v>
      </c>
      <c r="I127" s="33"/>
      <c r="J127" s="61"/>
      <c r="K127" s="61">
        <v>15</v>
      </c>
      <c r="L127" s="54">
        <f t="shared" si="4"/>
        <v>641</v>
      </c>
      <c r="M127" s="33"/>
      <c r="N127" s="33"/>
    </row>
    <row r="128" spans="1:14" ht="15.75" x14ac:dyDescent="0.25">
      <c r="A128" s="37">
        <v>46085</v>
      </c>
      <c r="B128" s="33">
        <v>2026</v>
      </c>
      <c r="C128" s="34" t="s">
        <v>176</v>
      </c>
      <c r="D128" s="33" t="s">
        <v>23</v>
      </c>
      <c r="E128" s="38">
        <v>133909305</v>
      </c>
      <c r="F128" s="35" t="s">
        <v>179</v>
      </c>
      <c r="G128" s="33" t="s">
        <v>182</v>
      </c>
      <c r="I128" s="33"/>
      <c r="J128" s="61"/>
      <c r="K128" s="61">
        <v>40</v>
      </c>
      <c r="L128" s="54">
        <f t="shared" si="4"/>
        <v>601</v>
      </c>
      <c r="M128" s="33"/>
      <c r="N128" s="33"/>
    </row>
    <row r="129" spans="1:14" s="50" customFormat="1" ht="15.75" x14ac:dyDescent="0.25">
      <c r="A129" s="37">
        <v>46085</v>
      </c>
      <c r="B129" s="33">
        <v>2026</v>
      </c>
      <c r="C129" s="34" t="s">
        <v>176</v>
      </c>
      <c r="D129" s="33" t="s">
        <v>23</v>
      </c>
      <c r="E129" s="38">
        <v>133909305</v>
      </c>
      <c r="F129" s="35" t="s">
        <v>179</v>
      </c>
      <c r="G129" s="33" t="s">
        <v>183</v>
      </c>
      <c r="J129" s="56"/>
      <c r="K129" s="61">
        <v>10</v>
      </c>
      <c r="L129" s="54">
        <f t="shared" si="4"/>
        <v>591</v>
      </c>
    </row>
    <row r="130" spans="1:14" ht="15.75" x14ac:dyDescent="0.25">
      <c r="A130" s="37">
        <v>46085</v>
      </c>
      <c r="B130" s="33">
        <v>2026</v>
      </c>
      <c r="C130" s="34" t="s">
        <v>176</v>
      </c>
      <c r="D130" s="33" t="s">
        <v>23</v>
      </c>
      <c r="E130" s="38">
        <v>133909305</v>
      </c>
      <c r="F130" s="35" t="s">
        <v>179</v>
      </c>
      <c r="G130" s="33" t="s">
        <v>184</v>
      </c>
      <c r="I130" s="33"/>
      <c r="K130" s="61">
        <v>15</v>
      </c>
      <c r="L130" s="54">
        <f t="shared" si="4"/>
        <v>576</v>
      </c>
      <c r="M130" s="33"/>
      <c r="N130" s="33"/>
    </row>
    <row r="131" spans="1:14" ht="15.75" x14ac:dyDescent="0.25">
      <c r="A131" s="37">
        <v>46085</v>
      </c>
      <c r="B131" s="33">
        <v>2026</v>
      </c>
      <c r="C131" s="34" t="s">
        <v>176</v>
      </c>
      <c r="D131" s="33" t="s">
        <v>23</v>
      </c>
      <c r="E131" s="38">
        <v>133909305</v>
      </c>
      <c r="F131" s="35" t="s">
        <v>179</v>
      </c>
      <c r="G131" s="33" t="s">
        <v>185</v>
      </c>
      <c r="I131" s="33"/>
      <c r="K131" s="61">
        <v>15</v>
      </c>
      <c r="L131" s="54">
        <f t="shared" si="4"/>
        <v>561</v>
      </c>
      <c r="M131" s="33"/>
      <c r="N131" s="33"/>
    </row>
    <row r="132" spans="1:14" ht="15.75" x14ac:dyDescent="0.25">
      <c r="A132" s="37">
        <v>46085</v>
      </c>
      <c r="B132" s="33">
        <v>2026</v>
      </c>
      <c r="C132" s="34" t="s">
        <v>176</v>
      </c>
      <c r="D132" s="33" t="s">
        <v>23</v>
      </c>
      <c r="E132" s="38">
        <v>133909305</v>
      </c>
      <c r="F132" s="35" t="s">
        <v>179</v>
      </c>
      <c r="G132" s="33" t="s">
        <v>186</v>
      </c>
      <c r="I132" s="33"/>
      <c r="K132" s="61">
        <v>30</v>
      </c>
      <c r="L132" s="54">
        <f t="shared" si="4"/>
        <v>531</v>
      </c>
      <c r="M132" s="33"/>
      <c r="N132" s="33"/>
    </row>
    <row r="133" spans="1:14" ht="15.75" x14ac:dyDescent="0.25">
      <c r="A133" s="37">
        <v>46085</v>
      </c>
      <c r="B133" s="33">
        <v>2026</v>
      </c>
      <c r="C133" s="34" t="s">
        <v>176</v>
      </c>
      <c r="D133" s="33" t="s">
        <v>23</v>
      </c>
      <c r="E133" s="38">
        <v>133909305</v>
      </c>
      <c r="F133" s="35" t="s">
        <v>179</v>
      </c>
      <c r="G133" s="33" t="s">
        <v>187</v>
      </c>
      <c r="I133" s="33"/>
      <c r="K133" s="61">
        <v>15</v>
      </c>
      <c r="L133" s="54">
        <f t="shared" si="4"/>
        <v>516</v>
      </c>
      <c r="M133" s="33"/>
      <c r="N133" s="33"/>
    </row>
    <row r="134" spans="1:14" ht="15.75" x14ac:dyDescent="0.25">
      <c r="A134" s="37">
        <v>46085</v>
      </c>
      <c r="B134" s="33">
        <v>2026</v>
      </c>
      <c r="C134" s="34" t="s">
        <v>176</v>
      </c>
      <c r="D134" s="33" t="s">
        <v>23</v>
      </c>
      <c r="E134" s="38">
        <v>165693183</v>
      </c>
      <c r="F134" s="35" t="s">
        <v>30</v>
      </c>
      <c r="G134" s="33" t="s">
        <v>120</v>
      </c>
      <c r="I134" s="33"/>
      <c r="K134" s="61">
        <v>50</v>
      </c>
      <c r="L134" s="54">
        <f t="shared" si="4"/>
        <v>466</v>
      </c>
      <c r="M134" s="33"/>
      <c r="N134" s="33"/>
    </row>
    <row r="135" spans="1:14" ht="15.75" x14ac:dyDescent="0.25">
      <c r="A135" s="37">
        <v>46085</v>
      </c>
      <c r="B135" s="33">
        <v>2026</v>
      </c>
      <c r="C135" s="34" t="s">
        <v>176</v>
      </c>
      <c r="D135" s="33" t="s">
        <v>23</v>
      </c>
      <c r="E135" s="38">
        <v>1564625366</v>
      </c>
      <c r="F135" s="35" t="s">
        <v>30</v>
      </c>
      <c r="G135" s="33" t="s">
        <v>207</v>
      </c>
      <c r="I135" s="33"/>
      <c r="K135" s="61">
        <v>50</v>
      </c>
      <c r="L135" s="54">
        <f t="shared" si="4"/>
        <v>416</v>
      </c>
      <c r="M135" s="33"/>
      <c r="N135" s="33"/>
    </row>
    <row r="136" spans="1:14" ht="15.75" x14ac:dyDescent="0.25">
      <c r="A136" s="37">
        <v>46088</v>
      </c>
      <c r="B136" s="33">
        <v>2026</v>
      </c>
      <c r="C136" s="34" t="s">
        <v>176</v>
      </c>
      <c r="D136" s="33" t="s">
        <v>23</v>
      </c>
      <c r="E136" s="38">
        <v>1764050763</v>
      </c>
      <c r="F136" s="35" t="s">
        <v>30</v>
      </c>
      <c r="G136" s="33" t="s">
        <v>209</v>
      </c>
      <c r="I136" s="33"/>
      <c r="K136" s="61">
        <v>50</v>
      </c>
      <c r="L136" s="54">
        <f t="shared" si="4"/>
        <v>366</v>
      </c>
      <c r="M136" s="33"/>
      <c r="N136" s="33"/>
    </row>
    <row r="137" spans="1:14" ht="15.75" x14ac:dyDescent="0.25">
      <c r="A137" s="37">
        <v>46093</v>
      </c>
      <c r="B137" s="33">
        <v>2026</v>
      </c>
      <c r="C137" s="34" t="s">
        <v>176</v>
      </c>
      <c r="D137" s="33" t="s">
        <v>76</v>
      </c>
      <c r="E137" s="38">
        <v>663</v>
      </c>
      <c r="F137" s="35" t="s">
        <v>110</v>
      </c>
      <c r="G137" s="33" t="s">
        <v>156</v>
      </c>
      <c r="I137" s="33"/>
      <c r="J137" s="56">
        <v>1634</v>
      </c>
      <c r="K137" s="61"/>
      <c r="L137" s="54">
        <f t="shared" si="4"/>
        <v>2000</v>
      </c>
      <c r="M137" s="33"/>
      <c r="N137" s="33"/>
    </row>
    <row r="138" spans="1:14" ht="15.75" x14ac:dyDescent="0.25">
      <c r="A138" s="37">
        <v>46093</v>
      </c>
      <c r="B138" s="33">
        <v>2026</v>
      </c>
      <c r="C138" s="34" t="s">
        <v>176</v>
      </c>
      <c r="D138" s="33" t="s">
        <v>23</v>
      </c>
      <c r="E138" s="38">
        <v>2264551078</v>
      </c>
      <c r="F138" s="35" t="s">
        <v>219</v>
      </c>
      <c r="G138" s="33" t="s">
        <v>210</v>
      </c>
      <c r="I138" s="33"/>
      <c r="K138" s="61">
        <v>85</v>
      </c>
      <c r="L138" s="54">
        <f t="shared" si="4"/>
        <v>1915</v>
      </c>
      <c r="M138" s="33"/>
      <c r="N138" s="33"/>
    </row>
    <row r="139" spans="1:14" ht="15.75" x14ac:dyDescent="0.25">
      <c r="A139" s="37">
        <v>46094</v>
      </c>
      <c r="B139" s="33">
        <v>2026</v>
      </c>
      <c r="C139" s="34" t="s">
        <v>176</v>
      </c>
      <c r="D139" s="33" t="s">
        <v>23</v>
      </c>
      <c r="F139" s="35" t="s">
        <v>123</v>
      </c>
      <c r="G139" s="33" t="s">
        <v>124</v>
      </c>
      <c r="I139" s="33"/>
      <c r="J139" s="61"/>
      <c r="K139" s="61">
        <v>634</v>
      </c>
      <c r="L139" s="54">
        <f t="shared" si="4"/>
        <v>1281</v>
      </c>
      <c r="M139" s="33"/>
      <c r="N139" s="33"/>
    </row>
    <row r="140" spans="1:14" ht="15.75" x14ac:dyDescent="0.25">
      <c r="A140" s="37">
        <v>46095</v>
      </c>
      <c r="B140" s="33">
        <v>2026</v>
      </c>
      <c r="C140" s="34" t="s">
        <v>176</v>
      </c>
      <c r="D140" s="33" t="s">
        <v>23</v>
      </c>
      <c r="E140" s="38">
        <v>2267761284</v>
      </c>
      <c r="F140" s="35" t="s">
        <v>30</v>
      </c>
      <c r="G140" s="33" t="s">
        <v>211</v>
      </c>
      <c r="I140" s="33"/>
      <c r="K140" s="61">
        <v>25</v>
      </c>
      <c r="L140" s="54">
        <f t="shared" si="4"/>
        <v>1256</v>
      </c>
      <c r="M140" s="33"/>
      <c r="N140" s="33"/>
    </row>
    <row r="141" spans="1:14" ht="15.75" x14ac:dyDescent="0.25">
      <c r="A141" s="37">
        <v>46095</v>
      </c>
      <c r="B141" s="33">
        <v>2026</v>
      </c>
      <c r="C141" s="34" t="s">
        <v>176</v>
      </c>
      <c r="D141" s="33" t="s">
        <v>23</v>
      </c>
      <c r="E141" s="38">
        <v>835864355</v>
      </c>
      <c r="F141" s="35" t="s">
        <v>30</v>
      </c>
      <c r="G141" s="33" t="s">
        <v>211</v>
      </c>
      <c r="I141" s="33"/>
      <c r="K141" s="61">
        <v>25</v>
      </c>
      <c r="L141" s="54">
        <f t="shared" si="4"/>
        <v>1231</v>
      </c>
      <c r="M141" s="33"/>
      <c r="N141" s="33"/>
    </row>
    <row r="142" spans="1:14" ht="15.75" x14ac:dyDescent="0.25">
      <c r="A142" s="37">
        <v>46095</v>
      </c>
      <c r="B142" s="33">
        <v>2026</v>
      </c>
      <c r="C142" s="34" t="s">
        <v>176</v>
      </c>
      <c r="D142" s="33" t="s">
        <v>23</v>
      </c>
      <c r="E142" s="38">
        <v>313673206</v>
      </c>
      <c r="F142" s="35" t="s">
        <v>198</v>
      </c>
      <c r="G142" s="33" t="s">
        <v>199</v>
      </c>
      <c r="I142" s="33"/>
      <c r="K142" s="61">
        <v>560</v>
      </c>
      <c r="L142" s="54">
        <f>L141+J142-K142</f>
        <v>671</v>
      </c>
      <c r="M142" s="33"/>
      <c r="N142" s="33"/>
    </row>
    <row r="143" spans="1:14" ht="15.75" x14ac:dyDescent="0.25">
      <c r="A143" s="37">
        <v>46100</v>
      </c>
      <c r="B143" s="33">
        <v>2026</v>
      </c>
      <c r="C143" s="34" t="s">
        <v>176</v>
      </c>
      <c r="D143" s="33" t="s">
        <v>23</v>
      </c>
      <c r="E143" s="38">
        <v>3909632139</v>
      </c>
      <c r="F143" s="35" t="s">
        <v>30</v>
      </c>
      <c r="G143" s="33" t="s">
        <v>214</v>
      </c>
      <c r="I143" s="33"/>
      <c r="K143" s="61">
        <v>50</v>
      </c>
      <c r="L143" s="54">
        <f>L142+J143-K143</f>
        <v>621</v>
      </c>
      <c r="M143" s="33"/>
      <c r="N143" s="33"/>
    </row>
    <row r="144" spans="1:14" ht="15.75" x14ac:dyDescent="0.25">
      <c r="A144" s="37">
        <v>46100</v>
      </c>
      <c r="B144" s="33">
        <v>2026</v>
      </c>
      <c r="C144" s="34" t="s">
        <v>176</v>
      </c>
      <c r="D144" s="33" t="s">
        <v>23</v>
      </c>
      <c r="E144" s="38">
        <v>4165420676</v>
      </c>
      <c r="F144" s="35" t="s">
        <v>30</v>
      </c>
      <c r="G144" s="33" t="s">
        <v>214</v>
      </c>
      <c r="I144" s="33"/>
      <c r="K144" s="61">
        <v>45</v>
      </c>
      <c r="L144" s="54">
        <f t="shared" ref="L144:L145" si="5">L143+J144-K144</f>
        <v>576</v>
      </c>
      <c r="M144" s="33"/>
      <c r="N144" s="33"/>
    </row>
    <row r="145" spans="1:14" ht="15.75" x14ac:dyDescent="0.25">
      <c r="A145" s="37">
        <v>46100</v>
      </c>
      <c r="B145" s="33">
        <v>2026</v>
      </c>
      <c r="C145" s="34" t="s">
        <v>176</v>
      </c>
      <c r="D145" s="33" t="s">
        <v>23</v>
      </c>
      <c r="E145" s="38">
        <v>5172230456</v>
      </c>
      <c r="F145" s="35" t="s">
        <v>170</v>
      </c>
      <c r="G145" s="33" t="s">
        <v>215</v>
      </c>
      <c r="I145" s="33"/>
      <c r="K145" s="61">
        <v>490</v>
      </c>
      <c r="L145" s="54">
        <f t="shared" si="5"/>
        <v>86</v>
      </c>
      <c r="M145" s="33"/>
      <c r="N145" s="33"/>
    </row>
    <row r="146" spans="1:14" ht="15.75" x14ac:dyDescent="0.25">
      <c r="A146" s="37">
        <v>46104</v>
      </c>
      <c r="B146" s="33">
        <v>2026</v>
      </c>
      <c r="C146" s="34" t="s">
        <v>176</v>
      </c>
      <c r="D146" s="33" t="s">
        <v>76</v>
      </c>
      <c r="E146" s="38">
        <v>671</v>
      </c>
      <c r="F146" s="35" t="s">
        <v>110</v>
      </c>
      <c r="G146" s="33" t="s">
        <v>156</v>
      </c>
      <c r="I146" s="33"/>
      <c r="J146" s="56">
        <v>1914</v>
      </c>
      <c r="K146" s="62"/>
      <c r="L146" s="54">
        <f>L145+J146-K146</f>
        <v>2000</v>
      </c>
      <c r="M146" s="33"/>
      <c r="N146" s="33"/>
    </row>
    <row r="147" spans="1:14" ht="15.75" x14ac:dyDescent="0.25">
      <c r="A147" s="37">
        <v>46100</v>
      </c>
      <c r="B147" s="33">
        <v>2026</v>
      </c>
      <c r="C147" s="34" t="s">
        <v>176</v>
      </c>
      <c r="D147" s="33" t="s">
        <v>147</v>
      </c>
      <c r="E147" s="38">
        <v>3</v>
      </c>
      <c r="F147" s="35" t="s">
        <v>148</v>
      </c>
      <c r="G147" s="33" t="s">
        <v>216</v>
      </c>
      <c r="I147" s="33"/>
      <c r="J147" s="56"/>
      <c r="K147" s="61">
        <v>60</v>
      </c>
      <c r="L147" s="54">
        <f t="shared" ref="L147:L152" si="6">L146+J147-K147</f>
        <v>1940</v>
      </c>
      <c r="M147" s="33"/>
      <c r="N147" s="33"/>
    </row>
    <row r="148" spans="1:14" ht="15.75" x14ac:dyDescent="0.25">
      <c r="A148" s="37">
        <v>46100</v>
      </c>
      <c r="B148" s="33">
        <v>2026</v>
      </c>
      <c r="C148" s="34" t="s">
        <v>176</v>
      </c>
      <c r="D148" s="33" t="s">
        <v>147</v>
      </c>
      <c r="E148" s="38">
        <v>3</v>
      </c>
      <c r="F148" s="35" t="s">
        <v>217</v>
      </c>
      <c r="G148" s="33" t="s">
        <v>216</v>
      </c>
      <c r="I148" s="33"/>
      <c r="J148" s="56"/>
      <c r="K148" s="61">
        <v>60</v>
      </c>
      <c r="L148" s="54">
        <f t="shared" si="6"/>
        <v>1880</v>
      </c>
      <c r="M148" s="33"/>
      <c r="N148" s="33"/>
    </row>
    <row r="149" spans="1:14" ht="15.75" x14ac:dyDescent="0.25">
      <c r="A149" s="37">
        <v>46102</v>
      </c>
      <c r="B149" s="33">
        <v>2026</v>
      </c>
      <c r="C149" s="34" t="s">
        <v>176</v>
      </c>
      <c r="D149" s="33" t="s">
        <v>23</v>
      </c>
      <c r="E149" s="38">
        <v>1150238799</v>
      </c>
      <c r="F149" s="35" t="s">
        <v>148</v>
      </c>
      <c r="G149" s="33" t="s">
        <v>218</v>
      </c>
      <c r="I149" s="33"/>
      <c r="J149" s="56"/>
      <c r="K149" s="61">
        <v>300</v>
      </c>
      <c r="L149" s="54">
        <f t="shared" si="6"/>
        <v>1580</v>
      </c>
      <c r="M149" s="33"/>
      <c r="N149" s="33"/>
    </row>
    <row r="150" spans="1:14" ht="15.75" x14ac:dyDescent="0.25">
      <c r="A150" s="37">
        <v>46105</v>
      </c>
      <c r="B150" s="33">
        <v>2026</v>
      </c>
      <c r="C150" s="34" t="s">
        <v>176</v>
      </c>
      <c r="D150" s="33" t="s">
        <v>23</v>
      </c>
      <c r="E150" s="38">
        <v>267011515</v>
      </c>
      <c r="F150" s="35" t="s">
        <v>219</v>
      </c>
      <c r="G150" s="33" t="s">
        <v>210</v>
      </c>
      <c r="I150" s="33"/>
      <c r="K150" s="55">
        <v>135</v>
      </c>
      <c r="L150" s="54">
        <f t="shared" si="6"/>
        <v>1445</v>
      </c>
      <c r="M150" s="59"/>
      <c r="N150" s="33"/>
    </row>
    <row r="151" spans="1:14" ht="15.75" x14ac:dyDescent="0.25">
      <c r="A151" s="37">
        <v>46106</v>
      </c>
      <c r="B151" s="33">
        <v>2026</v>
      </c>
      <c r="C151" s="34" t="s">
        <v>176</v>
      </c>
      <c r="D151" s="33" t="s">
        <v>23</v>
      </c>
      <c r="E151" s="38">
        <v>3050325525</v>
      </c>
      <c r="F151" s="35" t="s">
        <v>117</v>
      </c>
      <c r="G151" s="33" t="s">
        <v>220</v>
      </c>
      <c r="I151" s="33"/>
      <c r="K151" s="55">
        <v>217</v>
      </c>
      <c r="L151" s="54">
        <f t="shared" si="6"/>
        <v>1228</v>
      </c>
      <c r="M151" s="59"/>
      <c r="N151" s="33"/>
    </row>
    <row r="152" spans="1:14" ht="15.75" x14ac:dyDescent="0.25">
      <c r="A152" s="37">
        <v>46107</v>
      </c>
      <c r="B152" s="33">
        <v>2026</v>
      </c>
      <c r="C152" s="34" t="s">
        <v>176</v>
      </c>
      <c r="D152" s="33" t="s">
        <v>23</v>
      </c>
      <c r="E152" s="38">
        <v>1870874385</v>
      </c>
      <c r="F152" s="35" t="s">
        <v>27</v>
      </c>
      <c r="G152" s="33" t="s">
        <v>221</v>
      </c>
      <c r="I152" s="33"/>
      <c r="K152" s="55">
        <v>840</v>
      </c>
      <c r="L152" s="54">
        <f t="shared" si="6"/>
        <v>388</v>
      </c>
      <c r="M152" s="59"/>
      <c r="N152" s="33"/>
    </row>
    <row r="153" spans="1:14" ht="15.75" x14ac:dyDescent="0.25">
      <c r="A153" s="37">
        <v>46107</v>
      </c>
      <c r="B153" s="33">
        <v>2026</v>
      </c>
      <c r="C153" s="34" t="s">
        <v>176</v>
      </c>
      <c r="D153" s="33" t="s">
        <v>23</v>
      </c>
      <c r="E153" s="38">
        <v>3825093584</v>
      </c>
      <c r="F153" s="35" t="s">
        <v>125</v>
      </c>
      <c r="G153" s="33" t="s">
        <v>222</v>
      </c>
      <c r="I153" s="33"/>
      <c r="K153" s="55">
        <v>345</v>
      </c>
      <c r="L153" s="54">
        <f>L152+J153-K153</f>
        <v>43</v>
      </c>
      <c r="M153" s="59"/>
      <c r="N153" s="33"/>
    </row>
    <row r="154" spans="1:14" ht="15.75" x14ac:dyDescent="0.25">
      <c r="A154" s="37">
        <v>46111</v>
      </c>
      <c r="B154" s="33">
        <v>2026</v>
      </c>
      <c r="C154" s="34" t="s">
        <v>176</v>
      </c>
      <c r="D154" s="33" t="s">
        <v>76</v>
      </c>
      <c r="E154" s="38">
        <v>682</v>
      </c>
      <c r="F154" s="35" t="s">
        <v>110</v>
      </c>
      <c r="G154" s="33" t="s">
        <v>156</v>
      </c>
      <c r="I154" s="33"/>
      <c r="J154" s="56">
        <v>1957</v>
      </c>
      <c r="L154" s="54">
        <f>SUM(J154,L153)</f>
        <v>2000</v>
      </c>
      <c r="M154" s="59"/>
      <c r="N154" s="33"/>
    </row>
    <row r="155" spans="1:14" ht="15.75" x14ac:dyDescent="0.25">
      <c r="A155" s="37">
        <v>46111</v>
      </c>
      <c r="B155" s="33">
        <v>2026</v>
      </c>
      <c r="C155" s="34" t="s">
        <v>176</v>
      </c>
      <c r="D155" s="33" t="s">
        <v>23</v>
      </c>
      <c r="E155" s="38">
        <v>1894795516</v>
      </c>
      <c r="F155" s="35" t="s">
        <v>78</v>
      </c>
      <c r="G155" s="33" t="s">
        <v>223</v>
      </c>
      <c r="I155" s="33"/>
      <c r="K155" s="55">
        <v>480</v>
      </c>
      <c r="L155" s="54">
        <f>L154+J155-K155</f>
        <v>1520</v>
      </c>
      <c r="M155" s="59"/>
      <c r="N155" s="33"/>
    </row>
    <row r="156" spans="1:14" ht="15.75" x14ac:dyDescent="0.25">
      <c r="A156" s="37">
        <v>46111</v>
      </c>
      <c r="B156" s="33">
        <v>2026</v>
      </c>
      <c r="C156" s="34" t="s">
        <v>176</v>
      </c>
      <c r="D156" s="33" t="s">
        <v>23</v>
      </c>
      <c r="E156" s="38">
        <v>4154671844</v>
      </c>
      <c r="F156" s="35" t="s">
        <v>224</v>
      </c>
      <c r="G156" s="33" t="s">
        <v>225</v>
      </c>
      <c r="I156" s="33"/>
      <c r="K156" s="55">
        <v>500</v>
      </c>
      <c r="L156" s="54">
        <f>L155+J156-K156</f>
        <v>1020</v>
      </c>
      <c r="N156" s="33"/>
    </row>
    <row r="157" spans="1:14" ht="15.75" x14ac:dyDescent="0.25">
      <c r="A157" s="37">
        <v>46112</v>
      </c>
      <c r="B157" s="33">
        <v>2026</v>
      </c>
      <c r="C157" s="34" t="s">
        <v>176</v>
      </c>
      <c r="D157" s="33" t="s">
        <v>23</v>
      </c>
      <c r="E157" s="38">
        <v>3019260778</v>
      </c>
      <c r="F157" s="35" t="s">
        <v>226</v>
      </c>
      <c r="G157" s="33" t="s">
        <v>227</v>
      </c>
      <c r="I157" s="33"/>
      <c r="K157" s="55">
        <v>500</v>
      </c>
      <c r="L157" s="54">
        <f>L156+J157-K157</f>
        <v>520</v>
      </c>
      <c r="M157" s="59"/>
      <c r="N157" s="33"/>
    </row>
    <row r="158" spans="1:14" ht="15.75" x14ac:dyDescent="0.25">
      <c r="A158" s="37">
        <v>46112</v>
      </c>
      <c r="B158" s="33">
        <v>2026</v>
      </c>
      <c r="C158" s="34" t="s">
        <v>176</v>
      </c>
      <c r="D158" s="33" t="s">
        <v>76</v>
      </c>
      <c r="E158" s="38">
        <v>694</v>
      </c>
      <c r="F158" s="35" t="s">
        <v>228</v>
      </c>
      <c r="G158" s="33" t="s">
        <v>156</v>
      </c>
      <c r="I158" s="33"/>
      <c r="J158" s="56">
        <v>1480</v>
      </c>
      <c r="L158" s="54">
        <f>L157+J158-K158</f>
        <v>2000</v>
      </c>
      <c r="M158" s="59"/>
      <c r="N158" s="33"/>
    </row>
    <row r="159" spans="1:14" ht="15.75" x14ac:dyDescent="0.25">
      <c r="B159" s="33"/>
      <c r="C159" s="34"/>
      <c r="F159" s="35" t="s">
        <v>212</v>
      </c>
      <c r="I159" s="33"/>
      <c r="J159" s="56">
        <f>SUM(J123:J158)</f>
        <v>6985</v>
      </c>
      <c r="K159" s="62">
        <f>SUM(K123:K158)</f>
        <v>6985</v>
      </c>
      <c r="L159" s="54">
        <f>SUM(J158,L157)</f>
        <v>2000</v>
      </c>
      <c r="M159" s="33"/>
      <c r="N159" s="33"/>
    </row>
    <row r="160" spans="1:14" ht="15.75" x14ac:dyDescent="0.25">
      <c r="B160" s="33"/>
      <c r="C160" s="34"/>
      <c r="F160" s="35"/>
      <c r="I160" s="33"/>
      <c r="K160" s="62"/>
      <c r="M160" s="33"/>
      <c r="N160" s="33"/>
    </row>
    <row r="161" spans="1:22" s="50" customFormat="1" ht="15.75" x14ac:dyDescent="0.25">
      <c r="A161" s="49"/>
      <c r="C161" s="51"/>
      <c r="E161" s="52"/>
      <c r="F161" s="60" t="s">
        <v>190</v>
      </c>
      <c r="J161" s="56"/>
      <c r="K161" s="62"/>
      <c r="L161" s="54"/>
    </row>
    <row r="162" spans="1:22" ht="15.75" x14ac:dyDescent="0.25">
      <c r="B162" s="33"/>
      <c r="C162" s="34"/>
      <c r="F162" t="s">
        <v>196</v>
      </c>
      <c r="G162" s="59"/>
      <c r="I162" s="33"/>
      <c r="K162" s="61">
        <f>SUM(K151)</f>
        <v>217</v>
      </c>
      <c r="M162" s="33"/>
      <c r="N162" s="33"/>
    </row>
    <row r="163" spans="1:22" ht="15.75" x14ac:dyDescent="0.25">
      <c r="B163" s="33"/>
      <c r="C163" s="34"/>
      <c r="F163" t="s">
        <v>192</v>
      </c>
      <c r="G163" s="59"/>
      <c r="I163" s="33"/>
      <c r="K163" s="61">
        <f>SUM(K155)</f>
        <v>480</v>
      </c>
      <c r="M163" s="33"/>
      <c r="N163" s="33"/>
    </row>
    <row r="164" spans="1:22" ht="15.75" x14ac:dyDescent="0.25">
      <c r="B164" s="33"/>
      <c r="C164" s="34"/>
      <c r="F164" t="s">
        <v>193</v>
      </c>
      <c r="G164" s="59"/>
      <c r="I164" s="33"/>
      <c r="K164" s="61">
        <f>SUM(K134,K135,K136,K138,K140,K141,K143,K144,K150)</f>
        <v>515</v>
      </c>
      <c r="L164" s="61"/>
      <c r="M164" s="33"/>
      <c r="N164" s="33"/>
    </row>
    <row r="165" spans="1:22" ht="15.75" x14ac:dyDescent="0.25">
      <c r="B165" s="33"/>
      <c r="C165" s="34"/>
      <c r="F165" t="s">
        <v>200</v>
      </c>
      <c r="G165" s="59"/>
      <c r="I165" s="33"/>
      <c r="K165" s="61"/>
      <c r="M165" s="33"/>
      <c r="N165" s="33"/>
    </row>
    <row r="166" spans="1:22" ht="15.75" x14ac:dyDescent="0.25">
      <c r="B166" s="33"/>
      <c r="C166" s="34"/>
      <c r="F166" t="s">
        <v>194</v>
      </c>
      <c r="G166" s="59"/>
      <c r="I166" s="33"/>
      <c r="K166" s="61">
        <f>SUM(K124,K125,K145,K147,K148)</f>
        <v>1565</v>
      </c>
      <c r="M166" s="33"/>
      <c r="N166" s="33"/>
    </row>
    <row r="167" spans="1:22" ht="15.75" x14ac:dyDescent="0.25">
      <c r="B167" s="33"/>
      <c r="C167" s="34"/>
      <c r="F167" t="s">
        <v>188</v>
      </c>
      <c r="G167" s="59"/>
      <c r="I167" s="33"/>
      <c r="K167" s="61">
        <f>SUM(K123,K149,K153,K156)</f>
        <v>1474</v>
      </c>
      <c r="M167" s="33"/>
      <c r="N167" s="33"/>
    </row>
    <row r="168" spans="1:22" ht="15.75" x14ac:dyDescent="0.25">
      <c r="B168" s="33"/>
      <c r="C168" s="34"/>
      <c r="F168" t="s">
        <v>195</v>
      </c>
      <c r="G168" s="55"/>
      <c r="I168" s="33"/>
      <c r="K168" s="63">
        <f>SUM(K152)</f>
        <v>840</v>
      </c>
      <c r="M168" s="34"/>
      <c r="N168" s="33"/>
      <c r="O168" s="38"/>
      <c r="P168" s="35"/>
      <c r="T168" s="39"/>
      <c r="U168" s="39"/>
      <c r="V168" s="36"/>
    </row>
    <row r="169" spans="1:22" ht="15.75" x14ac:dyDescent="0.25">
      <c r="B169" s="33"/>
      <c r="C169" s="34"/>
      <c r="F169" t="s">
        <v>189</v>
      </c>
      <c r="G169" s="59"/>
      <c r="I169" s="33"/>
      <c r="K169" s="63">
        <f>SUM(K139)</f>
        <v>634</v>
      </c>
      <c r="M169" s="34"/>
      <c r="N169" s="33"/>
      <c r="O169" s="38"/>
      <c r="P169" s="35"/>
      <c r="T169" s="39"/>
      <c r="U169" s="39"/>
      <c r="V169" s="36"/>
    </row>
    <row r="170" spans="1:22" ht="15.75" x14ac:dyDescent="0.25">
      <c r="B170" s="33"/>
      <c r="C170" s="34"/>
      <c r="F170" s="35" t="s">
        <v>191</v>
      </c>
      <c r="G170" s="59"/>
      <c r="I170" s="33"/>
      <c r="K170" s="61">
        <f>SUM(K157)</f>
        <v>500</v>
      </c>
      <c r="M170" s="33"/>
      <c r="N170" s="33"/>
    </row>
    <row r="171" spans="1:22" ht="15.75" x14ac:dyDescent="0.25">
      <c r="B171" s="33"/>
      <c r="C171" s="34"/>
      <c r="F171" s="35" t="s">
        <v>202</v>
      </c>
      <c r="G171" s="71"/>
      <c r="H171" s="108"/>
      <c r="I171" s="109"/>
      <c r="J171" s="109"/>
      <c r="K171" s="61">
        <f>SUM(K126,K127,K128,K129,K130,K131,K132,K133,K142)</f>
        <v>760</v>
      </c>
      <c r="M171" s="33"/>
      <c r="N171" s="33"/>
    </row>
    <row r="172" spans="1:22" ht="15.75" x14ac:dyDescent="0.25">
      <c r="B172" s="33"/>
      <c r="C172" s="34"/>
      <c r="F172" s="35" t="s">
        <v>201</v>
      </c>
      <c r="H172" s="109"/>
      <c r="I172" s="109"/>
      <c r="J172" s="109"/>
      <c r="M172" s="33"/>
      <c r="N172" s="33"/>
    </row>
    <row r="173" spans="1:22" ht="15.75" x14ac:dyDescent="0.25">
      <c r="B173" s="33"/>
      <c r="C173" s="34"/>
      <c r="F173" s="35" t="s">
        <v>203</v>
      </c>
      <c r="H173" s="109"/>
      <c r="I173" s="109"/>
      <c r="J173" s="109"/>
      <c r="K173" s="61"/>
      <c r="L173" s="54">
        <f>SUM(K162:K172)</f>
        <v>6985</v>
      </c>
      <c r="M173" s="59">
        <f>L173-K159</f>
        <v>0</v>
      </c>
      <c r="N173" s="72">
        <f>L173-K159</f>
        <v>0</v>
      </c>
    </row>
    <row r="174" spans="1:22" ht="15.75" x14ac:dyDescent="0.25">
      <c r="B174" s="33"/>
      <c r="C174" s="34"/>
      <c r="F174" s="53" t="s">
        <v>213</v>
      </c>
      <c r="I174" s="33"/>
      <c r="M174" s="33"/>
      <c r="N174" s="33"/>
    </row>
    <row r="175" spans="1:22" ht="17.25" x14ac:dyDescent="0.25">
      <c r="B175" s="33"/>
      <c r="C175" s="34"/>
      <c r="F175" s="48"/>
      <c r="I175" s="33"/>
      <c r="M175" s="33"/>
      <c r="N175" s="33"/>
    </row>
    <row r="176" spans="1:22" ht="15.75" x14ac:dyDescent="0.25">
      <c r="B176" s="33"/>
      <c r="C176" s="34"/>
      <c r="F176" s="35"/>
      <c r="I176" s="33"/>
      <c r="M176" s="33"/>
      <c r="N176" s="33"/>
    </row>
    <row r="177" spans="1:14" ht="15.75" x14ac:dyDescent="0.25">
      <c r="B177" s="33"/>
      <c r="C177" s="34"/>
      <c r="F177" s="35"/>
      <c r="I177" s="33"/>
      <c r="M177" s="33"/>
      <c r="N177" s="33"/>
    </row>
    <row r="178" spans="1:14" ht="17.25" x14ac:dyDescent="0.25">
      <c r="B178" s="33"/>
      <c r="C178" s="34"/>
      <c r="F178" s="48" t="s">
        <v>229</v>
      </c>
      <c r="I178" s="33"/>
      <c r="L178" s="54">
        <f>(L122)</f>
        <v>2000</v>
      </c>
      <c r="M178" s="33"/>
      <c r="N178" s="33"/>
    </row>
    <row r="179" spans="1:14" ht="15.75" x14ac:dyDescent="0.25">
      <c r="A179" s="37">
        <v>46119</v>
      </c>
      <c r="B179" s="33">
        <v>2026</v>
      </c>
      <c r="C179" s="34" t="s">
        <v>230</v>
      </c>
      <c r="D179" s="33" t="s">
        <v>23</v>
      </c>
      <c r="E179" s="38">
        <v>2236826820</v>
      </c>
      <c r="F179" s="35" t="s">
        <v>231</v>
      </c>
      <c r="G179" s="33" t="s">
        <v>270</v>
      </c>
      <c r="I179" s="33"/>
      <c r="K179" s="55">
        <v>840</v>
      </c>
      <c r="L179" s="54">
        <f>L178+J179-K179</f>
        <v>1160</v>
      </c>
      <c r="M179" s="36"/>
      <c r="N179" s="59"/>
    </row>
    <row r="180" spans="1:14" ht="15.75" x14ac:dyDescent="0.25">
      <c r="A180" s="37">
        <v>46120</v>
      </c>
      <c r="B180" s="33">
        <v>2026</v>
      </c>
      <c r="C180" s="34" t="s">
        <v>230</v>
      </c>
      <c r="D180" s="33" t="s">
        <v>23</v>
      </c>
      <c r="E180" s="38">
        <v>1465928037</v>
      </c>
      <c r="F180" s="35" t="s">
        <v>30</v>
      </c>
      <c r="G180" s="33" t="s">
        <v>239</v>
      </c>
      <c r="I180" s="33"/>
      <c r="K180" s="55">
        <v>50</v>
      </c>
      <c r="L180" s="54">
        <f>L179+J180-K180</f>
        <v>1110</v>
      </c>
      <c r="M180" s="33"/>
      <c r="N180" s="59"/>
    </row>
    <row r="181" spans="1:14" ht="15.75" x14ac:dyDescent="0.25">
      <c r="A181" s="37">
        <v>46121</v>
      </c>
      <c r="B181" s="33">
        <v>2026</v>
      </c>
      <c r="C181" s="34" t="s">
        <v>230</v>
      </c>
      <c r="D181" s="33" t="s">
        <v>23</v>
      </c>
      <c r="E181" s="40" t="s">
        <v>234</v>
      </c>
      <c r="F181" s="35" t="s">
        <v>30</v>
      </c>
      <c r="G181" s="33" t="s">
        <v>240</v>
      </c>
      <c r="I181" s="33"/>
      <c r="K181" s="55">
        <v>200</v>
      </c>
      <c r="L181" s="54">
        <f>L180+J181-K181</f>
        <v>910</v>
      </c>
      <c r="M181" s="33"/>
      <c r="N181" s="33"/>
    </row>
    <row r="182" spans="1:14" ht="15.75" x14ac:dyDescent="0.25">
      <c r="A182" s="37">
        <v>46121</v>
      </c>
      <c r="B182" s="40" t="s">
        <v>244</v>
      </c>
      <c r="C182" s="34" t="s">
        <v>230</v>
      </c>
      <c r="D182" s="33" t="s">
        <v>23</v>
      </c>
      <c r="E182" s="40" t="s">
        <v>236</v>
      </c>
      <c r="F182" s="35" t="s">
        <v>237</v>
      </c>
      <c r="G182" s="33" t="s">
        <v>238</v>
      </c>
      <c r="I182" s="33"/>
      <c r="K182" s="55">
        <v>178</v>
      </c>
      <c r="L182" s="54">
        <f>L181+J182-K182</f>
        <v>732</v>
      </c>
      <c r="M182" s="33"/>
      <c r="N182" s="33"/>
    </row>
    <row r="183" spans="1:14" ht="15.75" x14ac:dyDescent="0.25">
      <c r="A183" s="37">
        <v>46125</v>
      </c>
      <c r="B183" s="33">
        <v>2026</v>
      </c>
      <c r="C183" s="34" t="s">
        <v>230</v>
      </c>
      <c r="D183" s="33" t="s">
        <v>252</v>
      </c>
      <c r="E183" s="40" t="s">
        <v>245</v>
      </c>
      <c r="F183" s="53" t="s">
        <v>228</v>
      </c>
      <c r="G183" s="33" t="s">
        <v>235</v>
      </c>
      <c r="I183" s="33"/>
      <c r="J183" s="71">
        <v>1268</v>
      </c>
      <c r="L183" s="54">
        <f t="shared" ref="L183:M196" si="7">L182+J183-K183</f>
        <v>2000</v>
      </c>
      <c r="M183" s="33"/>
      <c r="N183" s="33"/>
    </row>
    <row r="184" spans="1:14" ht="15.75" x14ac:dyDescent="0.25">
      <c r="A184" s="37">
        <v>46123</v>
      </c>
      <c r="B184" s="33">
        <v>2026</v>
      </c>
      <c r="C184" s="34" t="s">
        <v>230</v>
      </c>
      <c r="D184" s="33" t="s">
        <v>147</v>
      </c>
      <c r="E184" s="38">
        <v>1</v>
      </c>
      <c r="F184" s="35" t="s">
        <v>232</v>
      </c>
      <c r="G184" t="s">
        <v>241</v>
      </c>
      <c r="H184"/>
      <c r="I184"/>
      <c r="J184" s="73"/>
      <c r="K184" s="61">
        <v>45</v>
      </c>
      <c r="L184" s="54">
        <f t="shared" si="7"/>
        <v>1955</v>
      </c>
      <c r="M184" s="33"/>
      <c r="N184" s="33"/>
    </row>
    <row r="185" spans="1:14" ht="15.75" x14ac:dyDescent="0.25">
      <c r="A185" s="37">
        <v>46123</v>
      </c>
      <c r="B185" s="33">
        <v>2026</v>
      </c>
      <c r="C185" s="34" t="s">
        <v>230</v>
      </c>
      <c r="D185" s="33" t="s">
        <v>147</v>
      </c>
      <c r="E185" s="38">
        <v>1</v>
      </c>
      <c r="F185" s="35" t="s">
        <v>148</v>
      </c>
      <c r="G185" t="s">
        <v>242</v>
      </c>
      <c r="H185"/>
      <c r="I185"/>
      <c r="J185" s="73"/>
      <c r="K185" s="61">
        <v>45</v>
      </c>
      <c r="L185" s="54">
        <f t="shared" si="7"/>
        <v>1910</v>
      </c>
      <c r="M185" s="33"/>
      <c r="N185" s="33"/>
    </row>
    <row r="186" spans="1:14" ht="15.75" x14ac:dyDescent="0.25">
      <c r="A186" s="37">
        <v>46123</v>
      </c>
      <c r="B186" s="33">
        <v>2026</v>
      </c>
      <c r="C186" s="34" t="s">
        <v>230</v>
      </c>
      <c r="D186" s="33" t="s">
        <v>147</v>
      </c>
      <c r="E186" s="38">
        <v>1</v>
      </c>
      <c r="F186" s="35" t="s">
        <v>233</v>
      </c>
      <c r="G186" t="s">
        <v>241</v>
      </c>
      <c r="H186"/>
      <c r="I186"/>
      <c r="J186" s="73"/>
      <c r="K186" s="61">
        <v>45</v>
      </c>
      <c r="L186" s="54">
        <f t="shared" si="7"/>
        <v>1865</v>
      </c>
      <c r="M186" s="33"/>
      <c r="N186" s="33"/>
    </row>
    <row r="187" spans="1:14" ht="15.75" x14ac:dyDescent="0.25">
      <c r="A187" s="37">
        <v>46123</v>
      </c>
      <c r="B187" s="33">
        <v>2026</v>
      </c>
      <c r="C187" s="34" t="s">
        <v>230</v>
      </c>
      <c r="D187" s="33" t="s">
        <v>147</v>
      </c>
      <c r="E187" s="38">
        <v>1</v>
      </c>
      <c r="F187" s="35" t="s">
        <v>248</v>
      </c>
      <c r="G187" t="s">
        <v>241</v>
      </c>
      <c r="H187"/>
      <c r="I187"/>
      <c r="J187" s="73"/>
      <c r="K187" s="61">
        <v>45</v>
      </c>
      <c r="L187" s="54">
        <f t="shared" si="7"/>
        <v>1820</v>
      </c>
      <c r="M187" s="33"/>
      <c r="N187" s="33"/>
    </row>
    <row r="188" spans="1:14" ht="15.75" x14ac:dyDescent="0.25">
      <c r="A188" s="37">
        <v>46123</v>
      </c>
      <c r="B188" s="33">
        <v>2026</v>
      </c>
      <c r="C188" s="34" t="s">
        <v>230</v>
      </c>
      <c r="D188" s="33" t="s">
        <v>147</v>
      </c>
      <c r="E188" s="38">
        <v>1</v>
      </c>
      <c r="F188" s="35" t="s">
        <v>228</v>
      </c>
      <c r="G188" t="s">
        <v>241</v>
      </c>
      <c r="H188"/>
      <c r="I188"/>
      <c r="J188" s="73"/>
      <c r="K188" s="61">
        <v>45</v>
      </c>
      <c r="L188" s="54">
        <f t="shared" si="7"/>
        <v>1775</v>
      </c>
      <c r="M188" s="33"/>
      <c r="N188" s="33"/>
    </row>
    <row r="189" spans="1:14" ht="15.75" x14ac:dyDescent="0.25">
      <c r="A189" s="37">
        <v>46124</v>
      </c>
      <c r="B189" s="33">
        <v>2026</v>
      </c>
      <c r="C189" s="34" t="s">
        <v>230</v>
      </c>
      <c r="D189" s="33" t="s">
        <v>23</v>
      </c>
      <c r="E189" s="38">
        <v>4086517106</v>
      </c>
      <c r="F189" s="35" t="s">
        <v>250</v>
      </c>
      <c r="G189" s="33" t="s">
        <v>249</v>
      </c>
      <c r="I189" s="33"/>
      <c r="K189" s="55">
        <v>345</v>
      </c>
      <c r="L189" s="54">
        <f t="shared" si="7"/>
        <v>1430</v>
      </c>
      <c r="M189" s="33"/>
      <c r="N189" s="33"/>
    </row>
    <row r="190" spans="1:14" ht="15.75" x14ac:dyDescent="0.25">
      <c r="A190" s="37">
        <v>46125</v>
      </c>
      <c r="B190" s="33">
        <v>2026</v>
      </c>
      <c r="C190" s="34" t="s">
        <v>230</v>
      </c>
      <c r="D190" s="33" t="s">
        <v>23</v>
      </c>
      <c r="E190" s="38">
        <v>2618467587</v>
      </c>
      <c r="F190" s="35" t="s">
        <v>30</v>
      </c>
      <c r="G190" s="33" t="s">
        <v>243</v>
      </c>
      <c r="I190" s="33"/>
      <c r="K190" s="55">
        <v>30</v>
      </c>
      <c r="L190" s="54">
        <f t="shared" si="7"/>
        <v>1400</v>
      </c>
      <c r="M190" s="33"/>
      <c r="N190" s="59"/>
    </row>
    <row r="191" spans="1:14" ht="15.75" x14ac:dyDescent="0.25">
      <c r="A191" s="37">
        <v>46129</v>
      </c>
      <c r="B191" s="33">
        <v>2026</v>
      </c>
      <c r="C191" s="34" t="s">
        <v>230</v>
      </c>
      <c r="D191" s="33" t="s">
        <v>23</v>
      </c>
      <c r="E191" s="38">
        <v>38581877758</v>
      </c>
      <c r="F191" s="35" t="s">
        <v>30</v>
      </c>
      <c r="G191" s="33" t="s">
        <v>289</v>
      </c>
      <c r="I191" s="33"/>
      <c r="K191" s="55">
        <v>55</v>
      </c>
      <c r="L191" s="54">
        <f t="shared" si="7"/>
        <v>1345</v>
      </c>
      <c r="M191" s="33"/>
      <c r="N191" s="33"/>
    </row>
    <row r="192" spans="1:14" ht="15.75" x14ac:dyDescent="0.25">
      <c r="A192" s="37">
        <v>46129</v>
      </c>
      <c r="B192" s="33">
        <v>2026</v>
      </c>
      <c r="C192" s="34" t="s">
        <v>230</v>
      </c>
      <c r="D192" s="33" t="s">
        <v>23</v>
      </c>
      <c r="E192" s="38">
        <v>1593199308</v>
      </c>
      <c r="F192" s="35" t="s">
        <v>30</v>
      </c>
      <c r="G192" s="33" t="s">
        <v>246</v>
      </c>
      <c r="I192" s="33"/>
      <c r="K192" s="55">
        <v>50</v>
      </c>
      <c r="L192" s="54">
        <f t="shared" si="7"/>
        <v>1295</v>
      </c>
      <c r="M192" s="33"/>
      <c r="N192" s="33"/>
    </row>
    <row r="193" spans="1:14" ht="15.75" x14ac:dyDescent="0.25">
      <c r="A193" s="37">
        <v>46129</v>
      </c>
      <c r="B193" s="33">
        <v>2026</v>
      </c>
      <c r="C193" s="34" t="s">
        <v>230</v>
      </c>
      <c r="D193" s="33" t="s">
        <v>23</v>
      </c>
      <c r="E193" s="38">
        <v>2117880037</v>
      </c>
      <c r="F193" s="35" t="s">
        <v>30</v>
      </c>
      <c r="G193" s="33" t="s">
        <v>247</v>
      </c>
      <c r="I193" s="33"/>
      <c r="K193" s="55">
        <v>35</v>
      </c>
      <c r="L193" s="54">
        <f t="shared" si="7"/>
        <v>1260</v>
      </c>
      <c r="M193" s="54">
        <f t="shared" si="7"/>
        <v>-1225</v>
      </c>
      <c r="N193" s="33"/>
    </row>
    <row r="194" spans="1:14" ht="15.75" x14ac:dyDescent="0.25">
      <c r="A194" s="37">
        <v>46133</v>
      </c>
      <c r="B194" s="33">
        <v>2026</v>
      </c>
      <c r="C194" s="34" t="s">
        <v>230</v>
      </c>
      <c r="D194" s="33" t="s">
        <v>23</v>
      </c>
      <c r="E194" s="38">
        <v>2301903553</v>
      </c>
      <c r="F194" s="35" t="s">
        <v>30</v>
      </c>
      <c r="G194" s="33" t="s">
        <v>255</v>
      </c>
      <c r="I194" s="33"/>
      <c r="K194" s="55">
        <v>435</v>
      </c>
      <c r="L194" s="54">
        <f t="shared" si="7"/>
        <v>825</v>
      </c>
      <c r="M194" s="54"/>
      <c r="N194" s="33"/>
    </row>
    <row r="195" spans="1:14" s="65" customFormat="1" ht="15.75" x14ac:dyDescent="0.25">
      <c r="A195" s="64">
        <v>46134</v>
      </c>
      <c r="B195" s="65">
        <v>2026</v>
      </c>
      <c r="C195" s="66" t="s">
        <v>230</v>
      </c>
      <c r="D195" s="65" t="s">
        <v>23</v>
      </c>
      <c r="E195" s="67">
        <v>2808432984</v>
      </c>
      <c r="F195" s="68" t="s">
        <v>79</v>
      </c>
      <c r="G195" s="65" t="s">
        <v>254</v>
      </c>
      <c r="J195" s="69"/>
      <c r="K195" s="69">
        <v>400</v>
      </c>
      <c r="L195" s="70">
        <f t="shared" si="7"/>
        <v>425</v>
      </c>
      <c r="M195" s="70"/>
    </row>
    <row r="196" spans="1:14" ht="15.75" x14ac:dyDescent="0.25">
      <c r="A196" s="37">
        <v>46134</v>
      </c>
      <c r="B196" s="33">
        <v>2026</v>
      </c>
      <c r="C196" s="34" t="s">
        <v>230</v>
      </c>
      <c r="D196" s="33" t="s">
        <v>76</v>
      </c>
      <c r="E196" s="38">
        <v>395</v>
      </c>
      <c r="F196" s="35" t="s">
        <v>251</v>
      </c>
      <c r="G196" s="33" t="s">
        <v>253</v>
      </c>
      <c r="I196" s="33"/>
      <c r="K196" s="55">
        <v>20</v>
      </c>
      <c r="L196" s="54">
        <f t="shared" si="7"/>
        <v>405</v>
      </c>
      <c r="M196" s="33"/>
      <c r="N196" s="33"/>
    </row>
    <row r="197" spans="1:14" ht="15.75" x14ac:dyDescent="0.25">
      <c r="A197" s="37">
        <v>46134</v>
      </c>
      <c r="B197" s="33">
        <v>2026</v>
      </c>
      <c r="C197" s="34" t="s">
        <v>230</v>
      </c>
      <c r="D197" s="33" t="s">
        <v>23</v>
      </c>
      <c r="E197" s="38">
        <v>21509976346</v>
      </c>
      <c r="F197" s="35" t="s">
        <v>79</v>
      </c>
      <c r="G197" s="33" t="s">
        <v>256</v>
      </c>
      <c r="I197" s="33"/>
      <c r="K197" s="55">
        <v>100</v>
      </c>
      <c r="L197" s="54">
        <f>L196+J197-K197</f>
        <v>305</v>
      </c>
      <c r="M197" s="33"/>
      <c r="N197" s="33"/>
    </row>
    <row r="198" spans="1:14" ht="15.75" x14ac:dyDescent="0.25">
      <c r="A198" s="37">
        <v>46136</v>
      </c>
      <c r="B198" s="33">
        <v>2026</v>
      </c>
      <c r="C198" s="34" t="s">
        <v>230</v>
      </c>
      <c r="D198" s="33" t="s">
        <v>257</v>
      </c>
      <c r="E198" s="38">
        <v>3236</v>
      </c>
      <c r="F198" s="53" t="s">
        <v>228</v>
      </c>
      <c r="G198" s="33" t="s">
        <v>235</v>
      </c>
      <c r="I198" s="33"/>
      <c r="J198" s="56">
        <f>SUM(K184:K197)</f>
        <v>1695</v>
      </c>
      <c r="K198" s="56"/>
      <c r="L198" s="54">
        <f>SUM(J198+L197)</f>
        <v>2000</v>
      </c>
      <c r="M198" s="33"/>
      <c r="N198" s="33"/>
    </row>
    <row r="199" spans="1:14" ht="15.75" x14ac:dyDescent="0.25">
      <c r="A199" s="37">
        <v>46137</v>
      </c>
      <c r="B199" s="33">
        <v>2026</v>
      </c>
      <c r="C199" s="34" t="s">
        <v>230</v>
      </c>
      <c r="D199" s="33" t="s">
        <v>257</v>
      </c>
      <c r="E199" s="38">
        <v>3237</v>
      </c>
      <c r="F199" s="53" t="s">
        <v>228</v>
      </c>
      <c r="G199" s="33" t="s">
        <v>235</v>
      </c>
      <c r="I199" s="33"/>
      <c r="J199" s="56">
        <v>1000</v>
      </c>
      <c r="K199" s="56"/>
      <c r="L199" s="54">
        <f>SUM(J199+L198)</f>
        <v>3000</v>
      </c>
      <c r="M199" s="33"/>
      <c r="N199" s="33"/>
    </row>
    <row r="200" spans="1:14" ht="15.75" x14ac:dyDescent="0.25">
      <c r="A200" s="37">
        <v>46137</v>
      </c>
      <c r="B200" s="33">
        <v>2026</v>
      </c>
      <c r="C200" s="34" t="s">
        <v>230</v>
      </c>
      <c r="D200" s="33" t="s">
        <v>23</v>
      </c>
      <c r="E200" s="38">
        <v>159204384</v>
      </c>
      <c r="F200" s="35" t="s">
        <v>114</v>
      </c>
      <c r="G200" s="33" t="s">
        <v>260</v>
      </c>
      <c r="I200" s="33"/>
      <c r="J200" s="56"/>
      <c r="K200" s="55">
        <v>300</v>
      </c>
      <c r="L200" s="54">
        <f>SUM(J200+L199-K200)</f>
        <v>2700</v>
      </c>
      <c r="M200" s="33"/>
      <c r="N200" s="33"/>
    </row>
    <row r="201" spans="1:14" ht="15.75" x14ac:dyDescent="0.25">
      <c r="A201" s="37">
        <v>46137</v>
      </c>
      <c r="B201" s="33">
        <v>2026</v>
      </c>
      <c r="C201" s="34" t="s">
        <v>230</v>
      </c>
      <c r="D201" s="33" t="s">
        <v>23</v>
      </c>
      <c r="E201" s="38">
        <v>1383811937</v>
      </c>
      <c r="F201" s="35" t="s">
        <v>258</v>
      </c>
      <c r="G201" s="33" t="s">
        <v>264</v>
      </c>
      <c r="I201" s="33"/>
      <c r="J201" s="56"/>
      <c r="K201" s="55">
        <v>15</v>
      </c>
      <c r="L201" s="54">
        <f>SUM(J201+L200-K201)</f>
        <v>2685</v>
      </c>
      <c r="M201" s="33"/>
      <c r="N201" s="33"/>
    </row>
    <row r="202" spans="1:14" ht="15.75" x14ac:dyDescent="0.25">
      <c r="A202" s="37">
        <v>46139</v>
      </c>
      <c r="B202" s="33">
        <v>2026</v>
      </c>
      <c r="C202" s="34" t="s">
        <v>230</v>
      </c>
      <c r="D202" s="33" t="s">
        <v>23</v>
      </c>
      <c r="E202" s="38">
        <v>1441219398</v>
      </c>
      <c r="F202" s="35" t="s">
        <v>259</v>
      </c>
      <c r="G202" s="33" t="s">
        <v>267</v>
      </c>
      <c r="I202" s="33"/>
      <c r="J202" s="56"/>
      <c r="K202" s="55">
        <v>77</v>
      </c>
      <c r="L202" s="54">
        <f>SUM(J202+L201-K202)</f>
        <v>2608</v>
      </c>
      <c r="M202" s="33"/>
      <c r="N202" s="33"/>
    </row>
    <row r="203" spans="1:14" ht="15.75" x14ac:dyDescent="0.25">
      <c r="A203" s="37">
        <v>46139</v>
      </c>
      <c r="B203" s="33">
        <v>2026</v>
      </c>
      <c r="C203" s="34" t="s">
        <v>265</v>
      </c>
      <c r="D203" s="33" t="s">
        <v>23</v>
      </c>
      <c r="E203" s="38">
        <v>1441219398</v>
      </c>
      <c r="F203" s="35" t="s">
        <v>259</v>
      </c>
      <c r="G203" s="33" t="s">
        <v>266</v>
      </c>
      <c r="I203" s="33"/>
      <c r="J203" s="56"/>
      <c r="K203" s="55">
        <v>100</v>
      </c>
      <c r="L203" s="54">
        <f>SUM(J203+L202-K203)</f>
        <v>2508</v>
      </c>
      <c r="M203" s="33"/>
      <c r="N203" s="33"/>
    </row>
    <row r="204" spans="1:14" ht="15.75" x14ac:dyDescent="0.25">
      <c r="A204" s="37">
        <v>46139</v>
      </c>
      <c r="B204" s="33">
        <v>2026</v>
      </c>
      <c r="C204" s="34" t="s">
        <v>230</v>
      </c>
      <c r="D204" s="33" t="s">
        <v>23</v>
      </c>
      <c r="E204" s="38">
        <v>1805602312</v>
      </c>
      <c r="F204" s="35" t="s">
        <v>30</v>
      </c>
      <c r="G204" s="33" t="s">
        <v>261</v>
      </c>
      <c r="I204" s="33"/>
      <c r="J204" s="56"/>
      <c r="K204" s="55">
        <v>250</v>
      </c>
      <c r="L204" s="54">
        <f>SUM(J204+L203-K204)</f>
        <v>2258</v>
      </c>
      <c r="M204" s="33"/>
      <c r="N204" s="33"/>
    </row>
    <row r="205" spans="1:14" ht="15.75" x14ac:dyDescent="0.25">
      <c r="A205" s="37">
        <v>46140</v>
      </c>
      <c r="B205" s="33">
        <v>2026</v>
      </c>
      <c r="C205" s="34" t="s">
        <v>230</v>
      </c>
      <c r="D205" s="33" t="s">
        <v>23</v>
      </c>
      <c r="E205" s="38">
        <v>2067154897</v>
      </c>
      <c r="F205" s="35" t="s">
        <v>30</v>
      </c>
      <c r="G205" s="33" t="s">
        <v>262</v>
      </c>
      <c r="I205" s="33"/>
      <c r="J205" s="56"/>
      <c r="K205" s="55">
        <v>50</v>
      </c>
      <c r="L205" s="54">
        <f t="shared" ref="L205" si="8">SUM(J205+L204-K205)</f>
        <v>2208</v>
      </c>
      <c r="M205" s="33"/>
      <c r="N205" s="33"/>
    </row>
    <row r="206" spans="1:14" ht="15.75" x14ac:dyDescent="0.25">
      <c r="A206" s="37">
        <v>46140</v>
      </c>
      <c r="B206" s="33">
        <v>2026</v>
      </c>
      <c r="C206" s="34" t="s">
        <v>230</v>
      </c>
      <c r="D206" s="33" t="s">
        <v>23</v>
      </c>
      <c r="E206" s="38">
        <v>11303117812</v>
      </c>
      <c r="F206" s="35" t="s">
        <v>30</v>
      </c>
      <c r="G206" s="33" t="s">
        <v>263</v>
      </c>
      <c r="I206" s="33"/>
      <c r="J206" s="56"/>
      <c r="K206" s="55">
        <v>50</v>
      </c>
      <c r="L206" s="54">
        <f>SUM(J206+L205-K206)</f>
        <v>2158</v>
      </c>
      <c r="M206" s="33"/>
      <c r="N206" s="33"/>
    </row>
    <row r="207" spans="1:14" ht="15.75" x14ac:dyDescent="0.25">
      <c r="A207" s="37">
        <v>46142</v>
      </c>
      <c r="B207" s="33">
        <v>2026</v>
      </c>
      <c r="C207" s="34" t="s">
        <v>230</v>
      </c>
      <c r="D207" s="33" t="s">
        <v>23</v>
      </c>
      <c r="E207" s="38">
        <v>921520988</v>
      </c>
      <c r="F207" s="35" t="s">
        <v>224</v>
      </c>
      <c r="G207" s="33" t="s">
        <v>268</v>
      </c>
      <c r="I207" s="33"/>
      <c r="J207" s="56"/>
      <c r="K207" s="55">
        <v>350</v>
      </c>
      <c r="L207" s="54">
        <f>SUM(J207+L206-K207)</f>
        <v>1808</v>
      </c>
      <c r="M207" s="33"/>
      <c r="N207" s="33"/>
    </row>
    <row r="208" spans="1:14" ht="15.75" x14ac:dyDescent="0.25">
      <c r="A208" s="37">
        <v>46141</v>
      </c>
      <c r="B208" s="33">
        <v>2026</v>
      </c>
      <c r="C208" s="34" t="s">
        <v>230</v>
      </c>
      <c r="D208" s="33" t="s">
        <v>269</v>
      </c>
      <c r="E208" s="38">
        <v>3241</v>
      </c>
      <c r="F208" s="53" t="s">
        <v>228</v>
      </c>
      <c r="G208" s="33" t="s">
        <v>235</v>
      </c>
      <c r="I208" s="33"/>
      <c r="J208" s="56">
        <f>SUM(K200:K207)</f>
        <v>1192</v>
      </c>
      <c r="K208" s="56"/>
      <c r="L208" s="54">
        <f>L207-K208+J208</f>
        <v>3000</v>
      </c>
      <c r="M208" s="33"/>
      <c r="N208" s="33"/>
    </row>
    <row r="209" spans="2:14" ht="15.75" x14ac:dyDescent="0.25">
      <c r="B209" s="33"/>
      <c r="C209" s="34"/>
      <c r="F209" s="35" t="s">
        <v>212</v>
      </c>
      <c r="I209" s="33"/>
      <c r="J209" s="56">
        <f>SUM(J179:J208)</f>
        <v>5155</v>
      </c>
      <c r="K209" s="56">
        <f>SUM(K179:K208)</f>
        <v>4155</v>
      </c>
      <c r="M209" s="33"/>
      <c r="N209" s="59"/>
    </row>
    <row r="210" spans="2:14" ht="15.75" x14ac:dyDescent="0.25">
      <c r="B210" s="33"/>
      <c r="C210" s="34"/>
      <c r="F210" s="35"/>
      <c r="I210" s="33"/>
      <c r="M210" s="33"/>
      <c r="N210" s="33"/>
    </row>
    <row r="211" spans="2:14" ht="15.75" x14ac:dyDescent="0.25">
      <c r="B211" s="33"/>
      <c r="C211" s="34"/>
      <c r="F211" s="60" t="s">
        <v>190</v>
      </c>
      <c r="I211" s="33"/>
      <c r="M211" s="33"/>
      <c r="N211" s="33"/>
    </row>
    <row r="212" spans="2:14" ht="15.75" x14ac:dyDescent="0.25">
      <c r="B212" s="33"/>
      <c r="C212" s="34"/>
      <c r="F212" t="s">
        <v>196</v>
      </c>
      <c r="I212" s="33"/>
      <c r="M212" s="33"/>
      <c r="N212" s="33"/>
    </row>
    <row r="213" spans="2:14" ht="15.75" x14ac:dyDescent="0.25">
      <c r="B213" s="33"/>
      <c r="C213" s="34"/>
      <c r="F213" t="s">
        <v>192</v>
      </c>
      <c r="I213" s="33"/>
      <c r="M213" s="33"/>
      <c r="N213" s="33"/>
    </row>
    <row r="214" spans="2:14" ht="15.75" x14ac:dyDescent="0.25">
      <c r="B214" s="33"/>
      <c r="C214" s="34"/>
      <c r="F214" t="s">
        <v>193</v>
      </c>
      <c r="I214" s="33"/>
      <c r="K214" s="55">
        <f>SUM(K180,K181,K190,K191,K19903,K193,K192,K194,K195,K197,K204,K206,K205)</f>
        <v>1705</v>
      </c>
      <c r="M214" s="33"/>
      <c r="N214" s="33"/>
    </row>
    <row r="215" spans="2:14" ht="15.75" x14ac:dyDescent="0.25">
      <c r="B215" s="33"/>
      <c r="C215" s="34"/>
      <c r="F215" t="s">
        <v>200</v>
      </c>
      <c r="I215" s="33"/>
      <c r="M215" s="33"/>
      <c r="N215" s="33"/>
    </row>
    <row r="216" spans="2:14" ht="15.75" x14ac:dyDescent="0.25">
      <c r="B216" s="33"/>
      <c r="C216" s="34"/>
      <c r="F216" t="s">
        <v>194</v>
      </c>
      <c r="I216" s="33"/>
      <c r="K216" s="55">
        <f>SUM(K203,K184:K188,K200,K202)</f>
        <v>702</v>
      </c>
      <c r="M216" s="33"/>
      <c r="N216" s="33"/>
    </row>
    <row r="217" spans="2:14" ht="15.75" x14ac:dyDescent="0.25">
      <c r="B217" s="33"/>
      <c r="C217" s="34"/>
      <c r="F217" t="s">
        <v>188</v>
      </c>
      <c r="I217" s="33"/>
      <c r="K217" s="55">
        <f>K189+K207</f>
        <v>695</v>
      </c>
      <c r="M217" s="33"/>
      <c r="N217" s="33"/>
    </row>
    <row r="218" spans="2:14" ht="15.75" x14ac:dyDescent="0.25">
      <c r="B218" s="33"/>
      <c r="C218" s="34"/>
      <c r="F218" t="s">
        <v>195</v>
      </c>
      <c r="I218" s="33"/>
      <c r="K218" s="55">
        <f>K179</f>
        <v>840</v>
      </c>
      <c r="M218" s="33"/>
      <c r="N218" s="33"/>
    </row>
    <row r="219" spans="2:14" ht="15.75" x14ac:dyDescent="0.25">
      <c r="B219" s="33"/>
      <c r="C219" s="34"/>
      <c r="F219" t="s">
        <v>189</v>
      </c>
      <c r="I219" s="33"/>
      <c r="K219" s="55">
        <f>SUM(K182)</f>
        <v>178</v>
      </c>
      <c r="M219" s="33"/>
      <c r="N219" s="33"/>
    </row>
    <row r="220" spans="2:14" ht="15.75" x14ac:dyDescent="0.25">
      <c r="B220" s="33"/>
      <c r="C220" s="34"/>
      <c r="F220" s="35" t="s">
        <v>191</v>
      </c>
      <c r="I220" s="33"/>
      <c r="K220" s="55">
        <f>K196+K201</f>
        <v>35</v>
      </c>
      <c r="M220" s="33"/>
      <c r="N220" s="33"/>
    </row>
    <row r="221" spans="2:14" ht="15.75" x14ac:dyDescent="0.25">
      <c r="B221" s="33"/>
      <c r="C221" s="34"/>
      <c r="F221" s="35" t="s">
        <v>202</v>
      </c>
      <c r="I221" s="33"/>
      <c r="M221" s="33"/>
      <c r="N221" s="33"/>
    </row>
    <row r="222" spans="2:14" ht="15.75" x14ac:dyDescent="0.25">
      <c r="B222" s="33"/>
      <c r="C222" s="34"/>
      <c r="F222" s="35" t="s">
        <v>201</v>
      </c>
      <c r="I222" s="33"/>
      <c r="M222" s="33"/>
      <c r="N222" s="33"/>
    </row>
    <row r="223" spans="2:14" ht="15.75" x14ac:dyDescent="0.25">
      <c r="B223" s="33"/>
      <c r="C223" s="34"/>
      <c r="F223" s="35" t="s">
        <v>203</v>
      </c>
      <c r="I223" s="33"/>
      <c r="M223" s="33"/>
      <c r="N223" s="33"/>
    </row>
    <row r="224" spans="2:14" ht="15.75" x14ac:dyDescent="0.25">
      <c r="B224" s="33"/>
      <c r="C224" s="34"/>
      <c r="F224" s="53" t="s">
        <v>271</v>
      </c>
      <c r="G224" s="60"/>
      <c r="I224" s="33"/>
      <c r="L224" s="54">
        <f>SUM(K211:K223)</f>
        <v>4155</v>
      </c>
      <c r="M224" s="33"/>
      <c r="N224" s="59">
        <f>K209-L224</f>
        <v>0</v>
      </c>
    </row>
    <row r="225" spans="1:14" ht="15.75" x14ac:dyDescent="0.25">
      <c r="B225" s="33"/>
      <c r="C225" s="34"/>
      <c r="F225" s="35"/>
      <c r="G225"/>
      <c r="I225" s="33"/>
      <c r="M225" s="33"/>
      <c r="N225" s="33"/>
    </row>
    <row r="226" spans="1:14" ht="15.75" x14ac:dyDescent="0.25">
      <c r="B226" s="33"/>
      <c r="C226" s="34"/>
      <c r="F226" s="35"/>
      <c r="G226"/>
      <c r="I226" s="33"/>
      <c r="M226" s="33"/>
      <c r="N226" s="33"/>
    </row>
    <row r="227" spans="1:14" ht="17.25" x14ac:dyDescent="0.25">
      <c r="B227" s="33"/>
      <c r="C227" s="34"/>
      <c r="F227" s="48"/>
      <c r="G227"/>
      <c r="I227" s="33"/>
      <c r="M227" s="33"/>
      <c r="N227" s="33"/>
    </row>
    <row r="228" spans="1:14" ht="17.25" x14ac:dyDescent="0.25">
      <c r="B228" s="33"/>
      <c r="C228" s="34"/>
      <c r="F228" s="48" t="s">
        <v>280</v>
      </c>
      <c r="G228"/>
      <c r="I228" s="33"/>
      <c r="L228" s="54">
        <f>L208</f>
        <v>3000</v>
      </c>
      <c r="M228" s="33"/>
      <c r="N228" s="33"/>
    </row>
    <row r="229" spans="1:14" ht="15.75" x14ac:dyDescent="0.25">
      <c r="A229" s="37">
        <v>46143</v>
      </c>
      <c r="B229" s="33">
        <v>2026</v>
      </c>
      <c r="C229" s="34" t="s">
        <v>265</v>
      </c>
      <c r="D229" s="33" t="s">
        <v>23</v>
      </c>
      <c r="E229" s="38">
        <v>32782533</v>
      </c>
      <c r="F229" s="74" t="s">
        <v>30</v>
      </c>
      <c r="G229" t="s">
        <v>272</v>
      </c>
      <c r="I229" s="33"/>
      <c r="K229" s="55">
        <v>381</v>
      </c>
      <c r="L229" s="54">
        <f t="shared" ref="L229:L239" si="9">J229+L228-K229</f>
        <v>2619</v>
      </c>
      <c r="M229" s="33"/>
      <c r="N229" s="33"/>
    </row>
    <row r="230" spans="1:14" ht="15.75" x14ac:dyDescent="0.25">
      <c r="A230" s="37">
        <v>46146</v>
      </c>
      <c r="B230" s="33">
        <v>2026</v>
      </c>
      <c r="C230" s="34" t="s">
        <v>265</v>
      </c>
      <c r="D230" s="33" t="s">
        <v>23</v>
      </c>
      <c r="E230" s="38">
        <v>2930855454</v>
      </c>
      <c r="F230" s="35" t="s">
        <v>231</v>
      </c>
      <c r="G230" s="33" t="s">
        <v>270</v>
      </c>
      <c r="I230" s="33"/>
      <c r="K230" s="55">
        <v>840</v>
      </c>
      <c r="L230" s="54">
        <f t="shared" si="9"/>
        <v>1779</v>
      </c>
      <c r="M230" s="33"/>
      <c r="N230" s="33"/>
    </row>
    <row r="231" spans="1:14" ht="15.75" x14ac:dyDescent="0.25">
      <c r="A231" s="37">
        <v>46147</v>
      </c>
      <c r="B231" s="33">
        <v>2026</v>
      </c>
      <c r="C231" s="34" t="s">
        <v>265</v>
      </c>
      <c r="D231" s="33" t="s">
        <v>23</v>
      </c>
      <c r="E231" s="38">
        <v>1845644151</v>
      </c>
      <c r="F231" s="35" t="s">
        <v>30</v>
      </c>
      <c r="G231" t="s">
        <v>272</v>
      </c>
      <c r="I231" s="33"/>
      <c r="K231" s="55">
        <v>85</v>
      </c>
      <c r="L231" s="54">
        <f t="shared" si="9"/>
        <v>1694</v>
      </c>
      <c r="M231" s="33"/>
      <c r="N231" s="59"/>
    </row>
    <row r="232" spans="1:14" ht="15.75" x14ac:dyDescent="0.25">
      <c r="A232" s="37">
        <v>46147</v>
      </c>
      <c r="B232" s="33">
        <v>2026</v>
      </c>
      <c r="C232" s="34" t="s">
        <v>265</v>
      </c>
      <c r="D232" s="33" t="s">
        <v>23</v>
      </c>
      <c r="E232" s="38">
        <v>363677588</v>
      </c>
      <c r="F232" s="35" t="s">
        <v>278</v>
      </c>
      <c r="G232" t="s">
        <v>279</v>
      </c>
      <c r="I232" s="33"/>
      <c r="K232" s="55">
        <v>22</v>
      </c>
      <c r="L232" s="54">
        <f t="shared" si="9"/>
        <v>1672</v>
      </c>
      <c r="M232" s="33"/>
      <c r="N232" s="59"/>
    </row>
    <row r="233" spans="1:14" ht="15.75" x14ac:dyDescent="0.25">
      <c r="A233" s="37">
        <v>46148</v>
      </c>
      <c r="B233" s="33">
        <v>2026</v>
      </c>
      <c r="C233" s="34" t="s">
        <v>265</v>
      </c>
      <c r="D233" s="33" t="s">
        <v>23</v>
      </c>
      <c r="E233" s="38">
        <v>2411938999</v>
      </c>
      <c r="F233" s="35" t="s">
        <v>30</v>
      </c>
      <c r="G233" t="s">
        <v>275</v>
      </c>
      <c r="I233" s="33"/>
      <c r="K233" s="55">
        <v>200</v>
      </c>
      <c r="L233" s="54">
        <f t="shared" si="9"/>
        <v>1472</v>
      </c>
      <c r="M233" s="33"/>
      <c r="N233" s="33"/>
    </row>
    <row r="234" spans="1:14" ht="15.75" x14ac:dyDescent="0.25">
      <c r="A234" s="37">
        <v>46148</v>
      </c>
      <c r="B234" s="33">
        <v>2026</v>
      </c>
      <c r="C234" s="34" t="s">
        <v>265</v>
      </c>
      <c r="D234" s="33" t="s">
        <v>23</v>
      </c>
      <c r="E234" s="38">
        <v>2202681799</v>
      </c>
      <c r="F234" s="35" t="s">
        <v>30</v>
      </c>
      <c r="G234" t="s">
        <v>274</v>
      </c>
      <c r="I234" s="33"/>
      <c r="K234" s="55">
        <v>50</v>
      </c>
      <c r="L234" s="54">
        <f t="shared" si="9"/>
        <v>1422</v>
      </c>
      <c r="M234" s="33"/>
      <c r="N234" s="33"/>
    </row>
    <row r="235" spans="1:14" ht="15.75" x14ac:dyDescent="0.25">
      <c r="A235" s="37">
        <v>46148</v>
      </c>
      <c r="B235" s="33">
        <v>2026</v>
      </c>
      <c r="C235" s="34" t="s">
        <v>265</v>
      </c>
      <c r="D235" s="33" t="s">
        <v>23</v>
      </c>
      <c r="E235" s="38">
        <v>3767487395</v>
      </c>
      <c r="F235" s="35" t="s">
        <v>273</v>
      </c>
      <c r="G235" t="s">
        <v>277</v>
      </c>
      <c r="I235" s="33"/>
      <c r="K235" s="55">
        <v>48</v>
      </c>
      <c r="L235" s="54">
        <f t="shared" si="9"/>
        <v>1374</v>
      </c>
      <c r="M235" s="33"/>
      <c r="N235" s="33"/>
    </row>
    <row r="236" spans="1:14" ht="15.75" x14ac:dyDescent="0.25">
      <c r="A236" s="37">
        <v>46148</v>
      </c>
      <c r="B236" s="33">
        <v>2026</v>
      </c>
      <c r="C236" s="34" t="s">
        <v>265</v>
      </c>
      <c r="D236" s="33" t="s">
        <v>23</v>
      </c>
      <c r="E236" s="38">
        <v>844712680</v>
      </c>
      <c r="F236" s="35" t="s">
        <v>30</v>
      </c>
      <c r="G236" t="s">
        <v>276</v>
      </c>
      <c r="I236" s="33"/>
      <c r="K236" s="55">
        <v>50</v>
      </c>
      <c r="L236" s="54">
        <f t="shared" si="9"/>
        <v>1324</v>
      </c>
      <c r="M236" s="33"/>
      <c r="N236" s="33"/>
    </row>
    <row r="237" spans="1:14" ht="15.75" x14ac:dyDescent="0.25">
      <c r="A237" s="37">
        <v>46150</v>
      </c>
      <c r="B237" s="33">
        <v>2026</v>
      </c>
      <c r="C237" s="34" t="s">
        <v>265</v>
      </c>
      <c r="D237" s="33" t="s">
        <v>23</v>
      </c>
      <c r="E237" s="38">
        <v>21250742</v>
      </c>
      <c r="F237" s="35" t="s">
        <v>30</v>
      </c>
      <c r="G237" t="s">
        <v>281</v>
      </c>
      <c r="I237" s="33"/>
      <c r="K237" s="55">
        <v>250</v>
      </c>
      <c r="L237" s="54">
        <f t="shared" si="9"/>
        <v>1074</v>
      </c>
      <c r="M237" s="33"/>
      <c r="N237" s="33"/>
    </row>
    <row r="238" spans="1:14" ht="15.75" x14ac:dyDescent="0.25">
      <c r="A238" s="37">
        <v>46150</v>
      </c>
      <c r="B238" s="33">
        <v>2026</v>
      </c>
      <c r="C238" s="34" t="s">
        <v>265</v>
      </c>
      <c r="D238" s="33" t="s">
        <v>23</v>
      </c>
      <c r="E238" s="38">
        <v>2754364139</v>
      </c>
      <c r="F238" s="35" t="s">
        <v>285</v>
      </c>
      <c r="G238" t="s">
        <v>282</v>
      </c>
      <c r="I238" s="33"/>
      <c r="K238" s="55">
        <v>150</v>
      </c>
      <c r="L238" s="54">
        <f t="shared" si="9"/>
        <v>924</v>
      </c>
      <c r="M238" s="33"/>
      <c r="N238" s="33"/>
    </row>
    <row r="239" spans="1:14" ht="15.75" x14ac:dyDescent="0.25">
      <c r="A239" s="37">
        <v>46151</v>
      </c>
      <c r="B239" s="33">
        <v>2026</v>
      </c>
      <c r="C239" s="34" t="s">
        <v>265</v>
      </c>
      <c r="D239" s="33" t="s">
        <v>23</v>
      </c>
      <c r="E239" s="38">
        <v>3097444381</v>
      </c>
      <c r="F239" s="35" t="s">
        <v>284</v>
      </c>
      <c r="G239" t="s">
        <v>283</v>
      </c>
      <c r="I239" s="33"/>
      <c r="K239" s="55">
        <v>510</v>
      </c>
      <c r="L239" s="54">
        <f t="shared" si="9"/>
        <v>414</v>
      </c>
      <c r="M239" s="33"/>
      <c r="N239" s="33"/>
    </row>
    <row r="240" spans="1:14" ht="15.75" x14ac:dyDescent="0.25">
      <c r="A240" s="37">
        <v>46151</v>
      </c>
      <c r="B240" s="33">
        <v>2026</v>
      </c>
      <c r="C240" s="34" t="s">
        <v>265</v>
      </c>
      <c r="D240" s="33" t="s">
        <v>23</v>
      </c>
      <c r="E240" s="38">
        <v>2708556577</v>
      </c>
      <c r="F240" s="35" t="s">
        <v>112</v>
      </c>
      <c r="G240" t="s">
        <v>286</v>
      </c>
      <c r="I240" s="33"/>
      <c r="K240" s="55">
        <v>170</v>
      </c>
      <c r="L240" s="54">
        <f>J240+L239-K240</f>
        <v>244</v>
      </c>
      <c r="M240" s="33"/>
      <c r="N240" s="33"/>
    </row>
    <row r="241" spans="1:14" ht="15.75" x14ac:dyDescent="0.25">
      <c r="A241" s="37">
        <v>46155</v>
      </c>
      <c r="B241" s="33">
        <v>2026</v>
      </c>
      <c r="C241" s="34" t="s">
        <v>265</v>
      </c>
      <c r="D241" s="33" t="s">
        <v>257</v>
      </c>
      <c r="E241" s="38">
        <v>3259</v>
      </c>
      <c r="F241" s="53" t="s">
        <v>228</v>
      </c>
      <c r="G241" s="33" t="s">
        <v>235</v>
      </c>
      <c r="I241" s="33"/>
      <c r="J241" s="56">
        <f>SUM(K229:K240)</f>
        <v>2756</v>
      </c>
      <c r="L241" s="54">
        <f>J241+L240</f>
        <v>3000</v>
      </c>
      <c r="M241" s="33"/>
      <c r="N241" s="33"/>
    </row>
    <row r="242" spans="1:14" ht="15.75" x14ac:dyDescent="0.25">
      <c r="A242" s="37">
        <v>46151</v>
      </c>
      <c r="B242" s="33">
        <v>2026</v>
      </c>
      <c r="C242" s="34" t="s">
        <v>265</v>
      </c>
      <c r="D242" s="33" t="s">
        <v>23</v>
      </c>
      <c r="E242" s="38">
        <v>4132849812</v>
      </c>
      <c r="F242" s="35" t="s">
        <v>30</v>
      </c>
      <c r="G242" t="s">
        <v>287</v>
      </c>
      <c r="I242" s="33"/>
      <c r="K242" s="55">
        <v>320</v>
      </c>
      <c r="L242" s="54">
        <f>J242+L241-K242</f>
        <v>2680</v>
      </c>
      <c r="M242" s="33"/>
      <c r="N242" s="33"/>
    </row>
    <row r="243" spans="1:14" ht="15.75" x14ac:dyDescent="0.25">
      <c r="A243" s="37">
        <v>46154</v>
      </c>
      <c r="B243" s="33">
        <v>2026</v>
      </c>
      <c r="C243" s="34" t="s">
        <v>265</v>
      </c>
      <c r="D243" s="33" t="s">
        <v>23</v>
      </c>
      <c r="E243" s="38">
        <v>2890419204</v>
      </c>
      <c r="F243" s="35" t="s">
        <v>153</v>
      </c>
      <c r="G243" t="s">
        <v>288</v>
      </c>
      <c r="I243" s="33"/>
      <c r="K243" s="55">
        <v>108</v>
      </c>
      <c r="L243" s="54">
        <f>J243+L242-K243</f>
        <v>2572</v>
      </c>
      <c r="M243" s="33"/>
      <c r="N243" s="33"/>
    </row>
    <row r="244" spans="1:14" ht="15.75" x14ac:dyDescent="0.25">
      <c r="A244" s="37">
        <v>46155</v>
      </c>
      <c r="B244" s="33">
        <v>2026</v>
      </c>
      <c r="C244" s="34" t="s">
        <v>265</v>
      </c>
      <c r="D244" s="33" t="s">
        <v>23</v>
      </c>
      <c r="E244" s="38">
        <v>3351659590</v>
      </c>
      <c r="F244" s="35" t="s">
        <v>278</v>
      </c>
      <c r="G244" t="s">
        <v>297</v>
      </c>
      <c r="I244" s="33"/>
      <c r="K244" s="55">
        <v>30</v>
      </c>
      <c r="L244" s="54">
        <f t="shared" ref="L244:L245" si="10">J244+L243-K244</f>
        <v>2542</v>
      </c>
      <c r="M244" s="33"/>
      <c r="N244" s="33"/>
    </row>
    <row r="245" spans="1:14" ht="15.75" x14ac:dyDescent="0.25">
      <c r="A245" s="37">
        <v>46156</v>
      </c>
      <c r="B245" s="33">
        <v>2026</v>
      </c>
      <c r="C245" s="34" t="s">
        <v>265</v>
      </c>
      <c r="D245" s="33" t="s">
        <v>23</v>
      </c>
      <c r="E245" s="38">
        <v>3459007557</v>
      </c>
      <c r="F245" s="35" t="s">
        <v>30</v>
      </c>
      <c r="G245" t="s">
        <v>295</v>
      </c>
      <c r="I245" s="33"/>
      <c r="K245" s="55">
        <v>200</v>
      </c>
      <c r="L245" s="54">
        <f t="shared" si="10"/>
        <v>2342</v>
      </c>
      <c r="M245" s="33"/>
      <c r="N245" s="33"/>
    </row>
    <row r="246" spans="1:14" ht="15.75" x14ac:dyDescent="0.25">
      <c r="A246" s="37">
        <v>46156</v>
      </c>
      <c r="B246" s="33">
        <v>2026</v>
      </c>
      <c r="C246" s="34" t="s">
        <v>265</v>
      </c>
      <c r="D246" s="33" t="s">
        <v>23</v>
      </c>
      <c r="E246" s="38">
        <v>2131381098</v>
      </c>
      <c r="F246" s="35" t="s">
        <v>30</v>
      </c>
      <c r="G246" t="s">
        <v>290</v>
      </c>
      <c r="I246" s="33"/>
      <c r="K246" s="55">
        <v>75</v>
      </c>
      <c r="L246" s="54">
        <f t="shared" ref="L246:L251" si="11">J246+L245-K246</f>
        <v>2267</v>
      </c>
      <c r="M246" s="33"/>
      <c r="N246" s="33"/>
    </row>
    <row r="247" spans="1:14" ht="15.75" x14ac:dyDescent="0.25">
      <c r="A247" s="37">
        <v>46157</v>
      </c>
      <c r="B247" s="33">
        <v>2026</v>
      </c>
      <c r="C247" s="34" t="s">
        <v>265</v>
      </c>
      <c r="D247" s="33" t="s">
        <v>291</v>
      </c>
      <c r="E247" s="38">
        <v>2315339956</v>
      </c>
      <c r="F247" s="35" t="s">
        <v>299</v>
      </c>
      <c r="G247" t="s">
        <v>298</v>
      </c>
      <c r="I247" s="33"/>
      <c r="K247" s="55">
        <v>820</v>
      </c>
      <c r="L247" s="54">
        <f t="shared" si="11"/>
        <v>1447</v>
      </c>
      <c r="M247" s="33"/>
      <c r="N247" s="33"/>
    </row>
    <row r="248" spans="1:14" ht="15.75" x14ac:dyDescent="0.25">
      <c r="A248" s="37">
        <v>46157</v>
      </c>
      <c r="B248" s="33">
        <v>2026</v>
      </c>
      <c r="C248" s="34" t="s">
        <v>265</v>
      </c>
      <c r="D248" s="33" t="s">
        <v>23</v>
      </c>
      <c r="E248" s="38">
        <v>3352379908</v>
      </c>
      <c r="F248" s="35" t="s">
        <v>237</v>
      </c>
      <c r="G248" t="s">
        <v>292</v>
      </c>
      <c r="I248" s="33"/>
      <c r="K248" s="55">
        <v>148</v>
      </c>
      <c r="L248" s="54">
        <f t="shared" si="11"/>
        <v>1299</v>
      </c>
      <c r="M248" s="33"/>
      <c r="N248" s="33"/>
    </row>
    <row r="249" spans="1:14" ht="15.75" x14ac:dyDescent="0.25">
      <c r="A249" s="37">
        <v>46157</v>
      </c>
      <c r="B249" s="33">
        <v>2026</v>
      </c>
      <c r="C249" s="34" t="s">
        <v>265</v>
      </c>
      <c r="D249" s="33" t="s">
        <v>23</v>
      </c>
      <c r="E249" s="38">
        <v>36355465506</v>
      </c>
      <c r="F249" s="35" t="s">
        <v>30</v>
      </c>
      <c r="G249" t="s">
        <v>294</v>
      </c>
      <c r="I249" s="33"/>
      <c r="K249" s="55">
        <v>250</v>
      </c>
      <c r="L249" s="54">
        <f t="shared" si="11"/>
        <v>1049</v>
      </c>
      <c r="M249" s="33"/>
      <c r="N249" s="33"/>
    </row>
    <row r="250" spans="1:14" ht="15.75" x14ac:dyDescent="0.25">
      <c r="A250" s="37">
        <v>46157</v>
      </c>
      <c r="B250" s="33">
        <v>2026</v>
      </c>
      <c r="C250" s="34" t="s">
        <v>265</v>
      </c>
      <c r="D250" s="33" t="s">
        <v>23</v>
      </c>
      <c r="E250" s="38">
        <v>4035397724</v>
      </c>
      <c r="F250" s="35" t="s">
        <v>293</v>
      </c>
      <c r="G250" s="33" t="s">
        <v>296</v>
      </c>
      <c r="I250" s="33"/>
      <c r="J250" s="56"/>
      <c r="K250" s="55">
        <v>199.98</v>
      </c>
      <c r="L250" s="54">
        <f t="shared" si="11"/>
        <v>849.02</v>
      </c>
      <c r="M250" s="33"/>
      <c r="N250" s="33"/>
    </row>
    <row r="251" spans="1:14" ht="15.75" x14ac:dyDescent="0.25">
      <c r="A251" s="37">
        <v>46157</v>
      </c>
      <c r="B251" s="33">
        <v>2026</v>
      </c>
      <c r="C251" s="34" t="s">
        <v>265</v>
      </c>
      <c r="D251" s="33" t="s">
        <v>257</v>
      </c>
      <c r="E251" s="38">
        <v>3265</v>
      </c>
      <c r="F251" s="53" t="s">
        <v>228</v>
      </c>
      <c r="G251" s="33" t="s">
        <v>235</v>
      </c>
      <c r="I251" s="33"/>
      <c r="J251" s="56">
        <f>SUM(K242:K250)</f>
        <v>2150.98</v>
      </c>
      <c r="L251" s="54">
        <f t="shared" si="11"/>
        <v>3000</v>
      </c>
      <c r="M251" s="33"/>
      <c r="N251" s="33"/>
    </row>
    <row r="252" spans="1:14" ht="15.75" x14ac:dyDescent="0.25">
      <c r="A252" s="37">
        <v>46158</v>
      </c>
      <c r="B252" s="33">
        <v>2026</v>
      </c>
      <c r="C252" s="34" t="s">
        <v>265</v>
      </c>
      <c r="D252" s="33" t="s">
        <v>23</v>
      </c>
      <c r="E252" s="38">
        <v>1662731533</v>
      </c>
      <c r="F252" s="35" t="s">
        <v>125</v>
      </c>
      <c r="G252" s="33" t="s">
        <v>300</v>
      </c>
      <c r="I252" s="33"/>
      <c r="J252" s="56"/>
      <c r="K252" s="55">
        <v>345</v>
      </c>
      <c r="L252" s="54">
        <f t="shared" ref="L252:L263" si="12">J252+L251-K252</f>
        <v>2655</v>
      </c>
      <c r="M252" s="33"/>
      <c r="N252" s="33"/>
    </row>
    <row r="253" spans="1:14" ht="15.75" x14ac:dyDescent="0.25">
      <c r="A253" s="37">
        <v>46160</v>
      </c>
      <c r="B253" s="33">
        <v>2026</v>
      </c>
      <c r="C253" s="34" t="s">
        <v>265</v>
      </c>
      <c r="D253" s="33" t="s">
        <v>23</v>
      </c>
      <c r="E253" s="38">
        <v>2444577371</v>
      </c>
      <c r="F253" s="35" t="s">
        <v>30</v>
      </c>
      <c r="G253" s="33" t="s">
        <v>301</v>
      </c>
      <c r="I253" s="33"/>
      <c r="J253" s="56"/>
      <c r="K253" s="55">
        <v>250</v>
      </c>
      <c r="L253" s="54">
        <f t="shared" si="12"/>
        <v>2405</v>
      </c>
      <c r="M253" s="33"/>
      <c r="N253" s="33"/>
    </row>
    <row r="254" spans="1:14" ht="15.75" x14ac:dyDescent="0.25">
      <c r="A254" s="37">
        <v>46162</v>
      </c>
      <c r="B254" s="33">
        <v>2026</v>
      </c>
      <c r="C254" s="34" t="s">
        <v>265</v>
      </c>
      <c r="D254" s="33" t="s">
        <v>23</v>
      </c>
      <c r="E254" s="38">
        <v>1049838873</v>
      </c>
      <c r="F254" s="35" t="s">
        <v>278</v>
      </c>
      <c r="G254" s="33" t="s">
        <v>302</v>
      </c>
      <c r="I254" s="33"/>
      <c r="J254" s="56"/>
      <c r="K254" s="55">
        <v>70</v>
      </c>
      <c r="L254" s="54">
        <f t="shared" si="12"/>
        <v>2335</v>
      </c>
      <c r="M254" s="33"/>
      <c r="N254" s="33"/>
    </row>
    <row r="255" spans="1:14" ht="15.75" x14ac:dyDescent="0.25">
      <c r="A255" s="37">
        <v>46163</v>
      </c>
      <c r="B255" s="33">
        <v>2026</v>
      </c>
      <c r="C255" s="34" t="s">
        <v>265</v>
      </c>
      <c r="D255" s="33" t="s">
        <v>23</v>
      </c>
      <c r="E255" s="38">
        <v>567232173</v>
      </c>
      <c r="F255" s="35" t="s">
        <v>30</v>
      </c>
      <c r="G255" s="33" t="s">
        <v>303</v>
      </c>
      <c r="I255" s="33"/>
      <c r="J255" s="56"/>
      <c r="K255" s="55">
        <v>240</v>
      </c>
      <c r="L255" s="54">
        <f t="shared" si="12"/>
        <v>2095</v>
      </c>
      <c r="M255" s="33"/>
      <c r="N255" s="33"/>
    </row>
    <row r="256" spans="1:14" ht="15.75" x14ac:dyDescent="0.25">
      <c r="A256" s="37">
        <v>46163</v>
      </c>
      <c r="B256" s="33">
        <v>2026</v>
      </c>
      <c r="C256" s="34" t="s">
        <v>265</v>
      </c>
      <c r="D256" s="33" t="s">
        <v>23</v>
      </c>
      <c r="E256" s="38">
        <v>1913734913</v>
      </c>
      <c r="F256" s="35" t="s">
        <v>30</v>
      </c>
      <c r="G256" s="33" t="s">
        <v>304</v>
      </c>
      <c r="I256" s="33"/>
      <c r="K256" s="55">
        <v>40</v>
      </c>
      <c r="L256" s="54">
        <f t="shared" si="12"/>
        <v>2055</v>
      </c>
      <c r="M256" s="33"/>
      <c r="N256" s="33"/>
    </row>
    <row r="257" spans="1:14" ht="15.75" x14ac:dyDescent="0.25">
      <c r="A257" s="37">
        <v>46165</v>
      </c>
      <c r="B257" s="33">
        <v>2026</v>
      </c>
      <c r="C257" s="34" t="s">
        <v>265</v>
      </c>
      <c r="D257" s="33" t="s">
        <v>23</v>
      </c>
      <c r="E257" s="38">
        <v>987644659</v>
      </c>
      <c r="F257" s="35" t="s">
        <v>226</v>
      </c>
      <c r="G257" s="33" t="s">
        <v>306</v>
      </c>
      <c r="I257" s="33"/>
      <c r="K257" s="55">
        <v>500</v>
      </c>
      <c r="L257" s="54">
        <f t="shared" si="12"/>
        <v>1555</v>
      </c>
      <c r="M257" s="33"/>
      <c r="N257" s="33"/>
    </row>
    <row r="258" spans="1:14" ht="15.75" x14ac:dyDescent="0.25">
      <c r="A258" s="37">
        <v>46167</v>
      </c>
      <c r="B258" s="33">
        <v>2026</v>
      </c>
      <c r="C258" s="34" t="s">
        <v>265</v>
      </c>
      <c r="D258" s="33" t="s">
        <v>23</v>
      </c>
      <c r="E258" s="38">
        <v>1983333184</v>
      </c>
      <c r="F258" s="35" t="s">
        <v>30</v>
      </c>
      <c r="G258" s="33" t="s">
        <v>305</v>
      </c>
      <c r="I258" s="33"/>
      <c r="K258" s="55">
        <v>250</v>
      </c>
      <c r="L258" s="54">
        <f t="shared" si="12"/>
        <v>1305</v>
      </c>
      <c r="M258" s="33"/>
      <c r="N258" s="59"/>
    </row>
    <row r="259" spans="1:14" ht="15.75" x14ac:dyDescent="0.25">
      <c r="A259" s="37">
        <v>46168</v>
      </c>
      <c r="B259" s="33">
        <v>2026</v>
      </c>
      <c r="C259" s="34" t="s">
        <v>265</v>
      </c>
      <c r="D259" s="33" t="s">
        <v>23</v>
      </c>
      <c r="E259" s="38">
        <v>3180939609</v>
      </c>
      <c r="F259" s="35" t="s">
        <v>30</v>
      </c>
      <c r="G259" s="33" t="s">
        <v>307</v>
      </c>
      <c r="I259" s="33"/>
      <c r="K259" s="55">
        <v>50</v>
      </c>
      <c r="L259" s="54">
        <f t="shared" si="12"/>
        <v>1255</v>
      </c>
      <c r="M259" s="33"/>
      <c r="N259" s="33"/>
    </row>
    <row r="260" spans="1:14" ht="15.75" x14ac:dyDescent="0.25">
      <c r="A260" s="37">
        <v>46170</v>
      </c>
      <c r="B260" s="33">
        <v>2026</v>
      </c>
      <c r="C260" s="34" t="s">
        <v>265</v>
      </c>
      <c r="D260" s="33" t="s">
        <v>23</v>
      </c>
      <c r="E260" s="38">
        <v>2358004886</v>
      </c>
      <c r="F260" s="35" t="s">
        <v>30</v>
      </c>
      <c r="G260" s="33" t="s">
        <v>308</v>
      </c>
      <c r="I260" s="33"/>
      <c r="K260" s="55">
        <v>50</v>
      </c>
      <c r="L260" s="54">
        <f t="shared" si="12"/>
        <v>1205</v>
      </c>
      <c r="M260" s="33"/>
      <c r="N260" s="33"/>
    </row>
    <row r="261" spans="1:14" ht="15.75" x14ac:dyDescent="0.25">
      <c r="A261" s="37">
        <v>46170</v>
      </c>
      <c r="B261" s="33">
        <v>2026</v>
      </c>
      <c r="C261" s="34" t="s">
        <v>265</v>
      </c>
      <c r="D261" s="33" t="s">
        <v>23</v>
      </c>
      <c r="E261" s="38">
        <v>23588004886</v>
      </c>
      <c r="F261" s="35" t="s">
        <v>30</v>
      </c>
      <c r="G261" s="33" t="s">
        <v>309</v>
      </c>
      <c r="I261" s="33"/>
      <c r="K261" s="55">
        <v>50</v>
      </c>
      <c r="L261" s="54">
        <f t="shared" si="12"/>
        <v>1155</v>
      </c>
      <c r="M261" s="33"/>
      <c r="N261" s="33"/>
    </row>
    <row r="262" spans="1:14" ht="15.75" x14ac:dyDescent="0.25">
      <c r="A262" s="37">
        <v>46171</v>
      </c>
      <c r="B262" s="33">
        <v>2026</v>
      </c>
      <c r="C262" s="34" t="s">
        <v>265</v>
      </c>
      <c r="D262" s="33" t="s">
        <v>23</v>
      </c>
      <c r="E262" s="38">
        <v>4549905123</v>
      </c>
      <c r="F262" s="35" t="s">
        <v>273</v>
      </c>
      <c r="G262" s="33" t="s">
        <v>310</v>
      </c>
      <c r="I262" s="33"/>
      <c r="K262" s="55">
        <v>75</v>
      </c>
      <c r="L262" s="54">
        <f>J262+L261-K262</f>
        <v>1080</v>
      </c>
      <c r="M262" s="33"/>
      <c r="N262" s="33"/>
    </row>
    <row r="263" spans="1:14" ht="15.75" x14ac:dyDescent="0.25">
      <c r="A263" s="37">
        <v>46171</v>
      </c>
      <c r="B263" s="33">
        <v>2026</v>
      </c>
      <c r="C263" s="34" t="s">
        <v>265</v>
      </c>
      <c r="D263" s="33" t="s">
        <v>23</v>
      </c>
      <c r="E263" s="38">
        <v>3112124768</v>
      </c>
      <c r="F263" s="35" t="s">
        <v>224</v>
      </c>
      <c r="G263" s="33" t="s">
        <v>311</v>
      </c>
      <c r="I263" s="33"/>
      <c r="J263" s="56"/>
      <c r="K263" s="55">
        <v>300</v>
      </c>
      <c r="L263" s="54">
        <f t="shared" si="12"/>
        <v>780</v>
      </c>
      <c r="M263" s="33"/>
      <c r="N263" s="33"/>
    </row>
    <row r="264" spans="1:14" ht="15.75" x14ac:dyDescent="0.25">
      <c r="A264" s="37">
        <v>46171</v>
      </c>
      <c r="B264" s="33">
        <v>2026</v>
      </c>
      <c r="C264" s="34" t="s">
        <v>265</v>
      </c>
      <c r="D264" s="33" t="s">
        <v>257</v>
      </c>
      <c r="E264" s="38">
        <v>3276</v>
      </c>
      <c r="F264" s="53" t="s">
        <v>228</v>
      </c>
      <c r="G264" s="33" t="s">
        <v>235</v>
      </c>
      <c r="I264" s="33"/>
      <c r="J264" s="56">
        <f>SUM(K252:K263)</f>
        <v>2220</v>
      </c>
      <c r="L264" s="54">
        <f>SUM(J264+L263)</f>
        <v>3000</v>
      </c>
      <c r="M264" s="33"/>
      <c r="N264" s="33"/>
    </row>
    <row r="265" spans="1:14" ht="15.75" x14ac:dyDescent="0.25">
      <c r="B265" s="33"/>
      <c r="C265" s="34"/>
      <c r="F265" s="35" t="s">
        <v>212</v>
      </c>
      <c r="G265" s="35"/>
      <c r="I265" s="33"/>
      <c r="J265" s="56">
        <f>SUM(J229:J264)</f>
        <v>7126.98</v>
      </c>
      <c r="K265" s="56">
        <f>SUM(K229:K264)</f>
        <v>7126.98</v>
      </c>
      <c r="M265" s="33"/>
      <c r="N265" s="33"/>
    </row>
    <row r="266" spans="1:14" ht="17.25" x14ac:dyDescent="0.25">
      <c r="B266" s="33"/>
      <c r="C266" s="34"/>
      <c r="F266" s="48"/>
      <c r="G266" s="35"/>
      <c r="I266" s="33"/>
      <c r="M266" s="33"/>
      <c r="N266" s="33"/>
    </row>
    <row r="267" spans="1:14" ht="15.75" x14ac:dyDescent="0.25">
      <c r="B267" s="33"/>
      <c r="C267" s="34"/>
      <c r="F267" s="60" t="s">
        <v>190</v>
      </c>
      <c r="G267" s="35"/>
      <c r="I267" s="33"/>
      <c r="M267" s="33"/>
      <c r="N267" s="33"/>
    </row>
    <row r="268" spans="1:14" ht="15.75" x14ac:dyDescent="0.25">
      <c r="B268" s="33"/>
      <c r="C268" s="34"/>
      <c r="F268" t="s">
        <v>196</v>
      </c>
      <c r="G268" s="35"/>
      <c r="I268" s="33"/>
      <c r="M268" s="33"/>
      <c r="N268" s="33"/>
    </row>
    <row r="269" spans="1:14" ht="15.75" x14ac:dyDescent="0.25">
      <c r="B269" s="33"/>
      <c r="C269" s="34"/>
      <c r="F269" t="s">
        <v>192</v>
      </c>
      <c r="G269" s="53"/>
      <c r="I269" s="33"/>
      <c r="M269" s="33"/>
      <c r="N269" s="33"/>
    </row>
    <row r="270" spans="1:14" ht="15.75" x14ac:dyDescent="0.25">
      <c r="B270" s="33"/>
      <c r="C270" s="34"/>
      <c r="F270" t="s">
        <v>193</v>
      </c>
      <c r="I270" s="33"/>
      <c r="K270" s="55">
        <f>SUM(K229,K2387,K233,K231,K234,K237,K232,K2431,K238,K236,,K245,K250,K246,K242,K249,K244,K253,K254,K25566,K256,K255,K258,K259,K260,K261,)</f>
        <v>3262.98</v>
      </c>
      <c r="M270" s="33"/>
      <c r="N270" s="33"/>
    </row>
    <row r="271" spans="1:14" ht="15.75" x14ac:dyDescent="0.25">
      <c r="B271" s="33"/>
      <c r="C271" s="34"/>
      <c r="F271" t="s">
        <v>200</v>
      </c>
      <c r="I271" s="33"/>
      <c r="K271" s="55">
        <f>SUM(K257)</f>
        <v>500</v>
      </c>
      <c r="M271" s="33"/>
      <c r="N271" s="33"/>
    </row>
    <row r="272" spans="1:14" ht="15.75" x14ac:dyDescent="0.25">
      <c r="B272" s="33"/>
      <c r="C272" s="34"/>
      <c r="F272" t="s">
        <v>194</v>
      </c>
      <c r="I272" s="33"/>
      <c r="K272" s="55">
        <f>SUM(K235,K239,K243,K262)</f>
        <v>741</v>
      </c>
      <c r="M272" s="33"/>
      <c r="N272" s="33"/>
    </row>
    <row r="273" spans="1:14" ht="15.75" x14ac:dyDescent="0.25">
      <c r="B273" s="33"/>
      <c r="C273" s="34"/>
      <c r="F273" t="s">
        <v>188</v>
      </c>
      <c r="I273" s="33"/>
      <c r="K273" s="55">
        <f>SUM(K252,K263)</f>
        <v>645</v>
      </c>
      <c r="M273" s="33"/>
      <c r="N273" s="33"/>
    </row>
    <row r="274" spans="1:14" ht="15.75" x14ac:dyDescent="0.25">
      <c r="B274" s="33"/>
      <c r="C274" s="34"/>
      <c r="F274" t="s">
        <v>195</v>
      </c>
      <c r="I274" s="33"/>
      <c r="K274" s="55">
        <f>SUM(K230)</f>
        <v>840</v>
      </c>
      <c r="M274" s="33"/>
      <c r="N274" s="33"/>
    </row>
    <row r="275" spans="1:14" ht="15.75" x14ac:dyDescent="0.25">
      <c r="B275" s="33"/>
      <c r="C275" s="34"/>
      <c r="F275" t="s">
        <v>189</v>
      </c>
      <c r="I275" s="33"/>
      <c r="K275" s="55">
        <f>SUM(K248)</f>
        <v>148</v>
      </c>
      <c r="M275" s="33"/>
      <c r="N275" s="33"/>
    </row>
    <row r="276" spans="1:14" ht="15.75" x14ac:dyDescent="0.25">
      <c r="B276" s="33"/>
      <c r="C276" s="34"/>
      <c r="F276" s="75" t="s">
        <v>191</v>
      </c>
      <c r="I276" s="33"/>
      <c r="K276" s="55">
        <f>SUM(K240)</f>
        <v>170</v>
      </c>
      <c r="M276" s="33"/>
      <c r="N276" s="33"/>
    </row>
    <row r="277" spans="1:14" ht="15.75" x14ac:dyDescent="0.25">
      <c r="B277" s="33"/>
      <c r="C277" s="34"/>
      <c r="F277" s="75" t="s">
        <v>202</v>
      </c>
      <c r="I277" s="33"/>
      <c r="K277" s="55">
        <f>SUM(K247)</f>
        <v>820</v>
      </c>
      <c r="M277" s="33"/>
      <c r="N277" s="33"/>
    </row>
    <row r="278" spans="1:14" ht="15.75" x14ac:dyDescent="0.25">
      <c r="B278" s="33"/>
      <c r="C278" s="34"/>
      <c r="F278" s="35" t="s">
        <v>201</v>
      </c>
      <c r="I278" s="33"/>
      <c r="J278" s="56"/>
      <c r="M278" s="33"/>
      <c r="N278" s="33"/>
    </row>
    <row r="279" spans="1:14" ht="15.75" x14ac:dyDescent="0.25">
      <c r="B279" s="33"/>
      <c r="C279" s="34"/>
      <c r="F279" s="35" t="s">
        <v>203</v>
      </c>
      <c r="I279" s="33"/>
      <c r="M279" s="33"/>
      <c r="N279" s="33"/>
    </row>
    <row r="280" spans="1:14" ht="15.75" x14ac:dyDescent="0.25">
      <c r="B280" s="33"/>
      <c r="C280" s="34"/>
      <c r="F280" s="53" t="s">
        <v>271</v>
      </c>
      <c r="I280" s="33"/>
      <c r="J280" s="56"/>
      <c r="L280" s="54">
        <f>SUM(K267:K279)</f>
        <v>7126.98</v>
      </c>
      <c r="M280" s="33"/>
      <c r="N280" s="72">
        <f>L280-K265</f>
        <v>0</v>
      </c>
    </row>
    <row r="281" spans="1:14" ht="15.75" x14ac:dyDescent="0.25">
      <c r="B281" s="33"/>
      <c r="C281" s="34"/>
      <c r="F281" s="35"/>
      <c r="I281" s="33"/>
      <c r="M281" s="33"/>
      <c r="N281" s="33"/>
    </row>
    <row r="282" spans="1:14" ht="17.25" x14ac:dyDescent="0.25">
      <c r="B282" s="33"/>
      <c r="C282" s="34"/>
      <c r="F282" s="48"/>
      <c r="I282" s="33"/>
      <c r="M282" s="33"/>
      <c r="N282" s="33"/>
    </row>
    <row r="283" spans="1:14" ht="17.25" x14ac:dyDescent="0.25">
      <c r="B283" s="33"/>
      <c r="C283" s="34"/>
      <c r="F283" s="48" t="s">
        <v>313</v>
      </c>
      <c r="I283" s="33"/>
      <c r="L283" s="54">
        <f>L264</f>
        <v>3000</v>
      </c>
      <c r="M283" s="33"/>
      <c r="N283" s="33"/>
    </row>
    <row r="284" spans="1:14" ht="15.75" x14ac:dyDescent="0.25">
      <c r="A284" s="37">
        <v>46174</v>
      </c>
      <c r="B284" s="33">
        <v>2026</v>
      </c>
      <c r="C284" s="34" t="s">
        <v>314</v>
      </c>
      <c r="D284" s="33" t="s">
        <v>23</v>
      </c>
      <c r="E284" s="38">
        <v>2697806902</v>
      </c>
      <c r="F284" s="35" t="s">
        <v>30</v>
      </c>
      <c r="G284" s="33" t="s">
        <v>319</v>
      </c>
      <c r="I284" s="33"/>
      <c r="K284" s="55">
        <v>500</v>
      </c>
      <c r="L284" s="54">
        <f t="shared" ref="L284:L293" si="13">J284+L283-K284</f>
        <v>2500</v>
      </c>
      <c r="M284" s="33"/>
      <c r="N284" s="33"/>
    </row>
    <row r="285" spans="1:14" ht="15.75" x14ac:dyDescent="0.25">
      <c r="A285" s="37">
        <v>46174</v>
      </c>
      <c r="B285" s="33">
        <v>2026</v>
      </c>
      <c r="C285" s="34" t="s">
        <v>314</v>
      </c>
      <c r="D285" s="33" t="s">
        <v>23</v>
      </c>
      <c r="E285" s="38">
        <v>1494895317</v>
      </c>
      <c r="F285" s="76" t="s">
        <v>315</v>
      </c>
      <c r="G285" s="33" t="s">
        <v>320</v>
      </c>
      <c r="I285" s="33"/>
      <c r="K285" s="55">
        <v>45</v>
      </c>
      <c r="L285" s="54">
        <f t="shared" si="13"/>
        <v>2455</v>
      </c>
      <c r="M285" s="33"/>
      <c r="N285" s="33"/>
    </row>
    <row r="286" spans="1:14" ht="15.75" x14ac:dyDescent="0.25">
      <c r="A286" s="37">
        <v>46174</v>
      </c>
      <c r="B286" s="33">
        <v>2026</v>
      </c>
      <c r="C286" s="34" t="s">
        <v>314</v>
      </c>
      <c r="D286" s="33" t="s">
        <v>23</v>
      </c>
      <c r="E286" s="38">
        <v>831672086</v>
      </c>
      <c r="F286" s="75" t="s">
        <v>316</v>
      </c>
      <c r="G286" s="33" t="s">
        <v>317</v>
      </c>
      <c r="I286" s="33"/>
      <c r="K286" s="55">
        <v>30</v>
      </c>
      <c r="L286" s="54">
        <f t="shared" si="13"/>
        <v>2425</v>
      </c>
      <c r="M286" s="33"/>
      <c r="N286" s="33"/>
    </row>
    <row r="287" spans="1:14" ht="15.75" x14ac:dyDescent="0.25">
      <c r="A287" s="37">
        <v>46174</v>
      </c>
      <c r="B287" s="33">
        <v>2026</v>
      </c>
      <c r="C287" s="34" t="s">
        <v>314</v>
      </c>
      <c r="D287" s="33" t="s">
        <v>23</v>
      </c>
      <c r="E287" s="38">
        <v>3565044720</v>
      </c>
      <c r="F287" s="35" t="s">
        <v>30</v>
      </c>
      <c r="G287" s="33" t="s">
        <v>318</v>
      </c>
      <c r="I287" s="33"/>
      <c r="K287" s="55">
        <v>70</v>
      </c>
      <c r="L287" s="54">
        <f t="shared" si="13"/>
        <v>2355</v>
      </c>
      <c r="M287" s="33"/>
      <c r="N287" s="33"/>
    </row>
    <row r="288" spans="1:14" ht="15.75" x14ac:dyDescent="0.25">
      <c r="A288" s="37">
        <v>46175</v>
      </c>
      <c r="B288" s="33">
        <v>2026</v>
      </c>
      <c r="C288" s="34" t="s">
        <v>314</v>
      </c>
      <c r="D288" s="33" t="s">
        <v>23</v>
      </c>
      <c r="E288" s="38">
        <v>3032409</v>
      </c>
      <c r="F288" s="35" t="s">
        <v>231</v>
      </c>
      <c r="G288" s="33" t="s">
        <v>321</v>
      </c>
      <c r="I288" s="33"/>
      <c r="K288" s="55">
        <v>840</v>
      </c>
      <c r="L288" s="54">
        <f t="shared" si="13"/>
        <v>1515</v>
      </c>
      <c r="M288" s="33"/>
      <c r="N288" s="33"/>
    </row>
    <row r="289" spans="1:14" ht="15.75" x14ac:dyDescent="0.25">
      <c r="A289" s="37">
        <v>46175</v>
      </c>
      <c r="B289" s="33">
        <v>2026</v>
      </c>
      <c r="C289" s="34" t="s">
        <v>314</v>
      </c>
      <c r="D289" s="33" t="s">
        <v>23</v>
      </c>
      <c r="E289" s="38">
        <v>1065437722</v>
      </c>
      <c r="F289" s="35" t="s">
        <v>322</v>
      </c>
      <c r="G289" s="33" t="s">
        <v>323</v>
      </c>
      <c r="I289" s="33"/>
      <c r="K289" s="55">
        <v>348</v>
      </c>
      <c r="L289" s="54">
        <f t="shared" si="13"/>
        <v>1167</v>
      </c>
      <c r="M289" s="33"/>
      <c r="N289" s="33"/>
    </row>
    <row r="290" spans="1:14" ht="15.75" x14ac:dyDescent="0.25">
      <c r="A290" s="37">
        <v>46177</v>
      </c>
      <c r="B290" s="33">
        <v>2026</v>
      </c>
      <c r="C290" s="34" t="s">
        <v>314</v>
      </c>
      <c r="D290" s="33" t="s">
        <v>23</v>
      </c>
      <c r="E290" s="38">
        <v>3144632697</v>
      </c>
      <c r="F290" s="35" t="s">
        <v>322</v>
      </c>
      <c r="G290" s="33" t="s">
        <v>324</v>
      </c>
      <c r="I290" s="33"/>
      <c r="K290" s="55">
        <v>100</v>
      </c>
      <c r="L290" s="54">
        <f t="shared" si="13"/>
        <v>1067</v>
      </c>
      <c r="M290" s="33"/>
      <c r="N290" s="33"/>
    </row>
    <row r="291" spans="1:14" ht="15.75" x14ac:dyDescent="0.25">
      <c r="A291" s="37">
        <v>46177</v>
      </c>
      <c r="B291" s="33">
        <v>2026</v>
      </c>
      <c r="C291" s="34" t="s">
        <v>314</v>
      </c>
      <c r="D291" s="33" t="s">
        <v>23</v>
      </c>
      <c r="E291" s="38">
        <v>3555738230</v>
      </c>
      <c r="F291" s="35" t="s">
        <v>30</v>
      </c>
      <c r="G291" s="33" t="s">
        <v>325</v>
      </c>
      <c r="I291" s="33"/>
      <c r="K291" s="55">
        <v>220</v>
      </c>
      <c r="L291" s="54">
        <f t="shared" si="13"/>
        <v>847</v>
      </c>
      <c r="M291" s="33"/>
      <c r="N291" s="33"/>
    </row>
    <row r="292" spans="1:14" ht="15.75" x14ac:dyDescent="0.25">
      <c r="A292" s="37">
        <v>46178</v>
      </c>
      <c r="B292" s="33">
        <v>2026</v>
      </c>
      <c r="C292" s="34" t="s">
        <v>314</v>
      </c>
      <c r="D292" s="33" t="s">
        <v>23</v>
      </c>
      <c r="E292" s="38">
        <v>1199652960</v>
      </c>
      <c r="F292" s="35" t="s">
        <v>322</v>
      </c>
      <c r="G292" s="33" t="s">
        <v>326</v>
      </c>
      <c r="I292" s="33"/>
      <c r="K292" s="55">
        <v>120</v>
      </c>
      <c r="L292" s="54">
        <f t="shared" si="13"/>
        <v>727</v>
      </c>
      <c r="M292" s="33"/>
      <c r="N292" s="33"/>
    </row>
    <row r="293" spans="1:14" ht="15.75" x14ac:dyDescent="0.25">
      <c r="A293" s="37">
        <v>46178</v>
      </c>
      <c r="B293" s="33">
        <v>2026</v>
      </c>
      <c r="C293" s="34" t="s">
        <v>314</v>
      </c>
      <c r="D293" s="33" t="s">
        <v>23</v>
      </c>
      <c r="E293" s="38">
        <v>4187636126</v>
      </c>
      <c r="F293" s="35" t="s">
        <v>30</v>
      </c>
      <c r="G293" s="33" t="s">
        <v>327</v>
      </c>
      <c r="I293" s="33"/>
      <c r="K293" s="55">
        <v>50</v>
      </c>
      <c r="L293" s="54">
        <f t="shared" si="13"/>
        <v>677</v>
      </c>
      <c r="M293" s="33"/>
      <c r="N293" s="33"/>
    </row>
    <row r="294" spans="1:14" ht="15.75" x14ac:dyDescent="0.25">
      <c r="A294" s="37">
        <v>46178</v>
      </c>
      <c r="B294" s="33">
        <v>2026</v>
      </c>
      <c r="C294" s="34" t="s">
        <v>314</v>
      </c>
      <c r="D294" s="33" t="s">
        <v>23</v>
      </c>
      <c r="E294" s="38">
        <v>3466152658</v>
      </c>
      <c r="F294" s="35" t="s">
        <v>30</v>
      </c>
      <c r="G294" s="33" t="s">
        <v>328</v>
      </c>
      <c r="I294" s="33"/>
      <c r="K294" s="55">
        <v>50</v>
      </c>
      <c r="L294" s="54">
        <f>J294+L293-K294</f>
        <v>627</v>
      </c>
      <c r="M294" s="33"/>
      <c r="N294" s="33"/>
    </row>
    <row r="295" spans="1:14" ht="15.75" x14ac:dyDescent="0.25">
      <c r="B295" s="33"/>
      <c r="C295" s="34"/>
      <c r="F295" s="53" t="s">
        <v>228</v>
      </c>
      <c r="G295" s="33" t="s">
        <v>235</v>
      </c>
      <c r="I295" s="33"/>
      <c r="J295" s="56">
        <f>SUM(K284:K294)</f>
        <v>2373</v>
      </c>
      <c r="L295" s="54">
        <f>J295+L294</f>
        <v>3000</v>
      </c>
      <c r="M295" s="33"/>
      <c r="N295" s="33"/>
    </row>
    <row r="296" spans="1:14" ht="15.75" x14ac:dyDescent="0.25">
      <c r="A296" s="37">
        <v>46181</v>
      </c>
      <c r="B296" s="33">
        <v>2026</v>
      </c>
      <c r="C296" s="34" t="s">
        <v>314</v>
      </c>
      <c r="D296" s="33" t="s">
        <v>23</v>
      </c>
      <c r="E296" s="38">
        <v>1699169194</v>
      </c>
      <c r="F296" s="35" t="s">
        <v>30</v>
      </c>
      <c r="G296" s="33" t="s">
        <v>329</v>
      </c>
      <c r="I296" s="33"/>
      <c r="J296" s="56"/>
      <c r="K296" s="55">
        <v>220</v>
      </c>
      <c r="L296" s="54">
        <f t="shared" ref="L296:L302" si="14">J296+L295-K296</f>
        <v>2780</v>
      </c>
      <c r="M296" s="33"/>
      <c r="N296" s="33"/>
    </row>
    <row r="297" spans="1:14" ht="15.75" x14ac:dyDescent="0.25">
      <c r="A297" s="37">
        <v>46182</v>
      </c>
      <c r="B297" s="33">
        <v>2026</v>
      </c>
      <c r="C297" s="34" t="s">
        <v>314</v>
      </c>
      <c r="D297" s="33" t="s">
        <v>23</v>
      </c>
      <c r="E297" s="38">
        <v>1124615432</v>
      </c>
      <c r="F297" s="35" t="s">
        <v>330</v>
      </c>
      <c r="G297" s="33" t="s">
        <v>331</v>
      </c>
      <c r="I297" s="33"/>
      <c r="J297" s="56"/>
      <c r="K297" s="55">
        <v>65</v>
      </c>
      <c r="L297" s="54">
        <f t="shared" si="14"/>
        <v>2715</v>
      </c>
      <c r="M297" s="33"/>
      <c r="N297" s="33"/>
    </row>
    <row r="298" spans="1:14" ht="15.75" x14ac:dyDescent="0.25">
      <c r="A298" s="37">
        <v>46182</v>
      </c>
      <c r="B298" s="33">
        <v>2026</v>
      </c>
      <c r="C298" s="34" t="s">
        <v>314</v>
      </c>
      <c r="D298" s="33" t="s">
        <v>23</v>
      </c>
      <c r="E298" s="38">
        <v>738476974</v>
      </c>
      <c r="F298" s="35" t="s">
        <v>332</v>
      </c>
      <c r="G298" s="33" t="s">
        <v>333</v>
      </c>
      <c r="I298" s="33"/>
      <c r="J298" s="56"/>
      <c r="K298" s="55">
        <v>272.8</v>
      </c>
      <c r="L298" s="54">
        <f t="shared" si="14"/>
        <v>2442.1999999999998</v>
      </c>
      <c r="M298" s="33"/>
      <c r="N298" s="33"/>
    </row>
    <row r="299" spans="1:14" ht="15.75" x14ac:dyDescent="0.25">
      <c r="A299" s="37">
        <v>46185</v>
      </c>
      <c r="B299" s="33">
        <v>2026</v>
      </c>
      <c r="C299" s="34" t="s">
        <v>314</v>
      </c>
      <c r="D299" s="33" t="s">
        <v>23</v>
      </c>
      <c r="E299" s="38">
        <v>1136676639</v>
      </c>
      <c r="F299" s="35" t="s">
        <v>30</v>
      </c>
      <c r="G299" s="33" t="s">
        <v>334</v>
      </c>
      <c r="I299" s="33"/>
      <c r="J299" s="56"/>
      <c r="K299" s="55">
        <v>65</v>
      </c>
      <c r="L299" s="54">
        <f t="shared" si="14"/>
        <v>2377.1999999999998</v>
      </c>
      <c r="M299" s="33"/>
      <c r="N299" s="33"/>
    </row>
    <row r="300" spans="1:14" ht="15.75" x14ac:dyDescent="0.25">
      <c r="A300" s="37">
        <v>46186</v>
      </c>
      <c r="B300" s="33">
        <v>2026</v>
      </c>
      <c r="C300" s="34" t="s">
        <v>314</v>
      </c>
      <c r="D300" s="33" t="s">
        <v>23</v>
      </c>
      <c r="E300" s="38">
        <v>3745400374</v>
      </c>
      <c r="F300" s="35" t="s">
        <v>335</v>
      </c>
      <c r="G300" s="33" t="s">
        <v>336</v>
      </c>
      <c r="I300" s="33"/>
      <c r="J300" s="56"/>
      <c r="K300" s="55">
        <v>100</v>
      </c>
      <c r="L300" s="54">
        <f t="shared" si="14"/>
        <v>2277.1999999999998</v>
      </c>
      <c r="M300" s="33"/>
      <c r="N300" s="59"/>
    </row>
    <row r="301" spans="1:14" ht="15.75" x14ac:dyDescent="0.25">
      <c r="A301" s="37">
        <v>46188</v>
      </c>
      <c r="B301" s="33">
        <v>2026</v>
      </c>
      <c r="C301" s="34" t="s">
        <v>314</v>
      </c>
      <c r="D301" s="33" t="s">
        <v>23</v>
      </c>
      <c r="E301" s="38">
        <v>1345602231</v>
      </c>
      <c r="F301" s="35" t="s">
        <v>30</v>
      </c>
      <c r="G301" s="33" t="s">
        <v>337</v>
      </c>
      <c r="I301" s="33"/>
      <c r="J301" s="56"/>
      <c r="K301" s="55">
        <v>225</v>
      </c>
      <c r="L301" s="54">
        <f t="shared" si="14"/>
        <v>2052.1999999999998</v>
      </c>
      <c r="M301" s="33"/>
      <c r="N301" s="33"/>
    </row>
    <row r="302" spans="1:14" ht="15.75" x14ac:dyDescent="0.25">
      <c r="A302" s="37">
        <v>46188</v>
      </c>
      <c r="B302" s="33">
        <v>2026</v>
      </c>
      <c r="C302" s="34" t="s">
        <v>314</v>
      </c>
      <c r="D302" s="33" t="s">
        <v>23</v>
      </c>
      <c r="E302" s="38">
        <v>2597733321</v>
      </c>
      <c r="F302" s="35" t="s">
        <v>338</v>
      </c>
      <c r="G302" s="33" t="s">
        <v>339</v>
      </c>
      <c r="I302" s="33"/>
      <c r="J302" s="56"/>
      <c r="K302" s="55">
        <v>1465.6</v>
      </c>
      <c r="L302" s="54">
        <f t="shared" si="14"/>
        <v>586.59999999999991</v>
      </c>
      <c r="M302" s="33"/>
      <c r="N302" s="33"/>
    </row>
    <row r="303" spans="1:14" ht="15.75" x14ac:dyDescent="0.25">
      <c r="A303" s="37">
        <v>46188</v>
      </c>
      <c r="B303" s="33">
        <v>226</v>
      </c>
      <c r="C303" s="34" t="s">
        <v>314</v>
      </c>
      <c r="D303" s="33" t="s">
        <v>257</v>
      </c>
      <c r="E303" s="38">
        <v>3322</v>
      </c>
      <c r="F303" s="53" t="s">
        <v>228</v>
      </c>
      <c r="G303" s="33" t="s">
        <v>235</v>
      </c>
      <c r="I303" s="33"/>
      <c r="J303" s="56">
        <f>SUM(K296:K302)</f>
        <v>2413.3999999999996</v>
      </c>
      <c r="L303" s="54">
        <f>SUM(J303+L302)</f>
        <v>2999.9999999999995</v>
      </c>
      <c r="M303" s="33"/>
      <c r="N303" s="33"/>
    </row>
    <row r="304" spans="1:14" ht="15.75" x14ac:dyDescent="0.25">
      <c r="A304" s="37">
        <v>46190</v>
      </c>
      <c r="B304" s="33">
        <v>2026</v>
      </c>
      <c r="C304" s="34" t="s">
        <v>314</v>
      </c>
      <c r="D304" s="33" t="s">
        <v>23</v>
      </c>
      <c r="E304" s="38">
        <v>4073015967</v>
      </c>
      <c r="F304" s="35" t="s">
        <v>237</v>
      </c>
      <c r="G304" s="33" t="s">
        <v>340</v>
      </c>
      <c r="I304" s="33"/>
      <c r="J304" s="56"/>
      <c r="K304" s="55">
        <v>150</v>
      </c>
      <c r="L304" s="54">
        <f t="shared" ref="L304:L306" si="15">J304+L303-K304</f>
        <v>2849.9999999999995</v>
      </c>
      <c r="M304" s="33"/>
      <c r="N304" s="33"/>
    </row>
    <row r="305" spans="1:14" ht="15.75" x14ac:dyDescent="0.25">
      <c r="A305" s="37">
        <v>46190</v>
      </c>
      <c r="B305" s="33">
        <v>2026</v>
      </c>
      <c r="C305" s="34" t="s">
        <v>314</v>
      </c>
      <c r="D305" s="33" t="s">
        <v>23</v>
      </c>
      <c r="E305" s="38">
        <v>2341097330</v>
      </c>
      <c r="F305" s="35" t="s">
        <v>341</v>
      </c>
      <c r="G305" s="33" t="s">
        <v>350</v>
      </c>
      <c r="I305" s="33"/>
      <c r="J305" s="56"/>
      <c r="K305" s="55">
        <v>55</v>
      </c>
      <c r="L305" s="54">
        <f t="shared" si="15"/>
        <v>2794.9999999999995</v>
      </c>
      <c r="M305" s="33"/>
      <c r="N305" s="33"/>
    </row>
    <row r="306" spans="1:14" ht="15.75" x14ac:dyDescent="0.25">
      <c r="A306" s="37">
        <v>46190</v>
      </c>
      <c r="B306" s="33">
        <v>2026</v>
      </c>
      <c r="C306" s="34" t="s">
        <v>314</v>
      </c>
      <c r="D306" s="33" t="s">
        <v>23</v>
      </c>
      <c r="E306" s="38">
        <v>106515272</v>
      </c>
      <c r="F306" s="35" t="s">
        <v>79</v>
      </c>
      <c r="G306" s="33" t="s">
        <v>349</v>
      </c>
      <c r="I306" s="33"/>
      <c r="J306" s="56"/>
      <c r="K306" s="55">
        <v>75</v>
      </c>
      <c r="L306" s="54">
        <f t="shared" si="15"/>
        <v>2719.9999999999995</v>
      </c>
      <c r="M306" s="33"/>
      <c r="N306" s="33"/>
    </row>
    <row r="307" spans="1:14" ht="15.75" x14ac:dyDescent="0.25">
      <c r="A307" s="37">
        <v>46190</v>
      </c>
      <c r="B307" s="33">
        <v>2026</v>
      </c>
      <c r="C307" s="34" t="s">
        <v>314</v>
      </c>
      <c r="D307" s="33" t="s">
        <v>23</v>
      </c>
      <c r="E307" s="38">
        <v>2228438896</v>
      </c>
      <c r="F307" s="35" t="s">
        <v>322</v>
      </c>
      <c r="G307" s="33" t="s">
        <v>348</v>
      </c>
      <c r="I307" s="33"/>
      <c r="J307" s="56"/>
      <c r="K307" s="55">
        <v>100</v>
      </c>
      <c r="L307" s="54">
        <f t="shared" ref="L307:L312" si="16">J307+L306-K307</f>
        <v>2619.9999999999995</v>
      </c>
      <c r="M307" s="33"/>
      <c r="N307" s="33"/>
    </row>
    <row r="308" spans="1:14" ht="15.75" x14ac:dyDescent="0.25">
      <c r="A308" s="37">
        <v>46190</v>
      </c>
      <c r="B308" s="33">
        <v>2026</v>
      </c>
      <c r="C308" s="34" t="s">
        <v>314</v>
      </c>
      <c r="D308" s="33" t="s">
        <v>23</v>
      </c>
      <c r="E308" s="38">
        <v>841761922</v>
      </c>
      <c r="F308" s="35" t="s">
        <v>30</v>
      </c>
      <c r="G308" s="33" t="s">
        <v>347</v>
      </c>
      <c r="I308" s="33"/>
      <c r="J308" s="56"/>
      <c r="K308" s="55">
        <v>50</v>
      </c>
      <c r="L308" s="54">
        <f t="shared" si="16"/>
        <v>2569.9999999999995</v>
      </c>
      <c r="M308" s="33"/>
      <c r="N308" s="33"/>
    </row>
    <row r="309" spans="1:14" ht="15.75" x14ac:dyDescent="0.25">
      <c r="A309" s="37">
        <v>46190</v>
      </c>
      <c r="B309" s="33">
        <v>2026</v>
      </c>
      <c r="C309" s="34" t="s">
        <v>314</v>
      </c>
      <c r="D309" s="33" t="s">
        <v>23</v>
      </c>
      <c r="E309" s="38">
        <v>3101443804</v>
      </c>
      <c r="F309" s="35" t="s">
        <v>30</v>
      </c>
      <c r="G309" s="33" t="s">
        <v>346</v>
      </c>
      <c r="I309" s="33"/>
      <c r="J309" s="56"/>
      <c r="K309" s="55">
        <v>65</v>
      </c>
      <c r="L309" s="54">
        <f t="shared" si="16"/>
        <v>2504.9999999999995</v>
      </c>
      <c r="M309" s="33"/>
      <c r="N309" s="33"/>
    </row>
    <row r="310" spans="1:14" ht="15.75" x14ac:dyDescent="0.25">
      <c r="A310" s="37">
        <v>46190</v>
      </c>
      <c r="B310" s="33">
        <v>2026</v>
      </c>
      <c r="C310" s="34" t="s">
        <v>314</v>
      </c>
      <c r="D310" s="33" t="s">
        <v>23</v>
      </c>
      <c r="E310" s="38">
        <v>147080223</v>
      </c>
      <c r="F310" s="35" t="s">
        <v>322</v>
      </c>
      <c r="G310" s="33" t="s">
        <v>345</v>
      </c>
      <c r="I310" s="33"/>
      <c r="J310" s="56"/>
      <c r="K310" s="55">
        <v>120</v>
      </c>
      <c r="L310" s="54">
        <f t="shared" si="16"/>
        <v>2384.9999999999995</v>
      </c>
      <c r="M310" s="33"/>
      <c r="N310" s="33"/>
    </row>
    <row r="311" spans="1:14" ht="15.75" x14ac:dyDescent="0.25">
      <c r="A311" s="37">
        <v>46190</v>
      </c>
      <c r="B311" s="33">
        <v>2026</v>
      </c>
      <c r="C311" s="34" t="s">
        <v>314</v>
      </c>
      <c r="D311" s="33" t="s">
        <v>23</v>
      </c>
      <c r="E311" s="38">
        <v>4012130987</v>
      </c>
      <c r="F311" s="35" t="s">
        <v>342</v>
      </c>
      <c r="G311" s="33" t="s">
        <v>344</v>
      </c>
      <c r="I311" s="33"/>
      <c r="J311" s="56"/>
      <c r="K311" s="55">
        <v>114</v>
      </c>
      <c r="L311" s="54">
        <f t="shared" si="16"/>
        <v>2270.9999999999995</v>
      </c>
      <c r="M311" s="33"/>
      <c r="N311" s="33"/>
    </row>
    <row r="312" spans="1:14" ht="15.75" x14ac:dyDescent="0.25">
      <c r="A312" s="37">
        <v>46190</v>
      </c>
      <c r="B312" s="33">
        <v>2026</v>
      </c>
      <c r="C312" s="34" t="s">
        <v>314</v>
      </c>
      <c r="D312" s="33" t="s">
        <v>23</v>
      </c>
      <c r="E312" s="38">
        <v>4012130987</v>
      </c>
      <c r="F312" s="35" t="s">
        <v>30</v>
      </c>
      <c r="G312" s="33" t="s">
        <v>343</v>
      </c>
      <c r="I312" s="33"/>
      <c r="J312" s="56"/>
      <c r="K312" s="55">
        <v>550</v>
      </c>
      <c r="L312" s="54">
        <f t="shared" si="16"/>
        <v>1720.9999999999995</v>
      </c>
      <c r="M312" s="33"/>
      <c r="N312" s="33"/>
    </row>
    <row r="313" spans="1:14" ht="15.75" x14ac:dyDescent="0.25">
      <c r="A313" s="37">
        <v>46192</v>
      </c>
      <c r="B313" s="33">
        <v>2026</v>
      </c>
      <c r="C313" s="34" t="s">
        <v>314</v>
      </c>
      <c r="D313" s="33" t="s">
        <v>23</v>
      </c>
      <c r="E313" s="38">
        <v>121325248</v>
      </c>
      <c r="F313" s="35" t="s">
        <v>352</v>
      </c>
      <c r="G313" s="33" t="s">
        <v>353</v>
      </c>
      <c r="I313" s="33"/>
      <c r="J313" s="56"/>
      <c r="K313" s="55">
        <v>780</v>
      </c>
      <c r="L313" s="54">
        <f t="shared" ref="L313:L316" si="17">J313+L312-K313</f>
        <v>940.99999999999955</v>
      </c>
      <c r="M313" s="33"/>
      <c r="N313" s="33"/>
    </row>
    <row r="314" spans="1:14" ht="15.75" x14ac:dyDescent="0.25">
      <c r="A314" s="37">
        <v>46193</v>
      </c>
      <c r="B314" s="33">
        <v>2026</v>
      </c>
      <c r="C314" s="34" t="s">
        <v>314</v>
      </c>
      <c r="D314" s="33" t="s">
        <v>23</v>
      </c>
      <c r="E314" s="38">
        <v>8346199860</v>
      </c>
      <c r="F314" s="35" t="s">
        <v>114</v>
      </c>
      <c r="G314" s="33" t="s">
        <v>351</v>
      </c>
      <c r="I314" s="33"/>
      <c r="J314" s="56"/>
      <c r="K314" s="55">
        <v>320</v>
      </c>
      <c r="L314" s="54">
        <f t="shared" si="17"/>
        <v>620.99999999999955</v>
      </c>
      <c r="M314" s="33"/>
      <c r="N314" s="33"/>
    </row>
    <row r="315" spans="1:14" ht="15.75" x14ac:dyDescent="0.25">
      <c r="A315" s="37">
        <v>46193</v>
      </c>
      <c r="B315" s="33">
        <v>2026</v>
      </c>
      <c r="C315" s="34" t="s">
        <v>314</v>
      </c>
      <c r="D315" s="33" t="s">
        <v>23</v>
      </c>
      <c r="E315" s="38">
        <v>162283665</v>
      </c>
      <c r="F315" s="35" t="s">
        <v>316</v>
      </c>
      <c r="G315" s="33" t="s">
        <v>354</v>
      </c>
      <c r="I315" s="33"/>
      <c r="J315" s="56"/>
      <c r="K315" s="55">
        <v>66</v>
      </c>
      <c r="L315" s="54">
        <f t="shared" si="17"/>
        <v>554.99999999999955</v>
      </c>
      <c r="M315" s="33"/>
      <c r="N315" s="33"/>
    </row>
    <row r="316" spans="1:14" ht="15.75" x14ac:dyDescent="0.25">
      <c r="A316" s="37">
        <v>46195</v>
      </c>
      <c r="B316" s="33">
        <v>2026</v>
      </c>
      <c r="C316" s="34" t="s">
        <v>314</v>
      </c>
      <c r="D316" s="33" t="s">
        <v>23</v>
      </c>
      <c r="E316" s="38">
        <v>1166233581</v>
      </c>
      <c r="F316" s="35" t="s">
        <v>30</v>
      </c>
      <c r="G316" s="33" t="s">
        <v>355</v>
      </c>
      <c r="I316" s="33"/>
      <c r="J316" s="56"/>
      <c r="K316" s="55">
        <v>220</v>
      </c>
      <c r="L316" s="54">
        <f t="shared" si="17"/>
        <v>334.99999999999955</v>
      </c>
      <c r="M316" s="33"/>
      <c r="N316" s="33"/>
    </row>
    <row r="317" spans="1:14" ht="15.75" x14ac:dyDescent="0.25">
      <c r="A317" s="37">
        <v>46195</v>
      </c>
      <c r="B317" s="33">
        <v>2026</v>
      </c>
      <c r="C317" s="34" t="s">
        <v>314</v>
      </c>
      <c r="D317" s="33" t="s">
        <v>257</v>
      </c>
      <c r="E317" s="38">
        <v>3334</v>
      </c>
      <c r="F317" s="53" t="s">
        <v>228</v>
      </c>
      <c r="G317" s="33" t="s">
        <v>235</v>
      </c>
      <c r="I317" s="33"/>
      <c r="J317" s="56">
        <f>SUM(K304:K316)</f>
        <v>2665</v>
      </c>
      <c r="L317" s="54">
        <f>SUM(J317+L316)</f>
        <v>2999.9999999999995</v>
      </c>
      <c r="M317" s="33"/>
      <c r="N317" s="33"/>
    </row>
    <row r="318" spans="1:14" ht="15.75" x14ac:dyDescent="0.25">
      <c r="A318" s="37">
        <v>46195</v>
      </c>
      <c r="B318" s="33">
        <v>2026</v>
      </c>
      <c r="C318" s="34" t="s">
        <v>314</v>
      </c>
      <c r="D318" s="33" t="s">
        <v>23</v>
      </c>
      <c r="E318" s="38">
        <v>2244953740</v>
      </c>
      <c r="F318" s="35" t="s">
        <v>368</v>
      </c>
      <c r="G318" s="33" t="s">
        <v>369</v>
      </c>
      <c r="I318" s="33"/>
      <c r="J318" s="56"/>
      <c r="K318" s="55">
        <v>35</v>
      </c>
      <c r="L318" s="54">
        <f>J318+L317-K318</f>
        <v>2964.9999999999995</v>
      </c>
      <c r="M318" s="33"/>
      <c r="N318" s="33"/>
    </row>
    <row r="319" spans="1:14" ht="15.75" x14ac:dyDescent="0.25">
      <c r="A319" s="37">
        <v>46196</v>
      </c>
      <c r="B319" s="33">
        <v>2026</v>
      </c>
      <c r="C319" s="34" t="s">
        <v>314</v>
      </c>
      <c r="D319" s="33" t="s">
        <v>23</v>
      </c>
      <c r="E319" s="38">
        <v>370362188</v>
      </c>
      <c r="F319" s="35" t="s">
        <v>381</v>
      </c>
      <c r="G319" s="33" t="s">
        <v>380</v>
      </c>
      <c r="I319" s="33"/>
      <c r="J319" s="56"/>
      <c r="K319" s="55">
        <v>150</v>
      </c>
      <c r="L319" s="54">
        <f t="shared" ref="L319:L320" si="18">J319+L318-K319</f>
        <v>2814.9999999999995</v>
      </c>
      <c r="M319" s="33"/>
      <c r="N319" s="33"/>
    </row>
    <row r="320" spans="1:14" ht="15.75" x14ac:dyDescent="0.25">
      <c r="A320" s="37">
        <v>46197</v>
      </c>
      <c r="B320" s="33">
        <v>2026</v>
      </c>
      <c r="C320" s="34" t="s">
        <v>314</v>
      </c>
      <c r="D320" s="33" t="s">
        <v>23</v>
      </c>
      <c r="E320" s="38">
        <v>1446134612</v>
      </c>
      <c r="F320" s="35" t="s">
        <v>366</v>
      </c>
      <c r="G320" s="33" t="s">
        <v>367</v>
      </c>
      <c r="I320" s="33"/>
      <c r="J320" s="56"/>
      <c r="K320" s="55">
        <v>50</v>
      </c>
      <c r="L320" s="54">
        <f t="shared" si="18"/>
        <v>2764.9999999999995</v>
      </c>
      <c r="M320" s="33"/>
      <c r="N320" s="33"/>
    </row>
    <row r="321" spans="1:14" ht="15.75" x14ac:dyDescent="0.25">
      <c r="A321" s="37">
        <v>46199</v>
      </c>
      <c r="B321" s="33">
        <v>2026</v>
      </c>
      <c r="C321" s="34" t="s">
        <v>314</v>
      </c>
      <c r="D321" s="33" t="s">
        <v>23</v>
      </c>
      <c r="E321" s="38">
        <v>3898886682</v>
      </c>
      <c r="F321" s="35" t="s">
        <v>30</v>
      </c>
      <c r="G321" s="33" t="s">
        <v>371</v>
      </c>
      <c r="I321" s="33"/>
      <c r="J321" s="56"/>
      <c r="K321" s="55">
        <v>50</v>
      </c>
      <c r="L321" s="54">
        <f t="shared" ref="L321:L327" si="19">J321+L320-K321</f>
        <v>2714.9999999999995</v>
      </c>
      <c r="M321" s="33"/>
      <c r="N321" s="33"/>
    </row>
    <row r="322" spans="1:14" ht="15.75" x14ac:dyDescent="0.25">
      <c r="A322" s="37">
        <v>46199</v>
      </c>
      <c r="B322" s="33">
        <v>2026</v>
      </c>
      <c r="C322" s="34" t="s">
        <v>314</v>
      </c>
      <c r="D322" s="33" t="s">
        <v>23</v>
      </c>
      <c r="E322" s="38">
        <v>2799256109</v>
      </c>
      <c r="F322" s="35" t="s">
        <v>30</v>
      </c>
      <c r="G322" s="33" t="s">
        <v>370</v>
      </c>
      <c r="I322" s="33"/>
      <c r="J322" s="56"/>
      <c r="K322" s="55">
        <v>50</v>
      </c>
      <c r="L322" s="54">
        <f t="shared" si="19"/>
        <v>2664.9999999999995</v>
      </c>
      <c r="M322" s="33"/>
      <c r="N322" s="33"/>
    </row>
    <row r="323" spans="1:14" ht="15.75" x14ac:dyDescent="0.25">
      <c r="A323" s="37">
        <v>46199</v>
      </c>
      <c r="B323" s="33">
        <v>2026</v>
      </c>
      <c r="C323" s="34" t="s">
        <v>314</v>
      </c>
      <c r="D323" s="33" t="s">
        <v>23</v>
      </c>
      <c r="E323" s="38">
        <v>906118356</v>
      </c>
      <c r="F323" s="35" t="s">
        <v>372</v>
      </c>
      <c r="G323" s="33" t="s">
        <v>374</v>
      </c>
      <c r="I323" s="33"/>
      <c r="J323" s="56"/>
      <c r="K323" s="55">
        <v>345</v>
      </c>
      <c r="L323" s="54">
        <f t="shared" si="19"/>
        <v>2319.9999999999995</v>
      </c>
      <c r="M323" s="33"/>
      <c r="N323" s="33"/>
    </row>
    <row r="324" spans="1:14" ht="15.75" x14ac:dyDescent="0.25">
      <c r="A324" s="37">
        <v>46199</v>
      </c>
      <c r="B324" s="33">
        <v>2026</v>
      </c>
      <c r="C324" s="34" t="s">
        <v>314</v>
      </c>
      <c r="D324" s="33" t="s">
        <v>23</v>
      </c>
      <c r="E324" s="38">
        <v>1330335142</v>
      </c>
      <c r="F324" s="35" t="s">
        <v>30</v>
      </c>
      <c r="G324" s="33" t="s">
        <v>373</v>
      </c>
      <c r="I324" s="33"/>
      <c r="J324" s="56"/>
      <c r="K324" s="55">
        <v>210</v>
      </c>
      <c r="L324" s="54">
        <f t="shared" si="19"/>
        <v>2109.9999999999995</v>
      </c>
      <c r="M324" s="33"/>
      <c r="N324" s="33"/>
    </row>
    <row r="325" spans="1:14" ht="15.75" x14ac:dyDescent="0.25">
      <c r="A325" s="37">
        <v>46200</v>
      </c>
      <c r="B325" s="33">
        <v>2026</v>
      </c>
      <c r="C325" s="34" t="s">
        <v>314</v>
      </c>
      <c r="D325" s="33" t="s">
        <v>23</v>
      </c>
      <c r="E325" s="38">
        <v>542261729</v>
      </c>
      <c r="F325" s="35" t="s">
        <v>273</v>
      </c>
      <c r="G325" s="33" t="s">
        <v>375</v>
      </c>
      <c r="I325" s="33"/>
      <c r="J325" s="56"/>
      <c r="K325" s="55">
        <v>300</v>
      </c>
      <c r="L325" s="54">
        <f t="shared" si="19"/>
        <v>1809.9999999999995</v>
      </c>
      <c r="M325" s="33"/>
      <c r="N325" s="33"/>
    </row>
    <row r="326" spans="1:14" ht="15.75" x14ac:dyDescent="0.25">
      <c r="A326" s="37">
        <v>46200</v>
      </c>
      <c r="B326" s="33">
        <v>2026</v>
      </c>
      <c r="C326" s="34" t="s">
        <v>314</v>
      </c>
      <c r="D326" s="33" t="s">
        <v>23</v>
      </c>
      <c r="E326" s="38">
        <v>1486111747</v>
      </c>
      <c r="F326" s="35" t="s">
        <v>376</v>
      </c>
      <c r="G326" s="33" t="s">
        <v>377</v>
      </c>
      <c r="I326" s="33"/>
      <c r="J326" s="56"/>
      <c r="K326" s="55">
        <v>300</v>
      </c>
      <c r="L326" s="54">
        <f t="shared" si="19"/>
        <v>1509.9999999999995</v>
      </c>
      <c r="M326" s="33"/>
      <c r="N326" s="33"/>
    </row>
    <row r="327" spans="1:14" ht="15.75" x14ac:dyDescent="0.25">
      <c r="A327" s="37">
        <v>46200</v>
      </c>
      <c r="B327" s="33">
        <v>2026</v>
      </c>
      <c r="C327" s="34" t="s">
        <v>314</v>
      </c>
      <c r="D327" s="33" t="s">
        <v>23</v>
      </c>
      <c r="E327" s="38">
        <v>42855154443</v>
      </c>
      <c r="F327" s="35" t="s">
        <v>30</v>
      </c>
      <c r="G327" s="33" t="s">
        <v>378</v>
      </c>
      <c r="I327" s="33"/>
      <c r="J327" s="56"/>
      <c r="K327" s="55">
        <v>60</v>
      </c>
      <c r="L327" s="54">
        <f t="shared" si="19"/>
        <v>1449.9999999999995</v>
      </c>
      <c r="M327" s="33"/>
      <c r="N327" s="33"/>
    </row>
    <row r="328" spans="1:14" ht="15.75" x14ac:dyDescent="0.25">
      <c r="A328" s="37" t="s">
        <v>382</v>
      </c>
      <c r="B328" s="33">
        <v>2026</v>
      </c>
      <c r="C328" s="34" t="s">
        <v>314</v>
      </c>
      <c r="D328" s="33" t="s">
        <v>257</v>
      </c>
      <c r="E328" s="38">
        <v>3338</v>
      </c>
      <c r="F328" s="53" t="s">
        <v>228</v>
      </c>
      <c r="G328" s="33" t="s">
        <v>235</v>
      </c>
      <c r="I328" s="33"/>
      <c r="J328" s="56">
        <f>SUM(K318:K327)</f>
        <v>1550</v>
      </c>
      <c r="L328" s="54">
        <f>SUM(J328+L327)</f>
        <v>2999.9999999999995</v>
      </c>
      <c r="M328" s="33"/>
      <c r="N328" s="33"/>
    </row>
    <row r="329" spans="1:14" ht="15.75" x14ac:dyDescent="0.25">
      <c r="B329" s="33"/>
      <c r="C329" s="34"/>
      <c r="F329" s="35" t="s">
        <v>212</v>
      </c>
      <c r="I329" s="33"/>
      <c r="J329" s="56">
        <f>SUM(J284:J328)</f>
        <v>9001.4</v>
      </c>
      <c r="K329" s="56">
        <f>SUM(K284:K328)</f>
        <v>9001.4</v>
      </c>
      <c r="L329" s="54" t="s">
        <v>379</v>
      </c>
      <c r="M329" s="33"/>
      <c r="N329" s="33"/>
    </row>
    <row r="330" spans="1:14" ht="17.25" x14ac:dyDescent="0.25">
      <c r="B330" s="33"/>
      <c r="C330" s="34"/>
      <c r="F330" s="48"/>
      <c r="I330" s="33"/>
      <c r="M330" s="33"/>
      <c r="N330" s="33"/>
    </row>
    <row r="331" spans="1:14" ht="15.75" x14ac:dyDescent="0.25">
      <c r="B331" s="33"/>
      <c r="C331" s="34"/>
      <c r="F331" s="60" t="s">
        <v>190</v>
      </c>
      <c r="I331" s="33"/>
      <c r="M331" s="33"/>
      <c r="N331" s="33"/>
    </row>
    <row r="332" spans="1:14" ht="15.75" x14ac:dyDescent="0.25">
      <c r="B332" s="33"/>
      <c r="C332" s="34"/>
      <c r="F332" t="s">
        <v>196</v>
      </c>
      <c r="I332" s="33"/>
      <c r="K332" s="55">
        <f>SUM(K300,K302,K313,K318)</f>
        <v>2380.6</v>
      </c>
      <c r="M332" s="33"/>
      <c r="N332" s="33"/>
    </row>
    <row r="333" spans="1:14" ht="15.75" x14ac:dyDescent="0.25">
      <c r="B333" s="33"/>
      <c r="C333" s="34"/>
      <c r="F333" t="s">
        <v>192</v>
      </c>
      <c r="I333" s="33"/>
      <c r="M333" s="33"/>
      <c r="N333" s="33"/>
    </row>
    <row r="334" spans="1:14" ht="15.75" x14ac:dyDescent="0.25">
      <c r="B334" s="33"/>
      <c r="C334" s="34"/>
      <c r="F334" t="s">
        <v>193</v>
      </c>
      <c r="I334" s="33"/>
      <c r="K334" s="55">
        <f>SUM(K284,K287,K291,K294,K293,K296,K299,K301,K306,K312,K309,K308,K315,K286,K316,K327,K324,K322,K321,K320)</f>
        <v>2876</v>
      </c>
      <c r="M334" s="33"/>
      <c r="N334" s="33"/>
    </row>
    <row r="335" spans="1:14" ht="15.75" x14ac:dyDescent="0.25">
      <c r="B335" s="33"/>
      <c r="C335" s="34"/>
      <c r="F335" t="s">
        <v>200</v>
      </c>
      <c r="I335" s="33"/>
      <c r="M335" s="33"/>
      <c r="N335" s="33"/>
    </row>
    <row r="336" spans="1:14" ht="15.75" x14ac:dyDescent="0.25">
      <c r="B336" s="33"/>
      <c r="C336" s="34"/>
      <c r="F336" t="s">
        <v>194</v>
      </c>
      <c r="I336" s="33"/>
      <c r="K336" s="55">
        <f>SUM(K289,K285,K290,K292,K298,K305,K311,K310,K307,K314,K319)</f>
        <v>1744.8</v>
      </c>
      <c r="M336" s="33"/>
      <c r="N336" s="33"/>
    </row>
    <row r="337" spans="1:14" ht="15.75" x14ac:dyDescent="0.25">
      <c r="B337" s="33"/>
      <c r="C337" s="34"/>
      <c r="F337" t="s">
        <v>188</v>
      </c>
      <c r="I337" s="33"/>
      <c r="K337" s="55">
        <f>SUM(K326+K325+K323)</f>
        <v>945</v>
      </c>
      <c r="M337" s="33"/>
      <c r="N337" s="33"/>
    </row>
    <row r="338" spans="1:14" ht="15.75" x14ac:dyDescent="0.25">
      <c r="B338" s="33"/>
      <c r="C338" s="34"/>
      <c r="F338" t="s">
        <v>195</v>
      </c>
      <c r="I338" s="33"/>
      <c r="K338" s="55">
        <f>SUM(K288)</f>
        <v>840</v>
      </c>
      <c r="M338" s="33"/>
      <c r="N338" s="33"/>
    </row>
    <row r="339" spans="1:14" ht="15.75" x14ac:dyDescent="0.25">
      <c r="B339" s="33"/>
      <c r="C339" s="34"/>
      <c r="F339" t="s">
        <v>189</v>
      </c>
      <c r="I339" s="33"/>
      <c r="K339" s="55">
        <f>SUM(K304)</f>
        <v>150</v>
      </c>
      <c r="M339" s="33"/>
      <c r="N339" s="33"/>
    </row>
    <row r="340" spans="1:14" ht="15.75" x14ac:dyDescent="0.25">
      <c r="B340" s="33"/>
      <c r="C340" s="34"/>
      <c r="F340" s="75" t="s">
        <v>191</v>
      </c>
      <c r="I340" s="33"/>
      <c r="M340" s="33"/>
      <c r="N340" s="33"/>
    </row>
    <row r="341" spans="1:14" ht="15.75" x14ac:dyDescent="0.25">
      <c r="B341" s="33"/>
      <c r="C341" s="34"/>
      <c r="F341" s="75" t="s">
        <v>202</v>
      </c>
      <c r="I341" s="33"/>
      <c r="K341" s="55">
        <f>SUM(K297)</f>
        <v>65</v>
      </c>
      <c r="M341" s="33"/>
      <c r="N341" s="33"/>
    </row>
    <row r="342" spans="1:14" ht="15.75" x14ac:dyDescent="0.25">
      <c r="B342" s="33"/>
      <c r="C342" s="34"/>
      <c r="F342" s="35" t="s">
        <v>201</v>
      </c>
      <c r="I342" s="33"/>
      <c r="M342" s="33"/>
      <c r="N342" s="33"/>
    </row>
    <row r="343" spans="1:14" ht="15.75" x14ac:dyDescent="0.25">
      <c r="B343" s="33"/>
      <c r="C343" s="34"/>
      <c r="F343" s="35" t="s">
        <v>203</v>
      </c>
      <c r="I343" s="33"/>
      <c r="M343" s="33"/>
      <c r="N343" s="33"/>
    </row>
    <row r="344" spans="1:14" ht="15.75" x14ac:dyDescent="0.25">
      <c r="B344" s="33"/>
      <c r="C344" s="34"/>
      <c r="F344" s="53" t="s">
        <v>271</v>
      </c>
      <c r="I344" s="33"/>
      <c r="L344" s="54">
        <f>SUM(K331:K343)</f>
        <v>9001.4000000000015</v>
      </c>
      <c r="M344" s="33"/>
      <c r="N344" s="59">
        <f>K329-L344</f>
        <v>0</v>
      </c>
    </row>
    <row r="345" spans="1:14" ht="15.75" x14ac:dyDescent="0.25">
      <c r="B345" s="33"/>
      <c r="C345" s="34"/>
      <c r="F345" s="35"/>
      <c r="I345" s="33"/>
      <c r="M345" s="33"/>
      <c r="N345" s="33"/>
    </row>
    <row r="346" spans="1:14" ht="15.75" x14ac:dyDescent="0.25">
      <c r="A346" s="54"/>
      <c r="B346" s="33"/>
      <c r="C346" s="33"/>
      <c r="E346" s="33"/>
      <c r="I346" s="33"/>
      <c r="J346" s="33"/>
      <c r="K346" s="33"/>
      <c r="L346" s="33"/>
      <c r="M346" s="33"/>
      <c r="N346" s="33"/>
    </row>
    <row r="347" spans="1:14" ht="16.5" x14ac:dyDescent="0.3">
      <c r="A347" s="1"/>
      <c r="B347" s="1"/>
      <c r="C347" s="1"/>
      <c r="D347" s="1"/>
      <c r="E347" s="1"/>
      <c r="F347" s="1"/>
      <c r="G347" s="1"/>
      <c r="H347" s="1"/>
      <c r="I347" s="1"/>
      <c r="J347" s="1"/>
      <c r="K347" s="1" t="s">
        <v>379</v>
      </c>
      <c r="M347" s="33"/>
      <c r="N347" s="33"/>
    </row>
    <row r="348" spans="1:14" ht="15.75" x14ac:dyDescent="0.25">
      <c r="A348" s="95"/>
      <c r="B348" s="95"/>
      <c r="C348" s="95"/>
      <c r="D348" s="95"/>
      <c r="E348" s="95"/>
      <c r="F348" s="96" t="s">
        <v>313</v>
      </c>
      <c r="G348" s="95"/>
      <c r="H348" s="95"/>
      <c r="I348" s="95"/>
      <c r="J348" s="95"/>
      <c r="K348" s="97"/>
      <c r="L348" s="54">
        <f>L328</f>
        <v>2999.9999999999995</v>
      </c>
      <c r="M348" s="33"/>
      <c r="N348" s="33"/>
    </row>
    <row r="349" spans="1:14" ht="15.75" x14ac:dyDescent="0.25">
      <c r="A349" s="102">
        <v>46205</v>
      </c>
      <c r="B349" s="33">
        <v>2026</v>
      </c>
      <c r="C349" s="34" t="s">
        <v>383</v>
      </c>
      <c r="D349" s="33" t="s">
        <v>23</v>
      </c>
      <c r="E349" s="38">
        <v>76631335</v>
      </c>
      <c r="F349" s="35" t="s">
        <v>231</v>
      </c>
      <c r="G349" s="82" t="s">
        <v>384</v>
      </c>
      <c r="H349" s="77"/>
      <c r="I349" s="95"/>
      <c r="J349" s="97"/>
      <c r="K349" s="97">
        <v>840</v>
      </c>
      <c r="L349" s="54">
        <f>L348+J349-K349</f>
        <v>2159.9999999999995</v>
      </c>
      <c r="M349" s="33"/>
      <c r="N349" s="33"/>
    </row>
    <row r="350" spans="1:14" ht="15.75" x14ac:dyDescent="0.25">
      <c r="A350" s="102">
        <v>46206</v>
      </c>
      <c r="B350" s="33">
        <v>2026</v>
      </c>
      <c r="C350" s="92" t="s">
        <v>383</v>
      </c>
      <c r="D350" s="33" t="s">
        <v>23</v>
      </c>
      <c r="E350" s="78">
        <v>1147880843</v>
      </c>
      <c r="F350" s="35" t="s">
        <v>30</v>
      </c>
      <c r="G350" s="93" t="s">
        <v>385</v>
      </c>
      <c r="H350" s="78"/>
      <c r="I350" s="98"/>
      <c r="J350" s="97"/>
      <c r="K350" s="97">
        <v>225</v>
      </c>
      <c r="L350" s="54">
        <f t="shared" ref="L350:L358" si="20">L349+J350-K350</f>
        <v>1934.9999999999995</v>
      </c>
      <c r="M350" s="33"/>
      <c r="N350" s="33"/>
    </row>
    <row r="351" spans="1:14" ht="15.75" x14ac:dyDescent="0.25">
      <c r="A351" s="102">
        <v>46207</v>
      </c>
      <c r="B351" s="33">
        <v>2026</v>
      </c>
      <c r="C351" s="92" t="s">
        <v>383</v>
      </c>
      <c r="D351" s="33" t="s">
        <v>23</v>
      </c>
      <c r="E351" s="78">
        <v>1713062148</v>
      </c>
      <c r="F351" s="78" t="s">
        <v>386</v>
      </c>
      <c r="G351" s="93" t="s">
        <v>387</v>
      </c>
      <c r="H351" s="78"/>
      <c r="I351" s="98"/>
      <c r="J351" s="97"/>
      <c r="K351" s="97">
        <v>37</v>
      </c>
      <c r="L351" s="54">
        <f t="shared" si="20"/>
        <v>1897.9999999999995</v>
      </c>
      <c r="M351" s="33"/>
      <c r="N351" s="33"/>
    </row>
    <row r="352" spans="1:14" ht="15.75" x14ac:dyDescent="0.25">
      <c r="A352" s="102">
        <v>46207</v>
      </c>
      <c r="B352" s="33">
        <v>2026</v>
      </c>
      <c r="C352" s="92" t="s">
        <v>383</v>
      </c>
      <c r="D352" s="33" t="s">
        <v>23</v>
      </c>
      <c r="E352" s="78">
        <v>3601351435</v>
      </c>
      <c r="F352" s="78" t="s">
        <v>388</v>
      </c>
      <c r="G352" s="93" t="s">
        <v>389</v>
      </c>
      <c r="H352" s="78"/>
      <c r="I352" s="98"/>
      <c r="J352" s="97"/>
      <c r="K352" s="97">
        <v>520</v>
      </c>
      <c r="L352" s="54">
        <f t="shared" si="20"/>
        <v>1377.9999999999995</v>
      </c>
      <c r="M352" s="33"/>
      <c r="N352" s="33"/>
    </row>
    <row r="353" spans="1:14" ht="15.75" x14ac:dyDescent="0.25">
      <c r="A353" s="102">
        <v>46212</v>
      </c>
      <c r="B353" s="33">
        <v>2026</v>
      </c>
      <c r="C353" s="92" t="s">
        <v>383</v>
      </c>
      <c r="D353" s="33" t="s">
        <v>23</v>
      </c>
      <c r="E353" s="78">
        <v>2514045120</v>
      </c>
      <c r="F353" s="78" t="s">
        <v>78</v>
      </c>
      <c r="G353" s="93" t="s">
        <v>390</v>
      </c>
      <c r="H353" s="78"/>
      <c r="I353" s="98"/>
      <c r="J353" s="97"/>
      <c r="K353" s="97">
        <v>480</v>
      </c>
      <c r="L353" s="54">
        <f t="shared" si="20"/>
        <v>897.99999999999955</v>
      </c>
      <c r="M353" s="33"/>
      <c r="N353" s="33"/>
    </row>
    <row r="354" spans="1:14" ht="15.75" x14ac:dyDescent="0.25">
      <c r="A354" s="102">
        <v>46212</v>
      </c>
      <c r="B354" s="33">
        <v>2026</v>
      </c>
      <c r="C354" s="92" t="s">
        <v>383</v>
      </c>
      <c r="D354" s="33" t="s">
        <v>23</v>
      </c>
      <c r="E354" s="78">
        <v>1369329213</v>
      </c>
      <c r="F354" s="78" t="s">
        <v>30</v>
      </c>
      <c r="G354" s="93" t="s">
        <v>391</v>
      </c>
      <c r="H354" s="78"/>
      <c r="I354" s="98"/>
      <c r="J354" s="97"/>
      <c r="K354" s="97">
        <v>250</v>
      </c>
      <c r="L354" s="54">
        <f t="shared" si="20"/>
        <v>647.99999999999955</v>
      </c>
      <c r="M354" s="33"/>
      <c r="N354" s="33"/>
    </row>
    <row r="355" spans="1:14" ht="15.75" x14ac:dyDescent="0.25">
      <c r="A355" s="103">
        <v>46216</v>
      </c>
      <c r="B355" s="78">
        <v>2026</v>
      </c>
      <c r="C355" s="92" t="s">
        <v>383</v>
      </c>
      <c r="D355" s="77" t="s">
        <v>23</v>
      </c>
      <c r="E355" s="78">
        <v>4207690248</v>
      </c>
      <c r="F355" s="35" t="s">
        <v>237</v>
      </c>
      <c r="G355" s="93" t="s">
        <v>393</v>
      </c>
      <c r="H355" s="78"/>
      <c r="I355" s="98"/>
      <c r="J355" s="97"/>
      <c r="K355" s="97">
        <v>145</v>
      </c>
      <c r="L355" s="54">
        <f t="shared" si="20"/>
        <v>502.99999999999955</v>
      </c>
      <c r="M355" s="33"/>
      <c r="N355" s="33"/>
    </row>
    <row r="356" spans="1:14" ht="15.75" x14ac:dyDescent="0.25">
      <c r="A356" s="103">
        <v>46219</v>
      </c>
      <c r="B356" s="78">
        <v>2026</v>
      </c>
      <c r="C356" s="92" t="s">
        <v>383</v>
      </c>
      <c r="D356" s="77" t="s">
        <v>23</v>
      </c>
      <c r="E356" s="78">
        <v>997411997</v>
      </c>
      <c r="F356" s="35" t="s">
        <v>394</v>
      </c>
      <c r="G356" s="93" t="s">
        <v>395</v>
      </c>
      <c r="H356" s="78"/>
      <c r="I356" s="98"/>
      <c r="J356" s="97"/>
      <c r="K356" s="97">
        <v>55</v>
      </c>
      <c r="L356" s="54">
        <f t="shared" si="20"/>
        <v>447.99999999999955</v>
      </c>
      <c r="M356" s="33"/>
      <c r="N356" s="33"/>
    </row>
    <row r="357" spans="1:14" ht="15.75" x14ac:dyDescent="0.25">
      <c r="A357" s="103">
        <v>46219</v>
      </c>
      <c r="B357" s="78">
        <v>2026</v>
      </c>
      <c r="C357" s="92" t="s">
        <v>383</v>
      </c>
      <c r="D357" s="77" t="s">
        <v>23</v>
      </c>
      <c r="E357" s="78">
        <v>879512030</v>
      </c>
      <c r="F357" s="35" t="s">
        <v>397</v>
      </c>
      <c r="G357" s="93" t="s">
        <v>396</v>
      </c>
      <c r="H357" s="78"/>
      <c r="I357" s="98"/>
      <c r="J357" s="97"/>
      <c r="K357" s="97">
        <v>115</v>
      </c>
      <c r="L357" s="54">
        <f t="shared" si="20"/>
        <v>332.99999999999955</v>
      </c>
      <c r="M357" s="33"/>
      <c r="N357" s="33"/>
    </row>
    <row r="358" spans="1:14" ht="15.75" x14ac:dyDescent="0.25">
      <c r="A358" s="94">
        <v>46219</v>
      </c>
      <c r="B358" s="78">
        <v>2026</v>
      </c>
      <c r="C358" s="92" t="s">
        <v>383</v>
      </c>
      <c r="D358" s="77" t="s">
        <v>257</v>
      </c>
      <c r="E358" s="78">
        <v>3360</v>
      </c>
      <c r="F358" s="53" t="s">
        <v>228</v>
      </c>
      <c r="G358" s="33" t="s">
        <v>235</v>
      </c>
      <c r="I358" s="33"/>
      <c r="J358" s="99">
        <f>SUM(K349:K357)</f>
        <v>2667</v>
      </c>
      <c r="K358" s="97"/>
      <c r="L358" s="54">
        <f t="shared" si="20"/>
        <v>2999.9999999999995</v>
      </c>
      <c r="M358" s="33"/>
      <c r="N358" s="33"/>
    </row>
    <row r="359" spans="1:14" ht="15.75" x14ac:dyDescent="0.25">
      <c r="A359" s="94">
        <v>46223</v>
      </c>
      <c r="B359" s="78">
        <v>2026</v>
      </c>
      <c r="C359" s="92" t="s">
        <v>383</v>
      </c>
      <c r="D359" s="77" t="s">
        <v>23</v>
      </c>
      <c r="E359" s="78">
        <v>1735476275</v>
      </c>
      <c r="F359" s="35" t="s">
        <v>398</v>
      </c>
      <c r="I359" s="33"/>
      <c r="J359" s="99"/>
      <c r="K359" s="97">
        <v>900</v>
      </c>
      <c r="L359" s="54">
        <f>L358+J359-K359</f>
        <v>2099.9999999999995</v>
      </c>
      <c r="M359" s="33"/>
      <c r="N359" s="33"/>
    </row>
    <row r="360" spans="1:14" ht="15.75" x14ac:dyDescent="0.25">
      <c r="A360" s="94">
        <v>46224</v>
      </c>
      <c r="B360" s="78">
        <v>2026</v>
      </c>
      <c r="C360" s="92" t="s">
        <v>383</v>
      </c>
      <c r="D360" s="77" t="s">
        <v>23</v>
      </c>
      <c r="E360" s="78">
        <v>140135138</v>
      </c>
      <c r="F360" s="35" t="s">
        <v>388</v>
      </c>
      <c r="G360" s="33" t="s">
        <v>399</v>
      </c>
      <c r="I360" s="33"/>
      <c r="J360" s="99"/>
      <c r="K360" s="97">
        <v>100</v>
      </c>
      <c r="L360" s="54">
        <f>L359+J360-K360</f>
        <v>1999.9999999999995</v>
      </c>
      <c r="M360" s="33"/>
      <c r="N360" s="33"/>
    </row>
    <row r="361" spans="1:14" ht="15.75" x14ac:dyDescent="0.25">
      <c r="A361" s="94">
        <v>46224</v>
      </c>
      <c r="B361" s="78">
        <v>2026</v>
      </c>
      <c r="C361" s="92" t="s">
        <v>383</v>
      </c>
      <c r="D361" s="77" t="s">
        <v>23</v>
      </c>
      <c r="E361" s="78">
        <v>610353793</v>
      </c>
      <c r="F361" s="35" t="s">
        <v>388</v>
      </c>
      <c r="G361" s="33" t="s">
        <v>402</v>
      </c>
      <c r="I361" s="33"/>
      <c r="J361" s="99"/>
      <c r="K361" s="97">
        <v>110</v>
      </c>
      <c r="L361" s="54">
        <f t="shared" ref="L361:L367" si="21">L360+J361-K361</f>
        <v>1889.9999999999995</v>
      </c>
      <c r="M361" s="33"/>
      <c r="N361" s="33"/>
    </row>
    <row r="362" spans="1:14" ht="15.75" x14ac:dyDescent="0.25">
      <c r="A362" s="94">
        <v>46224</v>
      </c>
      <c r="B362" s="78">
        <v>2026</v>
      </c>
      <c r="C362" s="92" t="s">
        <v>383</v>
      </c>
      <c r="D362" s="77" t="s">
        <v>23</v>
      </c>
      <c r="E362" s="78">
        <v>1405698326</v>
      </c>
      <c r="F362" s="35" t="s">
        <v>30</v>
      </c>
      <c r="G362" s="33" t="s">
        <v>403</v>
      </c>
      <c r="I362" s="33"/>
      <c r="J362" s="99"/>
      <c r="K362" s="97">
        <v>60</v>
      </c>
      <c r="L362" s="54">
        <f t="shared" si="21"/>
        <v>1829.9999999999995</v>
      </c>
      <c r="M362" s="33"/>
      <c r="N362" s="33"/>
    </row>
    <row r="363" spans="1:14" ht="15.75" x14ac:dyDescent="0.25">
      <c r="A363" s="94">
        <v>46224</v>
      </c>
      <c r="B363" s="78">
        <v>2026</v>
      </c>
      <c r="C363" s="92" t="s">
        <v>383</v>
      </c>
      <c r="D363" s="77" t="s">
        <v>23</v>
      </c>
      <c r="E363" s="78">
        <v>58084026</v>
      </c>
      <c r="F363" s="35" t="s">
        <v>30</v>
      </c>
      <c r="G363" s="33" t="s">
        <v>404</v>
      </c>
      <c r="I363" s="33"/>
      <c r="J363" s="99"/>
      <c r="K363" s="97">
        <v>50</v>
      </c>
      <c r="L363" s="54">
        <f t="shared" si="21"/>
        <v>1779.9999999999995</v>
      </c>
      <c r="M363" s="33"/>
      <c r="N363" s="33"/>
    </row>
    <row r="364" spans="1:14" ht="15.75" x14ac:dyDescent="0.25">
      <c r="A364" s="94">
        <v>46225</v>
      </c>
      <c r="B364" s="78">
        <v>2026</v>
      </c>
      <c r="C364" s="92" t="s">
        <v>383</v>
      </c>
      <c r="D364" s="77" t="s">
        <v>23</v>
      </c>
      <c r="E364" s="78">
        <v>37569558</v>
      </c>
      <c r="F364" s="35" t="s">
        <v>406</v>
      </c>
      <c r="G364" s="33" t="s">
        <v>407</v>
      </c>
      <c r="I364" s="33"/>
      <c r="J364" s="99"/>
      <c r="K364" s="97">
        <v>454</v>
      </c>
      <c r="L364" s="54">
        <f t="shared" si="21"/>
        <v>1325.9999999999995</v>
      </c>
      <c r="M364" s="33"/>
      <c r="N364" s="33"/>
    </row>
    <row r="365" spans="1:14" ht="15.75" x14ac:dyDescent="0.25">
      <c r="A365" s="94">
        <v>46225</v>
      </c>
      <c r="B365" s="78">
        <v>2026</v>
      </c>
      <c r="C365" s="92" t="s">
        <v>383</v>
      </c>
      <c r="D365" s="77" t="s">
        <v>23</v>
      </c>
      <c r="E365" s="78">
        <v>4212869398</v>
      </c>
      <c r="F365" s="35" t="s">
        <v>408</v>
      </c>
      <c r="G365" s="33" t="s">
        <v>409</v>
      </c>
      <c r="I365" s="33"/>
      <c r="J365" s="99"/>
      <c r="K365" s="97">
        <v>385</v>
      </c>
      <c r="L365" s="54">
        <f t="shared" si="21"/>
        <v>940.99999999999955</v>
      </c>
      <c r="M365" s="33"/>
      <c r="N365" s="33"/>
    </row>
    <row r="366" spans="1:14" ht="15.75" x14ac:dyDescent="0.25">
      <c r="A366" s="94">
        <v>46226</v>
      </c>
      <c r="B366" s="78">
        <v>2026</v>
      </c>
      <c r="C366" s="92" t="s">
        <v>383</v>
      </c>
      <c r="D366" s="77" t="s">
        <v>23</v>
      </c>
      <c r="E366" s="78">
        <v>2562084362</v>
      </c>
      <c r="F366" s="35" t="s">
        <v>372</v>
      </c>
      <c r="G366" s="33" t="s">
        <v>400</v>
      </c>
      <c r="I366" s="33"/>
      <c r="J366" s="56"/>
      <c r="K366" s="97">
        <v>345</v>
      </c>
      <c r="L366" s="54">
        <f t="shared" si="21"/>
        <v>595.99999999999955</v>
      </c>
      <c r="M366" s="33"/>
      <c r="N366" s="33"/>
    </row>
    <row r="367" spans="1:14" ht="15.75" x14ac:dyDescent="0.25">
      <c r="A367" s="94">
        <v>46226</v>
      </c>
      <c r="B367" s="78">
        <v>2026</v>
      </c>
      <c r="C367" s="92" t="s">
        <v>383</v>
      </c>
      <c r="D367" s="77" t="s">
        <v>23</v>
      </c>
      <c r="E367" s="78">
        <v>3579071059</v>
      </c>
      <c r="F367" s="35" t="s">
        <v>401</v>
      </c>
      <c r="G367" s="33" t="s">
        <v>405</v>
      </c>
      <c r="I367" s="33"/>
      <c r="J367" s="99"/>
      <c r="K367" s="97">
        <v>300</v>
      </c>
      <c r="L367" s="54">
        <f t="shared" si="21"/>
        <v>295.99999999999955</v>
      </c>
      <c r="M367" s="33"/>
      <c r="N367" s="33"/>
    </row>
    <row r="368" spans="1:14" ht="15.75" x14ac:dyDescent="0.25">
      <c r="A368" s="94">
        <v>46230</v>
      </c>
      <c r="B368" s="78">
        <v>2026</v>
      </c>
      <c r="C368" s="92" t="s">
        <v>383</v>
      </c>
      <c r="D368" s="77" t="s">
        <v>257</v>
      </c>
      <c r="E368" s="78">
        <v>3369</v>
      </c>
      <c r="F368" s="53" t="s">
        <v>228</v>
      </c>
      <c r="G368" s="33" t="s">
        <v>235</v>
      </c>
      <c r="I368" s="33"/>
      <c r="J368" s="99">
        <f>SUM(K359:K367)</f>
        <v>2704</v>
      </c>
      <c r="K368" s="97"/>
      <c r="L368" s="54">
        <f>L367+J368-K368</f>
        <v>2999.9999999999995</v>
      </c>
      <c r="M368" s="33"/>
      <c r="N368" s="33"/>
    </row>
    <row r="369" spans="1:14" ht="15.75" x14ac:dyDescent="0.25">
      <c r="A369" s="94">
        <v>46225</v>
      </c>
      <c r="B369" s="78">
        <v>2026</v>
      </c>
      <c r="C369" s="92" t="s">
        <v>383</v>
      </c>
      <c r="D369" s="77" t="s">
        <v>23</v>
      </c>
      <c r="E369" s="78">
        <v>2821934576</v>
      </c>
      <c r="F369" s="35" t="s">
        <v>410</v>
      </c>
      <c r="G369" s="33" t="s">
        <v>411</v>
      </c>
      <c r="I369" s="33"/>
      <c r="J369" s="99"/>
      <c r="K369" s="97">
        <v>465</v>
      </c>
      <c r="L369" s="54">
        <f>L368+J369-K369</f>
        <v>2534.9999999999995</v>
      </c>
      <c r="M369" s="33"/>
      <c r="N369" s="33"/>
    </row>
    <row r="370" spans="1:14" ht="15.75" x14ac:dyDescent="0.25">
      <c r="A370" s="94">
        <v>46226</v>
      </c>
      <c r="B370" s="78">
        <v>2026</v>
      </c>
      <c r="C370" s="92" t="s">
        <v>383</v>
      </c>
      <c r="D370" s="77" t="s">
        <v>23</v>
      </c>
      <c r="E370" s="78">
        <v>4114828270</v>
      </c>
      <c r="F370" s="35" t="s">
        <v>30</v>
      </c>
      <c r="G370" s="33" t="s">
        <v>411</v>
      </c>
      <c r="I370" s="33"/>
      <c r="J370" s="99"/>
      <c r="K370" s="97">
        <v>290</v>
      </c>
      <c r="L370" s="54">
        <f t="shared" ref="L370:L378" si="22">L369+J370-K370</f>
        <v>2244.9999999999995</v>
      </c>
      <c r="M370" s="33"/>
      <c r="N370" s="33"/>
    </row>
    <row r="371" spans="1:14" ht="15.75" x14ac:dyDescent="0.25">
      <c r="A371" s="94">
        <v>46226</v>
      </c>
      <c r="B371" s="78">
        <v>2026</v>
      </c>
      <c r="C371" s="92" t="s">
        <v>383</v>
      </c>
      <c r="D371" s="77" t="s">
        <v>23</v>
      </c>
      <c r="E371" s="78">
        <v>1114064311</v>
      </c>
      <c r="F371" s="35" t="s">
        <v>398</v>
      </c>
      <c r="G371" s="33" t="s">
        <v>412</v>
      </c>
      <c r="I371" s="33"/>
      <c r="J371" s="99"/>
      <c r="K371" s="97">
        <v>421</v>
      </c>
      <c r="L371" s="54">
        <f t="shared" si="22"/>
        <v>1823.9999999999995</v>
      </c>
      <c r="M371" s="33"/>
      <c r="N371" s="33"/>
    </row>
    <row r="372" spans="1:14" ht="15.75" x14ac:dyDescent="0.25">
      <c r="A372" s="94">
        <v>46227</v>
      </c>
      <c r="B372" s="78">
        <v>2026</v>
      </c>
      <c r="C372" s="92" t="s">
        <v>383</v>
      </c>
      <c r="D372" s="77" t="s">
        <v>23</v>
      </c>
      <c r="E372" s="78">
        <v>3477291353</v>
      </c>
      <c r="F372" s="35" t="s">
        <v>408</v>
      </c>
      <c r="G372" s="33" t="s">
        <v>413</v>
      </c>
      <c r="I372" s="33"/>
      <c r="J372" s="99"/>
      <c r="K372" s="97">
        <v>254</v>
      </c>
      <c r="L372" s="54">
        <f t="shared" si="22"/>
        <v>1569.9999999999995</v>
      </c>
      <c r="M372" s="33"/>
      <c r="N372" s="33"/>
    </row>
    <row r="373" spans="1:14" ht="15.75" x14ac:dyDescent="0.25">
      <c r="A373" s="94">
        <v>46230</v>
      </c>
      <c r="B373" s="78">
        <v>2026</v>
      </c>
      <c r="C373" s="92" t="s">
        <v>383</v>
      </c>
      <c r="D373" s="77" t="s">
        <v>23</v>
      </c>
      <c r="E373" s="78">
        <v>4052503359</v>
      </c>
      <c r="F373" s="35" t="s">
        <v>79</v>
      </c>
      <c r="G373" s="33" t="s">
        <v>414</v>
      </c>
      <c r="I373" s="33"/>
      <c r="J373" s="99"/>
      <c r="K373" s="97">
        <v>50</v>
      </c>
      <c r="L373" s="54">
        <f t="shared" si="22"/>
        <v>1519.9999999999995</v>
      </c>
      <c r="M373" s="33"/>
      <c r="N373" s="33"/>
    </row>
    <row r="374" spans="1:14" ht="15.75" x14ac:dyDescent="0.25">
      <c r="A374" s="94">
        <v>46231</v>
      </c>
      <c r="B374" s="78">
        <v>2026</v>
      </c>
      <c r="C374" s="92" t="s">
        <v>383</v>
      </c>
      <c r="D374" s="77" t="s">
        <v>23</v>
      </c>
      <c r="E374" s="78">
        <v>1320110134</v>
      </c>
      <c r="F374" s="35" t="s">
        <v>30</v>
      </c>
      <c r="G374" s="33" t="s">
        <v>415</v>
      </c>
      <c r="I374" s="33"/>
      <c r="J374" s="99"/>
      <c r="K374" s="97">
        <v>90</v>
      </c>
      <c r="L374" s="54">
        <f t="shared" si="22"/>
        <v>1429.9999999999995</v>
      </c>
      <c r="M374" s="33"/>
      <c r="N374" s="33"/>
    </row>
    <row r="375" spans="1:14" ht="15.75" x14ac:dyDescent="0.25">
      <c r="A375" s="94">
        <v>46232</v>
      </c>
      <c r="B375" s="78">
        <v>2026</v>
      </c>
      <c r="C375" s="92" t="s">
        <v>383</v>
      </c>
      <c r="D375" s="77" t="s">
        <v>23</v>
      </c>
      <c r="E375" s="78">
        <v>770064493</v>
      </c>
      <c r="F375" s="35" t="s">
        <v>416</v>
      </c>
      <c r="G375" s="33" t="s">
        <v>417</v>
      </c>
      <c r="I375" s="33"/>
      <c r="J375" s="99"/>
      <c r="K375" s="97">
        <v>119.99</v>
      </c>
      <c r="L375" s="54">
        <f t="shared" si="22"/>
        <v>1310.0099999999995</v>
      </c>
      <c r="M375" s="33"/>
      <c r="N375" s="33"/>
    </row>
    <row r="376" spans="1:14" ht="15.75" x14ac:dyDescent="0.25">
      <c r="A376" s="94">
        <v>46232</v>
      </c>
      <c r="B376" s="78">
        <v>2026</v>
      </c>
      <c r="C376" s="92" t="s">
        <v>383</v>
      </c>
      <c r="D376" s="77" t="s">
        <v>23</v>
      </c>
      <c r="E376" s="78">
        <v>781601150</v>
      </c>
      <c r="F376" s="35" t="s">
        <v>30</v>
      </c>
      <c r="G376" s="33" t="s">
        <v>391</v>
      </c>
      <c r="I376" s="33"/>
      <c r="J376" s="99"/>
      <c r="K376" s="97">
        <v>270</v>
      </c>
      <c r="L376" s="54">
        <f t="shared" si="22"/>
        <v>1040.0099999999995</v>
      </c>
      <c r="M376" s="33"/>
      <c r="N376" s="33"/>
    </row>
    <row r="377" spans="1:14" ht="15.75" x14ac:dyDescent="0.25">
      <c r="A377" s="94">
        <v>46233</v>
      </c>
      <c r="B377" s="78">
        <v>2026</v>
      </c>
      <c r="C377" s="92" t="s">
        <v>383</v>
      </c>
      <c r="D377" s="77" t="s">
        <v>23</v>
      </c>
      <c r="E377" s="78">
        <v>1034569702</v>
      </c>
      <c r="F377" s="35" t="s">
        <v>418</v>
      </c>
      <c r="G377" s="33" t="s">
        <v>420</v>
      </c>
      <c r="I377" s="33"/>
      <c r="J377" s="99"/>
      <c r="K377" s="97">
        <v>500</v>
      </c>
      <c r="L377" s="54">
        <f t="shared" si="22"/>
        <v>540.00999999999954</v>
      </c>
      <c r="M377" s="33"/>
      <c r="N377" s="33"/>
    </row>
    <row r="378" spans="1:14" ht="15.75" x14ac:dyDescent="0.25">
      <c r="A378" s="94">
        <v>46233</v>
      </c>
      <c r="B378" s="78">
        <v>2026</v>
      </c>
      <c r="C378" s="92" t="s">
        <v>383</v>
      </c>
      <c r="D378" s="77" t="s">
        <v>23</v>
      </c>
      <c r="E378" s="78">
        <v>1043612754</v>
      </c>
      <c r="F378" s="35" t="s">
        <v>30</v>
      </c>
      <c r="G378" s="33" t="s">
        <v>419</v>
      </c>
      <c r="I378" s="33"/>
      <c r="J378" s="99"/>
      <c r="K378" s="97">
        <v>275</v>
      </c>
      <c r="L378" s="54">
        <f t="shared" si="22"/>
        <v>265.00999999999954</v>
      </c>
      <c r="M378" s="33"/>
      <c r="N378" s="33"/>
    </row>
    <row r="379" spans="1:14" ht="15.75" x14ac:dyDescent="0.25">
      <c r="A379" s="94">
        <v>46233</v>
      </c>
      <c r="B379" s="78">
        <v>2026</v>
      </c>
      <c r="C379" s="92" t="s">
        <v>383</v>
      </c>
      <c r="D379" s="77" t="s">
        <v>257</v>
      </c>
      <c r="E379" s="78">
        <v>3374</v>
      </c>
      <c r="F379" s="53" t="s">
        <v>228</v>
      </c>
      <c r="G379" s="33" t="s">
        <v>235</v>
      </c>
      <c r="I379" s="33"/>
      <c r="J379" s="99">
        <f>SUM(K369:K378)</f>
        <v>2734.99</v>
      </c>
      <c r="K379" s="97"/>
      <c r="L379" s="54">
        <f>L378+J379-K379</f>
        <v>2999.9999999999991</v>
      </c>
      <c r="M379" s="33"/>
      <c r="N379" s="33"/>
    </row>
    <row r="380" spans="1:14" ht="15.75" x14ac:dyDescent="0.25">
      <c r="A380" s="94">
        <v>46233</v>
      </c>
      <c r="B380" s="78">
        <v>2026</v>
      </c>
      <c r="C380" s="92" t="s">
        <v>383</v>
      </c>
      <c r="D380" s="77" t="s">
        <v>23</v>
      </c>
      <c r="E380" s="78">
        <v>2393522994</v>
      </c>
      <c r="F380" s="35" t="s">
        <v>424</v>
      </c>
      <c r="G380" s="33" t="s">
        <v>421</v>
      </c>
      <c r="I380" s="33"/>
      <c r="J380" s="99"/>
      <c r="K380" s="97">
        <v>800</v>
      </c>
      <c r="L380" s="54">
        <f t="shared" ref="L380:L382" si="23">L379+J380-K380</f>
        <v>2199.9999999999991</v>
      </c>
      <c r="M380" s="33"/>
      <c r="N380" s="33"/>
    </row>
    <row r="381" spans="1:14" ht="15.75" x14ac:dyDescent="0.25">
      <c r="A381" s="94">
        <v>46233</v>
      </c>
      <c r="B381" s="78">
        <v>2026</v>
      </c>
      <c r="C381" s="92" t="s">
        <v>383</v>
      </c>
      <c r="D381" s="77" t="s">
        <v>23</v>
      </c>
      <c r="E381" s="78">
        <v>8376355438</v>
      </c>
      <c r="F381" s="35" t="s">
        <v>422</v>
      </c>
      <c r="G381" s="33" t="s">
        <v>423</v>
      </c>
      <c r="I381" s="33"/>
      <c r="J381" s="99"/>
      <c r="K381" s="97">
        <v>1200</v>
      </c>
      <c r="L381" s="54">
        <f t="shared" si="23"/>
        <v>999.99999999999909</v>
      </c>
      <c r="M381" s="33"/>
      <c r="N381" s="33"/>
    </row>
    <row r="382" spans="1:14" ht="15.75" x14ac:dyDescent="0.25">
      <c r="A382" s="94">
        <v>46233</v>
      </c>
      <c r="B382" s="78">
        <v>2026</v>
      </c>
      <c r="C382" s="92" t="s">
        <v>383</v>
      </c>
      <c r="D382" s="77" t="s">
        <v>257</v>
      </c>
      <c r="E382" s="78">
        <v>3375</v>
      </c>
      <c r="F382" s="53" t="s">
        <v>228</v>
      </c>
      <c r="G382" s="33" t="s">
        <v>235</v>
      </c>
      <c r="I382" s="33"/>
      <c r="J382" s="99">
        <f>SUM(K380:K381)</f>
        <v>2000</v>
      </c>
      <c r="K382" s="97"/>
      <c r="L382" s="54">
        <f t="shared" si="23"/>
        <v>2999.9999999999991</v>
      </c>
      <c r="M382" s="33"/>
      <c r="N382" s="33"/>
    </row>
    <row r="383" spans="1:14" ht="15.75" x14ac:dyDescent="0.25">
      <c r="A383" s="77"/>
      <c r="B383" s="77"/>
      <c r="C383" s="78"/>
      <c r="D383" s="77"/>
      <c r="E383" s="77"/>
      <c r="F383" s="35" t="s">
        <v>212</v>
      </c>
      <c r="G383" s="82"/>
      <c r="H383" s="77"/>
      <c r="I383" s="95"/>
      <c r="J383" s="99">
        <f>SUM(J349:J379)</f>
        <v>8105.99</v>
      </c>
      <c r="K383" s="99">
        <f>SUM(K349:K381)</f>
        <v>10105.99</v>
      </c>
      <c r="M383" s="33"/>
      <c r="N383" s="59"/>
    </row>
    <row r="384" spans="1:14" ht="15.75" x14ac:dyDescent="0.25">
      <c r="A384" s="77"/>
      <c r="B384" s="77"/>
      <c r="C384" s="78"/>
      <c r="D384" s="77"/>
      <c r="E384" s="77"/>
      <c r="F384" s="35"/>
      <c r="G384" s="82"/>
      <c r="H384" s="77"/>
      <c r="I384" s="95"/>
      <c r="J384" s="95"/>
      <c r="K384" s="95"/>
      <c r="M384" s="33"/>
      <c r="N384" s="33"/>
    </row>
    <row r="385" spans="1:14" ht="15.75" x14ac:dyDescent="0.25">
      <c r="A385" s="77"/>
      <c r="B385" s="77"/>
      <c r="C385" s="78"/>
      <c r="D385" s="77"/>
      <c r="E385" s="77"/>
      <c r="F385" s="60" t="s">
        <v>190</v>
      </c>
      <c r="G385" s="82"/>
      <c r="H385" s="77"/>
      <c r="I385" s="95"/>
      <c r="J385" s="95"/>
      <c r="K385" s="95"/>
      <c r="M385" s="33"/>
      <c r="N385" s="33"/>
    </row>
    <row r="386" spans="1:14" ht="15.75" x14ac:dyDescent="0.25">
      <c r="A386" s="77"/>
      <c r="B386" s="77"/>
      <c r="C386" s="78"/>
      <c r="D386" s="77"/>
      <c r="E386" s="77"/>
      <c r="F386" s="100" t="s">
        <v>196</v>
      </c>
      <c r="G386" s="82"/>
      <c r="H386" s="77"/>
      <c r="I386" s="101"/>
      <c r="J386" s="95"/>
      <c r="K386" s="95"/>
      <c r="M386" s="33"/>
      <c r="N386" s="33"/>
    </row>
    <row r="387" spans="1:14" ht="15.75" x14ac:dyDescent="0.25">
      <c r="A387" s="77"/>
      <c r="B387" s="77"/>
      <c r="C387" s="78"/>
      <c r="D387" s="77"/>
      <c r="E387" s="77"/>
      <c r="F387" s="100" t="s">
        <v>192</v>
      </c>
      <c r="G387" s="82"/>
      <c r="H387" s="77"/>
      <c r="I387" s="101"/>
      <c r="J387" s="95"/>
      <c r="K387" s="95">
        <f>SUM(K353,K351,K380)</f>
        <v>1317</v>
      </c>
      <c r="M387" s="33"/>
      <c r="N387" s="33"/>
    </row>
    <row r="388" spans="1:14" ht="15.75" x14ac:dyDescent="0.25">
      <c r="A388" s="77"/>
      <c r="B388" s="77"/>
      <c r="C388" s="78"/>
      <c r="D388" s="77"/>
      <c r="E388" s="77"/>
      <c r="F388" s="100" t="s">
        <v>193</v>
      </c>
      <c r="G388" s="82"/>
      <c r="H388" s="77"/>
      <c r="I388" s="101"/>
      <c r="J388" s="95"/>
      <c r="K388" s="95">
        <f>SUM(K350,K354,K357,K362,K363,K369,K370,K373,K374,K375,K376,K378)</f>
        <v>2259.9899999999998</v>
      </c>
      <c r="M388" s="33"/>
      <c r="N388" s="33"/>
    </row>
    <row r="389" spans="1:14" ht="15.75" x14ac:dyDescent="0.25">
      <c r="A389" s="77"/>
      <c r="B389" s="79"/>
      <c r="C389" s="80"/>
      <c r="D389" s="77"/>
      <c r="E389" s="77"/>
      <c r="F389" s="100" t="s">
        <v>200</v>
      </c>
      <c r="G389" s="82"/>
      <c r="H389" s="77"/>
      <c r="I389" s="101"/>
      <c r="J389" s="95"/>
      <c r="K389" s="95"/>
      <c r="M389" s="33"/>
      <c r="N389" s="33"/>
    </row>
    <row r="390" spans="1:14" ht="15.75" x14ac:dyDescent="0.25">
      <c r="A390" s="104"/>
      <c r="B390" s="104"/>
      <c r="C390" s="78"/>
      <c r="D390" s="81"/>
      <c r="E390" s="81"/>
      <c r="F390" s="100" t="s">
        <v>194</v>
      </c>
      <c r="G390" s="82"/>
      <c r="H390" s="77"/>
      <c r="I390" s="101"/>
      <c r="J390" s="95"/>
      <c r="K390" s="95">
        <f>SUM(K352,K356,K360,K361,K364,K365,K371,K372)</f>
        <v>2299</v>
      </c>
      <c r="M390" s="33"/>
      <c r="N390" s="33"/>
    </row>
    <row r="391" spans="1:14" ht="15.75" x14ac:dyDescent="0.25">
      <c r="A391" s="104"/>
      <c r="B391" s="104"/>
      <c r="C391" s="78"/>
      <c r="D391" s="81"/>
      <c r="E391" s="81"/>
      <c r="F391" s="100" t="s">
        <v>188</v>
      </c>
      <c r="G391" s="82"/>
      <c r="H391" s="77"/>
      <c r="I391" s="101"/>
      <c r="J391" s="95"/>
      <c r="K391" s="95">
        <f>SUM(K366)</f>
        <v>345</v>
      </c>
      <c r="M391" s="33"/>
      <c r="N391" s="33"/>
    </row>
    <row r="392" spans="1:14" ht="15.75" x14ac:dyDescent="0.25">
      <c r="A392" s="77"/>
      <c r="B392" s="77"/>
      <c r="C392" s="78"/>
      <c r="D392" s="77"/>
      <c r="E392" s="77"/>
      <c r="F392" s="100" t="s">
        <v>195</v>
      </c>
      <c r="G392" s="82"/>
      <c r="H392" s="77"/>
      <c r="I392" s="101"/>
      <c r="J392" s="95"/>
      <c r="K392" s="95">
        <f>SUM(K349)</f>
        <v>840</v>
      </c>
      <c r="M392" s="33"/>
      <c r="N392" s="33"/>
    </row>
    <row r="393" spans="1:14" ht="15.75" x14ac:dyDescent="0.25">
      <c r="A393" s="77"/>
      <c r="B393" s="77"/>
      <c r="C393" s="78"/>
      <c r="D393" s="77"/>
      <c r="E393" s="77"/>
      <c r="F393" s="100" t="s">
        <v>189</v>
      </c>
      <c r="G393" s="82"/>
      <c r="H393" s="77"/>
      <c r="I393" s="101"/>
      <c r="J393" s="95"/>
      <c r="K393" s="95">
        <f>SUM(K355)</f>
        <v>145</v>
      </c>
      <c r="M393" s="33"/>
      <c r="N393" s="33"/>
    </row>
    <row r="394" spans="1:14" ht="15.75" x14ac:dyDescent="0.25">
      <c r="A394" s="77"/>
      <c r="B394" s="77"/>
      <c r="C394" s="78"/>
      <c r="D394" s="77"/>
      <c r="E394" s="77"/>
      <c r="F394" s="75" t="s">
        <v>191</v>
      </c>
      <c r="G394" s="82"/>
      <c r="H394" s="77"/>
      <c r="I394" s="101"/>
      <c r="J394" s="95"/>
      <c r="K394" s="95">
        <f>SUM(K359,K377,K381)</f>
        <v>2600</v>
      </c>
      <c r="M394" s="33"/>
      <c r="N394" s="33"/>
    </row>
    <row r="395" spans="1:14" ht="15.75" x14ac:dyDescent="0.25">
      <c r="A395" s="77"/>
      <c r="B395" s="77"/>
      <c r="C395" s="78"/>
      <c r="D395" s="79"/>
      <c r="E395" s="79"/>
      <c r="F395" s="75" t="s">
        <v>202</v>
      </c>
      <c r="G395" s="82"/>
      <c r="H395" s="77"/>
      <c r="I395" s="95"/>
      <c r="J395" s="95"/>
      <c r="K395" s="95"/>
      <c r="M395" s="33"/>
      <c r="N395" s="33"/>
    </row>
    <row r="396" spans="1:14" ht="15.75" x14ac:dyDescent="0.25">
      <c r="A396" s="104"/>
      <c r="B396" s="104"/>
      <c r="C396" s="78"/>
      <c r="D396" s="79"/>
      <c r="E396" s="79"/>
      <c r="F396" s="35" t="s">
        <v>201</v>
      </c>
      <c r="G396" s="82"/>
      <c r="H396" s="77"/>
      <c r="I396" s="95"/>
      <c r="J396" s="95"/>
      <c r="K396" s="95">
        <f>SUM(K367)</f>
        <v>300</v>
      </c>
      <c r="M396" s="33"/>
      <c r="N396" s="33"/>
    </row>
    <row r="397" spans="1:14" ht="15.75" x14ac:dyDescent="0.25">
      <c r="A397" s="77"/>
      <c r="B397" s="77"/>
      <c r="C397" s="78"/>
      <c r="D397" s="77"/>
      <c r="E397" s="77"/>
      <c r="F397" s="35" t="s">
        <v>203</v>
      </c>
      <c r="G397" s="82"/>
      <c r="H397" s="77"/>
      <c r="I397" s="95"/>
      <c r="J397" s="95"/>
      <c r="K397" s="95"/>
      <c r="M397" s="33"/>
      <c r="N397" s="33"/>
    </row>
    <row r="398" spans="1:14" ht="15.75" x14ac:dyDescent="0.25">
      <c r="A398" s="95"/>
      <c r="B398" s="95"/>
      <c r="C398" s="95"/>
      <c r="D398" s="95"/>
      <c r="E398" s="95"/>
      <c r="F398" s="53" t="s">
        <v>271</v>
      </c>
      <c r="G398" s="95"/>
      <c r="H398" s="95"/>
      <c r="I398" s="95"/>
      <c r="J398" s="95"/>
      <c r="K398" s="95"/>
      <c r="L398" s="54">
        <f>SUM(K386:K397)</f>
        <v>10105.99</v>
      </c>
      <c r="M398" s="33"/>
      <c r="N398" s="71">
        <f>K383-L398</f>
        <v>0</v>
      </c>
    </row>
    <row r="399" spans="1:14" ht="15.75" x14ac:dyDescent="0.25">
      <c r="A399" s="95"/>
      <c r="B399" s="95"/>
      <c r="C399" s="95"/>
      <c r="D399" s="95"/>
      <c r="E399" s="95"/>
      <c r="F399" s="95"/>
      <c r="G399" s="95"/>
      <c r="H399" s="95"/>
      <c r="I399" s="95"/>
      <c r="J399" s="95"/>
      <c r="K399" s="95"/>
      <c r="M399" s="33"/>
      <c r="N399" s="33"/>
    </row>
    <row r="400" spans="1:14" ht="15.75" x14ac:dyDescent="0.25">
      <c r="B400" s="33"/>
      <c r="C400" s="34"/>
      <c r="F400" s="35"/>
      <c r="I400" s="33"/>
      <c r="M400" s="33"/>
      <c r="N400" s="33"/>
    </row>
    <row r="401" spans="2:14" ht="15.75" x14ac:dyDescent="0.25">
      <c r="B401" s="33"/>
      <c r="C401" s="34"/>
      <c r="F401" s="35"/>
      <c r="I401" s="33"/>
      <c r="M401" s="33"/>
      <c r="N401" s="33"/>
    </row>
    <row r="402" spans="2:14" ht="15.75" x14ac:dyDescent="0.25">
      <c r="B402" s="33"/>
      <c r="C402" s="34"/>
      <c r="F402" s="35"/>
      <c r="I402" s="33"/>
      <c r="M402" s="33"/>
      <c r="N402" s="33"/>
    </row>
    <row r="403" spans="2:14" ht="15.75" x14ac:dyDescent="0.25">
      <c r="B403" s="33"/>
      <c r="C403" s="34"/>
      <c r="F403" s="35"/>
      <c r="I403" s="33"/>
      <c r="M403" s="33"/>
      <c r="N403" s="33"/>
    </row>
    <row r="404" spans="2:14" ht="15.75" x14ac:dyDescent="0.25">
      <c r="B404" s="33"/>
      <c r="C404" s="34"/>
      <c r="F404" s="35"/>
      <c r="I404" s="33"/>
      <c r="M404" s="33"/>
      <c r="N404" s="33"/>
    </row>
    <row r="405" spans="2:14" ht="15.75" x14ac:dyDescent="0.25">
      <c r="B405" s="33"/>
      <c r="C405" s="34"/>
      <c r="F405" s="35"/>
      <c r="I405" s="33"/>
      <c r="M405" s="33"/>
      <c r="N405" s="33"/>
    </row>
    <row r="406" spans="2:14" ht="15.75" x14ac:dyDescent="0.25">
      <c r="B406" s="33"/>
      <c r="C406" s="34"/>
      <c r="F406" s="35"/>
      <c r="I406" s="33"/>
      <c r="M406" s="33"/>
      <c r="N406" s="33"/>
    </row>
    <row r="407" spans="2:14" ht="15.75" x14ac:dyDescent="0.25">
      <c r="B407" s="33"/>
      <c r="C407" s="34"/>
      <c r="F407" s="35"/>
      <c r="I407" s="33"/>
      <c r="M407" s="33"/>
      <c r="N407" s="33"/>
    </row>
    <row r="408" spans="2:14" ht="15.75" x14ac:dyDescent="0.25">
      <c r="B408" s="33"/>
      <c r="C408" s="34"/>
      <c r="F408" s="35"/>
      <c r="I408" s="33"/>
      <c r="M408" s="33"/>
      <c r="N408" s="33"/>
    </row>
    <row r="409" spans="2:14" ht="15.75" x14ac:dyDescent="0.25">
      <c r="B409" s="33"/>
      <c r="C409" s="34"/>
      <c r="F409" s="35"/>
      <c r="I409" s="33"/>
      <c r="M409" s="33"/>
      <c r="N409" s="33"/>
    </row>
    <row r="410" spans="2:14" ht="15.75" x14ac:dyDescent="0.25">
      <c r="B410" s="33"/>
      <c r="C410" s="34"/>
      <c r="F410" s="35"/>
      <c r="I410" s="33"/>
      <c r="M410" s="33"/>
      <c r="N410" s="33"/>
    </row>
    <row r="411" spans="2:14" ht="15.75" x14ac:dyDescent="0.25">
      <c r="B411" s="33"/>
      <c r="C411" s="34"/>
      <c r="F411" s="35"/>
      <c r="I411" s="33"/>
      <c r="M411" s="33"/>
      <c r="N411" s="33"/>
    </row>
    <row r="412" spans="2:14" ht="15.75" x14ac:dyDescent="0.25">
      <c r="B412" s="33"/>
      <c r="C412" s="34"/>
      <c r="F412" s="35"/>
      <c r="I412" s="33"/>
      <c r="M412" s="33"/>
      <c r="N412" s="33"/>
    </row>
    <row r="413" spans="2:14" ht="15.75" x14ac:dyDescent="0.25">
      <c r="B413" s="33"/>
      <c r="C413" s="34"/>
      <c r="F413" s="35"/>
      <c r="I413" s="33"/>
      <c r="M413" s="33"/>
      <c r="N413" s="33"/>
    </row>
    <row r="414" spans="2:14" ht="15.75" x14ac:dyDescent="0.25">
      <c r="B414" s="33"/>
      <c r="C414" s="34"/>
      <c r="F414" s="35"/>
      <c r="I414" s="33"/>
      <c r="M414" s="33"/>
      <c r="N414" s="33"/>
    </row>
    <row r="415" spans="2:14" ht="15.75" x14ac:dyDescent="0.25">
      <c r="B415" s="33"/>
      <c r="C415" s="34"/>
      <c r="F415" s="35"/>
      <c r="I415" s="33"/>
      <c r="M415" s="33"/>
      <c r="N415" s="33"/>
    </row>
    <row r="416" spans="2:14" ht="15.75" x14ac:dyDescent="0.25">
      <c r="B416" s="33"/>
      <c r="C416" s="34"/>
      <c r="F416" s="35"/>
      <c r="I416" s="33"/>
      <c r="M416" s="33"/>
      <c r="N416" s="33"/>
    </row>
    <row r="417" spans="2:14" ht="15.75" x14ac:dyDescent="0.25">
      <c r="B417" s="33"/>
      <c r="C417" s="34"/>
      <c r="F417" s="35"/>
      <c r="I417" s="33"/>
      <c r="M417" s="33"/>
      <c r="N417" s="33"/>
    </row>
    <row r="418" spans="2:14" ht="15.75" x14ac:dyDescent="0.25">
      <c r="B418" s="33"/>
      <c r="C418" s="34"/>
      <c r="F418" s="35"/>
      <c r="I418" s="33"/>
      <c r="M418" s="33"/>
      <c r="N418" s="33"/>
    </row>
    <row r="419" spans="2:14" ht="15.75" x14ac:dyDescent="0.25">
      <c r="B419" s="33"/>
      <c r="C419" s="34"/>
      <c r="F419" s="35"/>
      <c r="I419" s="33"/>
      <c r="M419" s="33"/>
      <c r="N419" s="33"/>
    </row>
    <row r="420" spans="2:14" ht="15.75" x14ac:dyDescent="0.25">
      <c r="B420" s="33"/>
      <c r="C420" s="34"/>
      <c r="F420" s="35"/>
      <c r="I420" s="33"/>
      <c r="M420" s="33"/>
      <c r="N420" s="33"/>
    </row>
    <row r="421" spans="2:14" ht="15.75" x14ac:dyDescent="0.25">
      <c r="B421" s="33"/>
      <c r="C421" s="34"/>
      <c r="F421" s="35"/>
      <c r="I421" s="33"/>
      <c r="M421" s="33"/>
      <c r="N421" s="33"/>
    </row>
    <row r="422" spans="2:14" ht="15.75" x14ac:dyDescent="0.25">
      <c r="B422" s="33"/>
      <c r="C422" s="34"/>
      <c r="F422" s="35"/>
      <c r="I422" s="33"/>
      <c r="M422" s="33"/>
      <c r="N422" s="33"/>
    </row>
    <row r="423" spans="2:14" ht="15.75" x14ac:dyDescent="0.25">
      <c r="B423" s="33"/>
      <c r="C423" s="34"/>
      <c r="F423" s="35"/>
      <c r="I423" s="33"/>
      <c r="M423" s="33"/>
      <c r="N423" s="33"/>
    </row>
    <row r="424" spans="2:14" ht="15.75" x14ac:dyDescent="0.25">
      <c r="B424" s="33"/>
      <c r="C424" s="34"/>
      <c r="F424" s="35"/>
      <c r="I424" s="33"/>
      <c r="M424" s="33"/>
      <c r="N424" s="33"/>
    </row>
    <row r="425" spans="2:14" ht="15.75" x14ac:dyDescent="0.25">
      <c r="B425" s="33"/>
      <c r="C425" s="34"/>
      <c r="F425" s="35"/>
      <c r="I425" s="33"/>
      <c r="M425" s="33"/>
      <c r="N425" s="33"/>
    </row>
    <row r="426" spans="2:14" ht="15.75" x14ac:dyDescent="0.25">
      <c r="B426" s="33"/>
      <c r="C426" s="34"/>
      <c r="F426" s="35"/>
      <c r="I426" s="33"/>
      <c r="M426" s="33"/>
      <c r="N426" s="33"/>
    </row>
    <row r="427" spans="2:14" ht="15.75" x14ac:dyDescent="0.25">
      <c r="B427" s="33"/>
      <c r="C427" s="34"/>
      <c r="F427" s="35"/>
      <c r="I427" s="33"/>
      <c r="M427" s="33"/>
      <c r="N427" s="33"/>
    </row>
    <row r="428" spans="2:14" ht="15.75" x14ac:dyDescent="0.25">
      <c r="B428" s="33"/>
      <c r="C428" s="34"/>
      <c r="F428" s="35"/>
      <c r="I428" s="33"/>
      <c r="M428" s="33"/>
      <c r="N428" s="33"/>
    </row>
    <row r="429" spans="2:14" ht="15.75" x14ac:dyDescent="0.25">
      <c r="B429" s="33"/>
      <c r="C429" s="34"/>
      <c r="F429" s="35"/>
      <c r="I429" s="33"/>
      <c r="M429" s="33"/>
      <c r="N429" s="33"/>
    </row>
    <row r="430" spans="2:14" ht="15.75" x14ac:dyDescent="0.25">
      <c r="B430" s="33"/>
      <c r="C430" s="34"/>
      <c r="F430" s="35"/>
      <c r="I430" s="33"/>
      <c r="M430" s="33"/>
      <c r="N430" s="33"/>
    </row>
    <row r="431" spans="2:14" ht="15.75" x14ac:dyDescent="0.25">
      <c r="B431" s="33"/>
      <c r="C431" s="34"/>
      <c r="F431" s="35"/>
      <c r="I431" s="33"/>
      <c r="M431" s="33"/>
      <c r="N431" s="33"/>
    </row>
    <row r="432" spans="2:14" ht="15.75" x14ac:dyDescent="0.25">
      <c r="B432" s="33"/>
      <c r="C432" s="34"/>
      <c r="F432" s="35"/>
      <c r="I432" s="33"/>
      <c r="M432" s="33"/>
      <c r="N432" s="33"/>
    </row>
    <row r="433" spans="2:14" ht="15.75" x14ac:dyDescent="0.25">
      <c r="B433" s="33"/>
      <c r="C433" s="34"/>
      <c r="F433" s="35"/>
      <c r="I433" s="33"/>
      <c r="M433" s="33"/>
      <c r="N433" s="33"/>
    </row>
    <row r="434" spans="2:14" ht="15.75" x14ac:dyDescent="0.25">
      <c r="B434" s="33"/>
      <c r="C434" s="34"/>
      <c r="F434" s="35"/>
      <c r="I434" s="33"/>
      <c r="M434" s="33"/>
      <c r="N434" s="33"/>
    </row>
    <row r="435" spans="2:14" ht="15.75" x14ac:dyDescent="0.25">
      <c r="B435" s="33"/>
      <c r="C435" s="34"/>
      <c r="F435" s="35"/>
      <c r="I435" s="33"/>
      <c r="M435" s="33"/>
      <c r="N435" s="33"/>
    </row>
    <row r="436" spans="2:14" ht="15.75" x14ac:dyDescent="0.25">
      <c r="B436" s="33"/>
      <c r="C436" s="34"/>
      <c r="F436" s="35"/>
      <c r="I436" s="33"/>
      <c r="M436" s="33"/>
      <c r="N436" s="33"/>
    </row>
    <row r="437" spans="2:14" ht="15.75" x14ac:dyDescent="0.25">
      <c r="B437" s="33"/>
      <c r="C437" s="34"/>
      <c r="F437" s="35"/>
      <c r="I437" s="33"/>
      <c r="M437" s="33"/>
      <c r="N437" s="33"/>
    </row>
    <row r="438" spans="2:14" ht="15.75" x14ac:dyDescent="0.25">
      <c r="B438" s="33"/>
      <c r="C438" s="34"/>
      <c r="F438" s="35"/>
      <c r="I438" s="33"/>
      <c r="M438" s="33"/>
      <c r="N438" s="33"/>
    </row>
    <row r="439" spans="2:14" ht="15.75" x14ac:dyDescent="0.25">
      <c r="B439" s="33"/>
      <c r="C439" s="34"/>
      <c r="F439" s="35"/>
      <c r="I439" s="33"/>
      <c r="M439" s="33"/>
      <c r="N439" s="33"/>
    </row>
    <row r="440" spans="2:14" ht="15.75" x14ac:dyDescent="0.25">
      <c r="B440" s="33"/>
      <c r="C440" s="34"/>
      <c r="F440" s="35"/>
      <c r="I440" s="33"/>
      <c r="M440" s="33"/>
      <c r="N440" s="33"/>
    </row>
    <row r="441" spans="2:14" ht="15.75" x14ac:dyDescent="0.25">
      <c r="B441" s="33"/>
      <c r="C441" s="34"/>
      <c r="F441" s="35"/>
      <c r="I441" s="33"/>
      <c r="M441" s="33"/>
      <c r="N441" s="33"/>
    </row>
    <row r="442" spans="2:14" ht="15.75" x14ac:dyDescent="0.25">
      <c r="B442" s="33"/>
      <c r="C442" s="34"/>
      <c r="F442" s="35"/>
      <c r="I442" s="33"/>
      <c r="M442" s="33"/>
      <c r="N442" s="33"/>
    </row>
    <row r="443" spans="2:14" ht="15.75" x14ac:dyDescent="0.25">
      <c r="B443" s="33"/>
      <c r="C443" s="34"/>
      <c r="F443" s="35"/>
      <c r="I443" s="33"/>
      <c r="M443" s="33"/>
      <c r="N443" s="33"/>
    </row>
    <row r="444" spans="2:14" ht="15.75" x14ac:dyDescent="0.25">
      <c r="B444" s="33"/>
      <c r="C444" s="34"/>
      <c r="F444" s="35"/>
      <c r="I444" s="33"/>
      <c r="M444" s="33"/>
      <c r="N444" s="33"/>
    </row>
    <row r="445" spans="2:14" ht="15.75" x14ac:dyDescent="0.25">
      <c r="B445" s="33"/>
      <c r="C445" s="34"/>
      <c r="F445" s="35"/>
      <c r="I445" s="33"/>
      <c r="M445" s="33"/>
      <c r="N445" s="33"/>
    </row>
    <row r="446" spans="2:14" ht="15.75" x14ac:dyDescent="0.25">
      <c r="B446" s="33"/>
      <c r="C446" s="34"/>
      <c r="F446" s="35"/>
      <c r="I446" s="33"/>
      <c r="M446" s="33"/>
      <c r="N446" s="33"/>
    </row>
    <row r="447" spans="2:14" ht="15.75" x14ac:dyDescent="0.25">
      <c r="B447" s="33"/>
      <c r="C447" s="34"/>
      <c r="F447" s="35"/>
      <c r="I447" s="33"/>
      <c r="M447" s="33"/>
      <c r="N447" s="33"/>
    </row>
    <row r="448" spans="2:14" ht="15.75" x14ac:dyDescent="0.25">
      <c r="B448" s="33"/>
      <c r="C448" s="34"/>
      <c r="F448" s="35"/>
      <c r="I448" s="33"/>
      <c r="M448" s="33"/>
      <c r="N448" s="33"/>
    </row>
    <row r="449" spans="2:14" ht="15.75" x14ac:dyDescent="0.25">
      <c r="B449" s="33"/>
      <c r="C449" s="34"/>
      <c r="F449" s="35"/>
      <c r="I449" s="33"/>
      <c r="M449" s="33"/>
      <c r="N449" s="33"/>
    </row>
    <row r="450" spans="2:14" ht="15.75" x14ac:dyDescent="0.25">
      <c r="B450" s="33"/>
      <c r="C450" s="34"/>
      <c r="F450" s="35"/>
      <c r="I450" s="33"/>
      <c r="M450" s="33"/>
      <c r="N450" s="33"/>
    </row>
    <row r="451" spans="2:14" ht="15.75" x14ac:dyDescent="0.25">
      <c r="B451" s="33"/>
      <c r="C451" s="34"/>
      <c r="F451" s="35"/>
      <c r="I451" s="33"/>
      <c r="M451" s="33"/>
      <c r="N451" s="33"/>
    </row>
    <row r="452" spans="2:14" ht="15.75" x14ac:dyDescent="0.25">
      <c r="B452" s="33"/>
      <c r="C452" s="34"/>
      <c r="F452" s="35"/>
      <c r="I452" s="33"/>
      <c r="M452" s="33"/>
      <c r="N452" s="33"/>
    </row>
    <row r="453" spans="2:14" ht="15.75" x14ac:dyDescent="0.25">
      <c r="B453" s="33"/>
      <c r="C453" s="34"/>
      <c r="F453" s="35"/>
      <c r="I453" s="33"/>
      <c r="M453" s="33"/>
      <c r="N453" s="33"/>
    </row>
    <row r="454" spans="2:14" ht="15.75" x14ac:dyDescent="0.25">
      <c r="B454" s="33"/>
      <c r="C454" s="34"/>
      <c r="F454" s="35"/>
      <c r="I454" s="33"/>
      <c r="M454" s="33"/>
      <c r="N454" s="33"/>
    </row>
    <row r="455" spans="2:14" ht="15.75" x14ac:dyDescent="0.25">
      <c r="B455" s="33"/>
      <c r="C455" s="34"/>
      <c r="F455" s="35"/>
      <c r="I455" s="33"/>
      <c r="M455" s="33"/>
      <c r="N455" s="33"/>
    </row>
    <row r="456" spans="2:14" ht="15.75" x14ac:dyDescent="0.25">
      <c r="B456" s="33"/>
      <c r="C456" s="34"/>
      <c r="F456" s="35"/>
      <c r="I456" s="33"/>
      <c r="M456" s="33"/>
      <c r="N456" s="33"/>
    </row>
    <row r="457" spans="2:14" ht="15.75" x14ac:dyDescent="0.25">
      <c r="B457" s="33"/>
      <c r="C457" s="34"/>
      <c r="F457" s="35"/>
      <c r="I457" s="33"/>
      <c r="M457" s="33"/>
      <c r="N457" s="33"/>
    </row>
    <row r="458" spans="2:14" ht="15.75" x14ac:dyDescent="0.25">
      <c r="B458" s="33"/>
      <c r="C458" s="34"/>
      <c r="F458" s="35"/>
      <c r="I458" s="33"/>
      <c r="M458" s="33"/>
      <c r="N458" s="33"/>
    </row>
    <row r="459" spans="2:14" ht="15.75" x14ac:dyDescent="0.25">
      <c r="B459" s="33"/>
      <c r="C459" s="34"/>
      <c r="F459" s="35"/>
      <c r="I459" s="33"/>
      <c r="M459" s="33"/>
      <c r="N459" s="33"/>
    </row>
    <row r="460" spans="2:14" ht="15.75" x14ac:dyDescent="0.25">
      <c r="B460" s="33"/>
      <c r="C460" s="34"/>
      <c r="F460" s="35"/>
      <c r="I460" s="33"/>
      <c r="M460" s="33"/>
      <c r="N460" s="33"/>
    </row>
    <row r="461" spans="2:14" ht="15.75" x14ac:dyDescent="0.25">
      <c r="B461" s="33"/>
      <c r="C461" s="34"/>
      <c r="F461" s="35"/>
      <c r="I461" s="33"/>
      <c r="M461" s="33"/>
      <c r="N461" s="33"/>
    </row>
    <row r="462" spans="2:14" ht="15.75" x14ac:dyDescent="0.25">
      <c r="B462" s="33"/>
      <c r="C462" s="34"/>
      <c r="F462" s="35"/>
      <c r="I462" s="33"/>
      <c r="M462" s="33"/>
      <c r="N462" s="33"/>
    </row>
    <row r="463" spans="2:14" ht="15.75" x14ac:dyDescent="0.25">
      <c r="B463" s="33"/>
      <c r="C463" s="34"/>
      <c r="F463" s="35"/>
      <c r="I463" s="33"/>
      <c r="M463" s="33"/>
      <c r="N463" s="33"/>
    </row>
    <row r="464" spans="2:14" ht="15.75" x14ac:dyDescent="0.25">
      <c r="B464" s="33"/>
      <c r="C464" s="34"/>
      <c r="F464" s="35"/>
      <c r="I464" s="33"/>
      <c r="M464" s="33"/>
      <c r="N464" s="33"/>
    </row>
    <row r="465" spans="2:14" ht="15.75" x14ac:dyDescent="0.25">
      <c r="B465" s="33"/>
      <c r="C465" s="34"/>
      <c r="F465" s="35"/>
      <c r="I465" s="33"/>
      <c r="M465" s="33"/>
      <c r="N465" s="33"/>
    </row>
    <row r="466" spans="2:14" ht="15.75" x14ac:dyDescent="0.25">
      <c r="B466" s="33"/>
      <c r="C466" s="34"/>
      <c r="F466" s="35"/>
      <c r="I466" s="33"/>
      <c r="M466" s="33"/>
      <c r="N466" s="33"/>
    </row>
    <row r="467" spans="2:14" ht="15.75" x14ac:dyDescent="0.25">
      <c r="B467" s="33"/>
      <c r="C467" s="34"/>
      <c r="F467" s="35"/>
      <c r="I467" s="33"/>
      <c r="M467" s="33"/>
      <c r="N467" s="33"/>
    </row>
    <row r="468" spans="2:14" ht="15.75" x14ac:dyDescent="0.25">
      <c r="B468" s="33"/>
      <c r="C468" s="34"/>
      <c r="F468" s="35"/>
      <c r="I468" s="33"/>
      <c r="M468" s="33"/>
      <c r="N468" s="33"/>
    </row>
    <row r="469" spans="2:14" ht="15.75" x14ac:dyDescent="0.25">
      <c r="B469" s="33"/>
      <c r="C469" s="34"/>
      <c r="F469" s="35"/>
      <c r="I469" s="33"/>
      <c r="M469" s="33"/>
      <c r="N469" s="33"/>
    </row>
    <row r="470" spans="2:14" ht="15.75" x14ac:dyDescent="0.25">
      <c r="B470" s="33"/>
      <c r="C470" s="34"/>
      <c r="F470" s="35"/>
      <c r="I470" s="33"/>
      <c r="M470" s="33"/>
      <c r="N470" s="33"/>
    </row>
    <row r="471" spans="2:14" ht="15.75" x14ac:dyDescent="0.25">
      <c r="B471" s="33"/>
      <c r="C471" s="34"/>
      <c r="F471" s="35"/>
      <c r="I471" s="33"/>
      <c r="M471" s="33"/>
      <c r="N471" s="33"/>
    </row>
    <row r="472" spans="2:14" ht="15.75" x14ac:dyDescent="0.25">
      <c r="B472" s="33"/>
      <c r="C472" s="34"/>
      <c r="F472" s="35"/>
      <c r="I472" s="33"/>
      <c r="M472" s="33"/>
      <c r="N472" s="33"/>
    </row>
    <row r="473" spans="2:14" ht="15.75" x14ac:dyDescent="0.25">
      <c r="B473" s="33"/>
      <c r="C473" s="34"/>
      <c r="F473" s="35"/>
      <c r="I473" s="33"/>
      <c r="M473" s="33"/>
      <c r="N473" s="33"/>
    </row>
    <row r="474" spans="2:14" ht="15.75" x14ac:dyDescent="0.25">
      <c r="B474" s="33"/>
      <c r="C474" s="34"/>
      <c r="F474" s="35"/>
      <c r="I474" s="33"/>
      <c r="M474" s="33"/>
      <c r="N474" s="33"/>
    </row>
    <row r="475" spans="2:14" ht="15.75" x14ac:dyDescent="0.25">
      <c r="B475" s="33"/>
      <c r="C475" s="34"/>
      <c r="F475" s="35"/>
      <c r="I475" s="33"/>
      <c r="M475" s="33"/>
      <c r="N475" s="33"/>
    </row>
    <row r="476" spans="2:14" ht="15.75" x14ac:dyDescent="0.25">
      <c r="B476" s="33"/>
      <c r="C476" s="34"/>
      <c r="F476" s="35"/>
      <c r="I476" s="33"/>
      <c r="M476" s="33"/>
      <c r="N476" s="33"/>
    </row>
    <row r="477" spans="2:14" ht="15.75" x14ac:dyDescent="0.25">
      <c r="B477" s="33"/>
      <c r="C477" s="34"/>
      <c r="F477" s="35"/>
      <c r="I477" s="33"/>
      <c r="M477" s="33"/>
      <c r="N477" s="33"/>
    </row>
    <row r="478" spans="2:14" ht="15.75" x14ac:dyDescent="0.25">
      <c r="B478" s="33"/>
      <c r="C478" s="34"/>
      <c r="F478" s="35"/>
      <c r="I478" s="33"/>
      <c r="M478" s="33"/>
      <c r="N478" s="33"/>
    </row>
    <row r="479" spans="2:14" ht="15.75" x14ac:dyDescent="0.25">
      <c r="B479" s="33"/>
      <c r="C479" s="34"/>
      <c r="F479" s="35"/>
      <c r="I479" s="33"/>
      <c r="M479" s="33"/>
      <c r="N479" s="33"/>
    </row>
    <row r="480" spans="2:14" ht="15.75" x14ac:dyDescent="0.25">
      <c r="B480" s="33"/>
      <c r="C480" s="34"/>
      <c r="F480" s="35"/>
      <c r="I480" s="33"/>
      <c r="M480" s="33"/>
      <c r="N480" s="33"/>
    </row>
    <row r="481" spans="2:14" ht="15.75" x14ac:dyDescent="0.25">
      <c r="B481" s="33"/>
      <c r="C481" s="34"/>
      <c r="F481" s="35"/>
      <c r="I481" s="33"/>
      <c r="M481" s="33"/>
      <c r="N481" s="33"/>
    </row>
    <row r="482" spans="2:14" ht="15.75" x14ac:dyDescent="0.25">
      <c r="B482" s="33"/>
      <c r="C482" s="34"/>
      <c r="F482" s="35"/>
      <c r="I482" s="33"/>
      <c r="M482" s="33"/>
      <c r="N482" s="33"/>
    </row>
    <row r="483" spans="2:14" ht="15.75" x14ac:dyDescent="0.25">
      <c r="B483" s="33"/>
      <c r="C483" s="34"/>
      <c r="F483" s="35"/>
      <c r="I483" s="33"/>
      <c r="M483" s="33"/>
      <c r="N483" s="33"/>
    </row>
    <row r="484" spans="2:14" ht="15.75" x14ac:dyDescent="0.25">
      <c r="B484" s="33"/>
      <c r="C484" s="34"/>
      <c r="F484" s="35"/>
      <c r="I484" s="33"/>
      <c r="M484" s="33"/>
      <c r="N484" s="33"/>
    </row>
    <row r="485" spans="2:14" ht="15.75" x14ac:dyDescent="0.25">
      <c r="B485" s="33"/>
      <c r="C485" s="34"/>
      <c r="F485" s="35"/>
      <c r="I485" s="33"/>
      <c r="M485" s="33"/>
      <c r="N485" s="33"/>
    </row>
    <row r="486" spans="2:14" ht="15.75" x14ac:dyDescent="0.25">
      <c r="B486" s="33"/>
      <c r="C486" s="34"/>
      <c r="F486" s="35"/>
      <c r="I486" s="33"/>
      <c r="M486" s="33"/>
      <c r="N486" s="33"/>
    </row>
    <row r="487" spans="2:14" ht="15.75" x14ac:dyDescent="0.25">
      <c r="B487" s="33"/>
      <c r="C487" s="34"/>
      <c r="F487" s="35"/>
      <c r="I487" s="33"/>
      <c r="M487" s="33"/>
      <c r="N487" s="33"/>
    </row>
    <row r="488" spans="2:14" ht="15.75" x14ac:dyDescent="0.25">
      <c r="B488" s="33"/>
      <c r="C488" s="34"/>
      <c r="F488" s="35"/>
      <c r="I488" s="33"/>
      <c r="M488" s="33"/>
      <c r="N488" s="33"/>
    </row>
    <row r="489" spans="2:14" ht="15.75" x14ac:dyDescent="0.25">
      <c r="B489" s="33"/>
      <c r="C489" s="34"/>
      <c r="F489" s="35"/>
      <c r="I489" s="33"/>
      <c r="M489" s="33"/>
      <c r="N489" s="33"/>
    </row>
    <row r="490" spans="2:14" ht="15.75" x14ac:dyDescent="0.25">
      <c r="B490" s="33"/>
      <c r="C490" s="34"/>
      <c r="F490" s="35"/>
      <c r="I490" s="33"/>
      <c r="M490" s="33"/>
      <c r="N490" s="33"/>
    </row>
    <row r="491" spans="2:14" ht="15.75" x14ac:dyDescent="0.25">
      <c r="B491" s="33"/>
      <c r="C491" s="34"/>
      <c r="F491" s="35"/>
      <c r="I491" s="33"/>
      <c r="M491" s="33"/>
      <c r="N491" s="33"/>
    </row>
    <row r="492" spans="2:14" ht="15.75" x14ac:dyDescent="0.25">
      <c r="B492" s="33"/>
      <c r="C492" s="34"/>
      <c r="F492" s="35"/>
      <c r="I492" s="33"/>
      <c r="M492" s="33"/>
      <c r="N492" s="33"/>
    </row>
    <row r="493" spans="2:14" ht="15.75" x14ac:dyDescent="0.25">
      <c r="B493" s="33"/>
      <c r="C493" s="34"/>
      <c r="F493" s="35"/>
      <c r="I493" s="33"/>
      <c r="M493" s="33"/>
      <c r="N493" s="33"/>
    </row>
    <row r="494" spans="2:14" ht="15.75" x14ac:dyDescent="0.25">
      <c r="B494" s="33"/>
      <c r="C494" s="34"/>
      <c r="F494" s="35"/>
      <c r="I494" s="33"/>
      <c r="M494" s="33"/>
      <c r="N494" s="33"/>
    </row>
    <row r="495" spans="2:14" ht="15.75" x14ac:dyDescent="0.25">
      <c r="B495" s="33"/>
      <c r="C495" s="34"/>
      <c r="F495" s="35"/>
      <c r="I495" s="33"/>
      <c r="M495" s="33"/>
      <c r="N495" s="33"/>
    </row>
    <row r="496" spans="2:14" ht="15.75" x14ac:dyDescent="0.25">
      <c r="B496" s="33"/>
      <c r="C496" s="34"/>
      <c r="F496" s="35"/>
      <c r="I496" s="33"/>
      <c r="M496" s="33"/>
      <c r="N496" s="33"/>
    </row>
    <row r="497" spans="2:14" ht="15.75" x14ac:dyDescent="0.25">
      <c r="B497" s="33"/>
      <c r="C497" s="34"/>
      <c r="F497" s="35"/>
      <c r="I497" s="33"/>
      <c r="M497" s="33"/>
      <c r="N497" s="33"/>
    </row>
    <row r="498" spans="2:14" ht="15.75" x14ac:dyDescent="0.25">
      <c r="B498" s="33"/>
      <c r="C498" s="34"/>
      <c r="F498" s="35"/>
      <c r="I498" s="33"/>
      <c r="M498" s="33"/>
      <c r="N498" s="33"/>
    </row>
    <row r="499" spans="2:14" ht="15.75" x14ac:dyDescent="0.25">
      <c r="B499" s="33"/>
      <c r="C499" s="34"/>
      <c r="F499" s="35"/>
      <c r="I499" s="33"/>
      <c r="M499" s="33"/>
      <c r="N499" s="33"/>
    </row>
    <row r="500" spans="2:14" ht="15.75" x14ac:dyDescent="0.25">
      <c r="B500" s="33"/>
      <c r="C500" s="34"/>
      <c r="F500" s="35"/>
      <c r="I500" s="33"/>
      <c r="M500" s="33"/>
      <c r="N500" s="33"/>
    </row>
    <row r="501" spans="2:14" ht="15.75" x14ac:dyDescent="0.25">
      <c r="B501" s="33"/>
      <c r="C501" s="34"/>
      <c r="F501" s="35"/>
      <c r="I501" s="33"/>
      <c r="M501" s="33"/>
      <c r="N501" s="33"/>
    </row>
    <row r="502" spans="2:14" ht="15.75" x14ac:dyDescent="0.25">
      <c r="B502" s="33"/>
      <c r="C502" s="34"/>
      <c r="F502" s="35"/>
      <c r="I502" s="33"/>
      <c r="M502" s="33"/>
      <c r="N502" s="33"/>
    </row>
    <row r="503" spans="2:14" ht="15.75" x14ac:dyDescent="0.25">
      <c r="B503" s="33"/>
      <c r="C503" s="34"/>
      <c r="F503" s="35"/>
      <c r="I503" s="33"/>
      <c r="M503" s="33"/>
      <c r="N503" s="33"/>
    </row>
    <row r="504" spans="2:14" ht="15.75" x14ac:dyDescent="0.25">
      <c r="B504" s="33"/>
      <c r="C504" s="34"/>
      <c r="F504" s="35"/>
      <c r="I504" s="33"/>
      <c r="M504" s="33"/>
      <c r="N504" s="33"/>
    </row>
    <row r="505" spans="2:14" ht="15.75" x14ac:dyDescent="0.25">
      <c r="B505" s="33"/>
      <c r="C505" s="34"/>
      <c r="F505" s="35"/>
      <c r="I505" s="33"/>
      <c r="M505" s="33"/>
      <c r="N505" s="33"/>
    </row>
    <row r="506" spans="2:14" ht="15.75" x14ac:dyDescent="0.25">
      <c r="B506" s="33"/>
      <c r="C506" s="34"/>
      <c r="F506" s="35"/>
      <c r="I506" s="33"/>
      <c r="M506" s="33"/>
      <c r="N506" s="33"/>
    </row>
    <row r="507" spans="2:14" ht="15.75" x14ac:dyDescent="0.25">
      <c r="B507" s="33"/>
      <c r="C507" s="34"/>
      <c r="F507" s="35"/>
      <c r="I507" s="33"/>
      <c r="M507" s="33"/>
      <c r="N507" s="33"/>
    </row>
    <row r="508" spans="2:14" ht="15.75" x14ac:dyDescent="0.25">
      <c r="B508" s="33"/>
      <c r="C508" s="34"/>
      <c r="F508" s="35"/>
      <c r="I508" s="33"/>
      <c r="M508" s="33"/>
      <c r="N508" s="33"/>
    </row>
    <row r="509" spans="2:14" ht="15.75" x14ac:dyDescent="0.25">
      <c r="B509" s="33"/>
      <c r="C509" s="34"/>
      <c r="F509" s="35"/>
      <c r="I509" s="33"/>
      <c r="M509" s="33"/>
      <c r="N509" s="33"/>
    </row>
    <row r="510" spans="2:14" ht="15.75" x14ac:dyDescent="0.25">
      <c r="B510" s="33"/>
      <c r="C510" s="34"/>
      <c r="F510" s="35"/>
      <c r="I510" s="33"/>
      <c r="M510" s="33"/>
      <c r="N510" s="33"/>
    </row>
    <row r="511" spans="2:14" ht="15.75" x14ac:dyDescent="0.25">
      <c r="B511" s="33"/>
      <c r="C511" s="34"/>
      <c r="F511" s="35"/>
      <c r="I511" s="33"/>
      <c r="M511" s="33"/>
      <c r="N511" s="33"/>
    </row>
    <row r="512" spans="2:14" ht="15.75" x14ac:dyDescent="0.25">
      <c r="B512" s="33"/>
      <c r="C512" s="34"/>
      <c r="F512" s="35"/>
      <c r="I512" s="33"/>
      <c r="M512" s="33"/>
      <c r="N512" s="33"/>
    </row>
    <row r="513" spans="2:14" ht="15.75" x14ac:dyDescent="0.25">
      <c r="B513" s="33"/>
      <c r="C513" s="34"/>
      <c r="F513" s="35"/>
      <c r="I513" s="33"/>
      <c r="M513" s="33"/>
      <c r="N513" s="33"/>
    </row>
    <row r="514" spans="2:14" ht="15.75" x14ac:dyDescent="0.25">
      <c r="B514" s="33"/>
      <c r="C514" s="34"/>
      <c r="F514" s="35"/>
      <c r="I514" s="33"/>
      <c r="M514" s="33"/>
      <c r="N514" s="33"/>
    </row>
    <row r="515" spans="2:14" ht="15.75" x14ac:dyDescent="0.25">
      <c r="B515" s="33"/>
      <c r="C515" s="34"/>
      <c r="F515" s="35"/>
      <c r="I515" s="33"/>
      <c r="M515" s="33"/>
      <c r="N515" s="33"/>
    </row>
    <row r="516" spans="2:14" ht="15.75" x14ac:dyDescent="0.25">
      <c r="B516" s="33"/>
      <c r="C516" s="34"/>
      <c r="F516" s="35"/>
      <c r="I516" s="33"/>
      <c r="M516" s="33"/>
      <c r="N516" s="33"/>
    </row>
    <row r="517" spans="2:14" ht="15.75" x14ac:dyDescent="0.25">
      <c r="B517" s="33"/>
      <c r="C517" s="34"/>
      <c r="F517" s="35"/>
      <c r="I517" s="33"/>
      <c r="M517" s="33"/>
      <c r="N517" s="33"/>
    </row>
    <row r="518" spans="2:14" ht="15.75" x14ac:dyDescent="0.25">
      <c r="B518" s="33"/>
      <c r="C518" s="34"/>
      <c r="F518" s="35"/>
      <c r="I518" s="33"/>
      <c r="M518" s="33"/>
      <c r="N518" s="33"/>
    </row>
    <row r="519" spans="2:14" ht="15.75" x14ac:dyDescent="0.25">
      <c r="B519" s="33"/>
      <c r="C519" s="34"/>
      <c r="F519" s="35"/>
      <c r="I519" s="33"/>
      <c r="M519" s="33"/>
      <c r="N519" s="33"/>
    </row>
    <row r="520" spans="2:14" ht="15.75" x14ac:dyDescent="0.25">
      <c r="B520" s="33"/>
      <c r="C520" s="34"/>
      <c r="F520" s="35"/>
      <c r="I520" s="33"/>
      <c r="M520" s="33"/>
      <c r="N520" s="33"/>
    </row>
    <row r="521" spans="2:14" ht="15.75" x14ac:dyDescent="0.25">
      <c r="B521" s="33"/>
      <c r="C521" s="34"/>
      <c r="F521" s="35"/>
      <c r="I521" s="33"/>
      <c r="M521" s="33"/>
      <c r="N521" s="33"/>
    </row>
    <row r="522" spans="2:14" ht="15.75" x14ac:dyDescent="0.25">
      <c r="B522" s="33"/>
      <c r="C522" s="34"/>
      <c r="F522" s="35"/>
      <c r="I522" s="33"/>
      <c r="M522" s="33"/>
      <c r="N522" s="33"/>
    </row>
    <row r="523" spans="2:14" ht="15.75" x14ac:dyDescent="0.25">
      <c r="B523" s="33"/>
      <c r="C523" s="34"/>
      <c r="F523" s="35"/>
      <c r="I523" s="33"/>
      <c r="M523" s="33"/>
      <c r="N523" s="33"/>
    </row>
    <row r="524" spans="2:14" ht="15.75" x14ac:dyDescent="0.25">
      <c r="B524" s="33"/>
      <c r="C524" s="34"/>
      <c r="F524" s="35"/>
      <c r="I524" s="33"/>
      <c r="M524" s="33"/>
      <c r="N524" s="33"/>
    </row>
    <row r="525" spans="2:14" ht="15.75" x14ac:dyDescent="0.25">
      <c r="B525" s="33"/>
      <c r="C525" s="34"/>
      <c r="F525" s="35"/>
      <c r="I525" s="33"/>
      <c r="M525" s="33"/>
      <c r="N525" s="33"/>
    </row>
    <row r="526" spans="2:14" ht="15.75" x14ac:dyDescent="0.25">
      <c r="B526" s="33"/>
      <c r="C526" s="34"/>
      <c r="F526" s="35"/>
      <c r="I526" s="33"/>
      <c r="M526" s="33"/>
      <c r="N526" s="33"/>
    </row>
    <row r="527" spans="2:14" ht="15.75" x14ac:dyDescent="0.25">
      <c r="B527" s="33"/>
      <c r="C527" s="34"/>
      <c r="F527" s="35"/>
      <c r="I527" s="33"/>
      <c r="M527" s="33"/>
      <c r="N527" s="33"/>
    </row>
    <row r="528" spans="2:14" ht="15.75" x14ac:dyDescent="0.25">
      <c r="B528" s="33"/>
      <c r="C528" s="34"/>
      <c r="F528" s="35"/>
      <c r="I528" s="33"/>
      <c r="M528" s="33"/>
      <c r="N528" s="33"/>
    </row>
    <row r="529" spans="2:14" ht="15.75" x14ac:dyDescent="0.25">
      <c r="B529" s="33"/>
      <c r="C529" s="34"/>
      <c r="F529" s="35"/>
      <c r="I529" s="33"/>
      <c r="M529" s="33"/>
      <c r="N529" s="33"/>
    </row>
    <row r="530" spans="2:14" ht="15.75" x14ac:dyDescent="0.25">
      <c r="B530" s="33"/>
      <c r="C530" s="34"/>
      <c r="F530" s="35"/>
      <c r="I530" s="33"/>
      <c r="M530" s="33"/>
      <c r="N530" s="33"/>
    </row>
    <row r="531" spans="2:14" ht="15.75" x14ac:dyDescent="0.25">
      <c r="B531" s="33"/>
      <c r="C531" s="34"/>
      <c r="F531" s="35"/>
      <c r="I531" s="33"/>
      <c r="M531" s="33"/>
      <c r="N531" s="33"/>
    </row>
    <row r="532" spans="2:14" ht="15.75" x14ac:dyDescent="0.25">
      <c r="B532" s="33"/>
      <c r="C532" s="34"/>
      <c r="F532" s="35"/>
      <c r="I532" s="33"/>
      <c r="M532" s="33"/>
      <c r="N532" s="33"/>
    </row>
    <row r="533" spans="2:14" ht="15.75" x14ac:dyDescent="0.25">
      <c r="B533" s="33"/>
      <c r="C533" s="34"/>
      <c r="F533" s="35"/>
      <c r="I533" s="33"/>
      <c r="M533" s="33"/>
      <c r="N533" s="33"/>
    </row>
    <row r="534" spans="2:14" ht="15.75" x14ac:dyDescent="0.25">
      <c r="B534" s="33"/>
      <c r="C534" s="34"/>
      <c r="F534" s="35"/>
      <c r="I534" s="33"/>
      <c r="M534" s="33"/>
      <c r="N534" s="33"/>
    </row>
    <row r="535" spans="2:14" ht="15.75" x14ac:dyDescent="0.25">
      <c r="B535" s="33"/>
      <c r="C535" s="34"/>
      <c r="F535" s="35"/>
      <c r="I535" s="33"/>
      <c r="M535" s="33"/>
      <c r="N535" s="33"/>
    </row>
    <row r="536" spans="2:14" ht="15.75" x14ac:dyDescent="0.25">
      <c r="B536" s="33"/>
      <c r="C536" s="34"/>
      <c r="F536" s="35"/>
      <c r="I536" s="33"/>
      <c r="M536" s="33"/>
      <c r="N536" s="33"/>
    </row>
    <row r="537" spans="2:14" ht="15.75" x14ac:dyDescent="0.25">
      <c r="B537" s="33"/>
      <c r="C537" s="34"/>
      <c r="F537" s="35"/>
      <c r="I537" s="33"/>
      <c r="M537" s="33"/>
      <c r="N537" s="33"/>
    </row>
    <row r="538" spans="2:14" ht="15.75" x14ac:dyDescent="0.25">
      <c r="B538" s="33"/>
      <c r="C538" s="34"/>
      <c r="F538" s="35"/>
      <c r="I538" s="33"/>
      <c r="M538" s="33"/>
      <c r="N538" s="33"/>
    </row>
    <row r="539" spans="2:14" ht="15.75" x14ac:dyDescent="0.25">
      <c r="B539" s="33"/>
      <c r="C539" s="34"/>
      <c r="F539" s="35"/>
      <c r="I539" s="33"/>
      <c r="M539" s="33"/>
      <c r="N539" s="33"/>
    </row>
    <row r="540" spans="2:14" ht="15.75" x14ac:dyDescent="0.25">
      <c r="B540" s="33"/>
      <c r="C540" s="34"/>
      <c r="F540" s="35"/>
      <c r="I540" s="33"/>
      <c r="M540" s="33"/>
      <c r="N540" s="33"/>
    </row>
    <row r="541" spans="2:14" ht="15.75" x14ac:dyDescent="0.25">
      <c r="B541" s="33"/>
      <c r="C541" s="34"/>
      <c r="F541" s="35"/>
      <c r="I541" s="33"/>
      <c r="M541" s="33"/>
      <c r="N541" s="33"/>
    </row>
    <row r="542" spans="2:14" ht="15.75" x14ac:dyDescent="0.25">
      <c r="B542" s="33"/>
      <c r="C542" s="34"/>
      <c r="F542" s="35"/>
      <c r="I542" s="33"/>
      <c r="M542" s="33"/>
      <c r="N542" s="33"/>
    </row>
    <row r="543" spans="2:14" ht="15.75" x14ac:dyDescent="0.25">
      <c r="B543" s="33"/>
      <c r="C543" s="34"/>
      <c r="F543" s="35"/>
      <c r="I543" s="33"/>
      <c r="M543" s="33"/>
      <c r="N543" s="33"/>
    </row>
    <row r="544" spans="2:14" ht="15.75" x14ac:dyDescent="0.25">
      <c r="B544" s="33"/>
      <c r="C544" s="34"/>
      <c r="F544" s="35"/>
      <c r="I544" s="33"/>
      <c r="M544" s="33"/>
      <c r="N544" s="33"/>
    </row>
    <row r="545" spans="2:14" ht="15.75" x14ac:dyDescent="0.25">
      <c r="B545" s="33"/>
      <c r="C545" s="34"/>
      <c r="F545" s="35"/>
      <c r="I545" s="33"/>
      <c r="M545" s="33"/>
      <c r="N545" s="33"/>
    </row>
    <row r="546" spans="2:14" ht="15.75" x14ac:dyDescent="0.25">
      <c r="B546" s="33"/>
      <c r="C546" s="34"/>
      <c r="F546" s="35"/>
      <c r="I546" s="33"/>
      <c r="M546" s="33"/>
      <c r="N546" s="33"/>
    </row>
    <row r="547" spans="2:14" ht="15.75" x14ac:dyDescent="0.25">
      <c r="B547" s="33"/>
      <c r="C547" s="34"/>
      <c r="F547" s="35"/>
      <c r="I547" s="33"/>
      <c r="M547" s="33"/>
      <c r="N547" s="33"/>
    </row>
    <row r="548" spans="2:14" ht="15.75" x14ac:dyDescent="0.25">
      <c r="B548" s="33"/>
      <c r="C548" s="34"/>
      <c r="F548" s="35"/>
      <c r="I548" s="33"/>
      <c r="M548" s="33"/>
      <c r="N548" s="33"/>
    </row>
    <row r="549" spans="2:14" ht="15.75" x14ac:dyDescent="0.25">
      <c r="B549" s="33"/>
      <c r="C549" s="34"/>
      <c r="F549" s="35"/>
      <c r="I549" s="33"/>
      <c r="M549" s="33"/>
      <c r="N549" s="33"/>
    </row>
    <row r="550" spans="2:14" ht="15.75" x14ac:dyDescent="0.25">
      <c r="B550" s="33"/>
      <c r="C550" s="34"/>
      <c r="F550" s="35"/>
      <c r="I550" s="33"/>
      <c r="M550" s="33"/>
      <c r="N550" s="33"/>
    </row>
    <row r="551" spans="2:14" ht="15.75" x14ac:dyDescent="0.25">
      <c r="B551" s="33"/>
      <c r="C551" s="34"/>
      <c r="F551" s="35"/>
      <c r="I551" s="33"/>
      <c r="M551" s="33"/>
      <c r="N551" s="33"/>
    </row>
    <row r="552" spans="2:14" ht="15.75" x14ac:dyDescent="0.25">
      <c r="B552" s="33"/>
      <c r="C552" s="34"/>
      <c r="F552" s="35"/>
      <c r="I552" s="33"/>
      <c r="M552" s="33"/>
      <c r="N552" s="33"/>
    </row>
    <row r="553" spans="2:14" ht="15.75" x14ac:dyDescent="0.25">
      <c r="B553" s="33"/>
      <c r="C553" s="34"/>
      <c r="F553" s="35"/>
      <c r="I553" s="33"/>
      <c r="M553" s="33"/>
      <c r="N553" s="33"/>
    </row>
    <row r="554" spans="2:14" ht="15.75" x14ac:dyDescent="0.25">
      <c r="B554" s="33"/>
      <c r="C554" s="34"/>
      <c r="F554" s="35"/>
      <c r="I554" s="33"/>
      <c r="M554" s="33"/>
      <c r="N554" s="33"/>
    </row>
    <row r="555" spans="2:14" ht="15.75" x14ac:dyDescent="0.25">
      <c r="B555" s="33"/>
      <c r="C555" s="34"/>
      <c r="F555" s="35"/>
      <c r="I555" s="33"/>
      <c r="M555" s="33"/>
      <c r="N555" s="33"/>
    </row>
    <row r="556" spans="2:14" ht="15.75" x14ac:dyDescent="0.25">
      <c r="B556" s="33"/>
      <c r="C556" s="34"/>
      <c r="F556" s="35"/>
      <c r="I556" s="33"/>
      <c r="M556" s="33"/>
      <c r="N556" s="33"/>
    </row>
    <row r="557" spans="2:14" ht="15.75" x14ac:dyDescent="0.25">
      <c r="B557" s="33"/>
      <c r="C557" s="34"/>
      <c r="F557" s="35"/>
      <c r="I557" s="33"/>
      <c r="M557" s="33"/>
      <c r="N557" s="33"/>
    </row>
    <row r="558" spans="2:14" ht="15.75" x14ac:dyDescent="0.25">
      <c r="B558" s="33"/>
      <c r="C558" s="34"/>
      <c r="F558" s="35"/>
      <c r="I558" s="33"/>
      <c r="M558" s="33"/>
      <c r="N558" s="33"/>
    </row>
    <row r="559" spans="2:14" ht="15.75" x14ac:dyDescent="0.25">
      <c r="B559" s="33"/>
      <c r="C559" s="34"/>
      <c r="F559" s="35"/>
      <c r="I559" s="33"/>
      <c r="M559" s="33"/>
      <c r="N559" s="33"/>
    </row>
    <row r="560" spans="2:14" ht="15.75" x14ac:dyDescent="0.25">
      <c r="B560" s="33"/>
      <c r="C560" s="34"/>
      <c r="F560" s="35"/>
      <c r="I560" s="33"/>
      <c r="M560" s="33"/>
      <c r="N560" s="33"/>
    </row>
    <row r="561" spans="2:14" ht="15.75" x14ac:dyDescent="0.25">
      <c r="B561" s="33"/>
      <c r="C561" s="34"/>
      <c r="F561" s="35"/>
      <c r="I561" s="33"/>
      <c r="M561" s="33"/>
      <c r="N561" s="33"/>
    </row>
    <row r="562" spans="2:14" ht="15.75" x14ac:dyDescent="0.25">
      <c r="B562" s="33"/>
      <c r="C562" s="34"/>
      <c r="F562" s="35"/>
      <c r="I562" s="33"/>
      <c r="M562" s="33"/>
      <c r="N562" s="33"/>
    </row>
    <row r="563" spans="2:14" ht="15.75" x14ac:dyDescent="0.25">
      <c r="B563" s="33"/>
      <c r="C563" s="34"/>
      <c r="F563" s="35"/>
      <c r="I563" s="33"/>
      <c r="M563" s="33"/>
      <c r="N563" s="33"/>
    </row>
    <row r="564" spans="2:14" ht="15.75" x14ac:dyDescent="0.25">
      <c r="B564" s="33"/>
      <c r="C564" s="34"/>
      <c r="F564" s="35"/>
      <c r="I564" s="33"/>
      <c r="M564" s="33"/>
      <c r="N564" s="33"/>
    </row>
    <row r="565" spans="2:14" ht="15.75" x14ac:dyDescent="0.25">
      <c r="B565" s="33"/>
      <c r="C565" s="34"/>
      <c r="F565" s="35"/>
      <c r="I565" s="33"/>
      <c r="M565" s="33"/>
      <c r="N565" s="33"/>
    </row>
    <row r="566" spans="2:14" ht="15.75" x14ac:dyDescent="0.25">
      <c r="B566" s="33"/>
      <c r="C566" s="34"/>
      <c r="F566" s="35"/>
      <c r="I566" s="33"/>
      <c r="M566" s="33"/>
      <c r="N566" s="33"/>
    </row>
    <row r="567" spans="2:14" ht="15.75" x14ac:dyDescent="0.25">
      <c r="B567" s="33"/>
      <c r="C567" s="34"/>
      <c r="F567" s="35"/>
      <c r="I567" s="33"/>
      <c r="M567" s="33"/>
      <c r="N567" s="33"/>
    </row>
    <row r="568" spans="2:14" ht="15.75" x14ac:dyDescent="0.25">
      <c r="B568" s="33"/>
      <c r="C568" s="34"/>
      <c r="F568" s="35"/>
      <c r="I568" s="33"/>
      <c r="M568" s="33"/>
      <c r="N568" s="33"/>
    </row>
    <row r="569" spans="2:14" ht="15.75" x14ac:dyDescent="0.25">
      <c r="B569" s="33"/>
      <c r="C569" s="34"/>
      <c r="F569" s="35"/>
      <c r="I569" s="33"/>
      <c r="M569" s="33"/>
      <c r="N569" s="33"/>
    </row>
    <row r="570" spans="2:14" ht="15.75" x14ac:dyDescent="0.25">
      <c r="B570" s="33"/>
      <c r="C570" s="34"/>
      <c r="F570" s="35"/>
      <c r="I570" s="33"/>
      <c r="M570" s="33"/>
      <c r="N570" s="33"/>
    </row>
    <row r="571" spans="2:14" ht="15.75" x14ac:dyDescent="0.25">
      <c r="B571" s="33"/>
      <c r="C571" s="34"/>
      <c r="F571" s="35"/>
      <c r="I571" s="33"/>
      <c r="M571" s="33"/>
      <c r="N571" s="33"/>
    </row>
    <row r="572" spans="2:14" ht="15.75" x14ac:dyDescent="0.25">
      <c r="B572" s="33"/>
      <c r="C572" s="34"/>
      <c r="F572" s="35"/>
      <c r="I572" s="33"/>
      <c r="M572" s="33"/>
      <c r="N572" s="33"/>
    </row>
    <row r="573" spans="2:14" ht="15.75" x14ac:dyDescent="0.25">
      <c r="B573" s="33"/>
      <c r="C573" s="34"/>
      <c r="F573" s="35"/>
      <c r="I573" s="33"/>
      <c r="M573" s="33"/>
      <c r="N573" s="33"/>
    </row>
    <row r="574" spans="2:14" ht="15.75" x14ac:dyDescent="0.25">
      <c r="B574" s="33"/>
      <c r="C574" s="34"/>
      <c r="F574" s="35"/>
      <c r="I574" s="33"/>
      <c r="M574" s="33"/>
      <c r="N574" s="33"/>
    </row>
    <row r="575" spans="2:14" ht="15.75" x14ac:dyDescent="0.25">
      <c r="B575" s="33"/>
      <c r="C575" s="34"/>
      <c r="F575" s="35"/>
      <c r="I575" s="33"/>
      <c r="M575" s="33"/>
      <c r="N575" s="33"/>
    </row>
    <row r="576" spans="2:14" ht="15.75" x14ac:dyDescent="0.25">
      <c r="B576" s="33"/>
      <c r="C576" s="34"/>
      <c r="F576" s="35"/>
      <c r="I576" s="33"/>
      <c r="M576" s="33"/>
      <c r="N576" s="33"/>
    </row>
    <row r="577" spans="2:14" ht="15.75" x14ac:dyDescent="0.25">
      <c r="B577" s="33"/>
      <c r="C577" s="34"/>
      <c r="F577" s="35"/>
      <c r="I577" s="33"/>
      <c r="M577" s="33"/>
      <c r="N577" s="33"/>
    </row>
    <row r="578" spans="2:14" ht="15.75" x14ac:dyDescent="0.25">
      <c r="B578" s="33"/>
      <c r="C578" s="34"/>
      <c r="F578" s="35"/>
      <c r="I578" s="33"/>
      <c r="M578" s="33"/>
      <c r="N578" s="33"/>
    </row>
    <row r="579" spans="2:14" ht="15.75" x14ac:dyDescent="0.25">
      <c r="B579" s="33"/>
      <c r="C579" s="34"/>
      <c r="F579" s="35"/>
      <c r="I579" s="33"/>
      <c r="M579" s="33"/>
      <c r="N579" s="33"/>
    </row>
    <row r="580" spans="2:14" ht="15.75" x14ac:dyDescent="0.25">
      <c r="B580" s="33"/>
      <c r="C580" s="34"/>
      <c r="F580" s="35"/>
      <c r="I580" s="33"/>
      <c r="M580" s="33"/>
      <c r="N580" s="33"/>
    </row>
    <row r="581" spans="2:14" ht="15.75" x14ac:dyDescent="0.25">
      <c r="B581" s="33"/>
      <c r="C581" s="34"/>
      <c r="F581" s="35"/>
      <c r="I581" s="33"/>
      <c r="M581" s="33"/>
      <c r="N581" s="33"/>
    </row>
    <row r="582" spans="2:14" ht="15.75" x14ac:dyDescent="0.25">
      <c r="B582" s="33"/>
      <c r="C582" s="34"/>
      <c r="F582" s="35"/>
      <c r="I582" s="33"/>
      <c r="M582" s="33"/>
      <c r="N582" s="33"/>
    </row>
    <row r="583" spans="2:14" ht="15.75" x14ac:dyDescent="0.25">
      <c r="B583" s="33"/>
      <c r="C583" s="34"/>
      <c r="F583" s="35"/>
      <c r="I583" s="33"/>
      <c r="M583" s="33"/>
      <c r="N583" s="33"/>
    </row>
    <row r="584" spans="2:14" ht="15.75" x14ac:dyDescent="0.25">
      <c r="B584" s="33"/>
      <c r="C584" s="34"/>
      <c r="F584" s="35"/>
      <c r="I584" s="33"/>
      <c r="M584" s="33"/>
      <c r="N584" s="33"/>
    </row>
    <row r="585" spans="2:14" ht="15.75" x14ac:dyDescent="0.25">
      <c r="B585" s="33"/>
      <c r="C585" s="34"/>
      <c r="F585" s="35"/>
      <c r="I585" s="33"/>
      <c r="M585" s="33"/>
      <c r="N585" s="33"/>
    </row>
    <row r="586" spans="2:14" ht="15.75" x14ac:dyDescent="0.25">
      <c r="B586" s="33"/>
      <c r="C586" s="34"/>
      <c r="F586" s="35"/>
      <c r="I586" s="33"/>
      <c r="M586" s="33"/>
      <c r="N586" s="33"/>
    </row>
    <row r="587" spans="2:14" ht="15.75" x14ac:dyDescent="0.25">
      <c r="B587" s="33"/>
      <c r="C587" s="34"/>
      <c r="F587" s="35"/>
      <c r="I587" s="33"/>
      <c r="M587" s="33"/>
      <c r="N587" s="33"/>
    </row>
    <row r="588" spans="2:14" ht="15.75" x14ac:dyDescent="0.25">
      <c r="B588" s="33"/>
      <c r="C588" s="34"/>
      <c r="F588" s="35"/>
      <c r="I588" s="33"/>
      <c r="M588" s="33"/>
      <c r="N588" s="33"/>
    </row>
    <row r="589" spans="2:14" ht="15.75" x14ac:dyDescent="0.25">
      <c r="B589" s="33"/>
      <c r="C589" s="34"/>
      <c r="F589" s="35"/>
      <c r="I589" s="33"/>
      <c r="M589" s="33"/>
      <c r="N589" s="33"/>
    </row>
    <row r="590" spans="2:14" ht="15.75" x14ac:dyDescent="0.25">
      <c r="B590" s="33"/>
      <c r="C590" s="34"/>
      <c r="F590" s="35"/>
      <c r="I590" s="33"/>
      <c r="M590" s="33"/>
      <c r="N590" s="33"/>
    </row>
    <row r="591" spans="2:14" ht="15.75" x14ac:dyDescent="0.25">
      <c r="B591" s="33"/>
      <c r="C591" s="34"/>
      <c r="F591" s="35"/>
      <c r="I591" s="33"/>
      <c r="M591" s="33"/>
      <c r="N591" s="33"/>
    </row>
    <row r="592" spans="2:14" ht="15.75" x14ac:dyDescent="0.25">
      <c r="B592" s="33"/>
      <c r="C592" s="34"/>
      <c r="F592" s="35"/>
      <c r="I592" s="33"/>
      <c r="M592" s="33"/>
      <c r="N592" s="33"/>
    </row>
    <row r="593" spans="2:14" ht="15.75" x14ac:dyDescent="0.25">
      <c r="B593" s="33"/>
      <c r="C593" s="34"/>
      <c r="F593" s="35"/>
      <c r="I593" s="33"/>
      <c r="M593" s="33"/>
      <c r="N593" s="33"/>
    </row>
    <row r="594" spans="2:14" ht="15.75" x14ac:dyDescent="0.25">
      <c r="B594" s="33"/>
      <c r="C594" s="34"/>
      <c r="F594" s="35"/>
      <c r="I594" s="33"/>
      <c r="M594" s="33"/>
      <c r="N594" s="33"/>
    </row>
    <row r="595" spans="2:14" ht="15.75" x14ac:dyDescent="0.25">
      <c r="B595" s="33"/>
      <c r="C595" s="34"/>
      <c r="F595" s="35"/>
      <c r="I595" s="33"/>
      <c r="M595" s="33"/>
      <c r="N595" s="33"/>
    </row>
    <row r="596" spans="2:14" ht="15.75" x14ac:dyDescent="0.25">
      <c r="B596" s="33"/>
      <c r="C596" s="34"/>
      <c r="F596" s="35"/>
      <c r="I596" s="33"/>
      <c r="M596" s="33"/>
      <c r="N596" s="33"/>
    </row>
    <row r="597" spans="2:14" ht="15.75" x14ac:dyDescent="0.25">
      <c r="B597" s="33"/>
      <c r="C597" s="34"/>
      <c r="F597" s="35"/>
      <c r="I597" s="33"/>
      <c r="M597" s="33"/>
      <c r="N597" s="33"/>
    </row>
    <row r="598" spans="2:14" ht="15.75" x14ac:dyDescent="0.25">
      <c r="B598" s="33"/>
      <c r="C598" s="34"/>
      <c r="F598" s="35"/>
      <c r="I598" s="33"/>
      <c r="M598" s="33"/>
      <c r="N598" s="33"/>
    </row>
    <row r="599" spans="2:14" ht="15.75" x14ac:dyDescent="0.25">
      <c r="B599" s="33"/>
      <c r="C599" s="34"/>
      <c r="F599" s="35"/>
      <c r="I599" s="33"/>
      <c r="M599" s="33"/>
      <c r="N599" s="33"/>
    </row>
    <row r="600" spans="2:14" ht="15.75" x14ac:dyDescent="0.25">
      <c r="B600" s="33"/>
      <c r="C600" s="34"/>
      <c r="F600" s="35"/>
      <c r="I600" s="33"/>
      <c r="M600" s="33"/>
      <c r="N600" s="33"/>
    </row>
    <row r="601" spans="2:14" ht="15.75" x14ac:dyDescent="0.25">
      <c r="B601" s="33"/>
      <c r="C601" s="34"/>
      <c r="F601" s="35"/>
      <c r="I601" s="33"/>
      <c r="M601" s="33"/>
      <c r="N601" s="33"/>
    </row>
    <row r="602" spans="2:14" ht="15.75" x14ac:dyDescent="0.25">
      <c r="B602" s="33"/>
      <c r="C602" s="34"/>
      <c r="F602" s="35"/>
      <c r="I602" s="33"/>
      <c r="M602" s="33"/>
      <c r="N602" s="33"/>
    </row>
    <row r="603" spans="2:14" ht="15.75" x14ac:dyDescent="0.25">
      <c r="B603" s="33"/>
      <c r="C603" s="34"/>
      <c r="F603" s="35"/>
      <c r="I603" s="33"/>
      <c r="M603" s="33"/>
      <c r="N603" s="33"/>
    </row>
    <row r="604" spans="2:14" ht="15.75" x14ac:dyDescent="0.25">
      <c r="B604" s="33"/>
      <c r="C604" s="34"/>
      <c r="F604" s="35"/>
      <c r="I604" s="33"/>
      <c r="M604" s="33"/>
      <c r="N604" s="33"/>
    </row>
    <row r="605" spans="2:14" ht="15.75" x14ac:dyDescent="0.25">
      <c r="B605" s="33"/>
      <c r="C605" s="34"/>
      <c r="F605" s="35"/>
      <c r="I605" s="33"/>
      <c r="M605" s="33"/>
      <c r="N605" s="33"/>
    </row>
    <row r="606" spans="2:14" ht="15.75" x14ac:dyDescent="0.25">
      <c r="B606" s="33"/>
      <c r="C606" s="34"/>
      <c r="F606" s="35"/>
      <c r="I606" s="33"/>
      <c r="M606" s="33"/>
      <c r="N606" s="33"/>
    </row>
    <row r="607" spans="2:14" ht="15.75" x14ac:dyDescent="0.25">
      <c r="B607" s="33"/>
      <c r="C607" s="34"/>
      <c r="F607" s="35"/>
      <c r="I607" s="33"/>
      <c r="M607" s="33"/>
      <c r="N607" s="33"/>
    </row>
    <row r="608" spans="2:14" ht="15.75" x14ac:dyDescent="0.25">
      <c r="B608" s="33"/>
      <c r="C608" s="34"/>
      <c r="F608" s="35"/>
      <c r="I608" s="33"/>
      <c r="M608" s="33"/>
      <c r="N608" s="33"/>
    </row>
    <row r="609" spans="2:14" ht="15.75" x14ac:dyDescent="0.25">
      <c r="B609" s="33"/>
      <c r="C609" s="34"/>
      <c r="F609" s="35"/>
      <c r="I609" s="33"/>
      <c r="M609" s="33"/>
      <c r="N609" s="33"/>
    </row>
    <row r="610" spans="2:14" ht="15.75" x14ac:dyDescent="0.25">
      <c r="B610" s="33"/>
      <c r="C610" s="34"/>
      <c r="F610" s="35"/>
      <c r="I610" s="33"/>
      <c r="M610" s="33"/>
      <c r="N610" s="33"/>
    </row>
    <row r="611" spans="2:14" ht="15.75" x14ac:dyDescent="0.25">
      <c r="B611" s="33"/>
      <c r="C611" s="34"/>
      <c r="F611" s="35"/>
      <c r="I611" s="33"/>
      <c r="M611" s="33"/>
      <c r="N611" s="33"/>
    </row>
    <row r="612" spans="2:14" ht="15.75" x14ac:dyDescent="0.25">
      <c r="B612" s="33"/>
      <c r="C612" s="34"/>
      <c r="F612" s="35"/>
      <c r="I612" s="33"/>
      <c r="M612" s="33"/>
      <c r="N612" s="33"/>
    </row>
    <row r="613" spans="2:14" ht="15.75" x14ac:dyDescent="0.25">
      <c r="B613" s="33"/>
      <c r="C613" s="34"/>
      <c r="F613" s="35"/>
      <c r="I613" s="33"/>
      <c r="M613" s="33"/>
      <c r="N613" s="33"/>
    </row>
    <row r="614" spans="2:14" ht="15.75" x14ac:dyDescent="0.25">
      <c r="B614" s="33"/>
      <c r="C614" s="34"/>
      <c r="F614" s="35"/>
      <c r="I614" s="33"/>
      <c r="M614" s="33"/>
      <c r="N614" s="33"/>
    </row>
    <row r="615" spans="2:14" ht="15.75" x14ac:dyDescent="0.25">
      <c r="B615" s="33"/>
      <c r="C615" s="34"/>
      <c r="F615" s="35"/>
      <c r="I615" s="33"/>
      <c r="M615" s="33"/>
      <c r="N615" s="33"/>
    </row>
    <row r="616" spans="2:14" ht="15.75" x14ac:dyDescent="0.25">
      <c r="B616" s="33"/>
      <c r="C616" s="34"/>
      <c r="F616" s="35"/>
      <c r="I616" s="33"/>
      <c r="M616" s="33"/>
      <c r="N616" s="33"/>
    </row>
    <row r="617" spans="2:14" ht="15.75" x14ac:dyDescent="0.25">
      <c r="B617" s="33"/>
      <c r="C617" s="34"/>
      <c r="F617" s="35"/>
      <c r="I617" s="33"/>
      <c r="M617" s="33"/>
      <c r="N617" s="33"/>
    </row>
    <row r="618" spans="2:14" ht="15.75" x14ac:dyDescent="0.25">
      <c r="B618" s="33"/>
      <c r="C618" s="34"/>
      <c r="F618" s="35"/>
      <c r="I618" s="33"/>
      <c r="M618" s="33"/>
      <c r="N618" s="33"/>
    </row>
    <row r="619" spans="2:14" ht="15.75" x14ac:dyDescent="0.25">
      <c r="B619" s="33"/>
      <c r="C619" s="34"/>
      <c r="F619" s="35"/>
      <c r="I619" s="33"/>
      <c r="M619" s="33"/>
      <c r="N619" s="33"/>
    </row>
    <row r="620" spans="2:14" ht="15.75" x14ac:dyDescent="0.25">
      <c r="B620" s="33"/>
      <c r="C620" s="34"/>
      <c r="F620" s="35"/>
      <c r="I620" s="33"/>
      <c r="M620" s="33"/>
      <c r="N620" s="33"/>
    </row>
    <row r="621" spans="2:14" ht="15.75" x14ac:dyDescent="0.25">
      <c r="B621" s="33"/>
      <c r="C621" s="34"/>
      <c r="F621" s="35"/>
      <c r="I621" s="33"/>
      <c r="M621" s="33"/>
      <c r="N621" s="33"/>
    </row>
    <row r="622" spans="2:14" ht="15.75" x14ac:dyDescent="0.25">
      <c r="B622" s="33"/>
      <c r="C622" s="34"/>
      <c r="F622" s="35"/>
      <c r="I622" s="33"/>
      <c r="M622" s="33"/>
      <c r="N622" s="33"/>
    </row>
    <row r="623" spans="2:14" ht="15.75" x14ac:dyDescent="0.25">
      <c r="B623" s="33"/>
      <c r="C623" s="34"/>
      <c r="F623" s="35"/>
      <c r="I623" s="33"/>
      <c r="M623" s="33"/>
      <c r="N623" s="33"/>
    </row>
    <row r="624" spans="2:14" ht="15.75" x14ac:dyDescent="0.25">
      <c r="B624" s="33"/>
      <c r="C624" s="34"/>
      <c r="F624" s="35"/>
      <c r="I624" s="33"/>
      <c r="M624" s="33"/>
      <c r="N624" s="33"/>
    </row>
    <row r="625" spans="2:14" ht="15.75" x14ac:dyDescent="0.25">
      <c r="B625" s="33"/>
      <c r="C625" s="34"/>
      <c r="F625" s="35"/>
      <c r="I625" s="33"/>
      <c r="M625" s="33"/>
      <c r="N625" s="33"/>
    </row>
    <row r="626" spans="2:14" ht="15.75" x14ac:dyDescent="0.25">
      <c r="B626" s="33"/>
      <c r="C626" s="34"/>
      <c r="F626" s="35"/>
      <c r="I626" s="33"/>
      <c r="M626" s="33"/>
      <c r="N626" s="33"/>
    </row>
    <row r="627" spans="2:14" ht="15.75" x14ac:dyDescent="0.25">
      <c r="B627" s="33"/>
      <c r="C627" s="34"/>
      <c r="F627" s="35"/>
      <c r="I627" s="33"/>
      <c r="M627" s="33"/>
      <c r="N627" s="33"/>
    </row>
    <row r="628" spans="2:14" ht="15.75" x14ac:dyDescent="0.25">
      <c r="B628" s="33"/>
      <c r="C628" s="34"/>
      <c r="F628" s="35"/>
      <c r="I628" s="33"/>
      <c r="M628" s="33"/>
      <c r="N628" s="33"/>
    </row>
    <row r="629" spans="2:14" ht="15.75" x14ac:dyDescent="0.25">
      <c r="B629" s="33"/>
      <c r="C629" s="34"/>
      <c r="F629" s="35"/>
      <c r="I629" s="33"/>
      <c r="M629" s="33"/>
      <c r="N629" s="33"/>
    </row>
    <row r="630" spans="2:14" ht="15.75" x14ac:dyDescent="0.25">
      <c r="B630" s="33"/>
      <c r="C630" s="34"/>
      <c r="F630" s="35"/>
      <c r="I630" s="33"/>
      <c r="M630" s="33"/>
      <c r="N630" s="33"/>
    </row>
    <row r="631" spans="2:14" ht="15.75" x14ac:dyDescent="0.25">
      <c r="B631" s="33"/>
      <c r="C631" s="34"/>
      <c r="F631" s="35"/>
      <c r="I631" s="33"/>
      <c r="M631" s="33"/>
      <c r="N631" s="33"/>
    </row>
    <row r="632" spans="2:14" ht="15.75" x14ac:dyDescent="0.25">
      <c r="B632" s="33"/>
      <c r="C632" s="34"/>
      <c r="F632" s="35"/>
      <c r="I632" s="33"/>
      <c r="M632" s="33"/>
      <c r="N632" s="33"/>
    </row>
    <row r="633" spans="2:14" ht="15.75" x14ac:dyDescent="0.25">
      <c r="B633" s="33"/>
      <c r="C633" s="34"/>
      <c r="F633" s="35"/>
      <c r="I633" s="33"/>
      <c r="M633" s="33"/>
      <c r="N633" s="33"/>
    </row>
    <row r="634" spans="2:14" ht="15.75" x14ac:dyDescent="0.25">
      <c r="B634" s="33"/>
      <c r="C634" s="34"/>
      <c r="F634" s="35"/>
      <c r="I634" s="33"/>
      <c r="M634" s="33"/>
      <c r="N634" s="33"/>
    </row>
    <row r="635" spans="2:14" ht="15.75" x14ac:dyDescent="0.25">
      <c r="B635" s="33"/>
      <c r="C635" s="34"/>
      <c r="F635" s="35"/>
      <c r="I635" s="33"/>
      <c r="M635" s="33"/>
      <c r="N635" s="33"/>
    </row>
    <row r="636" spans="2:14" ht="15.75" x14ac:dyDescent="0.25">
      <c r="B636" s="33"/>
      <c r="C636" s="34"/>
      <c r="F636" s="35"/>
      <c r="I636" s="33"/>
      <c r="M636" s="33"/>
      <c r="N636" s="33"/>
    </row>
    <row r="637" spans="2:14" ht="15.75" x14ac:dyDescent="0.25">
      <c r="B637" s="33"/>
      <c r="C637" s="34"/>
      <c r="F637" s="35"/>
      <c r="I637" s="33"/>
      <c r="M637" s="33"/>
      <c r="N637" s="33"/>
    </row>
    <row r="638" spans="2:14" ht="15.75" x14ac:dyDescent="0.25">
      <c r="B638" s="33"/>
      <c r="C638" s="34"/>
      <c r="F638" s="35"/>
      <c r="I638" s="33"/>
      <c r="M638" s="33"/>
      <c r="N638" s="33"/>
    </row>
    <row r="639" spans="2:14" ht="15.75" x14ac:dyDescent="0.25">
      <c r="B639" s="33"/>
      <c r="C639" s="34"/>
      <c r="F639" s="35"/>
      <c r="I639" s="33"/>
      <c r="M639" s="33"/>
      <c r="N639" s="33"/>
    </row>
    <row r="640" spans="2:14" ht="15.75" x14ac:dyDescent="0.25">
      <c r="B640" s="33"/>
      <c r="C640" s="34"/>
      <c r="F640" s="35"/>
      <c r="I640" s="33"/>
      <c r="M640" s="33"/>
      <c r="N640" s="33"/>
    </row>
    <row r="641" spans="2:14" ht="15.75" x14ac:dyDescent="0.25">
      <c r="B641" s="33"/>
      <c r="C641" s="34"/>
      <c r="F641" s="35"/>
      <c r="I641" s="33"/>
      <c r="M641" s="33"/>
      <c r="N641" s="33"/>
    </row>
    <row r="642" spans="2:14" ht="15.75" x14ac:dyDescent="0.25">
      <c r="B642" s="33"/>
      <c r="C642" s="34"/>
      <c r="F642" s="35"/>
      <c r="I642" s="33"/>
      <c r="M642" s="33"/>
      <c r="N642" s="33"/>
    </row>
    <row r="643" spans="2:14" ht="15.75" x14ac:dyDescent="0.25">
      <c r="B643" s="33"/>
      <c r="C643" s="34"/>
      <c r="F643" s="35"/>
      <c r="I643" s="33"/>
      <c r="M643" s="33"/>
      <c r="N643" s="33"/>
    </row>
    <row r="644" spans="2:14" ht="15.75" x14ac:dyDescent="0.25">
      <c r="B644" s="33"/>
      <c r="C644" s="34"/>
      <c r="F644" s="35"/>
      <c r="I644" s="33"/>
      <c r="M644" s="33"/>
      <c r="N644" s="33"/>
    </row>
    <row r="645" spans="2:14" ht="15.75" x14ac:dyDescent="0.25">
      <c r="B645" s="33"/>
      <c r="C645" s="34"/>
      <c r="F645" s="35"/>
      <c r="I645" s="33"/>
      <c r="M645" s="33"/>
      <c r="N645" s="33"/>
    </row>
    <row r="646" spans="2:14" ht="15.75" x14ac:dyDescent="0.25">
      <c r="B646" s="33"/>
      <c r="C646" s="34"/>
      <c r="F646" s="35"/>
      <c r="I646" s="33"/>
      <c r="M646" s="33"/>
      <c r="N646" s="33"/>
    </row>
    <row r="647" spans="2:14" ht="15.75" x14ac:dyDescent="0.25">
      <c r="B647" s="33"/>
      <c r="C647" s="34"/>
      <c r="F647" s="35"/>
      <c r="I647" s="33"/>
      <c r="M647" s="33"/>
      <c r="N647" s="33"/>
    </row>
    <row r="648" spans="2:14" ht="15.75" x14ac:dyDescent="0.25">
      <c r="B648" s="33"/>
      <c r="C648" s="34"/>
      <c r="F648" s="35"/>
      <c r="I648" s="33"/>
      <c r="M648" s="33"/>
      <c r="N648" s="33"/>
    </row>
    <row r="649" spans="2:14" ht="15.75" x14ac:dyDescent="0.25">
      <c r="B649" s="33"/>
      <c r="C649" s="34"/>
      <c r="F649" s="35"/>
      <c r="I649" s="33"/>
      <c r="M649" s="33"/>
      <c r="N649" s="33"/>
    </row>
    <row r="650" spans="2:14" ht="15.75" x14ac:dyDescent="0.25">
      <c r="B650" s="33"/>
      <c r="C650" s="34"/>
      <c r="F650" s="35"/>
      <c r="I650" s="33"/>
      <c r="M650" s="33"/>
      <c r="N650" s="33"/>
    </row>
    <row r="651" spans="2:14" ht="15.75" x14ac:dyDescent="0.25">
      <c r="B651" s="33"/>
      <c r="C651" s="34"/>
      <c r="F651" s="35"/>
      <c r="I651" s="33"/>
      <c r="M651" s="33"/>
      <c r="N651" s="33"/>
    </row>
    <row r="652" spans="2:14" ht="15.75" x14ac:dyDescent="0.25">
      <c r="B652" s="33"/>
      <c r="C652" s="34"/>
      <c r="F652" s="35"/>
      <c r="I652" s="33"/>
      <c r="M652" s="33"/>
      <c r="N652" s="33"/>
    </row>
    <row r="653" spans="2:14" ht="15.75" x14ac:dyDescent="0.25">
      <c r="B653" s="33"/>
      <c r="C653" s="34"/>
      <c r="F653" s="35"/>
      <c r="I653" s="33"/>
      <c r="M653" s="33"/>
      <c r="N653" s="33"/>
    </row>
    <row r="654" spans="2:14" ht="15.75" x14ac:dyDescent="0.25">
      <c r="B654" s="33"/>
      <c r="C654" s="34"/>
      <c r="F654" s="35"/>
      <c r="I654" s="33"/>
      <c r="M654" s="33"/>
      <c r="N654" s="33"/>
    </row>
    <row r="655" spans="2:14" ht="15.75" x14ac:dyDescent="0.25">
      <c r="B655" s="33"/>
      <c r="C655" s="34"/>
      <c r="F655" s="35"/>
      <c r="I655" s="33"/>
      <c r="M655" s="33"/>
      <c r="N655" s="33"/>
    </row>
    <row r="656" spans="2:14" ht="15.75" x14ac:dyDescent="0.25">
      <c r="B656" s="33"/>
      <c r="C656" s="34"/>
      <c r="F656" s="35"/>
      <c r="I656" s="33"/>
      <c r="M656" s="33"/>
      <c r="N656" s="33"/>
    </row>
    <row r="657" spans="2:14" ht="15.75" x14ac:dyDescent="0.25">
      <c r="B657" s="33"/>
      <c r="C657" s="34"/>
      <c r="F657" s="35"/>
      <c r="I657" s="33"/>
      <c r="M657" s="33"/>
      <c r="N657" s="33"/>
    </row>
    <row r="658" spans="2:14" ht="15.75" x14ac:dyDescent="0.25">
      <c r="B658" s="33"/>
      <c r="C658" s="34"/>
      <c r="F658" s="35"/>
      <c r="I658" s="33"/>
      <c r="M658" s="33"/>
      <c r="N658" s="33"/>
    </row>
    <row r="659" spans="2:14" ht="15.75" x14ac:dyDescent="0.25">
      <c r="B659" s="33"/>
      <c r="C659" s="34"/>
      <c r="F659" s="35"/>
      <c r="I659" s="33"/>
      <c r="M659" s="33"/>
      <c r="N659" s="33"/>
    </row>
    <row r="660" spans="2:14" ht="15.75" x14ac:dyDescent="0.25">
      <c r="B660" s="33"/>
      <c r="C660" s="34"/>
      <c r="F660" s="35"/>
      <c r="I660" s="33"/>
      <c r="M660" s="33"/>
      <c r="N660" s="33"/>
    </row>
    <row r="661" spans="2:14" ht="15.75" x14ac:dyDescent="0.25">
      <c r="B661" s="33"/>
      <c r="C661" s="34"/>
      <c r="F661" s="35"/>
      <c r="I661" s="33"/>
      <c r="M661" s="33"/>
      <c r="N661" s="33"/>
    </row>
    <row r="662" spans="2:14" ht="15.75" x14ac:dyDescent="0.25">
      <c r="B662" s="33"/>
      <c r="C662" s="34"/>
      <c r="F662" s="35"/>
      <c r="I662" s="33"/>
      <c r="M662" s="33"/>
      <c r="N662" s="33"/>
    </row>
    <row r="663" spans="2:14" ht="15.75" x14ac:dyDescent="0.25">
      <c r="B663" s="33"/>
      <c r="C663" s="34"/>
      <c r="F663" s="35"/>
      <c r="I663" s="33"/>
      <c r="M663" s="33"/>
      <c r="N663" s="33"/>
    </row>
    <row r="664" spans="2:14" ht="15.75" x14ac:dyDescent="0.25">
      <c r="B664" s="33"/>
      <c r="C664" s="34"/>
      <c r="F664" s="35"/>
      <c r="I664" s="33"/>
      <c r="M664" s="33"/>
      <c r="N664" s="33"/>
    </row>
    <row r="665" spans="2:14" ht="15.75" x14ac:dyDescent="0.25">
      <c r="B665" s="33"/>
      <c r="C665" s="34"/>
      <c r="F665" s="35"/>
      <c r="I665" s="33"/>
      <c r="M665" s="33"/>
      <c r="N665" s="33"/>
    </row>
    <row r="666" spans="2:14" ht="15.75" x14ac:dyDescent="0.25">
      <c r="B666" s="33"/>
      <c r="C666" s="34"/>
      <c r="F666" s="35"/>
      <c r="I666" s="33"/>
      <c r="M666" s="33"/>
      <c r="N666" s="33"/>
    </row>
    <row r="667" spans="2:14" ht="15.75" x14ac:dyDescent="0.25">
      <c r="B667" s="33"/>
      <c r="C667" s="34"/>
      <c r="F667" s="35"/>
      <c r="I667" s="33"/>
      <c r="M667" s="33"/>
      <c r="N667" s="33"/>
    </row>
    <row r="668" spans="2:14" ht="15.75" x14ac:dyDescent="0.25">
      <c r="B668" s="33"/>
      <c r="C668" s="34"/>
      <c r="F668" s="35"/>
      <c r="I668" s="33"/>
      <c r="M668" s="33"/>
      <c r="N668" s="33"/>
    </row>
    <row r="669" spans="2:14" ht="15.75" x14ac:dyDescent="0.25">
      <c r="B669" s="33"/>
      <c r="C669" s="34"/>
      <c r="F669" s="35"/>
      <c r="I669" s="33"/>
      <c r="M669" s="33"/>
      <c r="N669" s="33"/>
    </row>
    <row r="670" spans="2:14" ht="15.75" x14ac:dyDescent="0.25">
      <c r="B670" s="33"/>
      <c r="C670" s="34"/>
      <c r="F670" s="35"/>
      <c r="I670" s="33"/>
      <c r="M670" s="33"/>
      <c r="N670" s="33"/>
    </row>
    <row r="671" spans="2:14" ht="15.75" x14ac:dyDescent="0.25">
      <c r="B671" s="33"/>
      <c r="C671" s="34"/>
      <c r="F671" s="35"/>
      <c r="I671" s="33"/>
      <c r="M671" s="33"/>
      <c r="N671" s="33"/>
    </row>
    <row r="672" spans="2:14" ht="15.75" x14ac:dyDescent="0.25">
      <c r="B672" s="33"/>
      <c r="C672" s="34"/>
      <c r="F672" s="35"/>
      <c r="I672" s="33"/>
      <c r="M672" s="33"/>
      <c r="N672" s="33"/>
    </row>
    <row r="673" spans="2:14" ht="15.75" x14ac:dyDescent="0.25">
      <c r="B673" s="33"/>
      <c r="C673" s="34"/>
      <c r="F673" s="35"/>
      <c r="I673" s="33"/>
      <c r="M673" s="33"/>
      <c r="N673" s="33"/>
    </row>
    <row r="674" spans="2:14" ht="15.75" x14ac:dyDescent="0.25">
      <c r="B674" s="33"/>
      <c r="C674" s="34"/>
      <c r="F674" s="35"/>
      <c r="I674" s="33"/>
      <c r="M674" s="33"/>
      <c r="N674" s="33"/>
    </row>
    <row r="675" spans="2:14" ht="15.75" x14ac:dyDescent="0.25">
      <c r="B675" s="33"/>
      <c r="C675" s="34"/>
      <c r="F675" s="35"/>
      <c r="I675" s="33"/>
      <c r="M675" s="33"/>
      <c r="N675" s="33"/>
    </row>
    <row r="676" spans="2:14" ht="15.75" x14ac:dyDescent="0.25">
      <c r="B676" s="33"/>
      <c r="C676" s="34"/>
      <c r="F676" s="35"/>
      <c r="I676" s="33"/>
      <c r="M676" s="33"/>
      <c r="N676" s="33"/>
    </row>
    <row r="677" spans="2:14" ht="15.75" x14ac:dyDescent="0.25">
      <c r="B677" s="33"/>
      <c r="C677" s="34"/>
      <c r="F677" s="35"/>
      <c r="I677" s="33"/>
      <c r="M677" s="33"/>
      <c r="N677" s="33"/>
    </row>
    <row r="678" spans="2:14" ht="15.75" x14ac:dyDescent="0.25">
      <c r="B678" s="33"/>
      <c r="C678" s="34"/>
      <c r="F678" s="35"/>
      <c r="I678" s="33"/>
      <c r="M678" s="33"/>
      <c r="N678" s="33"/>
    </row>
    <row r="679" spans="2:14" ht="15.75" x14ac:dyDescent="0.25">
      <c r="B679" s="33"/>
      <c r="C679" s="34"/>
      <c r="F679" s="35"/>
      <c r="I679" s="33"/>
      <c r="M679" s="33"/>
      <c r="N679" s="33"/>
    </row>
    <row r="680" spans="2:14" ht="15.75" x14ac:dyDescent="0.25">
      <c r="B680" s="33"/>
      <c r="C680" s="34"/>
      <c r="F680" s="35"/>
      <c r="I680" s="33"/>
      <c r="M680" s="33"/>
      <c r="N680" s="33"/>
    </row>
    <row r="681" spans="2:14" ht="15.75" x14ac:dyDescent="0.25">
      <c r="B681" s="33"/>
      <c r="C681" s="34"/>
      <c r="F681" s="35"/>
      <c r="I681" s="33"/>
      <c r="M681" s="33"/>
      <c r="N681" s="33"/>
    </row>
    <row r="682" spans="2:14" ht="15.75" x14ac:dyDescent="0.25">
      <c r="B682" s="33"/>
      <c r="C682" s="34"/>
      <c r="F682" s="35"/>
      <c r="I682" s="33"/>
      <c r="M682" s="33"/>
      <c r="N682" s="33"/>
    </row>
    <row r="683" spans="2:14" ht="15.75" x14ac:dyDescent="0.25">
      <c r="B683" s="33"/>
      <c r="C683" s="34"/>
      <c r="F683" s="35"/>
      <c r="I683" s="33"/>
      <c r="M683" s="33"/>
      <c r="N683" s="33"/>
    </row>
    <row r="684" spans="2:14" ht="15.75" x14ac:dyDescent="0.25">
      <c r="B684" s="33"/>
      <c r="C684" s="34"/>
      <c r="F684" s="35"/>
      <c r="I684" s="33"/>
      <c r="M684" s="33"/>
      <c r="N684" s="33"/>
    </row>
    <row r="685" spans="2:14" ht="15.75" x14ac:dyDescent="0.25">
      <c r="B685" s="33"/>
      <c r="C685" s="34"/>
      <c r="F685" s="35"/>
      <c r="I685" s="33"/>
      <c r="M685" s="33"/>
      <c r="N685" s="33"/>
    </row>
    <row r="686" spans="2:14" ht="15.75" x14ac:dyDescent="0.25">
      <c r="B686" s="33"/>
      <c r="C686" s="34"/>
      <c r="F686" s="35"/>
      <c r="I686" s="33"/>
      <c r="M686" s="33"/>
      <c r="N686" s="33"/>
    </row>
    <row r="687" spans="2:14" ht="15.75" x14ac:dyDescent="0.25">
      <c r="B687" s="33"/>
      <c r="C687" s="34"/>
      <c r="F687" s="35"/>
      <c r="I687" s="33"/>
      <c r="M687" s="33"/>
      <c r="N687" s="33"/>
    </row>
    <row r="688" spans="2:14" ht="15.75" x14ac:dyDescent="0.25">
      <c r="B688" s="33"/>
      <c r="C688" s="34"/>
      <c r="F688" s="35"/>
      <c r="I688" s="33"/>
      <c r="M688" s="33"/>
      <c r="N688" s="33"/>
    </row>
    <row r="689" spans="2:14" ht="15.75" x14ac:dyDescent="0.25">
      <c r="B689" s="33"/>
      <c r="C689" s="34"/>
      <c r="F689" s="35"/>
      <c r="I689" s="33"/>
      <c r="M689" s="33"/>
      <c r="N689" s="33"/>
    </row>
    <row r="690" spans="2:14" ht="15.75" x14ac:dyDescent="0.25">
      <c r="B690" s="33"/>
      <c r="C690" s="34"/>
      <c r="F690" s="35"/>
      <c r="I690" s="33"/>
      <c r="M690" s="33"/>
      <c r="N690" s="33"/>
    </row>
    <row r="691" spans="2:14" ht="15.75" x14ac:dyDescent="0.25">
      <c r="B691" s="33"/>
      <c r="C691" s="34"/>
      <c r="F691" s="35"/>
      <c r="I691" s="33"/>
      <c r="M691" s="33"/>
      <c r="N691" s="33"/>
    </row>
    <row r="692" spans="2:14" ht="15.75" x14ac:dyDescent="0.25">
      <c r="B692" s="33"/>
      <c r="C692" s="34"/>
      <c r="F692" s="35"/>
      <c r="I692" s="33"/>
      <c r="M692" s="33"/>
      <c r="N692" s="33"/>
    </row>
    <row r="693" spans="2:14" ht="15.75" x14ac:dyDescent="0.25">
      <c r="B693" s="33"/>
      <c r="C693" s="34"/>
      <c r="F693" s="35"/>
      <c r="I693" s="33"/>
      <c r="M693" s="33"/>
      <c r="N693" s="33"/>
    </row>
    <row r="694" spans="2:14" ht="15.75" x14ac:dyDescent="0.25">
      <c r="B694" s="33"/>
      <c r="C694" s="34"/>
      <c r="F694" s="35"/>
      <c r="I694" s="33"/>
      <c r="M694" s="33"/>
      <c r="N694" s="33"/>
    </row>
    <row r="695" spans="2:14" ht="15.75" x14ac:dyDescent="0.25">
      <c r="B695" s="33"/>
      <c r="C695" s="34"/>
      <c r="F695" s="35"/>
      <c r="I695" s="33"/>
      <c r="M695" s="33"/>
      <c r="N695" s="33"/>
    </row>
    <row r="696" spans="2:14" ht="15.75" x14ac:dyDescent="0.25">
      <c r="B696" s="33"/>
      <c r="C696" s="34"/>
      <c r="F696" s="35"/>
      <c r="I696" s="33"/>
      <c r="M696" s="33"/>
      <c r="N696" s="33"/>
    </row>
    <row r="697" spans="2:14" ht="15.75" x14ac:dyDescent="0.25">
      <c r="B697" s="33"/>
      <c r="C697" s="34"/>
      <c r="F697" s="35"/>
      <c r="I697" s="33"/>
      <c r="M697" s="33"/>
      <c r="N697" s="33"/>
    </row>
    <row r="698" spans="2:14" ht="15.75" x14ac:dyDescent="0.25">
      <c r="B698" s="33"/>
      <c r="C698" s="34"/>
      <c r="F698" s="35"/>
      <c r="I698" s="33"/>
      <c r="M698" s="33"/>
      <c r="N698" s="33"/>
    </row>
    <row r="699" spans="2:14" ht="15.75" x14ac:dyDescent="0.25">
      <c r="B699" s="33"/>
      <c r="C699" s="34"/>
      <c r="F699" s="35"/>
      <c r="I699" s="33"/>
      <c r="M699" s="33"/>
      <c r="N699" s="33"/>
    </row>
    <row r="700" spans="2:14" ht="15.75" x14ac:dyDescent="0.25">
      <c r="B700" s="33"/>
      <c r="C700" s="34"/>
      <c r="F700" s="35"/>
      <c r="I700" s="33"/>
      <c r="M700" s="33"/>
      <c r="N700" s="33"/>
    </row>
    <row r="701" spans="2:14" ht="15.75" x14ac:dyDescent="0.25">
      <c r="B701" s="33"/>
      <c r="C701" s="34"/>
      <c r="F701" s="35"/>
      <c r="I701" s="33"/>
      <c r="M701" s="33"/>
      <c r="N701" s="33"/>
    </row>
    <row r="702" spans="2:14" ht="15.75" x14ac:dyDescent="0.25">
      <c r="B702" s="33"/>
      <c r="C702" s="34"/>
      <c r="F702" s="35"/>
      <c r="I702" s="33"/>
      <c r="M702" s="33"/>
      <c r="N702" s="33"/>
    </row>
    <row r="703" spans="2:14" ht="15.75" x14ac:dyDescent="0.25">
      <c r="B703" s="33"/>
      <c r="C703" s="34"/>
      <c r="F703" s="35"/>
      <c r="I703" s="33"/>
      <c r="M703" s="33"/>
      <c r="N703" s="33"/>
    </row>
    <row r="704" spans="2:14" ht="15.75" x14ac:dyDescent="0.25">
      <c r="B704" s="33"/>
      <c r="C704" s="34"/>
      <c r="F704" s="35"/>
      <c r="I704" s="33"/>
      <c r="M704" s="33"/>
      <c r="N704" s="33"/>
    </row>
    <row r="705" spans="2:14" ht="15.75" x14ac:dyDescent="0.25">
      <c r="B705" s="33"/>
      <c r="C705" s="34"/>
      <c r="F705" s="35"/>
      <c r="I705" s="33"/>
      <c r="M705" s="33"/>
      <c r="N705" s="33"/>
    </row>
    <row r="706" spans="2:14" ht="15.75" x14ac:dyDescent="0.25">
      <c r="B706" s="33"/>
      <c r="C706" s="34"/>
      <c r="F706" s="35"/>
      <c r="I706" s="33"/>
      <c r="M706" s="33"/>
      <c r="N706" s="33"/>
    </row>
    <row r="707" spans="2:14" ht="15.75" x14ac:dyDescent="0.25">
      <c r="B707" s="33"/>
      <c r="C707" s="34"/>
      <c r="F707" s="35"/>
      <c r="I707" s="33"/>
      <c r="M707" s="33"/>
      <c r="N707" s="33"/>
    </row>
    <row r="708" spans="2:14" ht="15.75" x14ac:dyDescent="0.25">
      <c r="B708" s="33"/>
      <c r="C708" s="34"/>
      <c r="F708" s="35"/>
      <c r="I708" s="33"/>
      <c r="M708" s="33"/>
      <c r="N708" s="33"/>
    </row>
    <row r="709" spans="2:14" ht="15.75" x14ac:dyDescent="0.25">
      <c r="B709" s="33"/>
      <c r="C709" s="34"/>
      <c r="F709" s="35"/>
      <c r="I709" s="33"/>
      <c r="M709" s="33"/>
      <c r="N709" s="33"/>
    </row>
    <row r="710" spans="2:14" ht="15.75" x14ac:dyDescent="0.25">
      <c r="B710" s="33"/>
      <c r="C710" s="34"/>
      <c r="F710" s="35"/>
      <c r="I710" s="33"/>
      <c r="M710" s="33"/>
      <c r="N710" s="33"/>
    </row>
    <row r="711" spans="2:14" ht="15.75" x14ac:dyDescent="0.25">
      <c r="B711" s="33"/>
      <c r="C711" s="34"/>
      <c r="F711" s="35"/>
      <c r="I711" s="33"/>
      <c r="M711" s="33"/>
      <c r="N711" s="33"/>
    </row>
    <row r="712" spans="2:14" ht="15.75" x14ac:dyDescent="0.25">
      <c r="B712" s="33"/>
      <c r="C712" s="34"/>
      <c r="F712" s="35"/>
      <c r="I712" s="33"/>
      <c r="M712" s="33"/>
      <c r="N712" s="33"/>
    </row>
    <row r="713" spans="2:14" ht="15.75" x14ac:dyDescent="0.25">
      <c r="B713" s="33"/>
      <c r="C713" s="34"/>
      <c r="F713" s="35"/>
      <c r="I713" s="33"/>
      <c r="M713" s="33"/>
      <c r="N713" s="33"/>
    </row>
    <row r="714" spans="2:14" ht="15.75" x14ac:dyDescent="0.25">
      <c r="B714" s="33"/>
      <c r="C714" s="34"/>
      <c r="F714" s="35"/>
      <c r="I714" s="33"/>
      <c r="M714" s="33"/>
      <c r="N714" s="33"/>
    </row>
    <row r="715" spans="2:14" ht="15.75" x14ac:dyDescent="0.25">
      <c r="B715" s="33"/>
      <c r="C715" s="34"/>
      <c r="F715" s="35"/>
      <c r="I715" s="33"/>
      <c r="M715" s="33"/>
      <c r="N715" s="33"/>
    </row>
    <row r="716" spans="2:14" ht="15.75" x14ac:dyDescent="0.25">
      <c r="B716" s="33"/>
      <c r="C716" s="34"/>
      <c r="F716" s="35"/>
      <c r="I716" s="33"/>
      <c r="M716" s="33"/>
      <c r="N716" s="33"/>
    </row>
    <row r="717" spans="2:14" ht="15.75" x14ac:dyDescent="0.25">
      <c r="B717" s="33"/>
      <c r="C717" s="34"/>
      <c r="F717" s="35"/>
      <c r="I717" s="33"/>
      <c r="M717" s="33"/>
      <c r="N717" s="33"/>
    </row>
    <row r="718" spans="2:14" ht="15.75" x14ac:dyDescent="0.25">
      <c r="B718" s="33"/>
      <c r="C718" s="34"/>
      <c r="F718" s="35"/>
      <c r="I718" s="33"/>
      <c r="M718" s="33"/>
      <c r="N718" s="33"/>
    </row>
    <row r="719" spans="2:14" ht="15.75" x14ac:dyDescent="0.25">
      <c r="B719" s="33"/>
      <c r="C719" s="34"/>
      <c r="F719" s="35"/>
      <c r="I719" s="33"/>
      <c r="M719" s="33"/>
      <c r="N719" s="33"/>
    </row>
    <row r="720" spans="2:14" ht="15.75" x14ac:dyDescent="0.25">
      <c r="B720" s="33"/>
      <c r="C720" s="34"/>
      <c r="F720" s="35"/>
      <c r="I720" s="33"/>
      <c r="M720" s="33"/>
      <c r="N720" s="33"/>
    </row>
    <row r="721" spans="2:14" ht="15.75" x14ac:dyDescent="0.25">
      <c r="B721" s="33"/>
      <c r="C721" s="34"/>
      <c r="F721" s="35"/>
      <c r="I721" s="33"/>
      <c r="M721" s="33"/>
      <c r="N721" s="33"/>
    </row>
    <row r="722" spans="2:14" ht="15.75" x14ac:dyDescent="0.25">
      <c r="B722" s="33"/>
      <c r="C722" s="34"/>
      <c r="F722" s="35"/>
      <c r="I722" s="33"/>
      <c r="M722" s="33"/>
      <c r="N722" s="33"/>
    </row>
    <row r="723" spans="2:14" ht="15.75" x14ac:dyDescent="0.25">
      <c r="B723" s="33"/>
      <c r="C723" s="34"/>
      <c r="F723" s="35"/>
      <c r="I723" s="33"/>
      <c r="M723" s="33"/>
      <c r="N723" s="33"/>
    </row>
    <row r="724" spans="2:14" ht="15.75" x14ac:dyDescent="0.25">
      <c r="B724" s="33"/>
      <c r="C724" s="34"/>
      <c r="F724" s="35"/>
      <c r="I724" s="33"/>
      <c r="M724" s="33"/>
      <c r="N724" s="33"/>
    </row>
    <row r="725" spans="2:14" ht="15.75" x14ac:dyDescent="0.25">
      <c r="B725" s="33"/>
      <c r="C725" s="34"/>
      <c r="F725" s="35"/>
      <c r="I725" s="33"/>
      <c r="M725" s="33"/>
      <c r="N725" s="33"/>
    </row>
    <row r="726" spans="2:14" ht="15.75" x14ac:dyDescent="0.25">
      <c r="B726" s="33"/>
      <c r="C726" s="34"/>
      <c r="F726" s="35"/>
      <c r="I726" s="33"/>
      <c r="M726" s="33"/>
      <c r="N726" s="33"/>
    </row>
    <row r="727" spans="2:14" ht="15.75" x14ac:dyDescent="0.25">
      <c r="B727" s="33"/>
      <c r="C727" s="34"/>
      <c r="F727" s="35"/>
      <c r="I727" s="33"/>
      <c r="M727" s="33"/>
      <c r="N727" s="33"/>
    </row>
    <row r="728" spans="2:14" ht="15.75" x14ac:dyDescent="0.25">
      <c r="B728" s="33"/>
      <c r="C728" s="34"/>
      <c r="F728" s="35"/>
      <c r="I728" s="33"/>
      <c r="M728" s="33"/>
      <c r="N728" s="33"/>
    </row>
    <row r="729" spans="2:14" ht="15.75" x14ac:dyDescent="0.25">
      <c r="B729" s="33"/>
      <c r="C729" s="34"/>
      <c r="F729" s="35"/>
      <c r="I729" s="33"/>
      <c r="M729" s="33"/>
      <c r="N729" s="33"/>
    </row>
    <row r="730" spans="2:14" ht="15.75" x14ac:dyDescent="0.25">
      <c r="B730" s="33"/>
      <c r="C730" s="34"/>
      <c r="F730" s="35"/>
      <c r="I730" s="33"/>
      <c r="M730" s="33"/>
      <c r="N730" s="33"/>
    </row>
    <row r="731" spans="2:14" ht="15.75" x14ac:dyDescent="0.25">
      <c r="B731" s="33"/>
      <c r="C731" s="34"/>
      <c r="F731" s="35"/>
      <c r="I731" s="33"/>
      <c r="M731" s="33"/>
      <c r="N731" s="33"/>
    </row>
    <row r="732" spans="2:14" ht="15.75" x14ac:dyDescent="0.25">
      <c r="B732" s="33"/>
      <c r="C732" s="34"/>
      <c r="F732" s="35"/>
      <c r="I732" s="33"/>
      <c r="M732" s="33"/>
      <c r="N732" s="33"/>
    </row>
    <row r="733" spans="2:14" ht="15.75" x14ac:dyDescent="0.25">
      <c r="B733" s="33"/>
      <c r="C733" s="34"/>
      <c r="F733" s="35"/>
      <c r="I733" s="33"/>
      <c r="M733" s="33"/>
      <c r="N733" s="33"/>
    </row>
    <row r="734" spans="2:14" ht="15.75" x14ac:dyDescent="0.25">
      <c r="B734" s="33"/>
      <c r="C734" s="34"/>
      <c r="F734" s="35"/>
      <c r="I734" s="33"/>
      <c r="M734" s="33"/>
      <c r="N734" s="33"/>
    </row>
    <row r="735" spans="2:14" ht="15.75" x14ac:dyDescent="0.25">
      <c r="B735" s="33"/>
      <c r="C735" s="34"/>
      <c r="F735" s="35"/>
      <c r="I735" s="33"/>
      <c r="M735" s="33"/>
      <c r="N735" s="33"/>
    </row>
    <row r="736" spans="2:14" ht="15.75" x14ac:dyDescent="0.25">
      <c r="B736" s="33"/>
      <c r="C736" s="34"/>
      <c r="F736" s="35"/>
      <c r="I736" s="33"/>
      <c r="M736" s="33"/>
      <c r="N736" s="33"/>
    </row>
    <row r="737" spans="2:14" ht="15.75" x14ac:dyDescent="0.25">
      <c r="B737" s="33"/>
      <c r="C737" s="34"/>
      <c r="F737" s="35"/>
      <c r="I737" s="33"/>
      <c r="M737" s="33"/>
      <c r="N737" s="33"/>
    </row>
    <row r="738" spans="2:14" ht="15.75" x14ac:dyDescent="0.25">
      <c r="B738" s="33"/>
      <c r="C738" s="34"/>
      <c r="F738" s="35"/>
      <c r="I738" s="33"/>
      <c r="M738" s="33"/>
      <c r="N738" s="33"/>
    </row>
    <row r="739" spans="2:14" ht="15.75" x14ac:dyDescent="0.25">
      <c r="B739" s="33"/>
      <c r="C739" s="34"/>
      <c r="F739" s="35"/>
      <c r="I739" s="33"/>
      <c r="M739" s="33"/>
      <c r="N739" s="33"/>
    </row>
    <row r="740" spans="2:14" ht="15.75" x14ac:dyDescent="0.25">
      <c r="B740" s="33"/>
      <c r="C740" s="34"/>
      <c r="F740" s="35"/>
      <c r="I740" s="33"/>
      <c r="M740" s="33"/>
      <c r="N740" s="33"/>
    </row>
    <row r="741" spans="2:14" ht="15.75" x14ac:dyDescent="0.25">
      <c r="B741" s="33"/>
      <c r="C741" s="34"/>
      <c r="F741" s="35"/>
      <c r="I741" s="33"/>
      <c r="M741" s="33"/>
      <c r="N741" s="33"/>
    </row>
    <row r="742" spans="2:14" ht="15.75" x14ac:dyDescent="0.25">
      <c r="B742" s="33"/>
      <c r="C742" s="34"/>
      <c r="F742" s="35"/>
      <c r="I742" s="33"/>
      <c r="M742" s="33"/>
      <c r="N742" s="33"/>
    </row>
    <row r="743" spans="2:14" ht="15.75" x14ac:dyDescent="0.25">
      <c r="B743" s="33"/>
      <c r="C743" s="34"/>
      <c r="F743" s="35"/>
      <c r="I743" s="33"/>
      <c r="M743" s="33"/>
      <c r="N743" s="33"/>
    </row>
    <row r="744" spans="2:14" ht="15.75" x14ac:dyDescent="0.25">
      <c r="B744" s="33"/>
      <c r="C744" s="34"/>
      <c r="F744" s="35"/>
      <c r="I744" s="33"/>
      <c r="M744" s="33"/>
      <c r="N744" s="33"/>
    </row>
    <row r="745" spans="2:14" ht="15.75" x14ac:dyDescent="0.25">
      <c r="B745" s="33"/>
      <c r="C745" s="34"/>
      <c r="F745" s="35"/>
      <c r="I745" s="33"/>
      <c r="M745" s="33"/>
      <c r="N745" s="33"/>
    </row>
    <row r="746" spans="2:14" ht="15.75" x14ac:dyDescent="0.25">
      <c r="B746" s="33"/>
      <c r="C746" s="34"/>
      <c r="F746" s="35"/>
      <c r="I746" s="33"/>
      <c r="M746" s="33"/>
      <c r="N746" s="33"/>
    </row>
    <row r="747" spans="2:14" ht="15.75" x14ac:dyDescent="0.25">
      <c r="B747" s="33"/>
      <c r="C747" s="34"/>
      <c r="F747" s="35"/>
      <c r="I747" s="33"/>
      <c r="M747" s="33"/>
      <c r="N747" s="33"/>
    </row>
    <row r="748" spans="2:14" ht="15.75" x14ac:dyDescent="0.25">
      <c r="B748" s="33"/>
      <c r="C748" s="34"/>
      <c r="F748" s="35"/>
      <c r="I748" s="33"/>
      <c r="M748" s="33"/>
      <c r="N748" s="33"/>
    </row>
    <row r="749" spans="2:14" ht="15.75" x14ac:dyDescent="0.25">
      <c r="B749" s="33"/>
      <c r="C749" s="34"/>
      <c r="F749" s="35"/>
      <c r="I749" s="33"/>
      <c r="M749" s="33"/>
      <c r="N749" s="33"/>
    </row>
    <row r="750" spans="2:14" ht="15.75" x14ac:dyDescent="0.25">
      <c r="B750" s="33"/>
      <c r="C750" s="34"/>
      <c r="F750" s="35"/>
      <c r="I750" s="33"/>
      <c r="M750" s="33"/>
      <c r="N750" s="33"/>
    </row>
    <row r="751" spans="2:14" ht="15.75" x14ac:dyDescent="0.25">
      <c r="B751" s="33"/>
      <c r="C751" s="34"/>
      <c r="F751" s="35"/>
      <c r="I751" s="33"/>
      <c r="M751" s="33"/>
      <c r="N751" s="33"/>
    </row>
    <row r="752" spans="2:14" ht="15.75" x14ac:dyDescent="0.25">
      <c r="B752" s="33"/>
      <c r="C752" s="34"/>
      <c r="F752" s="35"/>
      <c r="I752" s="33"/>
      <c r="M752" s="33"/>
      <c r="N752" s="33"/>
    </row>
    <row r="753" spans="2:14" ht="15.75" x14ac:dyDescent="0.25">
      <c r="B753" s="33"/>
      <c r="C753" s="34"/>
      <c r="F753" s="35"/>
      <c r="I753" s="33"/>
      <c r="M753" s="33"/>
      <c r="N753" s="33"/>
    </row>
    <row r="754" spans="2:14" ht="15.75" x14ac:dyDescent="0.25">
      <c r="B754" s="33"/>
      <c r="C754" s="34"/>
      <c r="F754" s="35"/>
      <c r="I754" s="33"/>
      <c r="M754" s="33"/>
      <c r="N754" s="33"/>
    </row>
    <row r="755" spans="2:14" ht="15.75" x14ac:dyDescent="0.25">
      <c r="B755" s="33"/>
      <c r="C755" s="34"/>
      <c r="F755" s="35"/>
      <c r="I755" s="33"/>
      <c r="M755" s="33"/>
      <c r="N755" s="33"/>
    </row>
    <row r="756" spans="2:14" ht="15.75" x14ac:dyDescent="0.25">
      <c r="B756" s="33"/>
      <c r="C756" s="34"/>
      <c r="F756" s="35"/>
      <c r="I756" s="33"/>
      <c r="M756" s="33"/>
      <c r="N756" s="33"/>
    </row>
    <row r="757" spans="2:14" ht="15.75" x14ac:dyDescent="0.25">
      <c r="B757" s="33"/>
      <c r="C757" s="34"/>
      <c r="F757" s="35"/>
      <c r="I757" s="33"/>
      <c r="M757" s="33"/>
      <c r="N757" s="33"/>
    </row>
    <row r="758" spans="2:14" ht="15.75" x14ac:dyDescent="0.25">
      <c r="B758" s="33"/>
      <c r="C758" s="34"/>
      <c r="F758" s="35"/>
      <c r="I758" s="33"/>
      <c r="M758" s="33"/>
      <c r="N758" s="33"/>
    </row>
    <row r="759" spans="2:14" ht="15.75" x14ac:dyDescent="0.25">
      <c r="B759" s="33"/>
      <c r="C759" s="34"/>
      <c r="F759" s="35"/>
      <c r="I759" s="33"/>
      <c r="M759" s="33"/>
      <c r="N759" s="33"/>
    </row>
    <row r="760" spans="2:14" ht="15.75" x14ac:dyDescent="0.25">
      <c r="B760" s="33"/>
      <c r="C760" s="34"/>
      <c r="F760" s="35"/>
      <c r="I760" s="33"/>
      <c r="M760" s="33"/>
      <c r="N760" s="33"/>
    </row>
    <row r="761" spans="2:14" ht="15.75" x14ac:dyDescent="0.25">
      <c r="B761" s="33"/>
      <c r="C761" s="34"/>
      <c r="F761" s="35"/>
      <c r="I761" s="33"/>
      <c r="M761" s="33"/>
      <c r="N761" s="33"/>
    </row>
    <row r="762" spans="2:14" ht="15.75" x14ac:dyDescent="0.25">
      <c r="B762" s="33"/>
      <c r="C762" s="34"/>
      <c r="F762" s="35"/>
      <c r="I762" s="33"/>
      <c r="M762" s="33"/>
      <c r="N762" s="33"/>
    </row>
    <row r="763" spans="2:14" ht="15.75" x14ac:dyDescent="0.25">
      <c r="B763" s="33"/>
      <c r="C763" s="34"/>
      <c r="F763" s="35"/>
      <c r="I763" s="33"/>
      <c r="M763" s="33"/>
      <c r="N763" s="33"/>
    </row>
    <row r="764" spans="2:14" ht="15.75" x14ac:dyDescent="0.25">
      <c r="B764" s="33"/>
      <c r="C764" s="34"/>
      <c r="F764" s="35"/>
      <c r="I764" s="33"/>
      <c r="M764" s="33"/>
      <c r="N764" s="33"/>
    </row>
    <row r="765" spans="2:14" ht="15.75" x14ac:dyDescent="0.25">
      <c r="B765" s="33"/>
      <c r="C765" s="34"/>
      <c r="F765" s="35"/>
      <c r="I765" s="33"/>
      <c r="M765" s="33"/>
      <c r="N765" s="33"/>
    </row>
    <row r="766" spans="2:14" ht="15.75" x14ac:dyDescent="0.25">
      <c r="B766" s="33"/>
      <c r="C766" s="34"/>
      <c r="F766" s="35"/>
      <c r="I766" s="33"/>
      <c r="M766" s="33"/>
      <c r="N766" s="33"/>
    </row>
    <row r="767" spans="2:14" ht="15.75" x14ac:dyDescent="0.25">
      <c r="B767" s="33"/>
      <c r="C767" s="34"/>
      <c r="F767" s="35"/>
      <c r="I767" s="33"/>
      <c r="M767" s="33"/>
      <c r="N767" s="33"/>
    </row>
    <row r="768" spans="2:14" ht="15.75" x14ac:dyDescent="0.25">
      <c r="B768" s="33"/>
      <c r="C768" s="34"/>
      <c r="F768" s="35"/>
      <c r="I768" s="33"/>
      <c r="M768" s="33"/>
      <c r="N768" s="33"/>
    </row>
    <row r="769" spans="2:14" ht="15.75" x14ac:dyDescent="0.25">
      <c r="B769" s="33"/>
      <c r="C769" s="34"/>
      <c r="F769" s="35"/>
      <c r="I769" s="33"/>
      <c r="M769" s="33"/>
      <c r="N769" s="33"/>
    </row>
    <row r="770" spans="2:14" ht="15.75" x14ac:dyDescent="0.25">
      <c r="B770" s="33"/>
      <c r="C770" s="34"/>
      <c r="F770" s="35"/>
      <c r="I770" s="33"/>
      <c r="M770" s="33"/>
      <c r="N770" s="33"/>
    </row>
    <row r="771" spans="2:14" ht="15.75" x14ac:dyDescent="0.25">
      <c r="B771" s="33"/>
      <c r="C771" s="34"/>
      <c r="F771" s="35"/>
      <c r="I771" s="33"/>
      <c r="M771" s="33"/>
      <c r="N771" s="33"/>
    </row>
    <row r="772" spans="2:14" ht="15.75" x14ac:dyDescent="0.25">
      <c r="B772" s="33"/>
      <c r="C772" s="34"/>
      <c r="F772" s="35"/>
      <c r="I772" s="33"/>
      <c r="M772" s="33"/>
      <c r="N772" s="33"/>
    </row>
    <row r="773" spans="2:14" ht="15.75" x14ac:dyDescent="0.25">
      <c r="B773" s="33"/>
      <c r="C773" s="34"/>
      <c r="F773" s="35"/>
      <c r="I773" s="33"/>
      <c r="M773" s="33"/>
      <c r="N773" s="33"/>
    </row>
    <row r="774" spans="2:14" ht="15.75" x14ac:dyDescent="0.25">
      <c r="B774" s="33"/>
      <c r="C774" s="34"/>
      <c r="F774" s="35"/>
      <c r="I774" s="33"/>
      <c r="M774" s="33"/>
      <c r="N774" s="33"/>
    </row>
    <row r="775" spans="2:14" ht="15.75" x14ac:dyDescent="0.25">
      <c r="B775" s="33"/>
      <c r="C775" s="34"/>
      <c r="F775" s="35"/>
      <c r="I775" s="33"/>
      <c r="M775" s="33"/>
      <c r="N775" s="33"/>
    </row>
    <row r="776" spans="2:14" ht="15.75" x14ac:dyDescent="0.25">
      <c r="B776" s="33"/>
      <c r="C776" s="34"/>
      <c r="F776" s="35"/>
      <c r="I776" s="33"/>
      <c r="M776" s="33"/>
      <c r="N776" s="33"/>
    </row>
    <row r="777" spans="2:14" ht="15.75" x14ac:dyDescent="0.25">
      <c r="B777" s="33"/>
      <c r="C777" s="34"/>
      <c r="F777" s="35"/>
      <c r="I777" s="33"/>
      <c r="M777" s="33"/>
      <c r="N777" s="33"/>
    </row>
    <row r="778" spans="2:14" ht="15.75" x14ac:dyDescent="0.25">
      <c r="B778" s="33"/>
      <c r="C778" s="34"/>
      <c r="F778" s="35"/>
      <c r="I778" s="33"/>
      <c r="M778" s="33"/>
      <c r="N778" s="33"/>
    </row>
    <row r="779" spans="2:14" ht="15.75" x14ac:dyDescent="0.25">
      <c r="B779" s="33"/>
      <c r="C779" s="34"/>
      <c r="F779" s="35"/>
      <c r="I779" s="33"/>
      <c r="M779" s="33"/>
      <c r="N779" s="33"/>
    </row>
    <row r="780" spans="2:14" ht="15.75" x14ac:dyDescent="0.25">
      <c r="B780" s="33"/>
      <c r="C780" s="34"/>
      <c r="F780" s="35"/>
      <c r="I780" s="33"/>
      <c r="M780" s="33"/>
      <c r="N780" s="33"/>
    </row>
    <row r="781" spans="2:14" ht="15.75" x14ac:dyDescent="0.25">
      <c r="B781" s="33"/>
      <c r="C781" s="34"/>
      <c r="F781" s="35"/>
      <c r="I781" s="33"/>
      <c r="M781" s="33"/>
      <c r="N781" s="33"/>
    </row>
    <row r="782" spans="2:14" ht="15.75" x14ac:dyDescent="0.25">
      <c r="B782" s="33"/>
      <c r="C782" s="34"/>
      <c r="F782" s="35"/>
      <c r="I782" s="33"/>
      <c r="M782" s="33"/>
      <c r="N782" s="33"/>
    </row>
    <row r="783" spans="2:14" ht="15.75" x14ac:dyDescent="0.25">
      <c r="B783" s="33"/>
      <c r="C783" s="34"/>
      <c r="F783" s="35"/>
      <c r="I783" s="33"/>
      <c r="M783" s="33"/>
      <c r="N783" s="33"/>
    </row>
    <row r="784" spans="2:14" ht="15.75" x14ac:dyDescent="0.25">
      <c r="B784" s="33"/>
      <c r="C784" s="34"/>
      <c r="F784" s="35"/>
      <c r="I784" s="33"/>
      <c r="M784" s="33"/>
      <c r="N784" s="33"/>
    </row>
    <row r="785" spans="2:14" ht="15.75" x14ac:dyDescent="0.25">
      <c r="B785" s="33"/>
      <c r="C785" s="34"/>
      <c r="F785" s="35"/>
      <c r="I785" s="33"/>
      <c r="M785" s="33"/>
      <c r="N785" s="33"/>
    </row>
    <row r="786" spans="2:14" ht="15.75" x14ac:dyDescent="0.25">
      <c r="B786" s="33"/>
      <c r="C786" s="34"/>
      <c r="F786" s="35"/>
      <c r="I786" s="33"/>
      <c r="M786" s="33"/>
      <c r="N786" s="33"/>
    </row>
    <row r="787" spans="2:14" ht="15.75" x14ac:dyDescent="0.25">
      <c r="B787" s="33"/>
      <c r="C787" s="34"/>
      <c r="F787" s="35"/>
      <c r="I787" s="33"/>
      <c r="M787" s="33"/>
      <c r="N787" s="33"/>
    </row>
    <row r="788" spans="2:14" ht="15.75" x14ac:dyDescent="0.25">
      <c r="B788" s="33"/>
      <c r="C788" s="34"/>
      <c r="F788" s="35"/>
      <c r="I788" s="33"/>
      <c r="M788" s="33"/>
      <c r="N788" s="33"/>
    </row>
    <row r="789" spans="2:14" ht="15.75" x14ac:dyDescent="0.25">
      <c r="B789" s="33"/>
      <c r="C789" s="34"/>
      <c r="F789" s="35"/>
      <c r="I789" s="33"/>
      <c r="M789" s="33"/>
      <c r="N789" s="33"/>
    </row>
    <row r="790" spans="2:14" ht="15.75" x14ac:dyDescent="0.25">
      <c r="B790" s="33"/>
      <c r="C790" s="34"/>
      <c r="F790" s="35"/>
      <c r="I790" s="33"/>
      <c r="M790" s="33"/>
      <c r="N790" s="33"/>
    </row>
    <row r="791" spans="2:14" ht="15.75" x14ac:dyDescent="0.25">
      <c r="B791" s="33"/>
      <c r="C791" s="34"/>
      <c r="F791" s="35"/>
      <c r="I791" s="33"/>
      <c r="M791" s="33"/>
      <c r="N791" s="33"/>
    </row>
    <row r="792" spans="2:14" ht="15.75" x14ac:dyDescent="0.25">
      <c r="B792" s="33"/>
      <c r="C792" s="34"/>
      <c r="F792" s="35"/>
      <c r="I792" s="33"/>
      <c r="M792" s="33"/>
      <c r="N792" s="33"/>
    </row>
    <row r="793" spans="2:14" ht="15.75" x14ac:dyDescent="0.25">
      <c r="B793" s="33"/>
      <c r="C793" s="34"/>
      <c r="F793" s="35"/>
      <c r="I793" s="33"/>
      <c r="M793" s="33"/>
      <c r="N793" s="33"/>
    </row>
    <row r="794" spans="2:14" ht="15.75" x14ac:dyDescent="0.25">
      <c r="B794" s="33"/>
      <c r="C794" s="34"/>
      <c r="F794" s="35"/>
      <c r="I794" s="33"/>
      <c r="M794" s="33"/>
      <c r="N794" s="33"/>
    </row>
    <row r="795" spans="2:14" ht="15.75" x14ac:dyDescent="0.25">
      <c r="B795" s="33"/>
      <c r="C795" s="34"/>
      <c r="F795" s="35"/>
      <c r="I795" s="33"/>
      <c r="M795" s="33"/>
      <c r="N795" s="33"/>
    </row>
    <row r="796" spans="2:14" ht="15.75" x14ac:dyDescent="0.25">
      <c r="B796" s="33"/>
      <c r="C796" s="34"/>
      <c r="F796" s="35"/>
      <c r="I796" s="33"/>
      <c r="M796" s="33"/>
      <c r="N796" s="33"/>
    </row>
    <row r="797" spans="2:14" ht="15.75" x14ac:dyDescent="0.25">
      <c r="B797" s="33"/>
      <c r="C797" s="34"/>
      <c r="F797" s="35"/>
      <c r="I797" s="33"/>
      <c r="M797" s="33"/>
      <c r="N797" s="33"/>
    </row>
    <row r="798" spans="2:14" ht="15.75" x14ac:dyDescent="0.25">
      <c r="B798" s="33"/>
      <c r="C798" s="34"/>
      <c r="F798" s="35"/>
      <c r="I798" s="33"/>
      <c r="M798" s="33"/>
      <c r="N798" s="33"/>
    </row>
    <row r="799" spans="2:14" ht="15.75" x14ac:dyDescent="0.25">
      <c r="B799" s="33"/>
      <c r="C799" s="34"/>
      <c r="F799" s="35"/>
      <c r="I799" s="33"/>
      <c r="M799" s="33"/>
      <c r="N799" s="33"/>
    </row>
    <row r="800" spans="2:14" ht="15.75" x14ac:dyDescent="0.25">
      <c r="B800" s="33"/>
      <c r="C800" s="34"/>
      <c r="F800" s="35"/>
      <c r="I800" s="33"/>
      <c r="M800" s="33"/>
      <c r="N800" s="33"/>
    </row>
    <row r="801" spans="2:14" ht="15.75" x14ac:dyDescent="0.25">
      <c r="B801" s="33"/>
      <c r="C801" s="34"/>
      <c r="F801" s="35"/>
      <c r="I801" s="33"/>
      <c r="M801" s="33"/>
      <c r="N801" s="33"/>
    </row>
    <row r="802" spans="2:14" ht="15.75" x14ac:dyDescent="0.25">
      <c r="B802" s="33"/>
      <c r="C802" s="34"/>
      <c r="F802" s="35"/>
      <c r="I802" s="33"/>
      <c r="M802" s="33"/>
      <c r="N802" s="33"/>
    </row>
    <row r="803" spans="2:14" ht="15.75" x14ac:dyDescent="0.25">
      <c r="B803" s="33"/>
      <c r="C803" s="34"/>
      <c r="F803" s="35"/>
      <c r="I803" s="33"/>
      <c r="M803" s="33"/>
      <c r="N803" s="33"/>
    </row>
    <row r="804" spans="2:14" ht="15.75" x14ac:dyDescent="0.25">
      <c r="B804" s="33"/>
      <c r="C804" s="34"/>
      <c r="F804" s="35"/>
      <c r="I804" s="33"/>
      <c r="M804" s="33"/>
      <c r="N804" s="33"/>
    </row>
    <row r="805" spans="2:14" ht="15.75" x14ac:dyDescent="0.25">
      <c r="B805" s="33"/>
      <c r="C805" s="34"/>
      <c r="F805" s="35"/>
      <c r="I805" s="33"/>
      <c r="M805" s="33"/>
      <c r="N805" s="33"/>
    </row>
    <row r="806" spans="2:14" ht="15.75" x14ac:dyDescent="0.25">
      <c r="B806" s="33"/>
      <c r="C806" s="34"/>
      <c r="F806" s="35"/>
      <c r="I806" s="33"/>
      <c r="M806" s="33"/>
      <c r="N806" s="33"/>
    </row>
    <row r="807" spans="2:14" ht="15.75" x14ac:dyDescent="0.25">
      <c r="B807" s="33"/>
      <c r="C807" s="34"/>
      <c r="F807" s="35"/>
      <c r="I807" s="33"/>
      <c r="M807" s="33"/>
      <c r="N807" s="33"/>
    </row>
    <row r="808" spans="2:14" ht="15.75" x14ac:dyDescent="0.25">
      <c r="B808" s="33"/>
      <c r="C808" s="34"/>
      <c r="F808" s="35"/>
      <c r="I808" s="33"/>
      <c r="M808" s="33"/>
      <c r="N808" s="33"/>
    </row>
    <row r="809" spans="2:14" ht="15.75" x14ac:dyDescent="0.25">
      <c r="B809" s="33"/>
      <c r="C809" s="34"/>
      <c r="F809" s="35"/>
      <c r="I809" s="33"/>
      <c r="M809" s="33"/>
      <c r="N809" s="33"/>
    </row>
    <row r="810" spans="2:14" ht="15.75" x14ac:dyDescent="0.25">
      <c r="B810" s="33"/>
      <c r="C810" s="34"/>
      <c r="F810" s="35"/>
      <c r="I810" s="33"/>
      <c r="M810" s="33"/>
      <c r="N810" s="33"/>
    </row>
    <row r="811" spans="2:14" ht="15.75" x14ac:dyDescent="0.25">
      <c r="B811" s="33"/>
      <c r="C811" s="34"/>
      <c r="F811" s="35"/>
      <c r="I811" s="33"/>
      <c r="M811" s="33"/>
      <c r="N811" s="33"/>
    </row>
    <row r="812" spans="2:14" ht="15.75" x14ac:dyDescent="0.25">
      <c r="B812" s="33"/>
      <c r="C812" s="34"/>
      <c r="F812" s="35"/>
      <c r="I812" s="33"/>
      <c r="M812" s="33"/>
      <c r="N812" s="33"/>
    </row>
    <row r="813" spans="2:14" ht="15.75" x14ac:dyDescent="0.25">
      <c r="B813" s="33"/>
      <c r="C813" s="34"/>
      <c r="F813" s="35"/>
      <c r="I813" s="33"/>
      <c r="M813" s="33"/>
      <c r="N813" s="33"/>
    </row>
    <row r="814" spans="2:14" ht="15.75" x14ac:dyDescent="0.25">
      <c r="B814" s="33"/>
      <c r="C814" s="34"/>
      <c r="F814" s="35"/>
      <c r="I814" s="33"/>
      <c r="M814" s="33"/>
      <c r="N814" s="33"/>
    </row>
    <row r="815" spans="2:14" ht="15.75" x14ac:dyDescent="0.25">
      <c r="B815" s="33"/>
      <c r="C815" s="34"/>
      <c r="F815" s="35"/>
      <c r="I815" s="33"/>
      <c r="M815" s="33"/>
      <c r="N815" s="33"/>
    </row>
    <row r="816" spans="2:14" ht="15.75" x14ac:dyDescent="0.25">
      <c r="B816" s="33"/>
      <c r="C816" s="34"/>
      <c r="F816" s="35"/>
      <c r="I816" s="33"/>
      <c r="M816" s="33"/>
      <c r="N816" s="33"/>
    </row>
    <row r="817" spans="2:14" ht="15.75" x14ac:dyDescent="0.25">
      <c r="B817" s="33"/>
      <c r="C817" s="34"/>
      <c r="F817" s="35"/>
      <c r="I817" s="33"/>
      <c r="M817" s="33"/>
      <c r="N817" s="33"/>
    </row>
    <row r="818" spans="2:14" ht="15.75" x14ac:dyDescent="0.25">
      <c r="B818" s="33"/>
      <c r="C818" s="34"/>
      <c r="F818" s="35"/>
      <c r="I818" s="33"/>
      <c r="M818" s="33"/>
      <c r="N818" s="33"/>
    </row>
    <row r="819" spans="2:14" ht="15.75" x14ac:dyDescent="0.25">
      <c r="B819" s="33"/>
      <c r="C819" s="34"/>
      <c r="F819" s="35"/>
      <c r="I819" s="33"/>
      <c r="M819" s="33"/>
      <c r="N819" s="33"/>
    </row>
    <row r="820" spans="2:14" ht="15.75" x14ac:dyDescent="0.25">
      <c r="B820" s="33"/>
      <c r="C820" s="34"/>
      <c r="F820" s="35"/>
      <c r="I820" s="33"/>
      <c r="M820" s="33"/>
      <c r="N820" s="33"/>
    </row>
    <row r="821" spans="2:14" ht="15.75" x14ac:dyDescent="0.25">
      <c r="B821" s="33"/>
      <c r="C821" s="34"/>
      <c r="F821" s="35"/>
      <c r="I821" s="33"/>
      <c r="M821" s="33"/>
      <c r="N821" s="33"/>
    </row>
    <row r="822" spans="2:14" ht="15.75" x14ac:dyDescent="0.25">
      <c r="B822" s="33"/>
      <c r="C822" s="34"/>
      <c r="F822" s="35"/>
      <c r="I822" s="33"/>
      <c r="M822" s="33"/>
      <c r="N822" s="33"/>
    </row>
    <row r="823" spans="2:14" ht="15.75" x14ac:dyDescent="0.25">
      <c r="B823" s="33"/>
      <c r="C823" s="34"/>
      <c r="F823" s="35"/>
      <c r="I823" s="33"/>
      <c r="M823" s="33"/>
      <c r="N823" s="33"/>
    </row>
    <row r="824" spans="2:14" ht="15.75" x14ac:dyDescent="0.25">
      <c r="B824" s="33"/>
      <c r="C824" s="34"/>
      <c r="F824" s="35"/>
      <c r="I824" s="33"/>
      <c r="M824" s="33"/>
      <c r="N824" s="33"/>
    </row>
    <row r="825" spans="2:14" ht="15.75" x14ac:dyDescent="0.25">
      <c r="B825" s="33"/>
      <c r="C825" s="34"/>
      <c r="F825" s="35"/>
      <c r="I825" s="33"/>
      <c r="M825" s="33"/>
      <c r="N825" s="33"/>
    </row>
    <row r="826" spans="2:14" ht="15.75" x14ac:dyDescent="0.25">
      <c r="B826" s="33"/>
      <c r="C826" s="34"/>
      <c r="F826" s="35"/>
      <c r="I826" s="33"/>
      <c r="M826" s="33"/>
      <c r="N826" s="33"/>
    </row>
    <row r="827" spans="2:14" ht="15.75" x14ac:dyDescent="0.25">
      <c r="B827" s="33"/>
      <c r="C827" s="34"/>
      <c r="F827" s="35"/>
      <c r="I827" s="33"/>
      <c r="M827" s="33"/>
      <c r="N827" s="33"/>
    </row>
    <row r="828" spans="2:14" ht="15.75" x14ac:dyDescent="0.25">
      <c r="B828" s="33"/>
      <c r="C828" s="34"/>
      <c r="F828" s="35"/>
      <c r="I828" s="33"/>
      <c r="M828" s="33"/>
      <c r="N828" s="33"/>
    </row>
    <row r="829" spans="2:14" ht="15.75" x14ac:dyDescent="0.25">
      <c r="B829" s="33"/>
      <c r="C829" s="34"/>
      <c r="F829" s="35"/>
      <c r="I829" s="33"/>
      <c r="M829" s="33"/>
      <c r="N829" s="33"/>
    </row>
    <row r="830" spans="2:14" ht="15.75" x14ac:dyDescent="0.25">
      <c r="B830" s="33"/>
      <c r="C830" s="34"/>
      <c r="F830" s="35"/>
      <c r="I830" s="33"/>
      <c r="M830" s="33"/>
      <c r="N830" s="33"/>
    </row>
    <row r="831" spans="2:14" ht="15.75" x14ac:dyDescent="0.25">
      <c r="B831" s="33"/>
      <c r="C831" s="34"/>
      <c r="F831" s="35"/>
      <c r="I831" s="33"/>
      <c r="M831" s="33"/>
      <c r="N831" s="33"/>
    </row>
    <row r="832" spans="2:14" ht="15.75" x14ac:dyDescent="0.25">
      <c r="B832" s="33"/>
      <c r="C832" s="34"/>
      <c r="F832" s="35"/>
      <c r="I832" s="33"/>
      <c r="M832" s="33"/>
      <c r="N832" s="33"/>
    </row>
    <row r="833" spans="2:14" ht="15.75" x14ac:dyDescent="0.25">
      <c r="B833" s="33"/>
      <c r="C833" s="34"/>
      <c r="F833" s="35"/>
      <c r="I833" s="33"/>
      <c r="M833" s="33"/>
      <c r="N833" s="33"/>
    </row>
    <row r="834" spans="2:14" ht="15.75" x14ac:dyDescent="0.25">
      <c r="B834" s="33"/>
      <c r="C834" s="34"/>
      <c r="F834" s="35"/>
      <c r="I834" s="33"/>
      <c r="M834" s="33"/>
      <c r="N834" s="33"/>
    </row>
    <row r="835" spans="2:14" ht="15.75" x14ac:dyDescent="0.25">
      <c r="B835" s="33"/>
      <c r="C835" s="34"/>
      <c r="F835" s="35"/>
      <c r="I835" s="33"/>
      <c r="M835" s="33"/>
      <c r="N835" s="33"/>
    </row>
    <row r="836" spans="2:14" ht="15.75" x14ac:dyDescent="0.25">
      <c r="B836" s="33"/>
      <c r="C836" s="34"/>
      <c r="F836" s="35"/>
      <c r="I836" s="33"/>
      <c r="M836" s="33"/>
      <c r="N836" s="33"/>
    </row>
    <row r="837" spans="2:14" ht="15.75" x14ac:dyDescent="0.25">
      <c r="B837" s="33"/>
      <c r="C837" s="34"/>
      <c r="F837" s="35"/>
      <c r="I837" s="33"/>
      <c r="M837" s="33"/>
      <c r="N837" s="33"/>
    </row>
    <row r="838" spans="2:14" ht="15.75" x14ac:dyDescent="0.25">
      <c r="B838" s="33"/>
      <c r="C838" s="34"/>
      <c r="F838" s="35"/>
      <c r="I838" s="33"/>
      <c r="M838" s="33"/>
      <c r="N838" s="33"/>
    </row>
    <row r="839" spans="2:14" ht="15.75" x14ac:dyDescent="0.25">
      <c r="B839" s="33"/>
      <c r="C839" s="34"/>
      <c r="F839" s="35"/>
      <c r="I839" s="33"/>
      <c r="M839" s="33"/>
      <c r="N839" s="33"/>
    </row>
    <row r="840" spans="2:14" ht="15.75" x14ac:dyDescent="0.25">
      <c r="B840" s="33"/>
      <c r="C840" s="34"/>
      <c r="F840" s="35"/>
      <c r="I840" s="33"/>
      <c r="M840" s="33"/>
      <c r="N840" s="33"/>
    </row>
    <row r="841" spans="2:14" ht="15.75" x14ac:dyDescent="0.25">
      <c r="B841" s="33"/>
      <c r="C841" s="34"/>
      <c r="F841" s="35"/>
      <c r="I841" s="33"/>
      <c r="M841" s="33"/>
      <c r="N841" s="33"/>
    </row>
    <row r="842" spans="2:14" ht="15.75" x14ac:dyDescent="0.25">
      <c r="B842" s="33"/>
      <c r="C842" s="34"/>
      <c r="F842" s="35"/>
      <c r="I842" s="33"/>
      <c r="M842" s="33"/>
      <c r="N842" s="33"/>
    </row>
    <row r="843" spans="2:14" ht="15.75" x14ac:dyDescent="0.25">
      <c r="B843" s="33"/>
      <c r="C843" s="34"/>
      <c r="F843" s="35"/>
      <c r="I843" s="33"/>
      <c r="M843" s="33"/>
      <c r="N843" s="33"/>
    </row>
    <row r="844" spans="2:14" ht="15.75" x14ac:dyDescent="0.25">
      <c r="B844" s="33"/>
      <c r="C844" s="34"/>
      <c r="F844" s="35"/>
      <c r="I844" s="33"/>
      <c r="M844" s="33"/>
      <c r="N844" s="33"/>
    </row>
    <row r="845" spans="2:14" ht="15.75" x14ac:dyDescent="0.25">
      <c r="B845" s="33"/>
      <c r="C845" s="34"/>
      <c r="F845" s="35"/>
      <c r="I845" s="33"/>
      <c r="M845" s="33"/>
      <c r="N845" s="33"/>
    </row>
    <row r="846" spans="2:14" ht="15.75" x14ac:dyDescent="0.25">
      <c r="B846" s="33"/>
      <c r="C846" s="34"/>
      <c r="F846" s="35"/>
      <c r="I846" s="33"/>
      <c r="M846" s="33"/>
      <c r="N846" s="33"/>
    </row>
    <row r="847" spans="2:14" ht="15.75" x14ac:dyDescent="0.25">
      <c r="B847" s="33"/>
      <c r="C847" s="34"/>
      <c r="F847" s="35"/>
      <c r="I847" s="33"/>
      <c r="M847" s="33"/>
      <c r="N847" s="33"/>
    </row>
    <row r="848" spans="2:14" ht="15.75" x14ac:dyDescent="0.25">
      <c r="B848" s="33"/>
      <c r="C848" s="34"/>
      <c r="F848" s="35"/>
      <c r="I848" s="33"/>
      <c r="M848" s="33"/>
      <c r="N848" s="33"/>
    </row>
    <row r="849" spans="2:14" ht="15.75" x14ac:dyDescent="0.25">
      <c r="B849" s="33"/>
      <c r="C849" s="34"/>
      <c r="F849" s="35"/>
      <c r="I849" s="33"/>
      <c r="M849" s="33"/>
      <c r="N849" s="33"/>
    </row>
    <row r="850" spans="2:14" ht="15.75" x14ac:dyDescent="0.25">
      <c r="B850" s="33"/>
      <c r="C850" s="34"/>
      <c r="F850" s="35"/>
      <c r="I850" s="33"/>
      <c r="M850" s="33"/>
      <c r="N850" s="33"/>
    </row>
    <row r="851" spans="2:14" ht="15.75" x14ac:dyDescent="0.25">
      <c r="B851" s="33"/>
      <c r="C851" s="34"/>
      <c r="F851" s="35"/>
      <c r="I851" s="33"/>
      <c r="M851" s="33"/>
      <c r="N851" s="33"/>
    </row>
    <row r="852" spans="2:14" ht="15.75" x14ac:dyDescent="0.25">
      <c r="B852" s="33"/>
      <c r="C852" s="34"/>
      <c r="F852" s="35"/>
      <c r="I852" s="33"/>
      <c r="M852" s="33"/>
      <c r="N852" s="33"/>
    </row>
    <row r="853" spans="2:14" ht="15.75" x14ac:dyDescent="0.25">
      <c r="B853" s="33"/>
      <c r="C853" s="34"/>
      <c r="F853" s="35"/>
      <c r="I853" s="33"/>
      <c r="M853" s="33"/>
      <c r="N853" s="33"/>
    </row>
    <row r="854" spans="2:14" ht="15.75" x14ac:dyDescent="0.25">
      <c r="B854" s="33"/>
      <c r="C854" s="34"/>
      <c r="F854" s="35"/>
      <c r="I854" s="33"/>
      <c r="M854" s="33"/>
      <c r="N854" s="33"/>
    </row>
    <row r="855" spans="2:14" ht="15.75" x14ac:dyDescent="0.25">
      <c r="B855" s="33"/>
      <c r="C855" s="34"/>
      <c r="F855" s="35"/>
      <c r="I855" s="33"/>
      <c r="M855" s="33"/>
      <c r="N855" s="33"/>
    </row>
    <row r="856" spans="2:14" ht="15.75" x14ac:dyDescent="0.25">
      <c r="B856" s="33"/>
      <c r="C856" s="34"/>
      <c r="F856" s="35"/>
      <c r="I856" s="33"/>
      <c r="M856" s="33"/>
      <c r="N856" s="33"/>
    </row>
    <row r="857" spans="2:14" ht="15.75" x14ac:dyDescent="0.25">
      <c r="B857" s="33"/>
      <c r="C857" s="34"/>
      <c r="F857" s="35"/>
      <c r="I857" s="33"/>
      <c r="M857" s="33"/>
      <c r="N857" s="33"/>
    </row>
    <row r="858" spans="2:14" ht="15.75" x14ac:dyDescent="0.25">
      <c r="B858" s="33"/>
      <c r="C858" s="34"/>
      <c r="F858" s="35"/>
      <c r="I858" s="33"/>
      <c r="M858" s="33"/>
      <c r="N858" s="33"/>
    </row>
    <row r="859" spans="2:14" ht="15.75" x14ac:dyDescent="0.25">
      <c r="B859" s="33"/>
      <c r="C859" s="34"/>
      <c r="F859" s="35"/>
      <c r="I859" s="33"/>
      <c r="M859" s="33"/>
      <c r="N859" s="33"/>
    </row>
    <row r="860" spans="2:14" ht="15.75" x14ac:dyDescent="0.25">
      <c r="B860" s="33"/>
      <c r="C860" s="34"/>
      <c r="F860" s="35"/>
      <c r="I860" s="33"/>
      <c r="M860" s="33"/>
      <c r="N860" s="33"/>
    </row>
    <row r="861" spans="2:14" ht="15.75" x14ac:dyDescent="0.25">
      <c r="B861" s="33"/>
      <c r="C861" s="34"/>
      <c r="F861" s="35"/>
      <c r="I861" s="33"/>
      <c r="M861" s="33"/>
      <c r="N861" s="33"/>
    </row>
    <row r="862" spans="2:14" ht="15.75" x14ac:dyDescent="0.25">
      <c r="B862" s="33"/>
      <c r="C862" s="34"/>
      <c r="F862" s="35"/>
      <c r="I862" s="33"/>
      <c r="M862" s="33"/>
      <c r="N862" s="33"/>
    </row>
    <row r="863" spans="2:14" ht="15.75" x14ac:dyDescent="0.25">
      <c r="B863" s="33"/>
      <c r="C863" s="34"/>
      <c r="F863" s="35"/>
      <c r="I863" s="33"/>
      <c r="M863" s="33"/>
      <c r="N863" s="33"/>
    </row>
    <row r="864" spans="2:14" ht="15.75" x14ac:dyDescent="0.25">
      <c r="B864" s="33"/>
      <c r="C864" s="34"/>
      <c r="F864" s="35"/>
      <c r="I864" s="33"/>
      <c r="M864" s="33"/>
      <c r="N864" s="33"/>
    </row>
    <row r="865" spans="2:14" ht="15.75" x14ac:dyDescent="0.25">
      <c r="B865" s="33"/>
      <c r="C865" s="34"/>
      <c r="F865" s="35"/>
      <c r="I865" s="33"/>
      <c r="M865" s="33"/>
      <c r="N865" s="33"/>
    </row>
    <row r="866" spans="2:14" ht="15.75" x14ac:dyDescent="0.25">
      <c r="B866" s="33"/>
      <c r="C866" s="34"/>
      <c r="F866" s="35"/>
      <c r="I866" s="33"/>
      <c r="M866" s="33"/>
      <c r="N866" s="33"/>
    </row>
    <row r="867" spans="2:14" ht="15.75" x14ac:dyDescent="0.25">
      <c r="B867" s="33"/>
      <c r="C867" s="34"/>
      <c r="F867" s="35"/>
      <c r="I867" s="33"/>
      <c r="M867" s="33"/>
      <c r="N867" s="33"/>
    </row>
    <row r="868" spans="2:14" ht="15.75" x14ac:dyDescent="0.25">
      <c r="B868" s="33"/>
      <c r="C868" s="34"/>
      <c r="F868" s="35"/>
      <c r="I868" s="33"/>
      <c r="M868" s="33"/>
      <c r="N868" s="33"/>
    </row>
    <row r="869" spans="2:14" ht="15.75" x14ac:dyDescent="0.25">
      <c r="B869" s="33"/>
      <c r="C869" s="34"/>
      <c r="F869" s="35"/>
      <c r="I869" s="33"/>
      <c r="M869" s="33"/>
      <c r="N869" s="33"/>
    </row>
    <row r="870" spans="2:14" ht="15.75" x14ac:dyDescent="0.25">
      <c r="B870" s="33"/>
      <c r="C870" s="34"/>
      <c r="F870" s="35"/>
      <c r="I870" s="33"/>
      <c r="M870" s="33"/>
      <c r="N870" s="33"/>
    </row>
    <row r="871" spans="2:14" ht="15.75" x14ac:dyDescent="0.25">
      <c r="B871" s="33"/>
      <c r="C871" s="34"/>
      <c r="F871" s="35"/>
      <c r="I871" s="33"/>
      <c r="M871" s="33"/>
      <c r="N871" s="33"/>
    </row>
    <row r="872" spans="2:14" ht="15.75" x14ac:dyDescent="0.25">
      <c r="B872" s="33"/>
      <c r="C872" s="34"/>
      <c r="F872" s="35"/>
      <c r="I872" s="33"/>
      <c r="M872" s="33"/>
      <c r="N872" s="33"/>
    </row>
    <row r="873" spans="2:14" ht="15.75" x14ac:dyDescent="0.25">
      <c r="B873" s="33"/>
      <c r="C873" s="34"/>
      <c r="F873" s="35"/>
      <c r="I873" s="33"/>
      <c r="M873" s="33"/>
      <c r="N873" s="33"/>
    </row>
    <row r="874" spans="2:14" ht="15.75" x14ac:dyDescent="0.25">
      <c r="B874" s="33"/>
      <c r="C874" s="34"/>
      <c r="F874" s="35"/>
      <c r="I874" s="33"/>
      <c r="M874" s="33"/>
      <c r="N874" s="33"/>
    </row>
    <row r="875" spans="2:14" ht="15.75" x14ac:dyDescent="0.25">
      <c r="B875" s="33"/>
      <c r="C875" s="34"/>
      <c r="F875" s="35"/>
      <c r="I875" s="33"/>
      <c r="M875" s="33"/>
      <c r="N875" s="33"/>
    </row>
    <row r="876" spans="2:14" ht="15.75" x14ac:dyDescent="0.25">
      <c r="B876" s="33"/>
      <c r="C876" s="34"/>
      <c r="F876" s="35"/>
      <c r="I876" s="33"/>
      <c r="M876" s="33"/>
      <c r="N876" s="33"/>
    </row>
    <row r="877" spans="2:14" ht="15.75" x14ac:dyDescent="0.25">
      <c r="B877" s="33"/>
      <c r="C877" s="34"/>
      <c r="F877" s="35"/>
      <c r="I877" s="33"/>
      <c r="M877" s="33"/>
      <c r="N877" s="33"/>
    </row>
    <row r="878" spans="2:14" ht="15.75" x14ac:dyDescent="0.25">
      <c r="B878" s="33"/>
      <c r="C878" s="34"/>
      <c r="F878" s="35"/>
      <c r="I878" s="33"/>
      <c r="M878" s="33"/>
      <c r="N878" s="33"/>
    </row>
    <row r="879" spans="2:14" ht="15.75" x14ac:dyDescent="0.25">
      <c r="B879" s="33"/>
      <c r="C879" s="34"/>
      <c r="F879" s="35"/>
      <c r="I879" s="33"/>
      <c r="M879" s="33"/>
      <c r="N879" s="33"/>
    </row>
    <row r="880" spans="2:14" ht="15.75" x14ac:dyDescent="0.25">
      <c r="B880" s="33"/>
      <c r="C880" s="34"/>
      <c r="F880" s="35"/>
      <c r="I880" s="33"/>
      <c r="M880" s="33"/>
      <c r="N880" s="33"/>
    </row>
    <row r="881" spans="2:14" ht="15.75" x14ac:dyDescent="0.25">
      <c r="B881" s="33"/>
      <c r="C881" s="34"/>
      <c r="F881" s="35"/>
      <c r="I881" s="33"/>
      <c r="M881" s="33"/>
      <c r="N881" s="33"/>
    </row>
    <row r="882" spans="2:14" ht="15.75" x14ac:dyDescent="0.25">
      <c r="B882" s="33"/>
      <c r="C882" s="34"/>
      <c r="F882" s="35"/>
      <c r="I882" s="33"/>
      <c r="M882" s="33"/>
      <c r="N882" s="33"/>
    </row>
    <row r="883" spans="2:14" ht="15.75" x14ac:dyDescent="0.25">
      <c r="B883" s="33"/>
      <c r="C883" s="34"/>
      <c r="F883" s="35"/>
      <c r="I883" s="33"/>
      <c r="M883" s="33"/>
      <c r="N883" s="33"/>
    </row>
    <row r="884" spans="2:14" ht="15.75" x14ac:dyDescent="0.25">
      <c r="B884" s="33"/>
      <c r="C884" s="34"/>
      <c r="F884" s="35"/>
      <c r="I884" s="33"/>
      <c r="M884" s="33"/>
      <c r="N884" s="33"/>
    </row>
    <row r="885" spans="2:14" ht="15.75" x14ac:dyDescent="0.25">
      <c r="B885" s="33"/>
      <c r="C885" s="34"/>
      <c r="F885" s="35"/>
      <c r="I885" s="33"/>
      <c r="M885" s="33"/>
      <c r="N885" s="33"/>
    </row>
    <row r="886" spans="2:14" ht="15.75" x14ac:dyDescent="0.25">
      <c r="B886" s="33"/>
      <c r="C886" s="34"/>
      <c r="F886" s="35"/>
      <c r="I886" s="33"/>
      <c r="M886" s="33"/>
      <c r="N886" s="33"/>
    </row>
    <row r="887" spans="2:14" ht="15.75" x14ac:dyDescent="0.25">
      <c r="B887" s="33"/>
      <c r="C887" s="34"/>
      <c r="F887" s="35"/>
      <c r="I887" s="33"/>
      <c r="M887" s="33"/>
      <c r="N887" s="33"/>
    </row>
    <row r="888" spans="2:14" ht="15.75" x14ac:dyDescent="0.25">
      <c r="B888" s="33"/>
      <c r="C888" s="34"/>
      <c r="F888" s="35"/>
      <c r="I888" s="33"/>
      <c r="M888" s="33"/>
      <c r="N888" s="33"/>
    </row>
    <row r="889" spans="2:14" ht="15.75" x14ac:dyDescent="0.25">
      <c r="B889" s="33"/>
      <c r="C889" s="34"/>
      <c r="F889" s="35"/>
      <c r="I889" s="33"/>
      <c r="M889" s="33"/>
      <c r="N889" s="33"/>
    </row>
    <row r="890" spans="2:14" ht="15.75" x14ac:dyDescent="0.25">
      <c r="B890" s="33"/>
      <c r="C890" s="34"/>
      <c r="F890" s="35"/>
      <c r="I890" s="33"/>
      <c r="M890" s="33"/>
      <c r="N890" s="33"/>
    </row>
    <row r="891" spans="2:14" ht="15.75" x14ac:dyDescent="0.25">
      <c r="B891" s="33"/>
      <c r="C891" s="34"/>
      <c r="F891" s="35"/>
      <c r="I891" s="33"/>
      <c r="M891" s="33"/>
      <c r="N891" s="33"/>
    </row>
    <row r="892" spans="2:14" ht="15.75" x14ac:dyDescent="0.25">
      <c r="B892" s="33"/>
      <c r="C892" s="34"/>
      <c r="F892" s="35"/>
      <c r="I892" s="33"/>
      <c r="M892" s="33"/>
      <c r="N892" s="33"/>
    </row>
    <row r="893" spans="2:14" ht="15.75" x14ac:dyDescent="0.25">
      <c r="B893" s="33"/>
      <c r="C893" s="34"/>
      <c r="F893" s="35"/>
      <c r="I893" s="33"/>
      <c r="M893" s="33"/>
      <c r="N893" s="33"/>
    </row>
    <row r="894" spans="2:14" ht="15.75" x14ac:dyDescent="0.25">
      <c r="B894" s="33"/>
      <c r="C894" s="34"/>
      <c r="F894" s="35"/>
      <c r="I894" s="33"/>
      <c r="M894" s="33"/>
      <c r="N894" s="33"/>
    </row>
    <row r="895" spans="2:14" ht="15.75" x14ac:dyDescent="0.25">
      <c r="B895" s="33"/>
      <c r="C895" s="34"/>
      <c r="F895" s="35"/>
      <c r="I895" s="33"/>
      <c r="M895" s="33"/>
      <c r="N895" s="33"/>
    </row>
    <row r="896" spans="2:14" ht="15.75" x14ac:dyDescent="0.25">
      <c r="B896" s="33"/>
      <c r="C896" s="34"/>
      <c r="F896" s="35"/>
      <c r="I896" s="33"/>
      <c r="M896" s="33"/>
      <c r="N896" s="33"/>
    </row>
    <row r="897" spans="2:14" ht="15.75" x14ac:dyDescent="0.25">
      <c r="B897" s="33"/>
      <c r="C897" s="34"/>
      <c r="F897" s="35"/>
      <c r="I897" s="33"/>
      <c r="M897" s="33"/>
      <c r="N897" s="33"/>
    </row>
    <row r="898" spans="2:14" ht="15.75" x14ac:dyDescent="0.25">
      <c r="B898" s="33"/>
      <c r="C898" s="34"/>
      <c r="F898" s="35"/>
      <c r="I898" s="33"/>
      <c r="M898" s="33"/>
      <c r="N898" s="33"/>
    </row>
    <row r="899" spans="2:14" ht="15.75" x14ac:dyDescent="0.25">
      <c r="B899" s="33"/>
      <c r="C899" s="34"/>
      <c r="F899" s="35"/>
      <c r="I899" s="33"/>
      <c r="M899" s="33"/>
      <c r="N899" s="33"/>
    </row>
    <row r="900" spans="2:14" ht="15.75" x14ac:dyDescent="0.25">
      <c r="B900" s="33"/>
      <c r="C900" s="34"/>
      <c r="F900" s="35"/>
      <c r="I900" s="33"/>
      <c r="M900" s="33"/>
      <c r="N900" s="33"/>
    </row>
    <row r="901" spans="2:14" ht="15.75" x14ac:dyDescent="0.25">
      <c r="B901" s="33"/>
      <c r="C901" s="34"/>
      <c r="F901" s="35"/>
      <c r="I901" s="33"/>
      <c r="M901" s="33"/>
      <c r="N901" s="33"/>
    </row>
    <row r="902" spans="2:14" ht="15.75" x14ac:dyDescent="0.25">
      <c r="B902" s="33"/>
      <c r="C902" s="34"/>
      <c r="F902" s="35"/>
      <c r="I902" s="33"/>
      <c r="M902" s="33"/>
      <c r="N902" s="33"/>
    </row>
    <row r="903" spans="2:14" ht="15.75" x14ac:dyDescent="0.25">
      <c r="B903" s="33"/>
      <c r="C903" s="34"/>
      <c r="F903" s="35"/>
      <c r="I903" s="33"/>
      <c r="M903" s="33"/>
      <c r="N903" s="33"/>
    </row>
    <row r="904" spans="2:14" ht="15.75" x14ac:dyDescent="0.25">
      <c r="B904" s="33"/>
      <c r="C904" s="34"/>
      <c r="F904" s="35"/>
      <c r="I904" s="33"/>
      <c r="M904" s="33"/>
      <c r="N904" s="33"/>
    </row>
    <row r="905" spans="2:14" ht="15.75" x14ac:dyDescent="0.25">
      <c r="B905" s="33"/>
      <c r="C905" s="34"/>
      <c r="F905" s="35"/>
      <c r="I905" s="33"/>
      <c r="M905" s="33"/>
      <c r="N905" s="33"/>
    </row>
    <row r="906" spans="2:14" ht="15.75" x14ac:dyDescent="0.25">
      <c r="B906" s="33"/>
      <c r="C906" s="34"/>
      <c r="F906" s="35"/>
      <c r="I906" s="33"/>
      <c r="M906" s="33"/>
      <c r="N906" s="33"/>
    </row>
    <row r="907" spans="2:14" ht="15.75" x14ac:dyDescent="0.25">
      <c r="B907" s="33"/>
      <c r="C907" s="34"/>
      <c r="F907" s="35"/>
      <c r="I907" s="33"/>
      <c r="M907" s="33"/>
      <c r="N907" s="33"/>
    </row>
    <row r="908" spans="2:14" ht="15.75" x14ac:dyDescent="0.25">
      <c r="B908" s="33"/>
      <c r="C908" s="34"/>
      <c r="F908" s="35"/>
      <c r="I908" s="33"/>
      <c r="M908" s="33"/>
      <c r="N908" s="33"/>
    </row>
    <row r="909" spans="2:14" ht="15.75" x14ac:dyDescent="0.25">
      <c r="B909" s="33"/>
      <c r="C909" s="34"/>
      <c r="F909" s="35"/>
      <c r="I909" s="33"/>
      <c r="M909" s="33"/>
      <c r="N909" s="33"/>
    </row>
    <row r="910" spans="2:14" ht="15.75" x14ac:dyDescent="0.25">
      <c r="B910" s="33"/>
      <c r="C910" s="34"/>
      <c r="F910" s="35"/>
      <c r="I910" s="33"/>
      <c r="M910" s="33"/>
      <c r="N910" s="33"/>
    </row>
    <row r="911" spans="2:14" ht="15.75" x14ac:dyDescent="0.25">
      <c r="B911" s="33"/>
      <c r="C911" s="34"/>
      <c r="F911" s="35"/>
      <c r="I911" s="33"/>
      <c r="M911" s="33"/>
      <c r="N911" s="33"/>
    </row>
    <row r="912" spans="2:14" ht="15.75" x14ac:dyDescent="0.25">
      <c r="B912" s="33"/>
      <c r="C912" s="34"/>
      <c r="F912" s="35"/>
      <c r="I912" s="33"/>
      <c r="M912" s="33"/>
      <c r="N912" s="33"/>
    </row>
    <row r="913" spans="2:14" ht="15.75" x14ac:dyDescent="0.25">
      <c r="B913" s="33"/>
      <c r="C913" s="34"/>
      <c r="F913" s="35"/>
      <c r="I913" s="33"/>
      <c r="M913" s="33"/>
      <c r="N913" s="33"/>
    </row>
    <row r="914" spans="2:14" ht="15.75" x14ac:dyDescent="0.25">
      <c r="B914" s="33"/>
      <c r="C914" s="34"/>
      <c r="F914" s="35"/>
      <c r="I914" s="33"/>
      <c r="M914" s="33"/>
      <c r="N914" s="33"/>
    </row>
    <row r="915" spans="2:14" ht="15.75" x14ac:dyDescent="0.25">
      <c r="B915" s="33"/>
      <c r="C915" s="34"/>
      <c r="F915" s="35"/>
      <c r="I915" s="33"/>
      <c r="M915" s="33"/>
      <c r="N915" s="33"/>
    </row>
    <row r="916" spans="2:14" ht="15.75" x14ac:dyDescent="0.25">
      <c r="B916" s="33"/>
      <c r="C916" s="34"/>
      <c r="F916" s="35"/>
      <c r="I916" s="33"/>
      <c r="M916" s="33"/>
      <c r="N916" s="33"/>
    </row>
    <row r="917" spans="2:14" ht="15.75" x14ac:dyDescent="0.25">
      <c r="B917" s="33"/>
      <c r="C917" s="34"/>
      <c r="F917" s="35"/>
      <c r="I917" s="33"/>
      <c r="M917" s="33"/>
      <c r="N917" s="33"/>
    </row>
    <row r="918" spans="2:14" ht="15.75" x14ac:dyDescent="0.25">
      <c r="B918" s="33"/>
      <c r="C918" s="34"/>
      <c r="F918" s="35"/>
      <c r="I918" s="33"/>
      <c r="M918" s="33"/>
      <c r="N918" s="33"/>
    </row>
    <row r="919" spans="2:14" ht="15.75" x14ac:dyDescent="0.25">
      <c r="B919" s="33"/>
      <c r="C919" s="34"/>
      <c r="F919" s="35"/>
      <c r="I919" s="33"/>
      <c r="M919" s="33"/>
      <c r="N919" s="33"/>
    </row>
    <row r="920" spans="2:14" ht="15.75" x14ac:dyDescent="0.25">
      <c r="B920" s="33"/>
      <c r="C920" s="34"/>
      <c r="F920" s="35"/>
      <c r="I920" s="33"/>
      <c r="M920" s="33"/>
      <c r="N920" s="33"/>
    </row>
    <row r="921" spans="2:14" ht="15.75" x14ac:dyDescent="0.25">
      <c r="B921" s="33"/>
      <c r="C921" s="34"/>
      <c r="F921" s="35"/>
      <c r="I921" s="33"/>
      <c r="M921" s="33"/>
      <c r="N921" s="33"/>
    </row>
    <row r="922" spans="2:14" ht="15.75" x14ac:dyDescent="0.25">
      <c r="B922" s="33"/>
      <c r="C922" s="34"/>
      <c r="F922" s="35"/>
      <c r="I922" s="33"/>
      <c r="M922" s="33"/>
      <c r="N922" s="33"/>
    </row>
    <row r="923" spans="2:14" ht="15.75" x14ac:dyDescent="0.25">
      <c r="B923" s="33"/>
      <c r="C923" s="34"/>
      <c r="F923" s="35"/>
      <c r="I923" s="33"/>
      <c r="M923" s="33"/>
      <c r="N923" s="33"/>
    </row>
    <row r="924" spans="2:14" ht="15.75" x14ac:dyDescent="0.25">
      <c r="B924" s="33"/>
      <c r="C924" s="34"/>
      <c r="F924" s="35"/>
      <c r="I924" s="33"/>
      <c r="M924" s="33"/>
      <c r="N924" s="33"/>
    </row>
    <row r="925" spans="2:14" ht="15.75" x14ac:dyDescent="0.25">
      <c r="B925" s="33"/>
      <c r="C925" s="34"/>
      <c r="F925" s="35"/>
      <c r="I925" s="33"/>
      <c r="M925" s="33"/>
      <c r="N925" s="33"/>
    </row>
    <row r="926" spans="2:14" ht="15.75" x14ac:dyDescent="0.25">
      <c r="B926" s="33"/>
      <c r="C926" s="34"/>
      <c r="F926" s="35"/>
      <c r="I926" s="33"/>
      <c r="M926" s="33"/>
      <c r="N926" s="33"/>
    </row>
    <row r="927" spans="2:14" ht="15.75" x14ac:dyDescent="0.25">
      <c r="B927" s="33"/>
      <c r="C927" s="34"/>
      <c r="F927" s="35"/>
      <c r="I927" s="33"/>
      <c r="M927" s="33"/>
      <c r="N927" s="33"/>
    </row>
    <row r="928" spans="2:14" ht="15.75" x14ac:dyDescent="0.25">
      <c r="B928" s="33"/>
      <c r="C928" s="34"/>
      <c r="F928" s="35"/>
      <c r="I928" s="33"/>
      <c r="M928" s="33"/>
      <c r="N928" s="33"/>
    </row>
    <row r="929" spans="2:14" ht="15.75" x14ac:dyDescent="0.25">
      <c r="B929" s="33"/>
      <c r="C929" s="34"/>
      <c r="F929" s="35"/>
      <c r="I929" s="33"/>
      <c r="M929" s="33"/>
      <c r="N929" s="33"/>
    </row>
    <row r="930" spans="2:14" ht="15.75" x14ac:dyDescent="0.25">
      <c r="B930" s="33"/>
      <c r="C930" s="34"/>
      <c r="F930" s="35"/>
      <c r="I930" s="33"/>
      <c r="M930" s="33"/>
      <c r="N930" s="33"/>
    </row>
    <row r="931" spans="2:14" ht="15.75" x14ac:dyDescent="0.25">
      <c r="B931" s="33"/>
      <c r="C931" s="34"/>
      <c r="F931" s="35"/>
      <c r="I931" s="33"/>
      <c r="M931" s="33"/>
      <c r="N931" s="33"/>
    </row>
    <row r="932" spans="2:14" ht="15.75" x14ac:dyDescent="0.25">
      <c r="B932" s="33"/>
      <c r="C932" s="34"/>
      <c r="F932" s="35"/>
      <c r="I932" s="33"/>
      <c r="M932" s="33"/>
      <c r="N932" s="33"/>
    </row>
    <row r="933" spans="2:14" ht="15.75" x14ac:dyDescent="0.25">
      <c r="B933" s="33"/>
      <c r="C933" s="34"/>
      <c r="F933" s="35"/>
      <c r="I933" s="33"/>
      <c r="M933" s="33"/>
      <c r="N933" s="33"/>
    </row>
    <row r="934" spans="2:14" ht="15.75" x14ac:dyDescent="0.25">
      <c r="B934" s="33"/>
      <c r="C934" s="34"/>
      <c r="F934" s="35"/>
      <c r="I934" s="33"/>
      <c r="M934" s="33"/>
      <c r="N934" s="33"/>
    </row>
    <row r="935" spans="2:14" ht="15.75" x14ac:dyDescent="0.25">
      <c r="B935" s="33"/>
      <c r="C935" s="34"/>
      <c r="F935" s="35"/>
      <c r="I935" s="33"/>
      <c r="M935" s="33"/>
      <c r="N935" s="33"/>
    </row>
    <row r="936" spans="2:14" ht="15.75" x14ac:dyDescent="0.25">
      <c r="B936" s="33"/>
      <c r="C936" s="34"/>
      <c r="F936" s="35"/>
      <c r="I936" s="33"/>
      <c r="M936" s="33"/>
      <c r="N936" s="33"/>
    </row>
    <row r="937" spans="2:14" ht="15.75" x14ac:dyDescent="0.25">
      <c r="B937" s="33"/>
      <c r="C937" s="34"/>
      <c r="F937" s="35"/>
      <c r="I937" s="33"/>
      <c r="M937" s="33"/>
      <c r="N937" s="33"/>
    </row>
    <row r="938" spans="2:14" ht="15.75" x14ac:dyDescent="0.25">
      <c r="B938" s="33"/>
      <c r="C938" s="34"/>
      <c r="F938" s="35"/>
      <c r="I938" s="33"/>
      <c r="M938" s="33"/>
      <c r="N938" s="33"/>
    </row>
    <row r="939" spans="2:14" ht="15.75" x14ac:dyDescent="0.25">
      <c r="B939" s="33"/>
      <c r="C939" s="34"/>
      <c r="F939" s="35"/>
      <c r="I939" s="33"/>
      <c r="M939" s="33"/>
      <c r="N939" s="33"/>
    </row>
    <row r="940" spans="2:14" ht="15.75" x14ac:dyDescent="0.25">
      <c r="B940" s="33"/>
      <c r="C940" s="34"/>
      <c r="F940" s="35"/>
      <c r="I940" s="33"/>
      <c r="M940" s="33"/>
      <c r="N940" s="33"/>
    </row>
    <row r="941" spans="2:14" ht="15.75" x14ac:dyDescent="0.25">
      <c r="B941" s="33"/>
      <c r="C941" s="34"/>
      <c r="F941" s="35"/>
      <c r="I941" s="33"/>
      <c r="M941" s="33"/>
      <c r="N941" s="33"/>
    </row>
    <row r="942" spans="2:14" ht="15.75" x14ac:dyDescent="0.25">
      <c r="B942" s="33"/>
      <c r="C942" s="34"/>
      <c r="F942" s="35"/>
      <c r="I942" s="33"/>
      <c r="M942" s="33"/>
      <c r="N942" s="33"/>
    </row>
    <row r="943" spans="2:14" ht="15.75" x14ac:dyDescent="0.25">
      <c r="B943" s="33"/>
      <c r="C943" s="34"/>
      <c r="F943" s="35"/>
      <c r="I943" s="33"/>
      <c r="M943" s="33"/>
      <c r="N943" s="33"/>
    </row>
    <row r="944" spans="2:14" ht="15.75" x14ac:dyDescent="0.25">
      <c r="B944" s="33"/>
      <c r="C944" s="34"/>
      <c r="F944" s="35"/>
      <c r="I944" s="33"/>
      <c r="M944" s="33"/>
      <c r="N944" s="33"/>
    </row>
    <row r="945" spans="2:14" ht="15.75" x14ac:dyDescent="0.25">
      <c r="B945" s="33"/>
      <c r="C945" s="34"/>
      <c r="F945" s="35"/>
      <c r="I945" s="33"/>
      <c r="M945" s="33"/>
      <c r="N945" s="33"/>
    </row>
    <row r="946" spans="2:14" ht="15.75" x14ac:dyDescent="0.25">
      <c r="B946" s="33"/>
      <c r="C946" s="34"/>
      <c r="F946" s="35"/>
      <c r="I946" s="33"/>
      <c r="M946" s="33"/>
      <c r="N946" s="33"/>
    </row>
    <row r="947" spans="2:14" ht="15.75" x14ac:dyDescent="0.25">
      <c r="B947" s="33"/>
      <c r="C947" s="34"/>
      <c r="F947" s="35"/>
      <c r="I947" s="33"/>
      <c r="M947" s="33"/>
      <c r="N947" s="33"/>
    </row>
    <row r="948" spans="2:14" ht="15.75" x14ac:dyDescent="0.25">
      <c r="B948" s="33"/>
      <c r="C948" s="34"/>
      <c r="F948" s="35"/>
      <c r="I948" s="33"/>
      <c r="M948" s="33"/>
      <c r="N948" s="33"/>
    </row>
    <row r="949" spans="2:14" ht="15.75" x14ac:dyDescent="0.25">
      <c r="B949" s="33"/>
      <c r="C949" s="34"/>
      <c r="F949" s="35"/>
      <c r="I949" s="33"/>
      <c r="M949" s="33"/>
      <c r="N949" s="33"/>
    </row>
    <row r="950" spans="2:14" ht="15.75" x14ac:dyDescent="0.25">
      <c r="B950" s="33"/>
      <c r="C950" s="34"/>
      <c r="F950" s="35"/>
      <c r="I950" s="33"/>
      <c r="M950" s="33"/>
      <c r="N950" s="33"/>
    </row>
    <row r="951" spans="2:14" ht="15.75" x14ac:dyDescent="0.25">
      <c r="B951" s="33"/>
      <c r="C951" s="34"/>
      <c r="F951" s="35"/>
      <c r="I951" s="33"/>
      <c r="M951" s="33"/>
      <c r="N951" s="33"/>
    </row>
    <row r="952" spans="2:14" ht="15.75" x14ac:dyDescent="0.25">
      <c r="B952" s="33"/>
      <c r="C952" s="34"/>
      <c r="F952" s="35"/>
      <c r="I952" s="33"/>
      <c r="M952" s="33"/>
      <c r="N952" s="33"/>
    </row>
    <row r="953" spans="2:14" ht="15.75" x14ac:dyDescent="0.25">
      <c r="B953" s="33"/>
      <c r="C953" s="34"/>
      <c r="F953" s="35"/>
      <c r="I953" s="33"/>
      <c r="M953" s="33"/>
      <c r="N953" s="33"/>
    </row>
    <row r="954" spans="2:14" ht="15.75" x14ac:dyDescent="0.25">
      <c r="B954" s="33"/>
      <c r="C954" s="34"/>
      <c r="F954" s="35"/>
      <c r="I954" s="33"/>
      <c r="M954" s="33"/>
      <c r="N954" s="33"/>
    </row>
    <row r="955" spans="2:14" ht="15.75" x14ac:dyDescent="0.25">
      <c r="B955" s="33"/>
      <c r="C955" s="34"/>
      <c r="F955" s="35"/>
      <c r="I955" s="33"/>
      <c r="M955" s="33"/>
      <c r="N955" s="33"/>
    </row>
    <row r="956" spans="2:14" ht="15.75" x14ac:dyDescent="0.25">
      <c r="B956" s="33"/>
      <c r="C956" s="34"/>
      <c r="F956" s="35"/>
      <c r="I956" s="33"/>
      <c r="M956" s="33"/>
      <c r="N956" s="33"/>
    </row>
    <row r="957" spans="2:14" ht="15.75" x14ac:dyDescent="0.25">
      <c r="B957" s="33"/>
      <c r="C957" s="34"/>
      <c r="F957" s="35"/>
      <c r="I957" s="33"/>
      <c r="M957" s="33"/>
      <c r="N957" s="33"/>
    </row>
    <row r="958" spans="2:14" ht="15.75" x14ac:dyDescent="0.25">
      <c r="B958" s="33"/>
      <c r="C958" s="34"/>
      <c r="F958" s="35"/>
      <c r="I958" s="33"/>
      <c r="M958" s="33"/>
      <c r="N958" s="33"/>
    </row>
    <row r="959" spans="2:14" ht="15.75" x14ac:dyDescent="0.25">
      <c r="B959" s="33"/>
      <c r="C959" s="34"/>
      <c r="F959" s="35"/>
      <c r="I959" s="33"/>
      <c r="M959" s="33"/>
      <c r="N959" s="33"/>
    </row>
    <row r="960" spans="2:14" ht="15.75" x14ac:dyDescent="0.25">
      <c r="B960" s="33"/>
      <c r="C960" s="34"/>
      <c r="F960" s="35"/>
      <c r="I960" s="33"/>
      <c r="M960" s="33"/>
      <c r="N960" s="33"/>
    </row>
    <row r="961" spans="2:14" ht="15.75" x14ac:dyDescent="0.25">
      <c r="B961" s="33"/>
      <c r="C961" s="34"/>
      <c r="F961" s="35"/>
      <c r="I961" s="33"/>
      <c r="M961" s="33"/>
      <c r="N961" s="33"/>
    </row>
    <row r="962" spans="2:14" ht="15.75" x14ac:dyDescent="0.25">
      <c r="B962" s="33"/>
      <c r="C962" s="34"/>
      <c r="F962" s="35"/>
      <c r="I962" s="33"/>
      <c r="M962" s="33"/>
      <c r="N962" s="33"/>
    </row>
    <row r="963" spans="2:14" ht="15.75" x14ac:dyDescent="0.25">
      <c r="B963" s="33"/>
      <c r="C963" s="34"/>
      <c r="F963" s="35"/>
      <c r="I963" s="33"/>
      <c r="M963" s="33"/>
      <c r="N963" s="33"/>
    </row>
    <row r="964" spans="2:14" ht="15.75" x14ac:dyDescent="0.25">
      <c r="B964" s="33"/>
      <c r="C964" s="34"/>
      <c r="F964" s="35"/>
      <c r="I964" s="33"/>
      <c r="M964" s="33"/>
      <c r="N964" s="33"/>
    </row>
    <row r="965" spans="2:14" ht="15.75" x14ac:dyDescent="0.25">
      <c r="B965" s="33"/>
      <c r="C965" s="34"/>
      <c r="F965" s="35"/>
      <c r="I965" s="33"/>
      <c r="M965" s="33"/>
      <c r="N965" s="33"/>
    </row>
    <row r="966" spans="2:14" ht="15.75" x14ac:dyDescent="0.25">
      <c r="B966" s="33"/>
      <c r="C966" s="34"/>
      <c r="F966" s="35"/>
      <c r="I966" s="33"/>
      <c r="M966" s="33"/>
      <c r="N966" s="33"/>
    </row>
    <row r="967" spans="2:14" ht="15.75" x14ac:dyDescent="0.25">
      <c r="B967" s="33"/>
      <c r="C967" s="34"/>
      <c r="F967" s="35"/>
      <c r="I967" s="33"/>
      <c r="M967" s="33"/>
      <c r="N967" s="33"/>
    </row>
    <row r="968" spans="2:14" ht="15.75" x14ac:dyDescent="0.25">
      <c r="B968" s="33"/>
      <c r="C968" s="34"/>
      <c r="F968" s="35"/>
      <c r="I968" s="33"/>
      <c r="M968" s="33"/>
      <c r="N968" s="33"/>
    </row>
    <row r="969" spans="2:14" ht="15.75" x14ac:dyDescent="0.25">
      <c r="B969" s="33"/>
      <c r="C969" s="34"/>
      <c r="F969" s="35"/>
      <c r="I969" s="33"/>
      <c r="M969" s="33"/>
      <c r="N969" s="33"/>
    </row>
    <row r="970" spans="2:14" ht="15.75" x14ac:dyDescent="0.25">
      <c r="B970" s="33"/>
      <c r="C970" s="34"/>
      <c r="F970" s="35"/>
      <c r="I970" s="33"/>
      <c r="M970" s="33"/>
      <c r="N970" s="33"/>
    </row>
    <row r="971" spans="2:14" ht="15.75" x14ac:dyDescent="0.25">
      <c r="B971" s="33"/>
      <c r="C971" s="34"/>
      <c r="F971" s="35"/>
      <c r="I971" s="33"/>
      <c r="M971" s="33"/>
      <c r="N971" s="33"/>
    </row>
    <row r="972" spans="2:14" ht="15.75" x14ac:dyDescent="0.25">
      <c r="B972" s="33"/>
      <c r="C972" s="34"/>
      <c r="F972" s="35"/>
      <c r="I972" s="33"/>
      <c r="M972" s="33"/>
      <c r="N972" s="33"/>
    </row>
    <row r="973" spans="2:14" ht="15.75" x14ac:dyDescent="0.25">
      <c r="B973" s="33"/>
      <c r="C973" s="34"/>
      <c r="F973" s="35"/>
      <c r="I973" s="33"/>
      <c r="M973" s="33"/>
      <c r="N973" s="33"/>
    </row>
    <row r="974" spans="2:14" ht="15.75" x14ac:dyDescent="0.25">
      <c r="B974" s="33"/>
      <c r="C974" s="34"/>
      <c r="F974" s="35"/>
      <c r="I974" s="33"/>
      <c r="M974" s="33"/>
      <c r="N974" s="33"/>
    </row>
    <row r="975" spans="2:14" ht="15.75" x14ac:dyDescent="0.25">
      <c r="B975" s="33"/>
      <c r="C975" s="34"/>
      <c r="F975" s="35"/>
      <c r="I975" s="33"/>
      <c r="M975" s="33"/>
      <c r="N975" s="33"/>
    </row>
    <row r="976" spans="2:14" ht="15.75" x14ac:dyDescent="0.25">
      <c r="B976" s="33"/>
      <c r="C976" s="34"/>
      <c r="F976" s="35"/>
      <c r="I976" s="33"/>
      <c r="M976" s="33"/>
      <c r="N976" s="33"/>
    </row>
    <row r="977" spans="2:14" ht="15.75" x14ac:dyDescent="0.25">
      <c r="B977" s="33"/>
      <c r="C977" s="34"/>
      <c r="F977" s="35"/>
      <c r="I977" s="33"/>
      <c r="M977" s="33"/>
      <c r="N977" s="33"/>
    </row>
    <row r="978" spans="2:14" ht="15.75" x14ac:dyDescent="0.25">
      <c r="B978" s="33"/>
      <c r="C978" s="34"/>
      <c r="F978" s="35"/>
      <c r="I978" s="33"/>
      <c r="M978" s="33"/>
      <c r="N978" s="33"/>
    </row>
    <row r="979" spans="2:14" ht="15.75" x14ac:dyDescent="0.25">
      <c r="B979" s="33"/>
      <c r="C979" s="34"/>
      <c r="F979" s="35"/>
      <c r="I979" s="33"/>
      <c r="M979" s="33"/>
      <c r="N979" s="33"/>
    </row>
    <row r="980" spans="2:14" ht="15.75" x14ac:dyDescent="0.25">
      <c r="B980" s="33"/>
      <c r="C980" s="34"/>
      <c r="F980" s="35"/>
      <c r="I980" s="33"/>
      <c r="M980" s="33"/>
      <c r="N980" s="33"/>
    </row>
    <row r="981" spans="2:14" ht="15.75" x14ac:dyDescent="0.25">
      <c r="B981" s="33"/>
      <c r="C981" s="34"/>
      <c r="F981" s="35"/>
      <c r="I981" s="33"/>
      <c r="M981" s="33"/>
      <c r="N981" s="33"/>
    </row>
    <row r="982" spans="2:14" ht="15.75" x14ac:dyDescent="0.25">
      <c r="B982" s="33"/>
      <c r="C982" s="34"/>
      <c r="F982" s="35"/>
      <c r="I982" s="33"/>
      <c r="M982" s="33"/>
      <c r="N982" s="33"/>
    </row>
    <row r="983" spans="2:14" ht="15.75" x14ac:dyDescent="0.25">
      <c r="B983" s="33"/>
      <c r="C983" s="34"/>
      <c r="F983" s="35"/>
      <c r="I983" s="33"/>
      <c r="M983" s="33"/>
      <c r="N983" s="33"/>
    </row>
    <row r="984" spans="2:14" ht="15.75" x14ac:dyDescent="0.25">
      <c r="B984" s="33"/>
      <c r="C984" s="34"/>
      <c r="F984" s="35"/>
      <c r="I984" s="33"/>
      <c r="M984" s="33"/>
      <c r="N984" s="33"/>
    </row>
    <row r="985" spans="2:14" ht="15.75" x14ac:dyDescent="0.25">
      <c r="B985" s="33"/>
      <c r="C985" s="34"/>
      <c r="F985" s="35"/>
      <c r="I985" s="33"/>
      <c r="M985" s="33"/>
      <c r="N985" s="33"/>
    </row>
    <row r="986" spans="2:14" ht="15.75" x14ac:dyDescent="0.25">
      <c r="B986" s="33"/>
      <c r="C986" s="34"/>
      <c r="F986" s="35"/>
      <c r="I986" s="33"/>
      <c r="M986" s="33"/>
      <c r="N986" s="33"/>
    </row>
    <row r="987" spans="2:14" ht="15.75" x14ac:dyDescent="0.25">
      <c r="B987" s="33"/>
      <c r="C987" s="34"/>
      <c r="F987" s="35"/>
      <c r="I987" s="33"/>
      <c r="M987" s="33"/>
      <c r="N987" s="33"/>
    </row>
    <row r="988" spans="2:14" ht="15.75" x14ac:dyDescent="0.25">
      <c r="B988" s="33"/>
      <c r="C988" s="34"/>
      <c r="F988" s="35"/>
      <c r="I988" s="33"/>
      <c r="M988" s="33"/>
      <c r="N988" s="33"/>
    </row>
    <row r="989" spans="2:14" ht="15.75" x14ac:dyDescent="0.25">
      <c r="B989" s="33"/>
      <c r="C989" s="34"/>
      <c r="F989" s="35"/>
      <c r="I989" s="33"/>
      <c r="M989" s="33"/>
      <c r="N989" s="33"/>
    </row>
    <row r="990" spans="2:14" ht="15.75" x14ac:dyDescent="0.25">
      <c r="B990" s="33"/>
      <c r="C990" s="34"/>
      <c r="F990" s="35"/>
      <c r="I990" s="33"/>
      <c r="M990" s="33"/>
      <c r="N990" s="33"/>
    </row>
    <row r="991" spans="2:14" ht="15.75" x14ac:dyDescent="0.25">
      <c r="B991" s="33"/>
      <c r="C991" s="34"/>
      <c r="F991" s="35"/>
      <c r="I991" s="33"/>
      <c r="M991" s="33"/>
      <c r="N991" s="33"/>
    </row>
    <row r="992" spans="2:14" ht="15.75" x14ac:dyDescent="0.25">
      <c r="B992" s="33"/>
      <c r="C992" s="34"/>
      <c r="F992" s="35"/>
      <c r="I992" s="33"/>
      <c r="M992" s="33"/>
      <c r="N992" s="33"/>
    </row>
    <row r="993" spans="2:14" ht="15.75" x14ac:dyDescent="0.25">
      <c r="B993" s="33"/>
      <c r="C993" s="34"/>
      <c r="F993" s="35"/>
      <c r="I993" s="33"/>
      <c r="M993" s="33"/>
      <c r="N993" s="33"/>
    </row>
    <row r="994" spans="2:14" ht="15.75" x14ac:dyDescent="0.25">
      <c r="B994" s="33"/>
      <c r="C994" s="34"/>
      <c r="F994" s="35"/>
      <c r="I994" s="33"/>
      <c r="M994" s="33"/>
      <c r="N994" s="33"/>
    </row>
    <row r="995" spans="2:14" ht="15.75" x14ac:dyDescent="0.25">
      <c r="B995" s="33"/>
      <c r="C995" s="34"/>
      <c r="F995" s="35"/>
      <c r="I995" s="33"/>
      <c r="M995" s="33"/>
      <c r="N995" s="33"/>
    </row>
    <row r="996" spans="2:14" ht="15.75" x14ac:dyDescent="0.25">
      <c r="B996" s="33"/>
      <c r="C996" s="34"/>
      <c r="F996" s="35"/>
      <c r="I996" s="33"/>
      <c r="M996" s="33"/>
      <c r="N996" s="33"/>
    </row>
    <row r="997" spans="2:14" ht="15.75" x14ac:dyDescent="0.25">
      <c r="B997" s="33"/>
      <c r="C997" s="34"/>
      <c r="F997" s="35"/>
      <c r="I997" s="33"/>
      <c r="M997" s="33"/>
      <c r="N997" s="33"/>
    </row>
    <row r="998" spans="2:14" ht="15.75" x14ac:dyDescent="0.25">
      <c r="B998" s="33"/>
      <c r="C998" s="34"/>
      <c r="F998" s="35"/>
      <c r="I998" s="33"/>
      <c r="M998" s="33"/>
      <c r="N998" s="33"/>
    </row>
    <row r="999" spans="2:14" ht="15.75" x14ac:dyDescent="0.25">
      <c r="B999" s="33"/>
      <c r="C999" s="34"/>
      <c r="F999" s="35"/>
      <c r="I999" s="33"/>
      <c r="M999" s="33"/>
      <c r="N999" s="33"/>
    </row>
    <row r="1000" spans="2:14" ht="15.75" x14ac:dyDescent="0.25">
      <c r="B1000" s="33"/>
      <c r="C1000" s="34"/>
      <c r="F1000" s="35"/>
      <c r="I1000" s="33"/>
      <c r="M1000" s="33"/>
      <c r="N1000" s="33"/>
    </row>
    <row r="1001" spans="2:14" ht="15.75" x14ac:dyDescent="0.25">
      <c r="B1001" s="33"/>
      <c r="C1001" s="34"/>
      <c r="F1001" s="35"/>
      <c r="I1001" s="33"/>
      <c r="M1001" s="33"/>
      <c r="N1001" s="33"/>
    </row>
    <row r="1002" spans="2:14" ht="15.75" x14ac:dyDescent="0.25">
      <c r="B1002" s="33"/>
      <c r="C1002" s="34"/>
      <c r="F1002" s="35"/>
      <c r="I1002" s="33"/>
      <c r="M1002" s="33"/>
      <c r="N1002" s="33"/>
    </row>
    <row r="1003" spans="2:14" ht="15.75" x14ac:dyDescent="0.25">
      <c r="B1003" s="33"/>
      <c r="C1003" s="34"/>
      <c r="F1003" s="35"/>
      <c r="I1003" s="33"/>
      <c r="M1003" s="33"/>
      <c r="N1003" s="33"/>
    </row>
    <row r="1004" spans="2:14" ht="15.75" x14ac:dyDescent="0.25">
      <c r="B1004" s="33"/>
      <c r="C1004" s="34"/>
      <c r="F1004" s="35"/>
      <c r="I1004" s="33"/>
      <c r="M1004" s="33"/>
      <c r="N1004" s="33"/>
    </row>
    <row r="1005" spans="2:14" ht="15.75" x14ac:dyDescent="0.25">
      <c r="B1005" s="33"/>
      <c r="C1005" s="34"/>
      <c r="F1005" s="35"/>
      <c r="I1005" s="33"/>
      <c r="M1005" s="33"/>
      <c r="N1005" s="33"/>
    </row>
    <row r="1006" spans="2:14" ht="15.75" x14ac:dyDescent="0.25">
      <c r="B1006" s="33"/>
      <c r="C1006" s="34"/>
      <c r="F1006" s="35"/>
      <c r="I1006" s="33"/>
      <c r="M1006" s="33"/>
      <c r="N1006" s="33"/>
    </row>
    <row r="1007" spans="2:14" ht="15.75" x14ac:dyDescent="0.25">
      <c r="B1007" s="33"/>
      <c r="C1007" s="34"/>
      <c r="F1007" s="35"/>
      <c r="I1007" s="33"/>
      <c r="M1007" s="33"/>
      <c r="N1007" s="33"/>
    </row>
    <row r="1008" spans="2:14" ht="15.75" x14ac:dyDescent="0.25">
      <c r="B1008" s="33"/>
      <c r="C1008" s="34"/>
      <c r="F1008" s="35"/>
      <c r="I1008" s="33"/>
      <c r="M1008" s="33"/>
      <c r="N1008" s="33"/>
    </row>
    <row r="1009" spans="2:14" ht="15.75" x14ac:dyDescent="0.25">
      <c r="B1009" s="33"/>
      <c r="C1009" s="34"/>
      <c r="F1009" s="35"/>
      <c r="I1009" s="33"/>
      <c r="M1009" s="33"/>
      <c r="N1009" s="33"/>
    </row>
    <row r="1010" spans="2:14" ht="15.75" x14ac:dyDescent="0.25">
      <c r="B1010" s="33"/>
      <c r="C1010" s="34"/>
      <c r="F1010" s="35"/>
      <c r="I1010" s="33"/>
      <c r="M1010" s="33"/>
      <c r="N1010" s="33"/>
    </row>
    <row r="1011" spans="2:14" ht="15.75" x14ac:dyDescent="0.25">
      <c r="B1011" s="33"/>
      <c r="C1011" s="34"/>
      <c r="F1011" s="35"/>
      <c r="I1011" s="33"/>
      <c r="M1011" s="33"/>
      <c r="N1011" s="33"/>
    </row>
    <row r="1012" spans="2:14" ht="15.75" x14ac:dyDescent="0.25">
      <c r="B1012" s="33"/>
      <c r="C1012" s="34"/>
      <c r="F1012" s="35"/>
      <c r="I1012" s="33"/>
      <c r="M1012" s="33"/>
      <c r="N1012" s="33"/>
    </row>
    <row r="1013" spans="2:14" ht="15.75" x14ac:dyDescent="0.25">
      <c r="B1013" s="33"/>
      <c r="C1013" s="34"/>
      <c r="F1013" s="35"/>
      <c r="I1013" s="33"/>
      <c r="M1013" s="33"/>
      <c r="N1013" s="33"/>
    </row>
    <row r="1014" spans="2:14" ht="15.75" x14ac:dyDescent="0.25">
      <c r="B1014" s="33"/>
      <c r="C1014" s="34"/>
      <c r="F1014" s="35"/>
      <c r="I1014" s="33"/>
      <c r="M1014" s="33"/>
      <c r="N1014" s="33"/>
    </row>
    <row r="1015" spans="2:14" ht="15.75" x14ac:dyDescent="0.25">
      <c r="B1015" s="33"/>
      <c r="C1015" s="34"/>
      <c r="F1015" s="35"/>
      <c r="I1015" s="33"/>
      <c r="M1015" s="33"/>
      <c r="N1015" s="33"/>
    </row>
    <row r="1016" spans="2:14" ht="15.75" x14ac:dyDescent="0.25">
      <c r="B1016" s="33"/>
      <c r="C1016" s="34"/>
      <c r="F1016" s="35"/>
      <c r="I1016" s="33"/>
      <c r="M1016" s="33"/>
      <c r="N1016" s="33"/>
    </row>
    <row r="1017" spans="2:14" ht="15.75" x14ac:dyDescent="0.25">
      <c r="B1017" s="33"/>
      <c r="C1017" s="34"/>
      <c r="F1017" s="35"/>
      <c r="I1017" s="33"/>
      <c r="M1017" s="33"/>
      <c r="N1017" s="33"/>
    </row>
    <row r="1018" spans="2:14" ht="15.75" x14ac:dyDescent="0.25">
      <c r="B1018" s="33"/>
      <c r="C1018" s="34"/>
      <c r="F1018" s="35"/>
      <c r="I1018" s="33"/>
      <c r="M1018" s="33"/>
      <c r="N1018" s="33"/>
    </row>
    <row r="1019" spans="2:14" ht="15.75" x14ac:dyDescent="0.25">
      <c r="B1019" s="33"/>
      <c r="C1019" s="34"/>
      <c r="F1019" s="35"/>
      <c r="I1019" s="33"/>
      <c r="M1019" s="33"/>
      <c r="N1019" s="33"/>
    </row>
    <row r="1020" spans="2:14" ht="15.75" x14ac:dyDescent="0.25">
      <c r="B1020" s="33"/>
      <c r="C1020" s="34"/>
      <c r="F1020" s="35"/>
      <c r="I1020" s="33"/>
      <c r="M1020" s="33"/>
      <c r="N1020" s="33"/>
    </row>
    <row r="1021" spans="2:14" ht="15.75" x14ac:dyDescent="0.25">
      <c r="B1021" s="33"/>
      <c r="C1021" s="34"/>
      <c r="F1021" s="35"/>
      <c r="I1021" s="33"/>
      <c r="M1021" s="33"/>
      <c r="N1021" s="33"/>
    </row>
    <row r="1022" spans="2:14" ht="15.75" x14ac:dyDescent="0.25">
      <c r="B1022" s="33"/>
      <c r="C1022" s="34"/>
      <c r="F1022" s="35"/>
      <c r="I1022" s="33"/>
      <c r="M1022" s="33"/>
      <c r="N1022" s="33"/>
    </row>
    <row r="1023" spans="2:14" ht="15.75" x14ac:dyDescent="0.25">
      <c r="B1023" s="33"/>
      <c r="C1023" s="34"/>
      <c r="F1023" s="35"/>
      <c r="I1023" s="33"/>
      <c r="M1023" s="33"/>
      <c r="N1023" s="33"/>
    </row>
    <row r="1024" spans="2:14" ht="15.75" x14ac:dyDescent="0.25">
      <c r="B1024" s="33"/>
      <c r="C1024" s="34"/>
      <c r="F1024" s="35"/>
      <c r="I1024" s="33"/>
      <c r="M1024" s="33"/>
      <c r="N1024" s="33"/>
    </row>
    <row r="1025" spans="2:14" ht="15.75" x14ac:dyDescent="0.25">
      <c r="B1025" s="33"/>
      <c r="C1025" s="34"/>
      <c r="F1025" s="35"/>
      <c r="I1025" s="33"/>
      <c r="M1025" s="33"/>
      <c r="N1025" s="33"/>
    </row>
    <row r="1026" spans="2:14" ht="15.75" x14ac:dyDescent="0.25">
      <c r="B1026" s="33"/>
      <c r="C1026" s="34"/>
      <c r="F1026" s="35"/>
      <c r="I1026" s="33"/>
      <c r="M1026" s="33"/>
      <c r="N1026" s="33"/>
    </row>
    <row r="1027" spans="2:14" ht="15.75" x14ac:dyDescent="0.25">
      <c r="B1027" s="33"/>
      <c r="C1027" s="34"/>
      <c r="F1027" s="35"/>
      <c r="I1027" s="33"/>
      <c r="M1027" s="33"/>
      <c r="N1027" s="33"/>
    </row>
    <row r="1028" spans="2:14" ht="15.75" x14ac:dyDescent="0.25">
      <c r="B1028" s="33"/>
      <c r="C1028" s="34"/>
      <c r="F1028" s="35"/>
      <c r="I1028" s="33"/>
      <c r="M1028" s="33"/>
      <c r="N1028" s="33"/>
    </row>
    <row r="1029" spans="2:14" ht="15.75" x14ac:dyDescent="0.25">
      <c r="B1029" s="33"/>
      <c r="C1029" s="34"/>
      <c r="F1029" s="35"/>
      <c r="I1029" s="33"/>
      <c r="M1029" s="33"/>
      <c r="N1029" s="33"/>
    </row>
    <row r="1030" spans="2:14" ht="15.75" x14ac:dyDescent="0.25">
      <c r="B1030" s="33"/>
      <c r="C1030" s="34"/>
      <c r="F1030" s="35"/>
      <c r="I1030" s="33"/>
      <c r="M1030" s="33"/>
      <c r="N1030" s="33"/>
    </row>
    <row r="1031" spans="2:14" ht="15.75" x14ac:dyDescent="0.25">
      <c r="B1031" s="33"/>
      <c r="C1031" s="34"/>
      <c r="F1031" s="35"/>
      <c r="I1031" s="33"/>
      <c r="M1031" s="33"/>
      <c r="N1031" s="33"/>
    </row>
    <row r="1032" spans="2:14" ht="15.75" x14ac:dyDescent="0.25">
      <c r="B1032" s="33"/>
      <c r="C1032" s="34"/>
      <c r="F1032" s="35"/>
      <c r="I1032" s="33"/>
      <c r="M1032" s="33"/>
      <c r="N1032" s="33"/>
    </row>
    <row r="1033" spans="2:14" ht="15.75" x14ac:dyDescent="0.25">
      <c r="B1033" s="33"/>
      <c r="C1033" s="34"/>
      <c r="F1033" s="35"/>
      <c r="I1033" s="33"/>
      <c r="M1033" s="33"/>
      <c r="N1033" s="33"/>
    </row>
    <row r="1034" spans="2:14" ht="15.75" x14ac:dyDescent="0.25">
      <c r="B1034" s="33"/>
      <c r="C1034" s="34"/>
      <c r="F1034" s="35"/>
      <c r="I1034" s="33"/>
      <c r="M1034" s="33"/>
      <c r="N1034" s="33"/>
    </row>
    <row r="1035" spans="2:14" ht="15.75" x14ac:dyDescent="0.25">
      <c r="B1035" s="33"/>
      <c r="C1035" s="34"/>
      <c r="F1035" s="35"/>
      <c r="I1035" s="33"/>
      <c r="M1035" s="33"/>
      <c r="N1035" s="33"/>
    </row>
    <row r="1036" spans="2:14" ht="15.75" x14ac:dyDescent="0.25">
      <c r="B1036" s="33"/>
      <c r="C1036" s="34"/>
      <c r="F1036" s="35"/>
      <c r="I1036" s="33"/>
      <c r="M1036" s="33"/>
      <c r="N1036" s="33"/>
    </row>
    <row r="1037" spans="2:14" ht="15.75" x14ac:dyDescent="0.25">
      <c r="B1037" s="33"/>
      <c r="C1037" s="34"/>
      <c r="F1037" s="35"/>
      <c r="I1037" s="33"/>
      <c r="M1037" s="33"/>
      <c r="N1037" s="33"/>
    </row>
    <row r="1038" spans="2:14" ht="15.75" x14ac:dyDescent="0.25">
      <c r="B1038" s="33"/>
      <c r="C1038" s="34"/>
      <c r="F1038" s="35"/>
      <c r="I1038" s="33"/>
      <c r="M1038" s="33"/>
      <c r="N1038" s="33"/>
    </row>
    <row r="1039" spans="2:14" ht="15.75" x14ac:dyDescent="0.25">
      <c r="B1039" s="33"/>
      <c r="C1039" s="34"/>
      <c r="F1039" s="35"/>
      <c r="I1039" s="33"/>
      <c r="M1039" s="33"/>
      <c r="N1039" s="33"/>
    </row>
    <row r="1040" spans="2:14" ht="15.75" x14ac:dyDescent="0.25">
      <c r="B1040" s="33"/>
      <c r="C1040" s="34"/>
      <c r="F1040" s="35"/>
      <c r="I1040" s="33"/>
      <c r="M1040" s="33"/>
      <c r="N1040" s="33"/>
    </row>
    <row r="1041" spans="2:14" ht="15.75" x14ac:dyDescent="0.25">
      <c r="B1041" s="33"/>
      <c r="C1041" s="34"/>
      <c r="F1041" s="35"/>
      <c r="I1041" s="33"/>
      <c r="M1041" s="33"/>
      <c r="N1041" s="33"/>
    </row>
    <row r="1042" spans="2:14" ht="15.75" x14ac:dyDescent="0.25">
      <c r="B1042" s="33"/>
      <c r="C1042" s="34"/>
      <c r="F1042" s="35"/>
      <c r="I1042" s="33"/>
      <c r="M1042" s="33"/>
      <c r="N1042" s="33"/>
    </row>
    <row r="1043" spans="2:14" ht="15.75" x14ac:dyDescent="0.25">
      <c r="B1043" s="33"/>
      <c r="C1043" s="34"/>
      <c r="F1043" s="35"/>
      <c r="I1043" s="33"/>
      <c r="M1043" s="33"/>
      <c r="N1043" s="33"/>
    </row>
    <row r="1044" spans="2:14" ht="15.75" x14ac:dyDescent="0.25">
      <c r="B1044" s="33"/>
      <c r="C1044" s="34"/>
      <c r="F1044" s="35"/>
      <c r="I1044" s="33"/>
      <c r="M1044" s="33"/>
      <c r="N1044" s="33"/>
    </row>
    <row r="1045" spans="2:14" ht="15.75" x14ac:dyDescent="0.25">
      <c r="B1045" s="33"/>
      <c r="C1045" s="34"/>
      <c r="F1045" s="35"/>
      <c r="I1045" s="33"/>
      <c r="M1045" s="33"/>
      <c r="N1045" s="33"/>
    </row>
    <row r="1046" spans="2:14" ht="15.75" x14ac:dyDescent="0.25">
      <c r="B1046" s="33"/>
      <c r="C1046" s="34"/>
      <c r="F1046" s="35"/>
      <c r="I1046" s="33"/>
      <c r="M1046" s="33"/>
      <c r="N1046" s="33"/>
    </row>
    <row r="1047" spans="2:14" ht="15.75" x14ac:dyDescent="0.25">
      <c r="B1047" s="33"/>
      <c r="C1047" s="34"/>
      <c r="F1047" s="35"/>
      <c r="I1047" s="33"/>
      <c r="M1047" s="33"/>
      <c r="N1047" s="33"/>
    </row>
    <row r="1048" spans="2:14" ht="15.75" x14ac:dyDescent="0.25">
      <c r="B1048" s="33"/>
      <c r="C1048" s="34"/>
      <c r="F1048" s="35"/>
      <c r="I1048" s="33"/>
      <c r="M1048" s="33"/>
      <c r="N1048" s="33"/>
    </row>
    <row r="1049" spans="2:14" ht="15.75" x14ac:dyDescent="0.25">
      <c r="B1049" s="33"/>
      <c r="C1049" s="34"/>
      <c r="F1049" s="35"/>
      <c r="I1049" s="33"/>
      <c r="M1049" s="33"/>
      <c r="N1049" s="33"/>
    </row>
    <row r="1050" spans="2:14" ht="15.75" x14ac:dyDescent="0.25">
      <c r="B1050" s="33"/>
      <c r="C1050" s="34"/>
      <c r="F1050" s="35"/>
      <c r="I1050" s="33"/>
      <c r="M1050" s="33"/>
      <c r="N1050" s="33"/>
    </row>
    <row r="1051" spans="2:14" ht="15.75" x14ac:dyDescent="0.25">
      <c r="B1051" s="33"/>
      <c r="C1051" s="34"/>
      <c r="F1051" s="35"/>
      <c r="I1051" s="33"/>
      <c r="M1051" s="33"/>
      <c r="N1051" s="33"/>
    </row>
    <row r="1052" spans="2:14" ht="15.75" x14ac:dyDescent="0.25">
      <c r="B1052" s="33"/>
      <c r="C1052" s="34"/>
      <c r="F1052" s="35"/>
      <c r="I1052" s="33"/>
      <c r="M1052" s="33"/>
      <c r="N1052" s="33"/>
    </row>
    <row r="1053" spans="2:14" ht="15.75" x14ac:dyDescent="0.25">
      <c r="B1053" s="33"/>
      <c r="C1053" s="34"/>
      <c r="F1053" s="35"/>
      <c r="I1053" s="33"/>
      <c r="M1053" s="33"/>
      <c r="N1053" s="33"/>
    </row>
    <row r="1054" spans="2:14" ht="15.75" x14ac:dyDescent="0.25">
      <c r="B1054" s="33"/>
      <c r="C1054" s="34"/>
      <c r="F1054" s="35"/>
      <c r="I1054" s="33"/>
      <c r="M1054" s="33"/>
      <c r="N1054" s="33"/>
    </row>
    <row r="1055" spans="2:14" ht="15.75" x14ac:dyDescent="0.25">
      <c r="B1055" s="33"/>
      <c r="C1055" s="34"/>
      <c r="F1055" s="35"/>
      <c r="I1055" s="33"/>
      <c r="M1055" s="33"/>
      <c r="N1055" s="33"/>
    </row>
    <row r="1056" spans="2:14" ht="15.75" x14ac:dyDescent="0.25">
      <c r="B1056" s="33"/>
      <c r="C1056" s="34"/>
      <c r="F1056" s="35"/>
      <c r="I1056" s="33"/>
      <c r="M1056" s="33"/>
      <c r="N1056" s="33"/>
    </row>
    <row r="1057" spans="2:14" ht="15.75" x14ac:dyDescent="0.25">
      <c r="B1057" s="33"/>
      <c r="C1057" s="34"/>
      <c r="F1057" s="35"/>
      <c r="I1057" s="33"/>
      <c r="M1057" s="33"/>
      <c r="N1057" s="33"/>
    </row>
    <row r="1058" spans="2:14" ht="15.75" x14ac:dyDescent="0.25">
      <c r="B1058" s="33"/>
      <c r="C1058" s="34"/>
      <c r="F1058" s="35"/>
      <c r="I1058" s="33"/>
      <c r="M1058" s="33"/>
      <c r="N1058" s="33"/>
    </row>
    <row r="1059" spans="2:14" ht="15.75" x14ac:dyDescent="0.25">
      <c r="B1059" s="33"/>
      <c r="C1059" s="34"/>
      <c r="F1059" s="35"/>
      <c r="I1059" s="33"/>
      <c r="M1059" s="33"/>
      <c r="N1059" s="33"/>
    </row>
    <row r="1060" spans="2:14" ht="15.75" x14ac:dyDescent="0.25">
      <c r="B1060" s="33"/>
      <c r="C1060" s="34"/>
      <c r="F1060" s="35"/>
      <c r="I1060" s="33"/>
      <c r="M1060" s="33"/>
      <c r="N1060" s="33"/>
    </row>
    <row r="1061" spans="2:14" ht="15.75" x14ac:dyDescent="0.25">
      <c r="B1061" s="33"/>
      <c r="C1061" s="34"/>
      <c r="F1061" s="35"/>
      <c r="I1061" s="33"/>
      <c r="M1061" s="33"/>
      <c r="N1061" s="33"/>
    </row>
    <row r="1062" spans="2:14" ht="15.75" x14ac:dyDescent="0.25">
      <c r="B1062" s="33"/>
      <c r="C1062" s="34"/>
      <c r="F1062" s="35"/>
      <c r="I1062" s="33"/>
      <c r="M1062" s="33"/>
      <c r="N1062" s="33"/>
    </row>
    <row r="1063" spans="2:14" ht="15.75" x14ac:dyDescent="0.25">
      <c r="B1063" s="33"/>
      <c r="C1063" s="34"/>
      <c r="F1063" s="35"/>
      <c r="I1063" s="33"/>
      <c r="M1063" s="33"/>
      <c r="N1063" s="33"/>
    </row>
    <row r="1064" spans="2:14" ht="15.75" x14ac:dyDescent="0.25">
      <c r="B1064" s="33"/>
      <c r="C1064" s="34"/>
      <c r="F1064" s="35"/>
      <c r="I1064" s="33"/>
      <c r="M1064" s="33"/>
      <c r="N1064" s="33"/>
    </row>
    <row r="1065" spans="2:14" ht="15.75" x14ac:dyDescent="0.25">
      <c r="B1065" s="33"/>
      <c r="C1065" s="34"/>
      <c r="F1065" s="35"/>
      <c r="I1065" s="33"/>
      <c r="M1065" s="33"/>
      <c r="N1065" s="33"/>
    </row>
    <row r="1066" spans="2:14" ht="15.75" x14ac:dyDescent="0.25">
      <c r="B1066" s="33"/>
      <c r="C1066" s="34"/>
      <c r="F1066" s="35"/>
      <c r="I1066" s="33"/>
      <c r="M1066" s="33"/>
      <c r="N1066" s="33"/>
    </row>
    <row r="1067" spans="2:14" ht="15.75" x14ac:dyDescent="0.25">
      <c r="B1067" s="33"/>
      <c r="C1067" s="34"/>
      <c r="F1067" s="35"/>
      <c r="I1067" s="33"/>
      <c r="M1067" s="33"/>
      <c r="N1067" s="33"/>
    </row>
    <row r="1068" spans="2:14" ht="15.75" x14ac:dyDescent="0.25">
      <c r="B1068" s="33"/>
      <c r="C1068" s="34"/>
      <c r="F1068" s="35"/>
      <c r="I1068" s="33"/>
      <c r="M1068" s="33"/>
      <c r="N1068" s="33"/>
    </row>
    <row r="1069" spans="2:14" ht="15.75" x14ac:dyDescent="0.25">
      <c r="B1069" s="33"/>
      <c r="C1069" s="34"/>
      <c r="F1069" s="35"/>
      <c r="I1069" s="33"/>
      <c r="M1069" s="33"/>
      <c r="N1069" s="33"/>
    </row>
    <row r="1070" spans="2:14" ht="15.75" x14ac:dyDescent="0.25">
      <c r="B1070" s="33"/>
      <c r="C1070" s="34"/>
      <c r="F1070" s="35"/>
      <c r="I1070" s="33"/>
      <c r="M1070" s="33"/>
      <c r="N1070" s="33"/>
    </row>
    <row r="1071" spans="2:14" ht="15.75" x14ac:dyDescent="0.25">
      <c r="B1071" s="33"/>
      <c r="C1071" s="34"/>
      <c r="F1071" s="35"/>
      <c r="I1071" s="33"/>
      <c r="M1071" s="33"/>
      <c r="N1071" s="33"/>
    </row>
    <row r="1072" spans="2:14" ht="15.75" x14ac:dyDescent="0.25">
      <c r="B1072" s="33"/>
      <c r="C1072" s="34"/>
      <c r="F1072" s="35"/>
      <c r="I1072" s="33"/>
      <c r="M1072" s="33"/>
      <c r="N1072" s="33"/>
    </row>
    <row r="1073" spans="2:14" ht="15.75" x14ac:dyDescent="0.25">
      <c r="B1073" s="33"/>
      <c r="C1073" s="34"/>
      <c r="F1073" s="35"/>
      <c r="I1073" s="33"/>
      <c r="M1073" s="33"/>
      <c r="N1073" s="33"/>
    </row>
    <row r="1074" spans="2:14" ht="15.75" x14ac:dyDescent="0.25">
      <c r="B1074" s="33"/>
      <c r="C1074" s="34"/>
      <c r="F1074" s="35"/>
      <c r="I1074" s="33"/>
      <c r="M1074" s="33"/>
      <c r="N1074" s="33"/>
    </row>
    <row r="1075" spans="2:14" ht="15.75" x14ac:dyDescent="0.25">
      <c r="B1075" s="33"/>
      <c r="C1075" s="34"/>
      <c r="F1075" s="35"/>
      <c r="I1075" s="33"/>
      <c r="M1075" s="33"/>
      <c r="N1075" s="33"/>
    </row>
    <row r="1076" spans="2:14" ht="15.75" x14ac:dyDescent="0.25">
      <c r="B1076" s="33"/>
      <c r="C1076" s="34"/>
      <c r="F1076" s="35"/>
      <c r="I1076" s="33"/>
      <c r="M1076" s="33"/>
      <c r="N1076" s="33"/>
    </row>
    <row r="1077" spans="2:14" ht="15.75" x14ac:dyDescent="0.25">
      <c r="B1077" s="33"/>
      <c r="C1077" s="34"/>
      <c r="F1077" s="35"/>
      <c r="I1077" s="33"/>
      <c r="M1077" s="33"/>
      <c r="N1077" s="33"/>
    </row>
    <row r="1078" spans="2:14" ht="15.75" x14ac:dyDescent="0.25">
      <c r="B1078" s="33"/>
      <c r="C1078" s="34"/>
      <c r="F1078" s="35"/>
      <c r="I1078" s="33"/>
      <c r="M1078" s="33"/>
      <c r="N1078" s="33"/>
    </row>
    <row r="1079" spans="2:14" ht="15.75" x14ac:dyDescent="0.25">
      <c r="B1079" s="33"/>
      <c r="C1079" s="34"/>
      <c r="F1079" s="35"/>
      <c r="I1079" s="33"/>
      <c r="M1079" s="33"/>
      <c r="N1079" s="33"/>
    </row>
    <row r="1080" spans="2:14" ht="15.75" x14ac:dyDescent="0.25">
      <c r="B1080" s="33"/>
      <c r="C1080" s="34"/>
      <c r="F1080" s="35"/>
      <c r="I1080" s="33"/>
      <c r="M1080" s="33"/>
      <c r="N1080" s="33"/>
    </row>
    <row r="1081" spans="2:14" ht="15.75" x14ac:dyDescent="0.25">
      <c r="B1081" s="33"/>
      <c r="C1081" s="34"/>
      <c r="F1081" s="35"/>
      <c r="I1081" s="33"/>
      <c r="M1081" s="33"/>
      <c r="N1081" s="33"/>
    </row>
    <row r="1082" spans="2:14" ht="15.75" x14ac:dyDescent="0.25">
      <c r="B1082" s="33"/>
      <c r="C1082" s="34"/>
      <c r="F1082" s="35"/>
      <c r="I1082" s="33"/>
      <c r="M1082" s="33"/>
      <c r="N1082" s="33"/>
    </row>
    <row r="1083" spans="2:14" ht="15.75" x14ac:dyDescent="0.25">
      <c r="B1083" s="33"/>
      <c r="C1083" s="34"/>
      <c r="F1083" s="35"/>
      <c r="I1083" s="33"/>
      <c r="M1083" s="33"/>
      <c r="N1083" s="33"/>
    </row>
    <row r="1084" spans="2:14" ht="15.75" x14ac:dyDescent="0.25">
      <c r="B1084" s="33"/>
      <c r="C1084" s="34"/>
      <c r="F1084" s="35"/>
      <c r="I1084" s="33"/>
      <c r="M1084" s="33"/>
      <c r="N1084" s="33"/>
    </row>
    <row r="1085" spans="2:14" ht="15.75" x14ac:dyDescent="0.25">
      <c r="B1085" s="33"/>
      <c r="C1085" s="34"/>
      <c r="F1085" s="35"/>
      <c r="I1085" s="33"/>
      <c r="M1085" s="33"/>
      <c r="N1085" s="33"/>
    </row>
    <row r="1086" spans="2:14" ht="15.75" x14ac:dyDescent="0.25">
      <c r="B1086" s="33"/>
      <c r="C1086" s="34"/>
      <c r="F1086" s="35"/>
      <c r="I1086" s="33"/>
      <c r="M1086" s="33"/>
      <c r="N1086" s="33"/>
    </row>
    <row r="1087" spans="2:14" ht="15.75" x14ac:dyDescent="0.25">
      <c r="B1087" s="33"/>
      <c r="C1087" s="34"/>
      <c r="F1087" s="35"/>
      <c r="I1087" s="33"/>
      <c r="M1087" s="33"/>
      <c r="N1087" s="33"/>
    </row>
    <row r="1088" spans="2:14" ht="15.75" x14ac:dyDescent="0.25">
      <c r="B1088" s="33"/>
      <c r="C1088" s="34"/>
      <c r="F1088" s="35"/>
      <c r="I1088" s="33"/>
      <c r="M1088" s="33"/>
      <c r="N1088" s="33"/>
    </row>
    <row r="1089" spans="2:14" ht="15.75" x14ac:dyDescent="0.25">
      <c r="B1089" s="33"/>
      <c r="C1089" s="34"/>
      <c r="F1089" s="35"/>
      <c r="I1089" s="33"/>
      <c r="M1089" s="33"/>
      <c r="N1089" s="33"/>
    </row>
    <row r="1090" spans="2:14" ht="15.75" x14ac:dyDescent="0.25">
      <c r="B1090" s="33"/>
      <c r="C1090" s="34"/>
      <c r="F1090" s="35"/>
      <c r="I1090" s="33"/>
      <c r="M1090" s="33"/>
      <c r="N1090" s="33"/>
    </row>
    <row r="1091" spans="2:14" ht="15.75" x14ac:dyDescent="0.25">
      <c r="B1091" s="33"/>
      <c r="C1091" s="34"/>
      <c r="F1091" s="35"/>
      <c r="I1091" s="33"/>
      <c r="M1091" s="33"/>
      <c r="N1091" s="33"/>
    </row>
    <row r="1092" spans="2:14" ht="15.75" x14ac:dyDescent="0.25">
      <c r="B1092" s="33"/>
      <c r="C1092" s="34"/>
      <c r="F1092" s="35"/>
      <c r="I1092" s="33"/>
      <c r="M1092" s="33"/>
      <c r="N1092" s="33"/>
    </row>
    <row r="1093" spans="2:14" ht="15.75" x14ac:dyDescent="0.25">
      <c r="B1093" s="33"/>
      <c r="C1093" s="34"/>
      <c r="F1093" s="35"/>
      <c r="I1093" s="33"/>
      <c r="M1093" s="33"/>
      <c r="N1093" s="33"/>
    </row>
    <row r="1094" spans="2:14" ht="15.75" x14ac:dyDescent="0.25">
      <c r="B1094" s="33"/>
      <c r="C1094" s="34"/>
      <c r="F1094" s="35"/>
      <c r="I1094" s="33"/>
      <c r="M1094" s="33"/>
      <c r="N1094" s="33"/>
    </row>
    <row r="1095" spans="2:14" ht="15.75" x14ac:dyDescent="0.25">
      <c r="B1095" s="33"/>
      <c r="C1095" s="34"/>
      <c r="F1095" s="35"/>
      <c r="I1095" s="33"/>
      <c r="M1095" s="33"/>
      <c r="N1095" s="33"/>
    </row>
    <row r="1096" spans="2:14" ht="15.75" x14ac:dyDescent="0.25">
      <c r="B1096" s="33"/>
      <c r="C1096" s="34"/>
      <c r="F1096" s="35"/>
      <c r="I1096" s="33"/>
      <c r="M1096" s="33"/>
      <c r="N1096" s="33"/>
    </row>
    <row r="1097" spans="2:14" ht="15.75" x14ac:dyDescent="0.25">
      <c r="B1097" s="33"/>
      <c r="C1097" s="34"/>
      <c r="F1097" s="35"/>
      <c r="I1097" s="33"/>
      <c r="M1097" s="33"/>
      <c r="N1097" s="33"/>
    </row>
    <row r="1098" spans="2:14" ht="15.75" x14ac:dyDescent="0.25">
      <c r="B1098" s="33"/>
      <c r="C1098" s="34"/>
      <c r="F1098" s="35"/>
      <c r="I1098" s="33"/>
      <c r="M1098" s="33"/>
      <c r="N1098" s="33"/>
    </row>
    <row r="1099" spans="2:14" ht="15.75" x14ac:dyDescent="0.25">
      <c r="B1099" s="33"/>
      <c r="C1099" s="34"/>
      <c r="F1099" s="35"/>
      <c r="I1099" s="33"/>
      <c r="M1099" s="33"/>
      <c r="N1099" s="33"/>
    </row>
    <row r="1100" spans="2:14" ht="15.75" x14ac:dyDescent="0.25">
      <c r="B1100" s="33"/>
      <c r="C1100" s="34"/>
      <c r="F1100" s="35"/>
      <c r="I1100" s="33"/>
      <c r="M1100" s="33"/>
      <c r="N1100" s="33"/>
    </row>
    <row r="1101" spans="2:14" ht="15.75" x14ac:dyDescent="0.25">
      <c r="B1101" s="33"/>
      <c r="C1101" s="34"/>
      <c r="F1101" s="35"/>
      <c r="I1101" s="33"/>
      <c r="M1101" s="33"/>
      <c r="N1101" s="33"/>
    </row>
    <row r="1102" spans="2:14" ht="15.75" x14ac:dyDescent="0.25">
      <c r="B1102" s="33"/>
      <c r="C1102" s="34"/>
      <c r="F1102" s="35"/>
      <c r="I1102" s="33"/>
      <c r="M1102" s="33"/>
      <c r="N1102" s="33"/>
    </row>
    <row r="1103" spans="2:14" ht="15.75" x14ac:dyDescent="0.25">
      <c r="B1103" s="33"/>
      <c r="C1103" s="34"/>
      <c r="F1103" s="35"/>
      <c r="I1103" s="33"/>
      <c r="M1103" s="33"/>
      <c r="N1103" s="33"/>
    </row>
    <row r="1104" spans="2:14" ht="15.75" x14ac:dyDescent="0.25">
      <c r="B1104" s="33"/>
      <c r="C1104" s="34"/>
      <c r="F1104" s="35"/>
      <c r="I1104" s="33"/>
      <c r="M1104" s="33"/>
      <c r="N1104" s="33"/>
    </row>
    <row r="1105" spans="2:14" ht="15.75" x14ac:dyDescent="0.25">
      <c r="B1105" s="33"/>
      <c r="C1105" s="34"/>
      <c r="F1105" s="35"/>
      <c r="I1105" s="33"/>
      <c r="M1105" s="33"/>
      <c r="N1105" s="33"/>
    </row>
    <row r="1106" spans="2:14" ht="15.75" x14ac:dyDescent="0.25">
      <c r="B1106" s="33"/>
      <c r="C1106" s="34"/>
      <c r="F1106" s="35"/>
      <c r="I1106" s="33"/>
      <c r="M1106" s="33"/>
      <c r="N1106" s="33"/>
    </row>
    <row r="1107" spans="2:14" ht="15.75" x14ac:dyDescent="0.25">
      <c r="B1107" s="33"/>
      <c r="C1107" s="34"/>
      <c r="F1107" s="35"/>
      <c r="I1107" s="33"/>
      <c r="M1107" s="33"/>
      <c r="N1107" s="33"/>
    </row>
    <row r="1108" spans="2:14" ht="15.75" x14ac:dyDescent="0.25">
      <c r="B1108" s="33"/>
      <c r="C1108" s="34"/>
      <c r="F1108" s="35"/>
      <c r="I1108" s="33"/>
      <c r="M1108" s="33"/>
      <c r="N1108" s="33"/>
    </row>
    <row r="1109" spans="2:14" ht="15.75" x14ac:dyDescent="0.25">
      <c r="B1109" s="33"/>
      <c r="C1109" s="34"/>
      <c r="F1109" s="35"/>
      <c r="I1109" s="33"/>
      <c r="M1109" s="33"/>
      <c r="N1109" s="33"/>
    </row>
    <row r="1110" spans="2:14" ht="15.75" x14ac:dyDescent="0.25">
      <c r="B1110" s="33"/>
      <c r="C1110" s="34"/>
      <c r="F1110" s="35"/>
      <c r="I1110" s="33"/>
      <c r="M1110" s="33"/>
      <c r="N1110" s="33"/>
    </row>
    <row r="1111" spans="2:14" ht="15.75" x14ac:dyDescent="0.25">
      <c r="B1111" s="33"/>
      <c r="C1111" s="34"/>
      <c r="F1111" s="35"/>
      <c r="I1111" s="33"/>
      <c r="M1111" s="33"/>
      <c r="N1111" s="33"/>
    </row>
    <row r="1112" spans="2:14" ht="15.75" x14ac:dyDescent="0.25">
      <c r="B1112" s="33"/>
      <c r="C1112" s="34"/>
      <c r="F1112" s="35"/>
      <c r="I1112" s="33"/>
      <c r="M1112" s="33"/>
      <c r="N1112" s="33"/>
    </row>
    <row r="1113" spans="2:14" ht="15.75" x14ac:dyDescent="0.25">
      <c r="B1113" s="33"/>
      <c r="C1113" s="34"/>
      <c r="F1113" s="35"/>
      <c r="I1113" s="33"/>
      <c r="M1113" s="33"/>
      <c r="N1113" s="33"/>
    </row>
    <row r="1114" spans="2:14" ht="15.75" x14ac:dyDescent="0.25">
      <c r="B1114" s="33"/>
      <c r="C1114" s="34"/>
      <c r="F1114" s="35"/>
      <c r="I1114" s="33"/>
      <c r="M1114" s="33"/>
      <c r="N1114" s="33"/>
    </row>
    <row r="1115" spans="2:14" ht="15.75" x14ac:dyDescent="0.25">
      <c r="B1115" s="33"/>
      <c r="C1115" s="34"/>
      <c r="F1115" s="35"/>
      <c r="I1115" s="33"/>
      <c r="M1115" s="33"/>
      <c r="N1115" s="33"/>
    </row>
    <row r="1116" spans="2:14" ht="15.75" x14ac:dyDescent="0.25">
      <c r="B1116" s="33"/>
      <c r="C1116" s="34"/>
      <c r="F1116" s="35"/>
      <c r="I1116" s="33"/>
      <c r="M1116" s="33"/>
      <c r="N1116" s="33"/>
    </row>
    <row r="1117" spans="2:14" ht="15.75" x14ac:dyDescent="0.25">
      <c r="B1117" s="33"/>
      <c r="C1117" s="34"/>
      <c r="F1117" s="35"/>
      <c r="I1117" s="33"/>
      <c r="M1117" s="33"/>
      <c r="N1117" s="33"/>
    </row>
    <row r="1118" spans="2:14" ht="15.75" x14ac:dyDescent="0.25">
      <c r="B1118" s="33"/>
      <c r="C1118" s="34"/>
      <c r="F1118" s="35"/>
      <c r="I1118" s="33"/>
      <c r="M1118" s="33"/>
      <c r="N1118" s="33"/>
    </row>
    <row r="1119" spans="2:14" ht="15.75" x14ac:dyDescent="0.25">
      <c r="B1119" s="33"/>
      <c r="C1119" s="34"/>
      <c r="F1119" s="35"/>
      <c r="I1119" s="33"/>
      <c r="M1119" s="33"/>
      <c r="N1119" s="33"/>
    </row>
    <row r="1120" spans="2:14" ht="15.75" x14ac:dyDescent="0.25">
      <c r="B1120" s="33"/>
      <c r="C1120" s="34"/>
      <c r="F1120" s="35"/>
      <c r="I1120" s="33"/>
      <c r="M1120" s="33"/>
      <c r="N1120" s="33"/>
    </row>
    <row r="1121" spans="2:14" ht="15.75" x14ac:dyDescent="0.25">
      <c r="B1121" s="33"/>
      <c r="C1121" s="34"/>
      <c r="F1121" s="35"/>
      <c r="I1121" s="33"/>
      <c r="M1121" s="33"/>
      <c r="N1121" s="33"/>
    </row>
    <row r="1122" spans="2:14" ht="15.75" x14ac:dyDescent="0.25">
      <c r="B1122" s="33"/>
      <c r="C1122" s="34"/>
      <c r="F1122" s="35"/>
      <c r="I1122" s="33"/>
      <c r="M1122" s="33"/>
      <c r="N1122" s="33"/>
    </row>
    <row r="1123" spans="2:14" ht="15.75" x14ac:dyDescent="0.25">
      <c r="B1123" s="33"/>
      <c r="C1123" s="34"/>
      <c r="F1123" s="35"/>
      <c r="I1123" s="33"/>
      <c r="M1123" s="33"/>
      <c r="N1123" s="33"/>
    </row>
    <row r="1124" spans="2:14" ht="15.75" x14ac:dyDescent="0.25">
      <c r="B1124" s="33"/>
      <c r="C1124" s="34"/>
      <c r="F1124" s="35"/>
      <c r="I1124" s="33"/>
      <c r="M1124" s="33"/>
      <c r="N1124" s="33"/>
    </row>
    <row r="1125" spans="2:14" ht="15.75" x14ac:dyDescent="0.25">
      <c r="B1125" s="33"/>
      <c r="C1125" s="34"/>
      <c r="F1125" s="35"/>
      <c r="I1125" s="33"/>
      <c r="M1125" s="33"/>
      <c r="N1125" s="33"/>
    </row>
    <row r="1126" spans="2:14" ht="15.75" x14ac:dyDescent="0.25">
      <c r="B1126" s="33"/>
      <c r="C1126" s="34"/>
      <c r="F1126" s="35"/>
      <c r="I1126" s="33"/>
      <c r="M1126" s="33"/>
      <c r="N1126" s="33"/>
    </row>
    <row r="1127" spans="2:14" ht="15.75" x14ac:dyDescent="0.25">
      <c r="B1127" s="33"/>
      <c r="C1127" s="34"/>
      <c r="F1127" s="35"/>
      <c r="I1127" s="33"/>
      <c r="M1127" s="33"/>
      <c r="N1127" s="33"/>
    </row>
    <row r="1128" spans="2:14" ht="15.75" x14ac:dyDescent="0.25">
      <c r="B1128" s="33"/>
      <c r="C1128" s="34"/>
      <c r="F1128" s="35"/>
      <c r="I1128" s="33"/>
      <c r="M1128" s="33"/>
      <c r="N1128" s="33"/>
    </row>
    <row r="1129" spans="2:14" ht="15.75" x14ac:dyDescent="0.25">
      <c r="B1129" s="33"/>
      <c r="C1129" s="34"/>
      <c r="F1129" s="35"/>
      <c r="I1129" s="33"/>
      <c r="M1129" s="33"/>
      <c r="N1129" s="33"/>
    </row>
    <row r="1130" spans="2:14" ht="15.75" x14ac:dyDescent="0.25">
      <c r="B1130" s="33"/>
      <c r="C1130" s="34"/>
      <c r="F1130" s="35"/>
      <c r="I1130" s="33"/>
      <c r="M1130" s="33"/>
      <c r="N1130" s="33"/>
    </row>
    <row r="1131" spans="2:14" ht="15.75" x14ac:dyDescent="0.25">
      <c r="B1131" s="33"/>
      <c r="C1131" s="34"/>
      <c r="F1131" s="35"/>
      <c r="I1131" s="33"/>
      <c r="M1131" s="33"/>
      <c r="N1131" s="33"/>
    </row>
    <row r="1132" spans="2:14" ht="15.75" x14ac:dyDescent="0.25">
      <c r="B1132" s="33"/>
      <c r="C1132" s="34"/>
      <c r="F1132" s="35"/>
      <c r="I1132" s="33"/>
      <c r="M1132" s="33"/>
      <c r="N1132" s="33"/>
    </row>
    <row r="1133" spans="2:14" ht="15.75" x14ac:dyDescent="0.25">
      <c r="B1133" s="33"/>
      <c r="C1133" s="34"/>
      <c r="F1133" s="35"/>
      <c r="I1133" s="33"/>
      <c r="M1133" s="33"/>
      <c r="N1133" s="33"/>
    </row>
    <row r="1134" spans="2:14" ht="15.75" x14ac:dyDescent="0.25">
      <c r="B1134" s="33"/>
      <c r="C1134" s="34"/>
      <c r="F1134" s="35"/>
      <c r="I1134" s="33"/>
      <c r="M1134" s="33"/>
      <c r="N1134" s="33"/>
    </row>
    <row r="1135" spans="2:14" ht="15.75" x14ac:dyDescent="0.25">
      <c r="B1135" s="33"/>
      <c r="C1135" s="34"/>
      <c r="F1135" s="35"/>
      <c r="I1135" s="33"/>
      <c r="M1135" s="33"/>
      <c r="N1135" s="33"/>
    </row>
    <row r="1136" spans="2:14" ht="15.75" x14ac:dyDescent="0.25">
      <c r="B1136" s="33"/>
      <c r="C1136" s="34"/>
      <c r="F1136" s="35"/>
      <c r="I1136" s="33"/>
      <c r="M1136" s="33"/>
      <c r="N1136" s="33"/>
    </row>
    <row r="1137" spans="2:14" ht="15.75" x14ac:dyDescent="0.25">
      <c r="B1137" s="33"/>
      <c r="C1137" s="34"/>
      <c r="F1137" s="35"/>
      <c r="I1137" s="33"/>
      <c r="M1137" s="33"/>
      <c r="N1137" s="33"/>
    </row>
    <row r="1138" spans="2:14" ht="15.75" x14ac:dyDescent="0.25">
      <c r="B1138" s="33"/>
      <c r="C1138" s="34"/>
      <c r="F1138" s="35"/>
      <c r="I1138" s="33"/>
      <c r="M1138" s="33"/>
      <c r="N1138" s="33"/>
    </row>
    <row r="1139" spans="2:14" ht="15.75" x14ac:dyDescent="0.25">
      <c r="B1139" s="33"/>
      <c r="C1139" s="34"/>
      <c r="F1139" s="35"/>
      <c r="I1139" s="33"/>
      <c r="M1139" s="33"/>
      <c r="N1139" s="33"/>
    </row>
    <row r="1140" spans="2:14" ht="15.75" x14ac:dyDescent="0.25">
      <c r="B1140" s="33"/>
      <c r="C1140" s="34"/>
      <c r="F1140" s="35"/>
      <c r="I1140" s="33"/>
      <c r="M1140" s="33"/>
      <c r="N1140" s="33"/>
    </row>
    <row r="1141" spans="2:14" ht="15.75" x14ac:dyDescent="0.25">
      <c r="B1141" s="33"/>
      <c r="C1141" s="34"/>
      <c r="F1141" s="35"/>
      <c r="I1141" s="33"/>
      <c r="M1141" s="33"/>
      <c r="N1141" s="33"/>
    </row>
    <row r="1142" spans="2:14" ht="15.75" x14ac:dyDescent="0.25">
      <c r="B1142" s="33"/>
      <c r="C1142" s="34"/>
      <c r="F1142" s="35"/>
      <c r="I1142" s="33"/>
      <c r="M1142" s="33"/>
      <c r="N1142" s="33"/>
    </row>
    <row r="1143" spans="2:14" ht="15.75" x14ac:dyDescent="0.25">
      <c r="B1143" s="33"/>
      <c r="C1143" s="34"/>
      <c r="F1143" s="35"/>
      <c r="I1143" s="33"/>
      <c r="M1143" s="33"/>
      <c r="N1143" s="33"/>
    </row>
    <row r="1144" spans="2:14" ht="15.75" x14ac:dyDescent="0.25">
      <c r="B1144" s="33"/>
      <c r="C1144" s="34"/>
      <c r="F1144" s="35"/>
      <c r="I1144" s="33"/>
      <c r="M1144" s="33"/>
      <c r="N1144" s="33"/>
    </row>
    <row r="1145" spans="2:14" ht="15.75" x14ac:dyDescent="0.25">
      <c r="B1145" s="33"/>
      <c r="C1145" s="34"/>
      <c r="F1145" s="35"/>
      <c r="I1145" s="33"/>
      <c r="M1145" s="33"/>
      <c r="N1145" s="33"/>
    </row>
    <row r="1146" spans="2:14" ht="15.75" x14ac:dyDescent="0.25">
      <c r="B1146" s="33"/>
      <c r="C1146" s="34"/>
      <c r="F1146" s="35"/>
      <c r="I1146" s="33"/>
      <c r="M1146" s="33"/>
      <c r="N1146" s="33"/>
    </row>
    <row r="1147" spans="2:14" ht="15.75" x14ac:dyDescent="0.25">
      <c r="B1147" s="33"/>
      <c r="C1147" s="34"/>
      <c r="F1147" s="35"/>
      <c r="I1147" s="33"/>
      <c r="M1147" s="33"/>
      <c r="N1147" s="33"/>
    </row>
    <row r="1148" spans="2:14" ht="15.75" x14ac:dyDescent="0.25">
      <c r="B1148" s="33"/>
      <c r="C1148" s="34"/>
      <c r="F1148" s="35"/>
      <c r="I1148" s="33"/>
      <c r="M1148" s="33"/>
      <c r="N1148" s="33"/>
    </row>
    <row r="1149" spans="2:14" ht="15.75" x14ac:dyDescent="0.25">
      <c r="B1149" s="33"/>
      <c r="C1149" s="34"/>
      <c r="F1149" s="35"/>
      <c r="I1149" s="33"/>
      <c r="M1149" s="33"/>
      <c r="N1149" s="33"/>
    </row>
    <row r="1150" spans="2:14" ht="15.75" x14ac:dyDescent="0.25">
      <c r="B1150" s="33"/>
      <c r="C1150" s="34"/>
      <c r="F1150" s="35"/>
      <c r="I1150" s="33"/>
      <c r="M1150" s="33"/>
      <c r="N1150" s="33"/>
    </row>
    <row r="1151" spans="2:14" ht="15.75" x14ac:dyDescent="0.25">
      <c r="B1151" s="33"/>
      <c r="C1151" s="34"/>
      <c r="F1151" s="35"/>
      <c r="I1151" s="33"/>
      <c r="M1151" s="33"/>
      <c r="N1151" s="33"/>
    </row>
    <row r="1152" spans="2:14" ht="15.75" x14ac:dyDescent="0.25">
      <c r="B1152" s="33"/>
      <c r="C1152" s="34"/>
      <c r="F1152" s="35"/>
      <c r="I1152" s="33"/>
      <c r="M1152" s="33"/>
      <c r="N1152" s="33"/>
    </row>
    <row r="1153" spans="2:14" ht="15.75" x14ac:dyDescent="0.25">
      <c r="B1153" s="33"/>
      <c r="C1153" s="34"/>
      <c r="F1153" s="35"/>
      <c r="I1153" s="33"/>
      <c r="M1153" s="33"/>
      <c r="N1153" s="33"/>
    </row>
    <row r="1154" spans="2:14" ht="15.75" x14ac:dyDescent="0.25">
      <c r="B1154" s="33"/>
      <c r="C1154" s="34"/>
      <c r="F1154" s="35"/>
      <c r="I1154" s="33"/>
      <c r="M1154" s="33"/>
      <c r="N1154" s="33"/>
    </row>
    <row r="1155" spans="2:14" ht="15.75" x14ac:dyDescent="0.25">
      <c r="B1155" s="33"/>
      <c r="C1155" s="34"/>
      <c r="F1155" s="35"/>
      <c r="I1155" s="33"/>
      <c r="M1155" s="33"/>
      <c r="N1155" s="33"/>
    </row>
    <row r="1156" spans="2:14" ht="15.75" x14ac:dyDescent="0.25">
      <c r="B1156" s="33"/>
      <c r="C1156" s="34"/>
      <c r="F1156" s="35"/>
      <c r="I1156" s="33"/>
      <c r="M1156" s="33"/>
      <c r="N1156" s="33"/>
    </row>
    <row r="1157" spans="2:14" ht="15.75" x14ac:dyDescent="0.25">
      <c r="B1157" s="33"/>
      <c r="C1157" s="34"/>
      <c r="F1157" s="35"/>
      <c r="I1157" s="33"/>
      <c r="M1157" s="33"/>
      <c r="N1157" s="33"/>
    </row>
    <row r="1158" spans="2:14" ht="15.75" x14ac:dyDescent="0.25">
      <c r="B1158" s="33"/>
      <c r="C1158" s="34"/>
      <c r="F1158" s="35"/>
      <c r="I1158" s="33"/>
      <c r="M1158" s="33"/>
      <c r="N1158" s="33"/>
    </row>
    <row r="1159" spans="2:14" ht="15.75" x14ac:dyDescent="0.25">
      <c r="B1159" s="33"/>
      <c r="C1159" s="34"/>
      <c r="F1159" s="35"/>
      <c r="I1159" s="33"/>
      <c r="M1159" s="33"/>
      <c r="N1159" s="33"/>
    </row>
    <row r="1160" spans="2:14" ht="15.75" x14ac:dyDescent="0.25">
      <c r="B1160" s="33"/>
      <c r="C1160" s="34"/>
      <c r="F1160" s="35"/>
      <c r="I1160" s="33"/>
      <c r="M1160" s="33"/>
      <c r="N1160" s="33"/>
    </row>
    <row r="1161" spans="2:14" ht="15.75" x14ac:dyDescent="0.25">
      <c r="B1161" s="33"/>
      <c r="C1161" s="34"/>
      <c r="F1161" s="35"/>
      <c r="I1161" s="33"/>
      <c r="M1161" s="33"/>
      <c r="N1161" s="33"/>
    </row>
    <row r="1162" spans="2:14" ht="15.75" x14ac:dyDescent="0.25">
      <c r="B1162" s="33"/>
      <c r="C1162" s="34"/>
      <c r="F1162" s="35"/>
      <c r="I1162" s="33"/>
      <c r="M1162" s="33"/>
      <c r="N1162" s="33"/>
    </row>
    <row r="1163" spans="2:14" ht="15.75" x14ac:dyDescent="0.25">
      <c r="B1163" s="33"/>
      <c r="C1163" s="34"/>
      <c r="F1163" s="35"/>
      <c r="I1163" s="33"/>
      <c r="M1163" s="33"/>
      <c r="N1163" s="33"/>
    </row>
    <row r="1164" spans="2:14" ht="15.75" x14ac:dyDescent="0.25">
      <c r="B1164" s="33"/>
      <c r="C1164" s="34"/>
      <c r="F1164" s="35"/>
      <c r="I1164" s="33"/>
      <c r="M1164" s="33"/>
      <c r="N1164" s="33"/>
    </row>
    <row r="1165" spans="2:14" ht="15.75" x14ac:dyDescent="0.25">
      <c r="B1165" s="33"/>
      <c r="C1165" s="34"/>
      <c r="F1165" s="35"/>
      <c r="I1165" s="33"/>
      <c r="M1165" s="33"/>
      <c r="N1165" s="33"/>
    </row>
    <row r="1166" spans="2:14" ht="15.75" x14ac:dyDescent="0.25">
      <c r="B1166" s="33"/>
      <c r="C1166" s="34"/>
      <c r="F1166" s="35"/>
      <c r="I1166" s="33"/>
      <c r="M1166" s="33"/>
      <c r="N1166" s="33"/>
    </row>
    <row r="1167" spans="2:14" ht="15.75" x14ac:dyDescent="0.25">
      <c r="B1167" s="33"/>
      <c r="C1167" s="34"/>
      <c r="F1167" s="35"/>
      <c r="I1167" s="33"/>
      <c r="M1167" s="33"/>
      <c r="N1167" s="33"/>
    </row>
    <row r="1168" spans="2:14" ht="15.75" x14ac:dyDescent="0.25">
      <c r="B1168" s="33"/>
      <c r="C1168" s="34"/>
      <c r="F1168" s="35"/>
      <c r="I1168" s="33"/>
      <c r="M1168" s="33"/>
      <c r="N1168" s="33"/>
    </row>
    <row r="1169" spans="2:14" ht="15.75" x14ac:dyDescent="0.25">
      <c r="B1169" s="33"/>
      <c r="C1169" s="34"/>
      <c r="F1169" s="35"/>
      <c r="I1169" s="33"/>
      <c r="M1169" s="33"/>
      <c r="N1169" s="33"/>
    </row>
    <row r="1170" spans="2:14" ht="15.75" x14ac:dyDescent="0.25">
      <c r="B1170" s="33"/>
      <c r="C1170" s="34"/>
      <c r="F1170" s="35"/>
      <c r="I1170" s="33"/>
      <c r="M1170" s="33"/>
      <c r="N1170" s="33"/>
    </row>
    <row r="1171" spans="2:14" ht="15.75" x14ac:dyDescent="0.25">
      <c r="B1171" s="33"/>
      <c r="C1171" s="34"/>
      <c r="F1171" s="35"/>
      <c r="I1171" s="33"/>
      <c r="M1171" s="33"/>
      <c r="N1171" s="33"/>
    </row>
    <row r="1172" spans="2:14" ht="15.75" x14ac:dyDescent="0.25">
      <c r="B1172" s="33"/>
      <c r="C1172" s="34"/>
      <c r="F1172" s="35"/>
      <c r="I1172" s="33"/>
      <c r="M1172" s="33"/>
      <c r="N1172" s="33"/>
    </row>
    <row r="1173" spans="2:14" ht="15.75" x14ac:dyDescent="0.25">
      <c r="B1173" s="33"/>
      <c r="C1173" s="34"/>
      <c r="F1173" s="35"/>
      <c r="I1173" s="33"/>
      <c r="M1173" s="33"/>
      <c r="N1173" s="33"/>
    </row>
    <row r="1174" spans="2:14" ht="15.75" x14ac:dyDescent="0.25">
      <c r="B1174" s="33"/>
      <c r="C1174" s="34"/>
      <c r="F1174" s="35"/>
      <c r="I1174" s="33"/>
      <c r="M1174" s="33"/>
      <c r="N1174" s="33"/>
    </row>
    <row r="1175" spans="2:14" ht="15.75" x14ac:dyDescent="0.25">
      <c r="B1175" s="33"/>
      <c r="C1175" s="34"/>
      <c r="F1175" s="35"/>
      <c r="I1175" s="33"/>
      <c r="M1175" s="33"/>
      <c r="N1175" s="33"/>
    </row>
    <row r="1176" spans="2:14" ht="15.75" x14ac:dyDescent="0.25">
      <c r="B1176" s="33"/>
      <c r="C1176" s="34"/>
      <c r="F1176" s="35"/>
      <c r="I1176" s="33"/>
      <c r="M1176" s="33"/>
      <c r="N1176" s="33"/>
    </row>
    <row r="1177" spans="2:14" ht="15.75" x14ac:dyDescent="0.25">
      <c r="B1177" s="33"/>
      <c r="C1177" s="34"/>
      <c r="F1177" s="35"/>
      <c r="I1177" s="33"/>
      <c r="M1177" s="33"/>
      <c r="N1177" s="33"/>
    </row>
    <row r="1178" spans="2:14" ht="15.75" x14ac:dyDescent="0.25">
      <c r="B1178" s="33"/>
      <c r="C1178" s="34"/>
      <c r="F1178" s="35"/>
      <c r="I1178" s="33"/>
      <c r="M1178" s="33"/>
      <c r="N1178" s="33"/>
    </row>
    <row r="1179" spans="2:14" ht="15.75" x14ac:dyDescent="0.25">
      <c r="B1179" s="33"/>
      <c r="C1179" s="34"/>
      <c r="F1179" s="35"/>
      <c r="I1179" s="33"/>
      <c r="M1179" s="33"/>
      <c r="N1179" s="33"/>
    </row>
    <row r="1180" spans="2:14" ht="15.75" x14ac:dyDescent="0.25">
      <c r="B1180" s="33"/>
      <c r="C1180" s="34"/>
      <c r="F1180" s="35"/>
      <c r="I1180" s="33"/>
      <c r="M1180" s="33"/>
      <c r="N1180" s="33"/>
    </row>
    <row r="1181" spans="2:14" ht="15.75" x14ac:dyDescent="0.25">
      <c r="B1181" s="33"/>
      <c r="C1181" s="34"/>
      <c r="F1181" s="35"/>
      <c r="I1181" s="33"/>
      <c r="M1181" s="33"/>
      <c r="N1181" s="33"/>
    </row>
    <row r="1182" spans="2:14" ht="15.75" x14ac:dyDescent="0.25">
      <c r="B1182" s="33"/>
      <c r="C1182" s="34"/>
      <c r="F1182" s="35"/>
      <c r="I1182" s="33"/>
      <c r="M1182" s="33"/>
      <c r="N1182" s="33"/>
    </row>
    <row r="1183" spans="2:14" ht="15.75" x14ac:dyDescent="0.25">
      <c r="B1183" s="33"/>
      <c r="C1183" s="34"/>
      <c r="F1183" s="35"/>
      <c r="I1183" s="33"/>
      <c r="M1183" s="33"/>
      <c r="N1183" s="33"/>
    </row>
    <row r="1184" spans="2:14" ht="15.75" x14ac:dyDescent="0.25">
      <c r="B1184" s="33"/>
      <c r="C1184" s="34"/>
      <c r="F1184" s="35"/>
      <c r="I1184" s="33"/>
      <c r="M1184" s="33"/>
      <c r="N1184" s="33"/>
    </row>
    <row r="1185" spans="2:14" ht="15.75" x14ac:dyDescent="0.25">
      <c r="B1185" s="33"/>
      <c r="C1185" s="34"/>
      <c r="F1185" s="35"/>
      <c r="I1185" s="33"/>
      <c r="M1185" s="33"/>
      <c r="N1185" s="33"/>
    </row>
    <row r="1186" spans="2:14" ht="15.75" x14ac:dyDescent="0.25">
      <c r="B1186" s="33"/>
      <c r="C1186" s="34"/>
      <c r="F1186" s="35"/>
      <c r="I1186" s="33"/>
      <c r="M1186" s="33"/>
      <c r="N1186" s="33"/>
    </row>
    <row r="1187" spans="2:14" ht="15.75" x14ac:dyDescent="0.25">
      <c r="B1187" s="33"/>
      <c r="C1187" s="34"/>
      <c r="F1187" s="35"/>
      <c r="I1187" s="33"/>
      <c r="M1187" s="33"/>
      <c r="N1187" s="33"/>
    </row>
    <row r="1188" spans="2:14" ht="15.75" x14ac:dyDescent="0.25">
      <c r="B1188" s="33"/>
      <c r="C1188" s="34"/>
      <c r="F1188" s="35"/>
      <c r="I1188" s="33"/>
      <c r="M1188" s="33"/>
      <c r="N1188" s="33"/>
    </row>
    <row r="1189" spans="2:14" ht="15.75" x14ac:dyDescent="0.25">
      <c r="B1189" s="33"/>
      <c r="C1189" s="34"/>
      <c r="F1189" s="35"/>
      <c r="I1189" s="33"/>
      <c r="M1189" s="33"/>
      <c r="N1189" s="33"/>
    </row>
    <row r="1190" spans="2:14" ht="15.75" x14ac:dyDescent="0.25">
      <c r="B1190" s="33"/>
      <c r="C1190" s="34"/>
      <c r="F1190" s="35"/>
      <c r="I1190" s="33"/>
      <c r="M1190" s="33"/>
      <c r="N1190" s="33"/>
    </row>
    <row r="1191" spans="2:14" ht="15.75" x14ac:dyDescent="0.25">
      <c r="B1191" s="33"/>
      <c r="C1191" s="34"/>
      <c r="F1191" s="35"/>
      <c r="I1191" s="33"/>
      <c r="M1191" s="33"/>
      <c r="N1191" s="33"/>
    </row>
    <row r="1192" spans="2:14" ht="15.75" x14ac:dyDescent="0.25">
      <c r="B1192" s="33"/>
      <c r="C1192" s="34"/>
      <c r="F1192" s="35"/>
      <c r="I1192" s="33"/>
      <c r="M1192" s="33"/>
      <c r="N1192" s="33"/>
    </row>
    <row r="1193" spans="2:14" ht="15.75" x14ac:dyDescent="0.25">
      <c r="B1193" s="33"/>
      <c r="C1193" s="34"/>
      <c r="F1193" s="35"/>
      <c r="I1193" s="33"/>
      <c r="M1193" s="33"/>
      <c r="N1193" s="33"/>
    </row>
    <row r="1194" spans="2:14" ht="15.75" x14ac:dyDescent="0.25">
      <c r="B1194" s="33"/>
      <c r="C1194" s="34"/>
      <c r="F1194" s="35"/>
      <c r="I1194" s="33"/>
      <c r="M1194" s="33"/>
      <c r="N1194" s="33"/>
    </row>
    <row r="1195" spans="2:14" ht="15.75" x14ac:dyDescent="0.25">
      <c r="B1195" s="33"/>
      <c r="C1195" s="34"/>
      <c r="F1195" s="35"/>
      <c r="I1195" s="33"/>
      <c r="M1195" s="33"/>
      <c r="N1195" s="33"/>
    </row>
    <row r="1196" spans="2:14" ht="15.75" x14ac:dyDescent="0.25">
      <c r="B1196" s="33"/>
      <c r="C1196" s="34"/>
      <c r="F1196" s="35"/>
      <c r="I1196" s="33"/>
      <c r="M1196" s="33"/>
      <c r="N1196" s="33"/>
    </row>
    <row r="1197" spans="2:14" ht="15.75" x14ac:dyDescent="0.25">
      <c r="B1197" s="33"/>
      <c r="C1197" s="34"/>
      <c r="F1197" s="35"/>
      <c r="I1197" s="33"/>
      <c r="M1197" s="33"/>
      <c r="N1197" s="33"/>
    </row>
    <row r="1198" spans="2:14" ht="15.75" x14ac:dyDescent="0.25">
      <c r="B1198" s="33"/>
      <c r="C1198" s="34"/>
      <c r="F1198" s="35"/>
      <c r="I1198" s="33"/>
      <c r="M1198" s="33"/>
      <c r="N1198" s="33"/>
    </row>
    <row r="1199" spans="2:14" ht="15.75" x14ac:dyDescent="0.25">
      <c r="B1199" s="33"/>
      <c r="C1199" s="34"/>
      <c r="F1199" s="35"/>
      <c r="I1199" s="33"/>
      <c r="M1199" s="33"/>
      <c r="N1199" s="33"/>
    </row>
    <row r="1200" spans="2:14" ht="15.75" x14ac:dyDescent="0.25">
      <c r="B1200" s="33"/>
      <c r="C1200" s="34"/>
      <c r="F1200" s="35"/>
      <c r="I1200" s="33"/>
      <c r="M1200" s="33"/>
      <c r="N1200" s="33"/>
    </row>
    <row r="1201" spans="2:14" ht="15.75" x14ac:dyDescent="0.25">
      <c r="B1201" s="33"/>
      <c r="C1201" s="34"/>
      <c r="F1201" s="35"/>
      <c r="I1201" s="33"/>
      <c r="M1201" s="33"/>
      <c r="N1201" s="33"/>
    </row>
    <row r="1202" spans="2:14" ht="15.75" x14ac:dyDescent="0.25">
      <c r="B1202" s="33"/>
      <c r="C1202" s="34"/>
      <c r="F1202" s="35"/>
      <c r="I1202" s="33"/>
      <c r="M1202" s="33"/>
      <c r="N1202" s="33"/>
    </row>
    <row r="1203" spans="2:14" ht="15.75" x14ac:dyDescent="0.25">
      <c r="B1203" s="33"/>
      <c r="C1203" s="34"/>
      <c r="F1203" s="35"/>
      <c r="I1203" s="33"/>
      <c r="M1203" s="33"/>
      <c r="N1203" s="33"/>
    </row>
    <row r="1204" spans="2:14" ht="15.75" x14ac:dyDescent="0.25">
      <c r="B1204" s="33"/>
      <c r="C1204" s="34"/>
      <c r="F1204" s="35"/>
      <c r="I1204" s="33"/>
      <c r="M1204" s="33"/>
      <c r="N1204" s="33"/>
    </row>
    <row r="1205" spans="2:14" ht="15.75" x14ac:dyDescent="0.25">
      <c r="B1205" s="33"/>
      <c r="C1205" s="34"/>
      <c r="F1205" s="35"/>
      <c r="I1205" s="33"/>
      <c r="M1205" s="33"/>
      <c r="N1205" s="33"/>
    </row>
    <row r="1206" spans="2:14" ht="15.75" x14ac:dyDescent="0.25">
      <c r="B1206" s="33"/>
      <c r="C1206" s="34"/>
      <c r="F1206" s="35"/>
      <c r="I1206" s="33"/>
      <c r="M1206" s="33"/>
      <c r="N1206" s="33"/>
    </row>
    <row r="1207" spans="2:14" ht="15.75" x14ac:dyDescent="0.25">
      <c r="B1207" s="33"/>
      <c r="C1207" s="34"/>
      <c r="F1207" s="35"/>
      <c r="I1207" s="33"/>
      <c r="M1207" s="33"/>
      <c r="N1207" s="33"/>
    </row>
    <row r="1208" spans="2:14" ht="15.75" x14ac:dyDescent="0.25">
      <c r="B1208" s="33"/>
      <c r="C1208" s="34"/>
      <c r="F1208" s="35"/>
      <c r="I1208" s="33"/>
      <c r="M1208" s="33"/>
      <c r="N1208" s="33"/>
    </row>
    <row r="1209" spans="2:14" ht="15.75" x14ac:dyDescent="0.25">
      <c r="B1209" s="33"/>
      <c r="C1209" s="34"/>
      <c r="F1209" s="35"/>
      <c r="I1209" s="33"/>
      <c r="M1209" s="33"/>
      <c r="N1209" s="33"/>
    </row>
    <row r="1210" spans="2:14" ht="15.75" x14ac:dyDescent="0.25">
      <c r="B1210" s="33"/>
      <c r="C1210" s="34"/>
      <c r="F1210" s="35"/>
      <c r="I1210" s="33"/>
      <c r="M1210" s="33"/>
      <c r="N1210" s="33"/>
    </row>
    <row r="1211" spans="2:14" ht="15.75" x14ac:dyDescent="0.25">
      <c r="B1211" s="33"/>
      <c r="C1211" s="34"/>
      <c r="F1211" s="35"/>
      <c r="I1211" s="33"/>
      <c r="M1211" s="33"/>
      <c r="N1211" s="33"/>
    </row>
    <row r="1212" spans="2:14" ht="15.75" x14ac:dyDescent="0.25">
      <c r="B1212" s="33"/>
      <c r="C1212" s="34"/>
      <c r="F1212" s="35"/>
      <c r="I1212" s="33"/>
      <c r="M1212" s="33"/>
      <c r="N1212" s="33"/>
    </row>
    <row r="1213" spans="2:14" ht="15.75" x14ac:dyDescent="0.25">
      <c r="B1213" s="33"/>
      <c r="C1213" s="34"/>
      <c r="F1213" s="35"/>
      <c r="I1213" s="33"/>
      <c r="M1213" s="33"/>
      <c r="N1213" s="33"/>
    </row>
    <row r="1214" spans="2:14" ht="15.75" x14ac:dyDescent="0.25">
      <c r="B1214" s="33"/>
      <c r="C1214" s="34"/>
      <c r="F1214" s="35"/>
      <c r="I1214" s="33"/>
      <c r="M1214" s="33"/>
      <c r="N1214" s="33"/>
    </row>
    <row r="1215" spans="2:14" ht="15.75" x14ac:dyDescent="0.25">
      <c r="B1215" s="33"/>
      <c r="C1215" s="34"/>
      <c r="F1215" s="35"/>
      <c r="I1215" s="33"/>
      <c r="M1215" s="33"/>
      <c r="N1215" s="33"/>
    </row>
    <row r="1216" spans="2:14" ht="15.75" x14ac:dyDescent="0.25">
      <c r="B1216" s="33"/>
      <c r="C1216" s="34"/>
      <c r="F1216" s="35"/>
      <c r="I1216" s="33"/>
      <c r="M1216" s="33"/>
      <c r="N1216" s="33"/>
    </row>
    <row r="1217" spans="2:14" ht="15.75" x14ac:dyDescent="0.25">
      <c r="B1217" s="33"/>
      <c r="C1217" s="34"/>
      <c r="F1217" s="35"/>
      <c r="I1217" s="33"/>
      <c r="M1217" s="33"/>
      <c r="N1217" s="33"/>
    </row>
    <row r="1218" spans="2:14" ht="15.75" x14ac:dyDescent="0.25">
      <c r="B1218" s="33"/>
      <c r="C1218" s="34"/>
      <c r="F1218" s="35"/>
      <c r="I1218" s="33"/>
      <c r="M1218" s="33"/>
      <c r="N1218" s="33"/>
    </row>
    <row r="1219" spans="2:14" ht="15.75" x14ac:dyDescent="0.25">
      <c r="B1219" s="33"/>
      <c r="C1219" s="34"/>
      <c r="F1219" s="35"/>
      <c r="I1219" s="33"/>
      <c r="M1219" s="33"/>
      <c r="N1219" s="33"/>
    </row>
    <row r="1220" spans="2:14" ht="15.75" x14ac:dyDescent="0.25">
      <c r="B1220" s="33"/>
      <c r="C1220" s="34"/>
      <c r="F1220" s="35"/>
      <c r="I1220" s="33"/>
      <c r="M1220" s="33"/>
      <c r="N1220" s="33"/>
    </row>
    <row r="1221" spans="2:14" ht="15.75" x14ac:dyDescent="0.25">
      <c r="B1221" s="33"/>
      <c r="C1221" s="34"/>
      <c r="F1221" s="35"/>
      <c r="I1221" s="33"/>
      <c r="M1221" s="33"/>
      <c r="N1221" s="33"/>
    </row>
    <row r="1222" spans="2:14" ht="15.75" x14ac:dyDescent="0.25">
      <c r="B1222" s="33"/>
      <c r="C1222" s="34"/>
      <c r="F1222" s="35"/>
      <c r="I1222" s="33"/>
      <c r="M1222" s="33"/>
      <c r="N1222" s="33"/>
    </row>
    <row r="1223" spans="2:14" ht="15.75" x14ac:dyDescent="0.25">
      <c r="B1223" s="33"/>
      <c r="C1223" s="34"/>
      <c r="F1223" s="35"/>
      <c r="I1223" s="33"/>
      <c r="M1223" s="33"/>
      <c r="N1223" s="33"/>
    </row>
    <row r="1224" spans="2:14" ht="15.75" x14ac:dyDescent="0.25">
      <c r="B1224" s="33"/>
      <c r="C1224" s="34"/>
      <c r="F1224" s="35"/>
      <c r="I1224" s="33"/>
      <c r="M1224" s="33"/>
      <c r="N1224" s="33"/>
    </row>
    <row r="1225" spans="2:14" ht="15.75" x14ac:dyDescent="0.25">
      <c r="B1225" s="33"/>
      <c r="C1225" s="34"/>
      <c r="F1225" s="35"/>
      <c r="I1225" s="33"/>
      <c r="M1225" s="33"/>
      <c r="N1225" s="33"/>
    </row>
    <row r="1226" spans="2:14" ht="15.75" x14ac:dyDescent="0.25">
      <c r="B1226" s="33"/>
      <c r="C1226" s="34"/>
      <c r="F1226" s="35"/>
      <c r="I1226" s="33"/>
      <c r="M1226" s="33"/>
      <c r="N1226" s="33"/>
    </row>
    <row r="1227" spans="2:14" ht="15.75" x14ac:dyDescent="0.25">
      <c r="B1227" s="33"/>
      <c r="C1227" s="34"/>
      <c r="F1227" s="35"/>
      <c r="I1227" s="33"/>
      <c r="M1227" s="33"/>
      <c r="N1227" s="33"/>
    </row>
    <row r="1228" spans="2:14" ht="15.75" x14ac:dyDescent="0.25">
      <c r="B1228" s="33"/>
      <c r="C1228" s="34"/>
      <c r="F1228" s="35"/>
      <c r="I1228" s="33"/>
      <c r="M1228" s="33"/>
      <c r="N1228" s="33"/>
    </row>
    <row r="1229" spans="2:14" ht="15.75" x14ac:dyDescent="0.25">
      <c r="B1229" s="33"/>
      <c r="C1229" s="34"/>
      <c r="F1229" s="35"/>
      <c r="I1229" s="33"/>
      <c r="M1229" s="33"/>
      <c r="N1229" s="33"/>
    </row>
    <row r="1230" spans="2:14" ht="15.75" x14ac:dyDescent="0.25">
      <c r="B1230" s="33"/>
      <c r="C1230" s="34"/>
      <c r="F1230" s="35"/>
      <c r="I1230" s="33"/>
      <c r="M1230" s="33"/>
      <c r="N1230" s="33"/>
    </row>
    <row r="1231" spans="2:14" ht="15.75" x14ac:dyDescent="0.25">
      <c r="B1231" s="33"/>
      <c r="C1231" s="34"/>
      <c r="F1231" s="35"/>
      <c r="I1231" s="33"/>
      <c r="M1231" s="33"/>
      <c r="N1231" s="33"/>
    </row>
    <row r="1232" spans="2:14" ht="15.75" x14ac:dyDescent="0.25">
      <c r="B1232" s="33"/>
      <c r="C1232" s="34"/>
      <c r="F1232" s="35"/>
      <c r="I1232" s="33"/>
      <c r="M1232" s="33"/>
      <c r="N1232" s="33"/>
    </row>
    <row r="1233" spans="2:14" ht="15.75" x14ac:dyDescent="0.25">
      <c r="B1233" s="33"/>
      <c r="C1233" s="34"/>
      <c r="F1233" s="35"/>
      <c r="I1233" s="33"/>
      <c r="M1233" s="33"/>
      <c r="N1233" s="33"/>
    </row>
    <row r="1234" spans="2:14" ht="15.75" x14ac:dyDescent="0.25">
      <c r="B1234" s="33"/>
      <c r="C1234" s="34"/>
      <c r="F1234" s="35"/>
      <c r="I1234" s="33"/>
      <c r="M1234" s="33"/>
      <c r="N1234" s="33"/>
    </row>
    <row r="1235" spans="2:14" ht="15.75" x14ac:dyDescent="0.25">
      <c r="B1235" s="33"/>
      <c r="C1235" s="34"/>
      <c r="F1235" s="35"/>
      <c r="I1235" s="33"/>
      <c r="M1235" s="33"/>
      <c r="N1235" s="33"/>
    </row>
    <row r="1236" spans="2:14" ht="15.75" x14ac:dyDescent="0.25">
      <c r="B1236" s="33"/>
      <c r="C1236" s="34"/>
      <c r="F1236" s="35"/>
      <c r="I1236" s="33"/>
      <c r="M1236" s="33"/>
      <c r="N1236" s="33"/>
    </row>
    <row r="1237" spans="2:14" ht="15.75" x14ac:dyDescent="0.25">
      <c r="B1237" s="33"/>
      <c r="C1237" s="34"/>
      <c r="F1237" s="35"/>
      <c r="I1237" s="33"/>
      <c r="M1237" s="33"/>
      <c r="N1237" s="33"/>
    </row>
    <row r="1238" spans="2:14" ht="15.75" x14ac:dyDescent="0.25">
      <c r="B1238" s="33"/>
      <c r="C1238" s="34"/>
      <c r="F1238" s="35"/>
      <c r="I1238" s="33"/>
      <c r="M1238" s="33"/>
      <c r="N1238" s="33"/>
    </row>
    <row r="1239" spans="2:14" ht="15.75" x14ac:dyDescent="0.25">
      <c r="B1239" s="33"/>
      <c r="C1239" s="34"/>
      <c r="F1239" s="35"/>
      <c r="I1239" s="33"/>
      <c r="M1239" s="33"/>
      <c r="N1239" s="33"/>
    </row>
    <row r="1240" spans="2:14" ht="15.75" x14ac:dyDescent="0.25">
      <c r="B1240" s="33"/>
      <c r="C1240" s="34"/>
      <c r="F1240" s="35"/>
      <c r="I1240" s="33"/>
      <c r="M1240" s="33"/>
      <c r="N1240" s="33"/>
    </row>
    <row r="1241" spans="2:14" ht="15.75" x14ac:dyDescent="0.25">
      <c r="B1241" s="33"/>
      <c r="C1241" s="34"/>
      <c r="F1241" s="35"/>
      <c r="I1241" s="33"/>
      <c r="M1241" s="33"/>
      <c r="N1241" s="33"/>
    </row>
    <row r="1242" spans="2:14" ht="15.75" x14ac:dyDescent="0.25">
      <c r="B1242" s="33"/>
      <c r="C1242" s="34"/>
      <c r="F1242" s="35"/>
      <c r="I1242" s="33"/>
      <c r="M1242" s="33"/>
      <c r="N1242" s="33"/>
    </row>
    <row r="1243" spans="2:14" ht="15.75" x14ac:dyDescent="0.25">
      <c r="B1243" s="33"/>
      <c r="C1243" s="34"/>
      <c r="F1243" s="35"/>
      <c r="I1243" s="33"/>
      <c r="M1243" s="33"/>
      <c r="N1243" s="33"/>
    </row>
    <row r="1244" spans="2:14" ht="15.75" x14ac:dyDescent="0.25">
      <c r="B1244" s="33"/>
      <c r="C1244" s="34"/>
      <c r="F1244" s="35"/>
      <c r="I1244" s="33"/>
      <c r="M1244" s="33"/>
      <c r="N1244" s="33"/>
    </row>
    <row r="1245" spans="2:14" ht="15.75" x14ac:dyDescent="0.25">
      <c r="B1245" s="33"/>
      <c r="C1245" s="34"/>
      <c r="F1245" s="35"/>
      <c r="I1245" s="33"/>
      <c r="M1245" s="33"/>
      <c r="N1245" s="33"/>
    </row>
    <row r="1246" spans="2:14" ht="15.75" x14ac:dyDescent="0.25">
      <c r="B1246" s="33"/>
      <c r="C1246" s="34"/>
      <c r="F1246" s="35"/>
      <c r="I1246" s="33"/>
      <c r="M1246" s="33"/>
      <c r="N1246" s="33"/>
    </row>
    <row r="1247" spans="2:14" ht="15.75" x14ac:dyDescent="0.25">
      <c r="B1247" s="33"/>
      <c r="C1247" s="34"/>
      <c r="F1247" s="35"/>
      <c r="I1247" s="33"/>
      <c r="M1247" s="33"/>
      <c r="N1247" s="33"/>
    </row>
    <row r="1248" spans="2:14" ht="15.75" x14ac:dyDescent="0.25">
      <c r="B1248" s="33"/>
      <c r="C1248" s="34"/>
      <c r="F1248" s="35"/>
      <c r="I1248" s="33"/>
      <c r="M1248" s="33"/>
      <c r="N1248" s="33"/>
    </row>
    <row r="1249" spans="2:14" ht="15.75" x14ac:dyDescent="0.25">
      <c r="B1249" s="33"/>
      <c r="C1249" s="34"/>
      <c r="F1249" s="35"/>
      <c r="I1249" s="33"/>
      <c r="M1249" s="33"/>
      <c r="N1249" s="33"/>
    </row>
    <row r="1250" spans="2:14" ht="15.75" x14ac:dyDescent="0.25">
      <c r="B1250" s="33"/>
      <c r="C1250" s="34"/>
      <c r="F1250" s="35"/>
      <c r="I1250" s="33"/>
      <c r="M1250" s="33"/>
      <c r="N1250" s="33"/>
    </row>
    <row r="1251" spans="2:14" ht="15.75" x14ac:dyDescent="0.25">
      <c r="B1251" s="33"/>
      <c r="C1251" s="34"/>
      <c r="F1251" s="35"/>
      <c r="I1251" s="33"/>
      <c r="M1251" s="33"/>
      <c r="N1251" s="33"/>
    </row>
    <row r="1252" spans="2:14" ht="15.75" x14ac:dyDescent="0.25">
      <c r="B1252" s="33"/>
      <c r="C1252" s="34"/>
      <c r="F1252" s="35"/>
      <c r="I1252" s="33"/>
      <c r="M1252" s="33"/>
      <c r="N1252" s="33"/>
    </row>
    <row r="1253" spans="2:14" ht="15.75" x14ac:dyDescent="0.25">
      <c r="B1253" s="33"/>
      <c r="C1253" s="34"/>
      <c r="F1253" s="35"/>
      <c r="I1253" s="33"/>
      <c r="M1253" s="33"/>
      <c r="N1253" s="33"/>
    </row>
    <row r="1254" spans="2:14" ht="15.75" x14ac:dyDescent="0.25">
      <c r="B1254" s="33"/>
      <c r="C1254" s="34"/>
      <c r="F1254" s="35"/>
      <c r="I1254" s="33"/>
      <c r="M1254" s="33"/>
      <c r="N1254" s="33"/>
    </row>
    <row r="1255" spans="2:14" ht="15.75" x14ac:dyDescent="0.25">
      <c r="B1255" s="33"/>
      <c r="C1255" s="34"/>
      <c r="F1255" s="35"/>
      <c r="I1255" s="33"/>
      <c r="M1255" s="33"/>
      <c r="N1255" s="33"/>
    </row>
    <row r="1256" spans="2:14" ht="15.75" x14ac:dyDescent="0.25">
      <c r="B1256" s="33"/>
      <c r="C1256" s="34"/>
      <c r="F1256" s="35"/>
      <c r="I1256" s="33"/>
      <c r="M1256" s="33"/>
      <c r="N1256" s="33"/>
    </row>
    <row r="1257" spans="2:14" ht="15.75" x14ac:dyDescent="0.25">
      <c r="B1257" s="33"/>
      <c r="C1257" s="34"/>
      <c r="F1257" s="35"/>
      <c r="I1257" s="33"/>
      <c r="M1257" s="33"/>
      <c r="N1257" s="33"/>
    </row>
    <row r="1258" spans="2:14" ht="15.75" x14ac:dyDescent="0.25">
      <c r="B1258" s="33"/>
      <c r="C1258" s="34"/>
      <c r="F1258" s="35"/>
      <c r="I1258" s="33"/>
      <c r="M1258" s="33"/>
      <c r="N1258" s="33"/>
    </row>
    <row r="1259" spans="2:14" ht="15.75" x14ac:dyDescent="0.25">
      <c r="B1259" s="33"/>
      <c r="C1259" s="34"/>
      <c r="F1259" s="35"/>
      <c r="I1259" s="33"/>
      <c r="M1259" s="33"/>
      <c r="N1259" s="33"/>
    </row>
    <row r="1260" spans="2:14" ht="15.75" x14ac:dyDescent="0.25">
      <c r="B1260" s="33"/>
      <c r="C1260" s="34"/>
      <c r="F1260" s="35"/>
      <c r="I1260" s="33"/>
      <c r="M1260" s="33"/>
      <c r="N1260" s="33"/>
    </row>
    <row r="1261" spans="2:14" ht="15.75" x14ac:dyDescent="0.25">
      <c r="B1261" s="33"/>
      <c r="C1261" s="34"/>
      <c r="F1261" s="35"/>
      <c r="I1261" s="33"/>
      <c r="M1261" s="33"/>
      <c r="N1261" s="33"/>
    </row>
    <row r="1262" spans="2:14" ht="15.75" x14ac:dyDescent="0.25">
      <c r="B1262" s="33"/>
      <c r="C1262" s="34"/>
      <c r="F1262" s="35"/>
      <c r="I1262" s="33"/>
      <c r="M1262" s="33"/>
      <c r="N1262" s="33"/>
    </row>
    <row r="1263" spans="2:14" ht="15.75" x14ac:dyDescent="0.25">
      <c r="B1263" s="33"/>
      <c r="C1263" s="34"/>
      <c r="F1263" s="35"/>
      <c r="I1263" s="33"/>
      <c r="M1263" s="33"/>
      <c r="N1263" s="33"/>
    </row>
    <row r="1264" spans="2:14" ht="15.75" x14ac:dyDescent="0.25">
      <c r="B1264" s="33"/>
      <c r="C1264" s="34"/>
      <c r="F1264" s="35"/>
      <c r="I1264" s="33"/>
      <c r="M1264" s="33"/>
      <c r="N1264" s="33"/>
    </row>
    <row r="1265" spans="2:14" ht="15.75" x14ac:dyDescent="0.25">
      <c r="B1265" s="33"/>
      <c r="C1265" s="34"/>
      <c r="F1265" s="35"/>
      <c r="I1265" s="33"/>
      <c r="M1265" s="33"/>
      <c r="N1265" s="33"/>
    </row>
    <row r="1266" spans="2:14" ht="15.75" x14ac:dyDescent="0.25">
      <c r="B1266" s="33"/>
      <c r="C1266" s="34"/>
      <c r="F1266" s="35"/>
      <c r="I1266" s="33"/>
      <c r="M1266" s="33"/>
      <c r="N1266" s="33"/>
    </row>
    <row r="1267" spans="2:14" ht="15.75" x14ac:dyDescent="0.25">
      <c r="B1267" s="33"/>
      <c r="C1267" s="34"/>
      <c r="F1267" s="35"/>
      <c r="I1267" s="33"/>
      <c r="M1267" s="33"/>
      <c r="N1267" s="33"/>
    </row>
    <row r="1268" spans="2:14" ht="15.75" x14ac:dyDescent="0.25">
      <c r="B1268" s="33"/>
      <c r="C1268" s="34"/>
      <c r="F1268" s="35"/>
      <c r="I1268" s="33"/>
      <c r="M1268" s="33"/>
      <c r="N1268" s="33"/>
    </row>
    <row r="1269" spans="2:14" ht="15.75" x14ac:dyDescent="0.25">
      <c r="B1269" s="33"/>
      <c r="C1269" s="34"/>
      <c r="F1269" s="35"/>
      <c r="I1269" s="33"/>
      <c r="M1269" s="33"/>
      <c r="N1269" s="33"/>
    </row>
    <row r="1270" spans="2:14" ht="15.75" x14ac:dyDescent="0.25">
      <c r="B1270" s="33"/>
      <c r="C1270" s="34"/>
      <c r="F1270" s="35"/>
      <c r="I1270" s="33"/>
      <c r="M1270" s="33"/>
      <c r="N1270" s="33"/>
    </row>
    <row r="1271" spans="2:14" ht="15.75" x14ac:dyDescent="0.25">
      <c r="B1271" s="33"/>
      <c r="C1271" s="34"/>
      <c r="F1271" s="35"/>
      <c r="I1271" s="33"/>
      <c r="M1271" s="33"/>
      <c r="N1271" s="33"/>
    </row>
    <row r="1272" spans="2:14" ht="15.75" x14ac:dyDescent="0.25">
      <c r="B1272" s="33"/>
      <c r="C1272" s="34"/>
      <c r="F1272" s="35"/>
      <c r="I1272" s="33"/>
      <c r="M1272" s="33"/>
      <c r="N1272" s="33"/>
    </row>
    <row r="1273" spans="2:14" ht="15.75" x14ac:dyDescent="0.25">
      <c r="B1273" s="33"/>
      <c r="C1273" s="34"/>
      <c r="F1273" s="35"/>
      <c r="I1273" s="33"/>
      <c r="M1273" s="33"/>
      <c r="N1273" s="33"/>
    </row>
    <row r="1274" spans="2:14" ht="15.75" x14ac:dyDescent="0.25">
      <c r="B1274" s="33"/>
      <c r="C1274" s="34"/>
      <c r="F1274" s="35"/>
      <c r="I1274" s="33"/>
      <c r="M1274" s="33"/>
      <c r="N1274" s="33"/>
    </row>
    <row r="1275" spans="2:14" ht="15.75" x14ac:dyDescent="0.25">
      <c r="B1275" s="33"/>
      <c r="C1275" s="34"/>
      <c r="F1275" s="35"/>
      <c r="I1275" s="33"/>
      <c r="M1275" s="33"/>
      <c r="N1275" s="33"/>
    </row>
    <row r="1276" spans="2:14" ht="15.75" x14ac:dyDescent="0.25">
      <c r="B1276" s="33"/>
      <c r="C1276" s="34"/>
      <c r="F1276" s="35"/>
      <c r="I1276" s="33"/>
      <c r="M1276" s="33"/>
      <c r="N1276" s="33"/>
    </row>
    <row r="1277" spans="2:14" ht="15.75" x14ac:dyDescent="0.25">
      <c r="B1277" s="33"/>
      <c r="C1277" s="34"/>
      <c r="F1277" s="35"/>
      <c r="I1277" s="33"/>
      <c r="M1277" s="33"/>
      <c r="N1277" s="33"/>
    </row>
    <row r="1278" spans="2:14" ht="15.75" x14ac:dyDescent="0.25">
      <c r="B1278" s="33"/>
      <c r="C1278" s="34"/>
      <c r="F1278" s="35"/>
      <c r="I1278" s="33"/>
      <c r="M1278" s="33"/>
      <c r="N1278" s="33"/>
    </row>
    <row r="1279" spans="2:14" ht="15.75" x14ac:dyDescent="0.25">
      <c r="B1279" s="33"/>
      <c r="C1279" s="34"/>
      <c r="F1279" s="35"/>
      <c r="I1279" s="33"/>
      <c r="M1279" s="33"/>
      <c r="N1279" s="33"/>
    </row>
    <row r="1280" spans="2:14" ht="15.75" x14ac:dyDescent="0.25">
      <c r="B1280" s="33"/>
      <c r="C1280" s="34"/>
      <c r="F1280" s="35"/>
      <c r="I1280" s="33"/>
      <c r="M1280" s="33"/>
      <c r="N1280" s="33"/>
    </row>
    <row r="1281" spans="2:14" ht="15.75" x14ac:dyDescent="0.25">
      <c r="B1281" s="33"/>
      <c r="C1281" s="34"/>
      <c r="F1281" s="35"/>
      <c r="I1281" s="33"/>
      <c r="M1281" s="33"/>
      <c r="N1281" s="33"/>
    </row>
    <row r="1282" spans="2:14" ht="15.75" x14ac:dyDescent="0.25">
      <c r="B1282" s="33"/>
      <c r="C1282" s="34"/>
      <c r="F1282" s="35"/>
      <c r="I1282" s="33"/>
      <c r="M1282" s="33"/>
      <c r="N1282" s="33"/>
    </row>
    <row r="1283" spans="2:14" ht="15.75" x14ac:dyDescent="0.25">
      <c r="B1283" s="33"/>
      <c r="C1283" s="34"/>
      <c r="F1283" s="35"/>
      <c r="I1283" s="33"/>
      <c r="M1283" s="33"/>
      <c r="N1283" s="33"/>
    </row>
    <row r="1284" spans="2:14" ht="15.75" x14ac:dyDescent="0.25">
      <c r="B1284" s="33"/>
      <c r="C1284" s="34"/>
      <c r="F1284" s="35"/>
      <c r="I1284" s="33"/>
      <c r="M1284" s="33"/>
      <c r="N1284" s="33"/>
    </row>
    <row r="1285" spans="2:14" ht="15.75" x14ac:dyDescent="0.25">
      <c r="B1285" s="33"/>
      <c r="C1285" s="34"/>
      <c r="F1285" s="35"/>
      <c r="I1285" s="33"/>
      <c r="M1285" s="33"/>
      <c r="N1285" s="33"/>
    </row>
    <row r="1286" spans="2:14" ht="15.75" x14ac:dyDescent="0.25">
      <c r="B1286" s="33"/>
      <c r="C1286" s="34"/>
      <c r="F1286" s="35"/>
      <c r="I1286" s="33"/>
      <c r="M1286" s="33"/>
      <c r="N1286" s="33"/>
    </row>
    <row r="1287" spans="2:14" ht="15.75" x14ac:dyDescent="0.25">
      <c r="B1287" s="33"/>
      <c r="C1287" s="34"/>
      <c r="F1287" s="35"/>
      <c r="I1287" s="33"/>
      <c r="M1287" s="33"/>
      <c r="N1287" s="33"/>
    </row>
    <row r="1288" spans="2:14" ht="15.75" x14ac:dyDescent="0.25">
      <c r="B1288" s="33"/>
      <c r="C1288" s="34"/>
      <c r="F1288" s="35"/>
      <c r="I1288" s="33"/>
      <c r="M1288" s="33"/>
      <c r="N1288" s="33"/>
    </row>
    <row r="1289" spans="2:14" ht="15.75" x14ac:dyDescent="0.25">
      <c r="B1289" s="33"/>
      <c r="C1289" s="34"/>
      <c r="F1289" s="35"/>
      <c r="I1289" s="33"/>
      <c r="M1289" s="33"/>
      <c r="N1289" s="33"/>
    </row>
    <row r="1290" spans="2:14" ht="15.75" x14ac:dyDescent="0.25">
      <c r="B1290" s="33"/>
      <c r="C1290" s="34"/>
      <c r="F1290" s="35"/>
      <c r="I1290" s="33"/>
      <c r="M1290" s="33"/>
      <c r="N1290" s="33"/>
    </row>
    <row r="1291" spans="2:14" ht="15.75" x14ac:dyDescent="0.25">
      <c r="B1291" s="33"/>
      <c r="C1291" s="34"/>
      <c r="F1291" s="35"/>
      <c r="I1291" s="33"/>
      <c r="M1291" s="33"/>
      <c r="N1291" s="33"/>
    </row>
    <row r="1292" spans="2:14" ht="15.75" x14ac:dyDescent="0.25">
      <c r="B1292" s="33"/>
      <c r="C1292" s="34"/>
      <c r="F1292" s="35"/>
      <c r="I1292" s="33"/>
      <c r="M1292" s="33"/>
      <c r="N1292" s="33"/>
    </row>
    <row r="1293" spans="2:14" ht="15.75" x14ac:dyDescent="0.25">
      <c r="B1293" s="33"/>
      <c r="C1293" s="34"/>
      <c r="F1293" s="35"/>
      <c r="I1293" s="33"/>
      <c r="M1293" s="33"/>
      <c r="N1293" s="33"/>
    </row>
    <row r="1294" spans="2:14" ht="15.75" x14ac:dyDescent="0.25">
      <c r="B1294" s="33"/>
      <c r="C1294" s="34"/>
      <c r="F1294" s="35"/>
      <c r="I1294" s="33"/>
      <c r="M1294" s="33"/>
      <c r="N1294" s="33"/>
    </row>
    <row r="1295" spans="2:14" ht="15.75" x14ac:dyDescent="0.25">
      <c r="B1295" s="33"/>
      <c r="C1295" s="34"/>
      <c r="F1295" s="35"/>
      <c r="I1295" s="33"/>
      <c r="M1295" s="33"/>
      <c r="N1295" s="33"/>
    </row>
    <row r="1296" spans="2:14" ht="15.75" x14ac:dyDescent="0.25">
      <c r="B1296" s="33"/>
      <c r="C1296" s="34"/>
      <c r="F1296" s="35"/>
      <c r="I1296" s="33"/>
      <c r="M1296" s="33"/>
      <c r="N1296" s="33"/>
    </row>
    <row r="1297" spans="2:14" ht="15.75" x14ac:dyDescent="0.25">
      <c r="B1297" s="33"/>
      <c r="C1297" s="34"/>
      <c r="F1297" s="35"/>
      <c r="I1297" s="33"/>
      <c r="M1297" s="33"/>
      <c r="N1297" s="33"/>
    </row>
    <row r="1298" spans="2:14" ht="15.75" x14ac:dyDescent="0.25">
      <c r="B1298" s="33"/>
      <c r="C1298" s="34"/>
      <c r="F1298" s="35"/>
      <c r="I1298" s="33"/>
      <c r="M1298" s="33"/>
      <c r="N1298" s="33"/>
    </row>
    <row r="1299" spans="2:14" ht="15.75" x14ac:dyDescent="0.25">
      <c r="B1299" s="33"/>
      <c r="C1299" s="34"/>
      <c r="F1299" s="35"/>
      <c r="I1299" s="33"/>
      <c r="M1299" s="33"/>
      <c r="N1299" s="33"/>
    </row>
    <row r="1300" spans="2:14" ht="15.75" x14ac:dyDescent="0.25">
      <c r="B1300" s="33"/>
      <c r="C1300" s="34"/>
      <c r="F1300" s="35"/>
      <c r="I1300" s="33"/>
      <c r="M1300" s="33"/>
      <c r="N1300" s="33"/>
    </row>
    <row r="1301" spans="2:14" ht="15.75" x14ac:dyDescent="0.25">
      <c r="B1301" s="33"/>
      <c r="C1301" s="34"/>
      <c r="F1301" s="35"/>
      <c r="I1301" s="33"/>
      <c r="M1301" s="33"/>
      <c r="N1301" s="33"/>
    </row>
    <row r="1302" spans="2:14" ht="15.75" x14ac:dyDescent="0.25">
      <c r="B1302" s="33"/>
      <c r="C1302" s="34"/>
      <c r="F1302" s="35"/>
      <c r="I1302" s="33"/>
      <c r="M1302" s="33"/>
      <c r="N1302" s="33"/>
    </row>
    <row r="1303" spans="2:14" ht="15.75" x14ac:dyDescent="0.25">
      <c r="B1303" s="33"/>
      <c r="C1303" s="34"/>
      <c r="F1303" s="35"/>
      <c r="I1303" s="33"/>
      <c r="M1303" s="33"/>
      <c r="N1303" s="33"/>
    </row>
    <row r="1304" spans="2:14" ht="15.75" x14ac:dyDescent="0.25">
      <c r="B1304" s="33"/>
      <c r="C1304" s="34"/>
      <c r="F1304" s="35"/>
      <c r="I1304" s="33"/>
      <c r="M1304" s="33"/>
      <c r="N1304" s="33"/>
    </row>
    <row r="1305" spans="2:14" ht="15.75" x14ac:dyDescent="0.25">
      <c r="B1305" s="33"/>
      <c r="C1305" s="34"/>
      <c r="F1305" s="35"/>
      <c r="I1305" s="33"/>
      <c r="M1305" s="33"/>
      <c r="N1305" s="33"/>
    </row>
    <row r="1306" spans="2:14" ht="15.75" x14ac:dyDescent="0.25">
      <c r="B1306" s="33"/>
      <c r="C1306" s="34"/>
      <c r="F1306" s="35"/>
      <c r="I1306" s="33"/>
      <c r="M1306" s="33"/>
      <c r="N1306" s="33"/>
    </row>
    <row r="1307" spans="2:14" ht="15.75" x14ac:dyDescent="0.25">
      <c r="B1307" s="33"/>
      <c r="C1307" s="34"/>
      <c r="F1307" s="35"/>
      <c r="I1307" s="33"/>
      <c r="M1307" s="33"/>
      <c r="N1307" s="33"/>
    </row>
    <row r="1308" spans="2:14" ht="15.75" x14ac:dyDescent="0.25">
      <c r="B1308" s="33"/>
      <c r="C1308" s="34"/>
      <c r="F1308" s="35"/>
      <c r="I1308" s="33"/>
      <c r="M1308" s="33"/>
      <c r="N1308" s="33"/>
    </row>
    <row r="1309" spans="2:14" ht="15.75" x14ac:dyDescent="0.25">
      <c r="B1309" s="33"/>
      <c r="C1309" s="34"/>
      <c r="F1309" s="35"/>
      <c r="I1309" s="33"/>
      <c r="M1309" s="33"/>
      <c r="N1309" s="33"/>
    </row>
    <row r="1310" spans="2:14" ht="15.75" x14ac:dyDescent="0.25">
      <c r="B1310" s="33"/>
      <c r="C1310" s="34"/>
      <c r="F1310" s="35"/>
      <c r="I1310" s="33"/>
      <c r="M1310" s="33"/>
      <c r="N1310" s="33"/>
    </row>
    <row r="1311" spans="2:14" ht="15.75" x14ac:dyDescent="0.25">
      <c r="B1311" s="33"/>
      <c r="C1311" s="34"/>
      <c r="F1311" s="35"/>
      <c r="I1311" s="33"/>
      <c r="M1311" s="33"/>
      <c r="N1311" s="33"/>
    </row>
    <row r="1312" spans="2:14" ht="15.75" x14ac:dyDescent="0.25">
      <c r="B1312" s="33"/>
      <c r="C1312" s="34"/>
      <c r="F1312" s="35"/>
      <c r="I1312" s="33"/>
      <c r="M1312" s="33"/>
      <c r="N1312" s="33"/>
    </row>
    <row r="1313" spans="2:14" ht="15.75" x14ac:dyDescent="0.25">
      <c r="B1313" s="33"/>
      <c r="C1313" s="34"/>
      <c r="F1313" s="35"/>
      <c r="I1313" s="33"/>
      <c r="M1313" s="33"/>
      <c r="N1313" s="33"/>
    </row>
    <row r="1314" spans="2:14" ht="15.75" x14ac:dyDescent="0.25">
      <c r="B1314" s="33"/>
      <c r="C1314" s="34"/>
      <c r="F1314" s="35"/>
      <c r="I1314" s="33"/>
      <c r="M1314" s="33"/>
      <c r="N1314" s="33"/>
    </row>
    <row r="1315" spans="2:14" ht="15.75" x14ac:dyDescent="0.25">
      <c r="B1315" s="33"/>
      <c r="C1315" s="34"/>
      <c r="F1315" s="35"/>
      <c r="I1315" s="33"/>
      <c r="M1315" s="33"/>
      <c r="N1315" s="33"/>
    </row>
    <row r="1316" spans="2:14" ht="15.75" x14ac:dyDescent="0.25">
      <c r="B1316" s="33"/>
      <c r="C1316" s="34"/>
      <c r="F1316" s="35"/>
      <c r="I1316" s="33"/>
      <c r="M1316" s="33"/>
      <c r="N1316" s="33"/>
    </row>
    <row r="1317" spans="2:14" ht="15.75" x14ac:dyDescent="0.25">
      <c r="B1317" s="33"/>
      <c r="C1317" s="34"/>
      <c r="F1317" s="35"/>
      <c r="I1317" s="33"/>
      <c r="M1317" s="33"/>
      <c r="N1317" s="33"/>
    </row>
    <row r="1318" spans="2:14" ht="15.75" x14ac:dyDescent="0.25">
      <c r="B1318" s="33"/>
      <c r="C1318" s="34"/>
      <c r="F1318" s="35"/>
      <c r="I1318" s="33"/>
      <c r="M1318" s="33"/>
      <c r="N1318" s="33"/>
    </row>
    <row r="1319" spans="2:14" ht="15.75" x14ac:dyDescent="0.25">
      <c r="B1319" s="33"/>
      <c r="C1319" s="34"/>
      <c r="F1319" s="35"/>
      <c r="I1319" s="33"/>
      <c r="M1319" s="33"/>
      <c r="N1319" s="33"/>
    </row>
    <row r="1320" spans="2:14" ht="15.75" x14ac:dyDescent="0.25">
      <c r="B1320" s="33"/>
      <c r="C1320" s="34"/>
      <c r="F1320" s="35"/>
      <c r="I1320" s="33"/>
      <c r="M1320" s="33"/>
      <c r="N1320" s="33"/>
    </row>
    <row r="1321" spans="2:14" ht="15.75" x14ac:dyDescent="0.25">
      <c r="B1321" s="33"/>
      <c r="C1321" s="34"/>
      <c r="F1321" s="35"/>
      <c r="I1321" s="33"/>
      <c r="M1321" s="33"/>
      <c r="N1321" s="33"/>
    </row>
    <row r="1322" spans="2:14" ht="15.75" x14ac:dyDescent="0.25">
      <c r="B1322" s="33"/>
      <c r="C1322" s="34"/>
      <c r="F1322" s="35"/>
      <c r="I1322" s="33"/>
      <c r="M1322" s="33"/>
      <c r="N1322" s="33"/>
    </row>
    <row r="1323" spans="2:14" ht="15.75" x14ac:dyDescent="0.25">
      <c r="B1323" s="33"/>
      <c r="C1323" s="34"/>
      <c r="F1323" s="35"/>
      <c r="I1323" s="33"/>
      <c r="M1323" s="33"/>
      <c r="N1323" s="33"/>
    </row>
    <row r="1324" spans="2:14" ht="15.75" x14ac:dyDescent="0.25">
      <c r="B1324" s="33"/>
      <c r="C1324" s="34"/>
      <c r="F1324" s="35"/>
      <c r="I1324" s="33"/>
      <c r="M1324" s="33"/>
      <c r="N1324" s="33"/>
    </row>
    <row r="1325" spans="2:14" ht="15.75" x14ac:dyDescent="0.25">
      <c r="B1325" s="33"/>
      <c r="C1325" s="34"/>
      <c r="F1325" s="35"/>
      <c r="I1325" s="33"/>
      <c r="M1325" s="33"/>
      <c r="N1325" s="33"/>
    </row>
    <row r="1326" spans="2:14" ht="15.75" x14ac:dyDescent="0.25">
      <c r="B1326" s="33"/>
      <c r="C1326" s="34"/>
      <c r="F1326" s="35"/>
      <c r="I1326" s="33"/>
      <c r="M1326" s="33"/>
      <c r="N1326" s="33"/>
    </row>
    <row r="1327" spans="2:14" ht="15.75" x14ac:dyDescent="0.25">
      <c r="B1327" s="33"/>
      <c r="C1327" s="34"/>
      <c r="F1327" s="35"/>
      <c r="I1327" s="33"/>
      <c r="M1327" s="33"/>
      <c r="N1327" s="33"/>
    </row>
    <row r="1328" spans="2:14" ht="15.75" x14ac:dyDescent="0.25">
      <c r="B1328" s="33"/>
      <c r="C1328" s="34"/>
      <c r="F1328" s="35"/>
      <c r="I1328" s="33"/>
      <c r="M1328" s="33"/>
      <c r="N1328" s="33"/>
    </row>
    <row r="1329" spans="2:14" ht="15.75" x14ac:dyDescent="0.25">
      <c r="B1329" s="33"/>
      <c r="C1329" s="34"/>
      <c r="F1329" s="35"/>
      <c r="I1329" s="33"/>
      <c r="M1329" s="33"/>
      <c r="N1329" s="33"/>
    </row>
    <row r="1330" spans="2:14" ht="15.75" x14ac:dyDescent="0.25">
      <c r="B1330" s="33"/>
      <c r="C1330" s="34"/>
      <c r="F1330" s="35"/>
      <c r="I1330" s="33"/>
      <c r="M1330" s="33"/>
      <c r="N1330" s="33"/>
    </row>
    <row r="1331" spans="2:14" ht="15.75" x14ac:dyDescent="0.25">
      <c r="B1331" s="33"/>
      <c r="C1331" s="34"/>
      <c r="F1331" s="35"/>
      <c r="I1331" s="33"/>
      <c r="M1331" s="33"/>
      <c r="N1331" s="33"/>
    </row>
    <row r="1332" spans="2:14" ht="15.75" x14ac:dyDescent="0.25">
      <c r="B1332" s="33"/>
      <c r="C1332" s="34"/>
      <c r="F1332" s="35"/>
      <c r="I1332" s="33"/>
      <c r="M1332" s="33"/>
      <c r="N1332" s="33"/>
    </row>
    <row r="1333" spans="2:14" ht="15.75" x14ac:dyDescent="0.25">
      <c r="B1333" s="33"/>
      <c r="C1333" s="34"/>
      <c r="F1333" s="35"/>
      <c r="I1333" s="33"/>
      <c r="M1333" s="33"/>
      <c r="N1333" s="33"/>
    </row>
    <row r="1334" spans="2:14" ht="15.75" x14ac:dyDescent="0.25">
      <c r="B1334" s="33"/>
      <c r="C1334" s="34"/>
      <c r="F1334" s="35"/>
      <c r="I1334" s="33"/>
      <c r="M1334" s="33"/>
      <c r="N1334" s="33"/>
    </row>
    <row r="1335" spans="2:14" ht="15.75" x14ac:dyDescent="0.25">
      <c r="B1335" s="33"/>
      <c r="C1335" s="34"/>
      <c r="F1335" s="35"/>
      <c r="I1335" s="33"/>
      <c r="M1335" s="33"/>
      <c r="N1335" s="33"/>
    </row>
    <row r="1336" spans="2:14" ht="15.75" x14ac:dyDescent="0.25">
      <c r="B1336" s="33"/>
      <c r="C1336" s="34"/>
      <c r="F1336" s="35"/>
      <c r="I1336" s="33"/>
      <c r="M1336" s="33"/>
      <c r="N1336" s="33"/>
    </row>
    <row r="1337" spans="2:14" ht="15.75" x14ac:dyDescent="0.25">
      <c r="B1337" s="33"/>
      <c r="C1337" s="34"/>
      <c r="F1337" s="35"/>
      <c r="I1337" s="33"/>
      <c r="M1337" s="33"/>
      <c r="N1337" s="33"/>
    </row>
    <row r="1338" spans="2:14" ht="15.75" x14ac:dyDescent="0.25">
      <c r="B1338" s="33"/>
      <c r="C1338" s="34"/>
      <c r="F1338" s="35"/>
      <c r="I1338" s="33"/>
      <c r="M1338" s="33"/>
      <c r="N1338" s="33"/>
    </row>
    <row r="1339" spans="2:14" ht="15.75" x14ac:dyDescent="0.25">
      <c r="B1339" s="33"/>
      <c r="C1339" s="34"/>
      <c r="F1339" s="35"/>
      <c r="I1339" s="33"/>
      <c r="M1339" s="33"/>
      <c r="N1339" s="33"/>
    </row>
    <row r="1340" spans="2:14" ht="15.75" x14ac:dyDescent="0.25">
      <c r="B1340" s="33"/>
      <c r="C1340" s="34"/>
      <c r="F1340" s="35"/>
      <c r="I1340" s="33"/>
      <c r="M1340" s="33"/>
      <c r="N1340" s="33"/>
    </row>
    <row r="1341" spans="2:14" ht="15.75" x14ac:dyDescent="0.25">
      <c r="B1341" s="33"/>
      <c r="C1341" s="34"/>
      <c r="F1341" s="35"/>
      <c r="I1341" s="33"/>
      <c r="M1341" s="33"/>
      <c r="N1341" s="33"/>
    </row>
    <row r="1342" spans="2:14" ht="15.75" x14ac:dyDescent="0.25">
      <c r="B1342" s="33"/>
      <c r="C1342" s="34"/>
      <c r="F1342" s="35"/>
      <c r="I1342" s="33"/>
      <c r="M1342" s="33"/>
      <c r="N1342" s="33"/>
    </row>
    <row r="1343" spans="2:14" ht="15.75" x14ac:dyDescent="0.25">
      <c r="B1343" s="33"/>
      <c r="C1343" s="34"/>
      <c r="F1343" s="35"/>
      <c r="I1343" s="33"/>
      <c r="M1343" s="33"/>
      <c r="N1343" s="33"/>
    </row>
    <row r="1344" spans="2:14" ht="15.75" x14ac:dyDescent="0.25">
      <c r="B1344" s="33"/>
      <c r="C1344" s="34"/>
      <c r="F1344" s="35"/>
      <c r="I1344" s="33"/>
      <c r="M1344" s="33"/>
      <c r="N1344" s="33"/>
    </row>
    <row r="1345" spans="2:14" ht="15.75" x14ac:dyDescent="0.25">
      <c r="B1345" s="33"/>
      <c r="C1345" s="34"/>
      <c r="F1345" s="35"/>
      <c r="I1345" s="33"/>
      <c r="M1345" s="33"/>
      <c r="N1345" s="33"/>
    </row>
    <row r="1346" spans="2:14" ht="15.75" x14ac:dyDescent="0.25">
      <c r="B1346" s="33"/>
      <c r="C1346" s="34"/>
      <c r="F1346" s="35"/>
      <c r="I1346" s="33"/>
      <c r="M1346" s="33"/>
      <c r="N1346" s="33"/>
    </row>
    <row r="1347" spans="2:14" ht="15.75" x14ac:dyDescent="0.25">
      <c r="B1347" s="33"/>
      <c r="C1347" s="34"/>
      <c r="F1347" s="35"/>
      <c r="I1347" s="33"/>
      <c r="M1347" s="33"/>
      <c r="N1347" s="33"/>
    </row>
    <row r="1348" spans="2:14" ht="15.75" x14ac:dyDescent="0.25">
      <c r="B1348" s="33"/>
      <c r="C1348" s="34"/>
      <c r="F1348" s="35"/>
      <c r="I1348" s="33"/>
      <c r="M1348" s="33"/>
      <c r="N1348" s="33"/>
    </row>
    <row r="1349" spans="2:14" ht="15.75" x14ac:dyDescent="0.25">
      <c r="B1349" s="33"/>
      <c r="C1349" s="34"/>
      <c r="F1349" s="35"/>
      <c r="I1349" s="33"/>
      <c r="M1349" s="33"/>
      <c r="N1349" s="33"/>
    </row>
    <row r="1350" spans="2:14" ht="15.75" x14ac:dyDescent="0.25">
      <c r="B1350" s="33"/>
      <c r="C1350" s="34"/>
      <c r="F1350" s="35"/>
      <c r="I1350" s="33"/>
      <c r="M1350" s="33"/>
      <c r="N1350" s="33"/>
    </row>
    <row r="1351" spans="2:14" ht="15.75" x14ac:dyDescent="0.25">
      <c r="B1351" s="33"/>
      <c r="C1351" s="34"/>
      <c r="F1351" s="35"/>
      <c r="I1351" s="33"/>
      <c r="M1351" s="33"/>
      <c r="N1351" s="33"/>
    </row>
    <row r="1352" spans="2:14" ht="15.75" x14ac:dyDescent="0.25">
      <c r="B1352" s="33"/>
      <c r="C1352" s="34"/>
      <c r="F1352" s="35"/>
      <c r="I1352" s="33"/>
      <c r="M1352" s="33"/>
      <c r="N1352" s="33"/>
    </row>
    <row r="1353" spans="2:14" ht="15.75" x14ac:dyDescent="0.25">
      <c r="B1353" s="33"/>
      <c r="C1353" s="34"/>
      <c r="F1353" s="35"/>
      <c r="I1353" s="33"/>
      <c r="M1353" s="33"/>
      <c r="N1353" s="33"/>
    </row>
    <row r="1354" spans="2:14" ht="15.75" x14ac:dyDescent="0.25">
      <c r="B1354" s="33"/>
      <c r="C1354" s="34"/>
      <c r="F1354" s="35"/>
      <c r="I1354" s="33"/>
      <c r="M1354" s="33"/>
      <c r="N1354" s="33"/>
    </row>
    <row r="1355" spans="2:14" ht="15.75" x14ac:dyDescent="0.25">
      <c r="B1355" s="33"/>
      <c r="C1355" s="34"/>
      <c r="F1355" s="35"/>
      <c r="I1355" s="33"/>
      <c r="M1355" s="33"/>
      <c r="N1355" s="33"/>
    </row>
    <row r="1356" spans="2:14" ht="15.75" x14ac:dyDescent="0.25">
      <c r="B1356" s="33"/>
      <c r="C1356" s="34"/>
      <c r="F1356" s="35"/>
      <c r="I1356" s="33"/>
      <c r="M1356" s="33"/>
      <c r="N1356" s="33"/>
    </row>
    <row r="1357" spans="2:14" ht="15.75" x14ac:dyDescent="0.25">
      <c r="B1357" s="33"/>
      <c r="C1357" s="34"/>
      <c r="F1357" s="35"/>
      <c r="I1357" s="33"/>
      <c r="M1357" s="33"/>
      <c r="N1357" s="33"/>
    </row>
    <row r="1358" spans="2:14" ht="15.75" x14ac:dyDescent="0.25">
      <c r="B1358" s="33"/>
      <c r="C1358" s="34"/>
      <c r="F1358" s="35"/>
      <c r="I1358" s="33"/>
      <c r="M1358" s="33"/>
      <c r="N1358" s="33"/>
    </row>
    <row r="1359" spans="2:14" ht="15.75" x14ac:dyDescent="0.25">
      <c r="B1359" s="33"/>
      <c r="C1359" s="34"/>
      <c r="F1359" s="35"/>
      <c r="I1359" s="33"/>
      <c r="M1359" s="33"/>
      <c r="N1359" s="33"/>
    </row>
    <row r="1360" spans="2:14" ht="15.75" x14ac:dyDescent="0.25">
      <c r="B1360" s="33"/>
      <c r="C1360" s="34"/>
      <c r="F1360" s="35"/>
      <c r="I1360" s="33"/>
      <c r="M1360" s="33"/>
      <c r="N1360" s="33"/>
    </row>
    <row r="1361" spans="2:14" ht="15.75" x14ac:dyDescent="0.25">
      <c r="B1361" s="33"/>
      <c r="C1361" s="34"/>
      <c r="F1361" s="35"/>
      <c r="I1361" s="33"/>
      <c r="M1361" s="33"/>
      <c r="N1361" s="33"/>
    </row>
    <row r="1362" spans="2:14" ht="15.75" x14ac:dyDescent="0.25">
      <c r="B1362" s="33"/>
      <c r="C1362" s="34"/>
      <c r="F1362" s="35"/>
      <c r="I1362" s="33"/>
      <c r="M1362" s="33"/>
      <c r="N1362" s="33"/>
    </row>
    <row r="1363" spans="2:14" ht="15.75" x14ac:dyDescent="0.25">
      <c r="B1363" s="33"/>
      <c r="C1363" s="34"/>
      <c r="F1363" s="35"/>
      <c r="I1363" s="33"/>
      <c r="M1363" s="33"/>
      <c r="N1363" s="33"/>
    </row>
    <row r="1364" spans="2:14" ht="15.75" x14ac:dyDescent="0.25">
      <c r="B1364" s="33"/>
      <c r="C1364" s="34"/>
      <c r="F1364" s="35"/>
      <c r="I1364" s="33"/>
      <c r="M1364" s="33"/>
      <c r="N1364" s="33"/>
    </row>
    <row r="1365" spans="2:14" ht="15.75" x14ac:dyDescent="0.25">
      <c r="B1365" s="33"/>
      <c r="C1365" s="34"/>
      <c r="F1365" s="35"/>
      <c r="I1365" s="33"/>
      <c r="M1365" s="33"/>
      <c r="N1365" s="33"/>
    </row>
    <row r="1366" spans="2:14" ht="15.75" x14ac:dyDescent="0.25">
      <c r="B1366" s="33"/>
      <c r="C1366" s="34"/>
      <c r="F1366" s="35"/>
      <c r="I1366" s="33"/>
      <c r="M1366" s="33"/>
      <c r="N1366" s="33"/>
    </row>
    <row r="1367" spans="2:14" ht="15.75" x14ac:dyDescent="0.25">
      <c r="B1367" s="33"/>
      <c r="C1367" s="34"/>
      <c r="F1367" s="35"/>
      <c r="I1367" s="33"/>
      <c r="M1367" s="33"/>
      <c r="N1367" s="33"/>
    </row>
    <row r="1368" spans="2:14" ht="15.75" x14ac:dyDescent="0.25">
      <c r="B1368" s="33"/>
      <c r="C1368" s="34"/>
      <c r="F1368" s="35"/>
      <c r="I1368" s="33"/>
      <c r="M1368" s="33"/>
      <c r="N1368" s="33"/>
    </row>
    <row r="1369" spans="2:14" ht="15.75" x14ac:dyDescent="0.25">
      <c r="B1369" s="33"/>
      <c r="C1369" s="34"/>
      <c r="F1369" s="35"/>
      <c r="I1369" s="33"/>
      <c r="M1369" s="33"/>
      <c r="N1369" s="33"/>
    </row>
    <row r="1370" spans="2:14" ht="15.75" x14ac:dyDescent="0.25">
      <c r="B1370" s="33"/>
      <c r="C1370" s="34"/>
      <c r="F1370" s="35"/>
      <c r="I1370" s="33"/>
      <c r="M1370" s="33"/>
      <c r="N1370" s="33"/>
    </row>
    <row r="1371" spans="2:14" ht="15.75" x14ac:dyDescent="0.25">
      <c r="B1371" s="33"/>
      <c r="C1371" s="34"/>
      <c r="F1371" s="35"/>
      <c r="I1371" s="33"/>
      <c r="M1371" s="33"/>
      <c r="N1371" s="33"/>
    </row>
    <row r="1372" spans="2:14" ht="15.75" x14ac:dyDescent="0.25">
      <c r="B1372" s="33"/>
      <c r="C1372" s="34"/>
      <c r="F1372" s="35"/>
      <c r="I1372" s="33"/>
      <c r="M1372" s="33"/>
      <c r="N1372" s="33"/>
    </row>
    <row r="1373" spans="2:14" ht="15.75" x14ac:dyDescent="0.25">
      <c r="B1373" s="33"/>
      <c r="C1373" s="34"/>
      <c r="F1373" s="35"/>
      <c r="I1373" s="33"/>
      <c r="M1373" s="33"/>
      <c r="N1373" s="33"/>
    </row>
    <row r="1374" spans="2:14" ht="15.75" x14ac:dyDescent="0.25">
      <c r="B1374" s="33"/>
      <c r="C1374" s="34"/>
      <c r="F1374" s="35"/>
      <c r="I1374" s="33"/>
      <c r="M1374" s="33"/>
      <c r="N1374" s="33"/>
    </row>
    <row r="1375" spans="2:14" ht="15.75" x14ac:dyDescent="0.25">
      <c r="B1375" s="33"/>
      <c r="C1375" s="34"/>
      <c r="F1375" s="35"/>
      <c r="I1375" s="33"/>
      <c r="M1375" s="33"/>
      <c r="N1375" s="33"/>
    </row>
    <row r="1376" spans="2:14" ht="15.75" x14ac:dyDescent="0.25">
      <c r="B1376" s="33"/>
      <c r="C1376" s="34"/>
      <c r="F1376" s="35"/>
      <c r="I1376" s="33"/>
      <c r="M1376" s="33"/>
      <c r="N1376" s="33"/>
    </row>
    <row r="1377" spans="2:14" ht="15.75" x14ac:dyDescent="0.25">
      <c r="B1377" s="33"/>
      <c r="C1377" s="34"/>
      <c r="F1377" s="35"/>
      <c r="I1377" s="33"/>
      <c r="M1377" s="33"/>
      <c r="N1377" s="33"/>
    </row>
    <row r="1378" spans="2:14" ht="15.75" x14ac:dyDescent="0.25">
      <c r="B1378" s="33"/>
      <c r="C1378" s="34"/>
      <c r="F1378" s="35"/>
      <c r="I1378" s="33"/>
      <c r="M1378" s="33"/>
      <c r="N1378" s="33"/>
    </row>
    <row r="1379" spans="2:14" ht="15.75" x14ac:dyDescent="0.25">
      <c r="B1379" s="33"/>
      <c r="C1379" s="34"/>
      <c r="F1379" s="35"/>
      <c r="I1379" s="33"/>
      <c r="M1379" s="33"/>
      <c r="N1379" s="33"/>
    </row>
    <row r="1380" spans="2:14" ht="15.75" x14ac:dyDescent="0.25">
      <c r="B1380" s="33"/>
      <c r="C1380" s="34"/>
      <c r="F1380" s="35"/>
      <c r="I1380" s="33"/>
      <c r="M1380" s="33"/>
      <c r="N1380" s="33"/>
    </row>
    <row r="1381" spans="2:14" ht="15.75" x14ac:dyDescent="0.25">
      <c r="B1381" s="33"/>
      <c r="C1381" s="34"/>
      <c r="F1381" s="35"/>
      <c r="I1381" s="33"/>
      <c r="M1381" s="33"/>
      <c r="N1381" s="33"/>
    </row>
    <row r="1382" spans="2:14" ht="15.75" x14ac:dyDescent="0.25">
      <c r="B1382" s="33"/>
      <c r="C1382" s="34"/>
      <c r="F1382" s="35"/>
      <c r="I1382" s="33"/>
      <c r="M1382" s="33"/>
      <c r="N1382" s="33"/>
    </row>
    <row r="1383" spans="2:14" ht="15.75" x14ac:dyDescent="0.25">
      <c r="B1383" s="33"/>
      <c r="C1383" s="34"/>
      <c r="F1383" s="35"/>
      <c r="I1383" s="33"/>
      <c r="M1383" s="33"/>
      <c r="N1383" s="33"/>
    </row>
    <row r="1384" spans="2:14" ht="15.75" x14ac:dyDescent="0.25">
      <c r="B1384" s="33"/>
      <c r="C1384" s="34"/>
      <c r="F1384" s="35"/>
      <c r="I1384" s="33"/>
      <c r="M1384" s="33"/>
      <c r="N1384" s="33"/>
    </row>
    <row r="1385" spans="2:14" ht="15.75" x14ac:dyDescent="0.25">
      <c r="B1385" s="33"/>
      <c r="C1385" s="34"/>
      <c r="F1385" s="35"/>
      <c r="I1385" s="33"/>
      <c r="M1385" s="33"/>
      <c r="N1385" s="33"/>
    </row>
    <row r="1386" spans="2:14" ht="15.75" x14ac:dyDescent="0.25">
      <c r="B1386" s="33"/>
      <c r="C1386" s="34"/>
      <c r="F1386" s="35"/>
      <c r="I1386" s="33"/>
      <c r="M1386" s="33"/>
      <c r="N1386" s="33"/>
    </row>
    <row r="1387" spans="2:14" ht="15.75" x14ac:dyDescent="0.25">
      <c r="B1387" s="33"/>
      <c r="C1387" s="34"/>
      <c r="F1387" s="35"/>
      <c r="I1387" s="33"/>
      <c r="M1387" s="33"/>
      <c r="N1387" s="33"/>
    </row>
    <row r="1388" spans="2:14" ht="15.75" x14ac:dyDescent="0.25">
      <c r="B1388" s="33"/>
      <c r="C1388" s="34"/>
      <c r="F1388" s="35"/>
      <c r="I1388" s="33"/>
      <c r="M1388" s="33"/>
      <c r="N1388" s="33"/>
    </row>
    <row r="1389" spans="2:14" ht="15.75" x14ac:dyDescent="0.25">
      <c r="B1389" s="33"/>
      <c r="C1389" s="34"/>
      <c r="F1389" s="35"/>
      <c r="I1389" s="33"/>
      <c r="M1389" s="33"/>
      <c r="N1389" s="33"/>
    </row>
    <row r="1390" spans="2:14" ht="15.75" x14ac:dyDescent="0.25">
      <c r="B1390" s="33"/>
      <c r="C1390" s="34"/>
      <c r="F1390" s="35"/>
      <c r="I1390" s="33"/>
      <c r="M1390" s="33"/>
      <c r="N1390" s="33"/>
    </row>
    <row r="1391" spans="2:14" ht="15.75" x14ac:dyDescent="0.25">
      <c r="B1391" s="33"/>
      <c r="C1391" s="34"/>
      <c r="F1391" s="35"/>
      <c r="I1391" s="33"/>
      <c r="M1391" s="33"/>
      <c r="N1391" s="33"/>
    </row>
    <row r="1392" spans="2:14" ht="15.75" x14ac:dyDescent="0.25">
      <c r="B1392" s="33"/>
      <c r="C1392" s="34"/>
      <c r="F1392" s="35"/>
      <c r="I1392" s="33"/>
      <c r="M1392" s="33"/>
      <c r="N1392" s="33"/>
    </row>
    <row r="1393" spans="2:14" ht="15.75" x14ac:dyDescent="0.25">
      <c r="B1393" s="33"/>
      <c r="C1393" s="34"/>
      <c r="F1393" s="35"/>
      <c r="I1393" s="33"/>
      <c r="M1393" s="33"/>
      <c r="N1393" s="33"/>
    </row>
    <row r="1394" spans="2:14" ht="15.75" x14ac:dyDescent="0.25">
      <c r="B1394" s="33"/>
      <c r="C1394" s="34"/>
      <c r="F1394" s="35"/>
      <c r="I1394" s="33"/>
      <c r="M1394" s="33"/>
      <c r="N1394" s="33"/>
    </row>
    <row r="1395" spans="2:14" ht="15.75" x14ac:dyDescent="0.25">
      <c r="B1395" s="33"/>
      <c r="C1395" s="34"/>
      <c r="F1395" s="35"/>
      <c r="I1395" s="33"/>
      <c r="M1395" s="33"/>
      <c r="N1395" s="33"/>
    </row>
    <row r="1396" spans="2:14" ht="15.75" x14ac:dyDescent="0.25">
      <c r="B1396" s="33"/>
      <c r="C1396" s="34"/>
      <c r="F1396" s="35"/>
      <c r="I1396" s="33"/>
      <c r="M1396" s="33"/>
      <c r="N1396" s="33"/>
    </row>
    <row r="1397" spans="2:14" ht="15.75" x14ac:dyDescent="0.25">
      <c r="B1397" s="33"/>
      <c r="C1397" s="34"/>
      <c r="F1397" s="35"/>
      <c r="I1397" s="33"/>
      <c r="M1397" s="33"/>
      <c r="N1397" s="33"/>
    </row>
    <row r="1398" spans="2:14" ht="15.75" x14ac:dyDescent="0.25">
      <c r="B1398" s="33"/>
      <c r="C1398" s="34"/>
      <c r="F1398" s="35"/>
      <c r="I1398" s="33"/>
      <c r="M1398" s="33"/>
      <c r="N1398" s="33"/>
    </row>
    <row r="1399" spans="2:14" ht="15.75" x14ac:dyDescent="0.25">
      <c r="B1399" s="33"/>
      <c r="C1399" s="34"/>
      <c r="F1399" s="35"/>
      <c r="I1399" s="33"/>
      <c r="M1399" s="33"/>
      <c r="N1399" s="33"/>
    </row>
    <row r="1400" spans="2:14" ht="15.75" x14ac:dyDescent="0.25">
      <c r="B1400" s="33"/>
      <c r="C1400" s="34"/>
      <c r="F1400" s="35"/>
      <c r="I1400" s="33"/>
      <c r="M1400" s="33"/>
      <c r="N1400" s="33"/>
    </row>
    <row r="1401" spans="2:14" ht="15.75" x14ac:dyDescent="0.25">
      <c r="B1401" s="33"/>
      <c r="C1401" s="34"/>
      <c r="F1401" s="35"/>
      <c r="I1401" s="33"/>
      <c r="M1401" s="33"/>
      <c r="N1401" s="33"/>
    </row>
    <row r="1402" spans="2:14" ht="15.75" x14ac:dyDescent="0.25">
      <c r="B1402" s="33"/>
      <c r="C1402" s="34"/>
      <c r="F1402" s="35"/>
      <c r="I1402" s="33"/>
      <c r="M1402" s="33"/>
      <c r="N1402" s="33"/>
    </row>
    <row r="1403" spans="2:14" ht="15.75" x14ac:dyDescent="0.25">
      <c r="B1403" s="33"/>
      <c r="C1403" s="34"/>
      <c r="F1403" s="35"/>
      <c r="I1403" s="33"/>
      <c r="M1403" s="33"/>
      <c r="N1403" s="33"/>
    </row>
    <row r="1404" spans="2:14" ht="15.75" x14ac:dyDescent="0.25">
      <c r="B1404" s="33"/>
      <c r="C1404" s="34"/>
      <c r="F1404" s="35"/>
      <c r="I1404" s="33"/>
      <c r="M1404" s="33"/>
      <c r="N1404" s="33"/>
    </row>
    <row r="1405" spans="2:14" ht="15.75" x14ac:dyDescent="0.25">
      <c r="B1405" s="33"/>
      <c r="C1405" s="34"/>
      <c r="F1405" s="35"/>
      <c r="I1405" s="33"/>
      <c r="M1405" s="33"/>
      <c r="N1405" s="33"/>
    </row>
    <row r="1406" spans="2:14" ht="15.75" x14ac:dyDescent="0.25">
      <c r="B1406" s="33"/>
      <c r="C1406" s="34"/>
      <c r="F1406" s="35"/>
      <c r="I1406" s="33"/>
      <c r="M1406" s="33"/>
      <c r="N1406" s="33"/>
    </row>
    <row r="1407" spans="2:14" ht="15.75" x14ac:dyDescent="0.25">
      <c r="B1407" s="33"/>
      <c r="C1407" s="34"/>
      <c r="F1407" s="35"/>
      <c r="I1407" s="33"/>
      <c r="M1407" s="33"/>
      <c r="N1407" s="33"/>
    </row>
    <row r="1408" spans="2:14" ht="15.75" x14ac:dyDescent="0.25">
      <c r="B1408" s="33"/>
      <c r="C1408" s="34"/>
      <c r="F1408" s="35"/>
      <c r="I1408" s="33"/>
      <c r="M1408" s="33"/>
      <c r="N1408" s="33"/>
    </row>
    <row r="1409" spans="2:14" ht="15.75" x14ac:dyDescent="0.25">
      <c r="B1409" s="33"/>
      <c r="C1409" s="34"/>
      <c r="F1409" s="35"/>
      <c r="I1409" s="33"/>
      <c r="M1409" s="33"/>
      <c r="N1409" s="33"/>
    </row>
    <row r="1410" spans="2:14" ht="15.75" x14ac:dyDescent="0.25">
      <c r="B1410" s="33"/>
      <c r="C1410" s="34"/>
      <c r="F1410" s="35"/>
      <c r="I1410" s="33"/>
      <c r="M1410" s="33"/>
      <c r="N1410" s="33"/>
    </row>
    <row r="1411" spans="2:14" ht="15.75" x14ac:dyDescent="0.25">
      <c r="B1411" s="33"/>
      <c r="C1411" s="34"/>
      <c r="F1411" s="35"/>
      <c r="I1411" s="33"/>
      <c r="M1411" s="33"/>
      <c r="N1411" s="33"/>
    </row>
    <row r="1412" spans="2:14" ht="15.75" x14ac:dyDescent="0.25">
      <c r="B1412" s="33"/>
      <c r="C1412" s="34"/>
      <c r="F1412" s="35"/>
      <c r="I1412" s="33"/>
      <c r="M1412" s="33"/>
      <c r="N1412" s="33"/>
    </row>
    <row r="1413" spans="2:14" ht="15.75" x14ac:dyDescent="0.25">
      <c r="B1413" s="33"/>
      <c r="C1413" s="34"/>
      <c r="F1413" s="35"/>
      <c r="I1413" s="33"/>
      <c r="M1413" s="33"/>
      <c r="N1413" s="33"/>
    </row>
    <row r="1414" spans="2:14" ht="15.75" x14ac:dyDescent="0.25">
      <c r="B1414" s="33"/>
      <c r="C1414" s="34"/>
      <c r="F1414" s="35"/>
      <c r="I1414" s="33"/>
      <c r="M1414" s="33"/>
      <c r="N1414" s="33"/>
    </row>
    <row r="1415" spans="2:14" ht="15.75" x14ac:dyDescent="0.25">
      <c r="B1415" s="33"/>
      <c r="C1415" s="34"/>
      <c r="F1415" s="35"/>
      <c r="I1415" s="33"/>
      <c r="M1415" s="33"/>
      <c r="N1415" s="33"/>
    </row>
    <row r="1416" spans="2:14" ht="15.75" x14ac:dyDescent="0.25">
      <c r="B1416" s="33"/>
      <c r="C1416" s="34"/>
      <c r="F1416" s="35"/>
      <c r="I1416" s="33"/>
      <c r="M1416" s="33"/>
      <c r="N1416" s="33"/>
    </row>
    <row r="1417" spans="2:14" ht="15.75" x14ac:dyDescent="0.25">
      <c r="B1417" s="33"/>
      <c r="C1417" s="34"/>
      <c r="F1417" s="35"/>
      <c r="I1417" s="33"/>
      <c r="M1417" s="33"/>
      <c r="N1417" s="33"/>
    </row>
    <row r="1418" spans="2:14" ht="15.75" x14ac:dyDescent="0.25">
      <c r="B1418" s="33"/>
      <c r="C1418" s="34"/>
      <c r="F1418" s="35"/>
      <c r="I1418" s="33"/>
      <c r="M1418" s="33"/>
      <c r="N1418" s="33"/>
    </row>
    <row r="1419" spans="2:14" ht="15.75" x14ac:dyDescent="0.25">
      <c r="B1419" s="33"/>
      <c r="C1419" s="34"/>
      <c r="F1419" s="35"/>
      <c r="I1419" s="33"/>
      <c r="M1419" s="33"/>
      <c r="N1419" s="33"/>
    </row>
    <row r="1420" spans="2:14" ht="15.75" x14ac:dyDescent="0.25">
      <c r="B1420" s="33"/>
      <c r="C1420" s="34"/>
      <c r="F1420" s="35"/>
      <c r="I1420" s="33"/>
      <c r="M1420" s="33"/>
      <c r="N1420" s="33"/>
    </row>
    <row r="1421" spans="2:14" ht="15.75" x14ac:dyDescent="0.25">
      <c r="B1421" s="33"/>
      <c r="C1421" s="34"/>
      <c r="F1421" s="35"/>
      <c r="I1421" s="33"/>
      <c r="M1421" s="33"/>
      <c r="N1421" s="33"/>
    </row>
    <row r="1422" spans="2:14" ht="15.75" x14ac:dyDescent="0.25">
      <c r="B1422" s="33"/>
      <c r="C1422" s="34"/>
      <c r="F1422" s="35"/>
      <c r="I1422" s="33"/>
      <c r="M1422" s="33"/>
      <c r="N1422" s="33"/>
    </row>
    <row r="1423" spans="2:14" ht="15.75" x14ac:dyDescent="0.25">
      <c r="B1423" s="33"/>
      <c r="C1423" s="34"/>
      <c r="F1423" s="35"/>
      <c r="I1423" s="33"/>
      <c r="M1423" s="33"/>
      <c r="N1423" s="33"/>
    </row>
    <row r="1424" spans="2:14" ht="15.75" x14ac:dyDescent="0.25">
      <c r="B1424" s="33"/>
      <c r="C1424" s="34"/>
      <c r="F1424" s="35"/>
      <c r="I1424" s="33"/>
      <c r="M1424" s="33"/>
      <c r="N1424" s="33"/>
    </row>
    <row r="1425" spans="2:14" ht="15.75" x14ac:dyDescent="0.25">
      <c r="B1425" s="33"/>
      <c r="C1425" s="34"/>
      <c r="F1425" s="35"/>
      <c r="I1425" s="33"/>
      <c r="M1425" s="33"/>
      <c r="N1425" s="33"/>
    </row>
    <row r="1426" spans="2:14" ht="15.75" x14ac:dyDescent="0.25">
      <c r="B1426" s="33"/>
      <c r="C1426" s="34"/>
      <c r="F1426" s="35"/>
      <c r="I1426" s="33"/>
      <c r="M1426" s="33"/>
      <c r="N1426" s="33"/>
    </row>
    <row r="1427" spans="2:14" ht="15.75" x14ac:dyDescent="0.25">
      <c r="B1427" s="33"/>
      <c r="C1427" s="34"/>
      <c r="F1427" s="35"/>
      <c r="I1427" s="33"/>
      <c r="M1427" s="33"/>
      <c r="N1427" s="33"/>
    </row>
    <row r="1428" spans="2:14" ht="15.75" x14ac:dyDescent="0.25">
      <c r="B1428" s="33"/>
      <c r="C1428" s="34"/>
      <c r="F1428" s="35"/>
      <c r="I1428" s="33"/>
      <c r="M1428" s="33"/>
      <c r="N1428" s="33"/>
    </row>
    <row r="1429" spans="2:14" ht="15.75" x14ac:dyDescent="0.25">
      <c r="B1429" s="33"/>
      <c r="C1429" s="34"/>
      <c r="F1429" s="35"/>
      <c r="I1429" s="33"/>
      <c r="M1429" s="33"/>
      <c r="N1429" s="33"/>
    </row>
    <row r="1430" spans="2:14" ht="15.75" x14ac:dyDescent="0.25">
      <c r="B1430" s="33"/>
      <c r="C1430" s="34"/>
      <c r="F1430" s="35"/>
      <c r="I1430" s="33"/>
      <c r="M1430" s="33"/>
      <c r="N1430" s="33"/>
    </row>
    <row r="1431" spans="2:14" ht="15.75" x14ac:dyDescent="0.25">
      <c r="B1431" s="33"/>
      <c r="C1431" s="34"/>
      <c r="F1431" s="35"/>
      <c r="I1431" s="33"/>
      <c r="M1431" s="33"/>
      <c r="N1431" s="33"/>
    </row>
    <row r="1432" spans="2:14" ht="15.75" x14ac:dyDescent="0.25">
      <c r="B1432" s="33"/>
      <c r="C1432" s="34"/>
      <c r="F1432" s="35"/>
      <c r="I1432" s="33"/>
      <c r="M1432" s="33"/>
      <c r="N1432" s="33"/>
    </row>
    <row r="1433" spans="2:14" ht="15.75" x14ac:dyDescent="0.25">
      <c r="B1433" s="33"/>
      <c r="C1433" s="34"/>
      <c r="F1433" s="35"/>
      <c r="I1433" s="33"/>
      <c r="M1433" s="33"/>
      <c r="N1433" s="33"/>
    </row>
    <row r="1434" spans="2:14" ht="15.75" x14ac:dyDescent="0.25">
      <c r="B1434" s="33"/>
      <c r="C1434" s="34"/>
      <c r="F1434" s="35"/>
      <c r="I1434" s="33"/>
      <c r="M1434" s="33"/>
      <c r="N1434" s="33"/>
    </row>
    <row r="1435" spans="2:14" ht="15.75" x14ac:dyDescent="0.25">
      <c r="B1435" s="33"/>
      <c r="C1435" s="34"/>
      <c r="F1435" s="35"/>
      <c r="I1435" s="33"/>
      <c r="M1435" s="33"/>
      <c r="N1435" s="33"/>
    </row>
    <row r="1436" spans="2:14" ht="15.75" x14ac:dyDescent="0.25">
      <c r="B1436" s="33"/>
      <c r="C1436" s="34"/>
      <c r="F1436" s="35"/>
      <c r="I1436" s="33"/>
      <c r="M1436" s="33"/>
      <c r="N1436" s="33"/>
    </row>
    <row r="1437" spans="2:14" ht="15.75" x14ac:dyDescent="0.25">
      <c r="B1437" s="33"/>
      <c r="C1437" s="34"/>
      <c r="F1437" s="35"/>
      <c r="I1437" s="33"/>
      <c r="M1437" s="33"/>
      <c r="N1437" s="33"/>
    </row>
    <row r="1438" spans="2:14" ht="15.75" x14ac:dyDescent="0.25">
      <c r="B1438" s="33"/>
      <c r="C1438" s="34"/>
      <c r="F1438" s="35"/>
      <c r="I1438" s="33"/>
      <c r="M1438" s="33"/>
      <c r="N1438" s="33"/>
    </row>
    <row r="1439" spans="2:14" ht="15.75" x14ac:dyDescent="0.25">
      <c r="B1439" s="33"/>
      <c r="C1439" s="34"/>
      <c r="F1439" s="35"/>
      <c r="I1439" s="33"/>
      <c r="M1439" s="33"/>
      <c r="N1439" s="33"/>
    </row>
    <row r="1440" spans="2:14" ht="15.75" x14ac:dyDescent="0.25">
      <c r="B1440" s="33"/>
      <c r="C1440" s="34"/>
      <c r="F1440" s="35"/>
      <c r="I1440" s="33"/>
      <c r="M1440" s="33"/>
      <c r="N1440" s="33"/>
    </row>
    <row r="1441" spans="2:14" ht="15.75" x14ac:dyDescent="0.25">
      <c r="B1441" s="33"/>
      <c r="C1441" s="34"/>
      <c r="F1441" s="35"/>
      <c r="I1441" s="33"/>
      <c r="M1441" s="33"/>
      <c r="N1441" s="33"/>
    </row>
    <row r="1442" spans="2:14" ht="15.75" x14ac:dyDescent="0.25">
      <c r="B1442" s="33"/>
      <c r="C1442" s="34"/>
      <c r="F1442" s="35"/>
      <c r="I1442" s="33"/>
      <c r="M1442" s="33"/>
      <c r="N1442" s="33"/>
    </row>
    <row r="1443" spans="2:14" ht="15.75" x14ac:dyDescent="0.25">
      <c r="B1443" s="33"/>
      <c r="C1443" s="34"/>
      <c r="F1443" s="35"/>
      <c r="I1443" s="33"/>
      <c r="M1443" s="33"/>
      <c r="N1443" s="33"/>
    </row>
    <row r="1444" spans="2:14" ht="15.75" x14ac:dyDescent="0.25">
      <c r="B1444" s="33"/>
      <c r="C1444" s="34"/>
      <c r="F1444" s="35"/>
      <c r="I1444" s="33"/>
      <c r="M1444" s="33"/>
      <c r="N1444" s="33"/>
    </row>
    <row r="1445" spans="2:14" ht="15.75" x14ac:dyDescent="0.25">
      <c r="B1445" s="33"/>
      <c r="C1445" s="34"/>
      <c r="F1445" s="35"/>
      <c r="I1445" s="33"/>
      <c r="M1445" s="33"/>
      <c r="N1445" s="33"/>
    </row>
    <row r="1446" spans="2:14" ht="15.75" x14ac:dyDescent="0.25">
      <c r="B1446" s="33"/>
      <c r="C1446" s="34"/>
      <c r="F1446" s="35"/>
      <c r="I1446" s="33"/>
      <c r="M1446" s="33"/>
      <c r="N1446" s="33"/>
    </row>
    <row r="1447" spans="2:14" ht="15.75" x14ac:dyDescent="0.25">
      <c r="B1447" s="33"/>
      <c r="C1447" s="34"/>
      <c r="F1447" s="35"/>
      <c r="I1447" s="33"/>
      <c r="M1447" s="33"/>
      <c r="N1447" s="33"/>
    </row>
    <row r="1448" spans="2:14" ht="15.75" x14ac:dyDescent="0.25">
      <c r="B1448" s="33"/>
      <c r="C1448" s="34"/>
      <c r="F1448" s="35"/>
      <c r="I1448" s="33"/>
      <c r="M1448" s="33"/>
      <c r="N1448" s="33"/>
    </row>
    <row r="1449" spans="2:14" ht="15.75" x14ac:dyDescent="0.25">
      <c r="B1449" s="33"/>
      <c r="C1449" s="34"/>
      <c r="F1449" s="35"/>
      <c r="I1449" s="33"/>
      <c r="M1449" s="33"/>
      <c r="N1449" s="33"/>
    </row>
    <row r="1450" spans="2:14" ht="15.75" x14ac:dyDescent="0.25">
      <c r="B1450" s="33"/>
      <c r="C1450" s="34"/>
      <c r="F1450" s="35"/>
      <c r="I1450" s="33"/>
      <c r="M1450" s="33"/>
      <c r="N1450" s="33"/>
    </row>
    <row r="1451" spans="2:14" ht="15.75" x14ac:dyDescent="0.25">
      <c r="B1451" s="33"/>
      <c r="C1451" s="34"/>
      <c r="F1451" s="35"/>
      <c r="I1451" s="33"/>
      <c r="M1451" s="33"/>
      <c r="N1451" s="33"/>
    </row>
    <row r="1452" spans="2:14" ht="15.75" x14ac:dyDescent="0.25">
      <c r="B1452" s="33"/>
      <c r="C1452" s="34"/>
      <c r="F1452" s="35"/>
      <c r="I1452" s="33"/>
      <c r="M1452" s="33"/>
      <c r="N1452" s="33"/>
    </row>
    <row r="1453" spans="2:14" ht="15.75" x14ac:dyDescent="0.25">
      <c r="B1453" s="33"/>
      <c r="C1453" s="34"/>
      <c r="F1453" s="35"/>
      <c r="I1453" s="33"/>
      <c r="M1453" s="33"/>
      <c r="N1453" s="33"/>
    </row>
    <row r="1454" spans="2:14" ht="15.75" x14ac:dyDescent="0.25">
      <c r="B1454" s="33"/>
      <c r="C1454" s="34"/>
      <c r="F1454" s="35"/>
      <c r="I1454" s="33"/>
      <c r="M1454" s="33"/>
      <c r="N1454" s="33"/>
    </row>
    <row r="1455" spans="2:14" ht="15.75" x14ac:dyDescent="0.25">
      <c r="B1455" s="33"/>
      <c r="C1455" s="34"/>
      <c r="F1455" s="35"/>
      <c r="I1455" s="33"/>
      <c r="M1455" s="33"/>
      <c r="N1455" s="33"/>
    </row>
    <row r="1456" spans="2:14" ht="15.75" x14ac:dyDescent="0.25">
      <c r="B1456" s="33"/>
      <c r="C1456" s="34"/>
      <c r="F1456" s="35"/>
      <c r="I1456" s="33"/>
      <c r="M1456" s="33"/>
      <c r="N1456" s="33"/>
    </row>
    <row r="1457" spans="2:14" ht="15.75" x14ac:dyDescent="0.25">
      <c r="B1457" s="33"/>
      <c r="C1457" s="34"/>
      <c r="F1457" s="35"/>
      <c r="I1457" s="33"/>
      <c r="M1457" s="33"/>
      <c r="N1457" s="33"/>
    </row>
    <row r="1458" spans="2:14" ht="15.75" x14ac:dyDescent="0.25">
      <c r="B1458" s="33"/>
      <c r="C1458" s="34"/>
      <c r="F1458" s="35"/>
      <c r="I1458" s="33"/>
      <c r="M1458" s="33"/>
      <c r="N1458" s="33"/>
    </row>
    <row r="1459" spans="2:14" ht="15.75" x14ac:dyDescent="0.25">
      <c r="B1459" s="33"/>
      <c r="C1459" s="34"/>
      <c r="F1459" s="35"/>
      <c r="I1459" s="33"/>
      <c r="M1459" s="33"/>
      <c r="N1459" s="33"/>
    </row>
    <row r="1460" spans="2:14" ht="15.75" x14ac:dyDescent="0.25">
      <c r="B1460" s="33"/>
      <c r="C1460" s="34"/>
      <c r="F1460" s="35"/>
      <c r="I1460" s="33"/>
      <c r="M1460" s="33"/>
      <c r="N1460" s="33"/>
    </row>
    <row r="1461" spans="2:14" ht="15.75" x14ac:dyDescent="0.25">
      <c r="B1461" s="33"/>
      <c r="C1461" s="34"/>
      <c r="F1461" s="35"/>
      <c r="I1461" s="33"/>
      <c r="M1461" s="33"/>
      <c r="N1461" s="33"/>
    </row>
    <row r="1462" spans="2:14" ht="15.75" x14ac:dyDescent="0.25">
      <c r="B1462" s="33"/>
      <c r="C1462" s="34"/>
      <c r="F1462" s="35"/>
      <c r="I1462" s="33"/>
      <c r="M1462" s="33"/>
      <c r="N1462" s="33"/>
    </row>
    <row r="1463" spans="2:14" ht="15.75" x14ac:dyDescent="0.25">
      <c r="B1463" s="33"/>
      <c r="C1463" s="34"/>
      <c r="F1463" s="35"/>
      <c r="I1463" s="33"/>
      <c r="M1463" s="33"/>
      <c r="N1463" s="33"/>
    </row>
    <row r="1464" spans="2:14" ht="15.75" x14ac:dyDescent="0.25">
      <c r="B1464" s="33"/>
      <c r="C1464" s="34"/>
      <c r="F1464" s="35"/>
      <c r="I1464" s="33"/>
      <c r="M1464" s="33"/>
      <c r="N1464" s="33"/>
    </row>
    <row r="1465" spans="2:14" ht="15.75" x14ac:dyDescent="0.25">
      <c r="B1465" s="33"/>
      <c r="C1465" s="34"/>
      <c r="F1465" s="35"/>
      <c r="I1465" s="33"/>
      <c r="M1465" s="33"/>
      <c r="N1465" s="33"/>
    </row>
    <row r="1466" spans="2:14" ht="15.75" x14ac:dyDescent="0.25">
      <c r="B1466" s="33"/>
      <c r="C1466" s="34"/>
      <c r="F1466" s="35"/>
      <c r="I1466" s="33"/>
      <c r="M1466" s="33"/>
      <c r="N1466" s="33"/>
    </row>
    <row r="1467" spans="2:14" ht="15.75" x14ac:dyDescent="0.25">
      <c r="B1467" s="33"/>
      <c r="C1467" s="34"/>
      <c r="F1467" s="35"/>
      <c r="I1467" s="33"/>
      <c r="M1467" s="33"/>
      <c r="N1467" s="33"/>
    </row>
    <row r="1468" spans="2:14" ht="15.75" x14ac:dyDescent="0.25">
      <c r="B1468" s="33"/>
      <c r="C1468" s="34"/>
      <c r="F1468" s="35"/>
      <c r="I1468" s="33"/>
      <c r="M1468" s="33"/>
      <c r="N1468" s="33"/>
    </row>
    <row r="1469" spans="2:14" ht="15.75" x14ac:dyDescent="0.25">
      <c r="B1469" s="33"/>
      <c r="C1469" s="34"/>
      <c r="F1469" s="35"/>
      <c r="I1469" s="33"/>
      <c r="M1469" s="33"/>
      <c r="N1469" s="33"/>
    </row>
    <row r="1470" spans="2:14" ht="15.75" x14ac:dyDescent="0.25">
      <c r="B1470" s="33"/>
      <c r="C1470" s="34"/>
      <c r="F1470" s="35"/>
      <c r="I1470" s="33"/>
      <c r="M1470" s="33"/>
      <c r="N1470" s="33"/>
    </row>
    <row r="1471" spans="2:14" ht="15.75" x14ac:dyDescent="0.25">
      <c r="B1471" s="33"/>
      <c r="C1471" s="34"/>
      <c r="F1471" s="35"/>
      <c r="I1471" s="33"/>
      <c r="M1471" s="33"/>
      <c r="N1471" s="33"/>
    </row>
    <row r="1472" spans="2:14" ht="15.75" x14ac:dyDescent="0.25">
      <c r="B1472" s="33"/>
      <c r="C1472" s="34"/>
      <c r="F1472" s="35"/>
      <c r="I1472" s="33"/>
      <c r="M1472" s="33"/>
      <c r="N1472" s="33"/>
    </row>
    <row r="1473" spans="2:14" ht="15.75" x14ac:dyDescent="0.25">
      <c r="B1473" s="33"/>
      <c r="C1473" s="34"/>
      <c r="F1473" s="35"/>
      <c r="I1473" s="33"/>
      <c r="M1473" s="33"/>
      <c r="N1473" s="33"/>
    </row>
    <row r="1474" spans="2:14" ht="15.75" x14ac:dyDescent="0.25">
      <c r="B1474" s="33"/>
      <c r="C1474" s="34"/>
      <c r="F1474" s="35"/>
      <c r="I1474" s="33"/>
      <c r="M1474" s="33"/>
      <c r="N1474" s="33"/>
    </row>
    <row r="1475" spans="2:14" ht="15.75" x14ac:dyDescent="0.25">
      <c r="B1475" s="33"/>
      <c r="C1475" s="34"/>
      <c r="F1475" s="35"/>
      <c r="I1475" s="33"/>
      <c r="M1475" s="33"/>
      <c r="N1475" s="33"/>
    </row>
    <row r="1476" spans="2:14" ht="15.75" x14ac:dyDescent="0.25">
      <c r="B1476" s="33"/>
      <c r="C1476" s="34"/>
      <c r="F1476" s="35"/>
      <c r="I1476" s="33"/>
      <c r="M1476" s="33"/>
      <c r="N1476" s="33"/>
    </row>
    <row r="1477" spans="2:14" ht="15.75" x14ac:dyDescent="0.25">
      <c r="B1477" s="33"/>
      <c r="C1477" s="34"/>
      <c r="F1477" s="35"/>
      <c r="I1477" s="33"/>
      <c r="M1477" s="33"/>
      <c r="N1477" s="33"/>
    </row>
    <row r="1478" spans="2:14" ht="15.75" x14ac:dyDescent="0.25">
      <c r="B1478" s="33"/>
      <c r="C1478" s="34"/>
      <c r="F1478" s="35"/>
      <c r="I1478" s="33"/>
      <c r="M1478" s="33"/>
      <c r="N1478" s="33"/>
    </row>
    <row r="1479" spans="2:14" ht="15.75" x14ac:dyDescent="0.25">
      <c r="B1479" s="33"/>
      <c r="C1479" s="34"/>
      <c r="F1479" s="35"/>
      <c r="I1479" s="33"/>
      <c r="M1479" s="33"/>
      <c r="N1479" s="33"/>
    </row>
    <row r="1480" spans="2:14" ht="15.75" x14ac:dyDescent="0.25">
      <c r="B1480" s="33"/>
      <c r="C1480" s="34"/>
      <c r="F1480" s="35"/>
      <c r="I1480" s="33"/>
      <c r="M1480" s="33"/>
      <c r="N1480" s="33"/>
    </row>
    <row r="1481" spans="2:14" ht="15.75" x14ac:dyDescent="0.25">
      <c r="B1481" s="33"/>
      <c r="C1481" s="34"/>
      <c r="F1481" s="35"/>
      <c r="I1481" s="33"/>
      <c r="M1481" s="33"/>
      <c r="N1481" s="33"/>
    </row>
    <row r="1482" spans="2:14" ht="15.75" x14ac:dyDescent="0.25">
      <c r="B1482" s="33"/>
      <c r="C1482" s="34"/>
      <c r="F1482" s="35"/>
      <c r="I1482" s="33"/>
      <c r="M1482" s="33"/>
      <c r="N1482" s="33"/>
    </row>
    <row r="1483" spans="2:14" ht="15.75" x14ac:dyDescent="0.25">
      <c r="B1483" s="33"/>
      <c r="C1483" s="34"/>
      <c r="F1483" s="35"/>
      <c r="I1483" s="33"/>
      <c r="M1483" s="33"/>
      <c r="N1483" s="33"/>
    </row>
    <row r="1484" spans="2:14" ht="15.75" x14ac:dyDescent="0.25">
      <c r="B1484" s="33"/>
      <c r="C1484" s="34"/>
      <c r="F1484" s="35"/>
      <c r="I1484" s="33"/>
      <c r="M1484" s="33"/>
      <c r="N1484" s="33"/>
    </row>
    <row r="1485" spans="2:14" ht="15.75" x14ac:dyDescent="0.25">
      <c r="B1485" s="33"/>
      <c r="C1485" s="34"/>
      <c r="F1485" s="35"/>
      <c r="I1485" s="33"/>
      <c r="M1485" s="33"/>
      <c r="N1485" s="33"/>
    </row>
    <row r="1486" spans="2:14" ht="15.75" x14ac:dyDescent="0.25">
      <c r="B1486" s="33"/>
      <c r="C1486" s="34"/>
      <c r="F1486" s="35"/>
      <c r="I1486" s="33"/>
      <c r="M1486" s="33"/>
      <c r="N1486" s="33"/>
    </row>
    <row r="1487" spans="2:14" ht="15.75" x14ac:dyDescent="0.25">
      <c r="B1487" s="33"/>
      <c r="C1487" s="34"/>
      <c r="F1487" s="35"/>
      <c r="I1487" s="33"/>
      <c r="M1487" s="33"/>
      <c r="N1487" s="33"/>
    </row>
    <row r="1488" spans="2:14" ht="15.75" x14ac:dyDescent="0.25">
      <c r="B1488" s="33"/>
      <c r="C1488" s="34"/>
      <c r="F1488" s="35"/>
      <c r="I1488" s="33"/>
      <c r="M1488" s="33"/>
      <c r="N1488" s="33"/>
    </row>
    <row r="1489" spans="2:14" ht="15.75" x14ac:dyDescent="0.25">
      <c r="B1489" s="33"/>
      <c r="C1489" s="34"/>
      <c r="F1489" s="35"/>
      <c r="I1489" s="33"/>
      <c r="M1489" s="33"/>
      <c r="N1489" s="33"/>
    </row>
    <row r="1490" spans="2:14" ht="15.75" x14ac:dyDescent="0.25">
      <c r="B1490" s="33"/>
      <c r="C1490" s="34"/>
      <c r="F1490" s="35"/>
      <c r="I1490" s="33"/>
      <c r="M1490" s="33"/>
      <c r="N1490" s="33"/>
    </row>
    <row r="1491" spans="2:14" ht="15.75" x14ac:dyDescent="0.25">
      <c r="B1491" s="33"/>
      <c r="C1491" s="34"/>
      <c r="F1491" s="35"/>
      <c r="I1491" s="33"/>
      <c r="M1491" s="33"/>
      <c r="N1491" s="33"/>
    </row>
    <row r="1492" spans="2:14" ht="15.75" x14ac:dyDescent="0.25">
      <c r="B1492" s="33"/>
      <c r="C1492" s="34"/>
      <c r="F1492" s="35"/>
      <c r="I1492" s="33"/>
      <c r="M1492" s="33"/>
      <c r="N1492" s="33"/>
    </row>
    <row r="1493" spans="2:14" ht="15.75" x14ac:dyDescent="0.25">
      <c r="B1493" s="33"/>
      <c r="C1493" s="34"/>
      <c r="F1493" s="35"/>
      <c r="I1493" s="33"/>
      <c r="M1493" s="33"/>
      <c r="N1493" s="33"/>
    </row>
    <row r="1494" spans="2:14" ht="15.75" x14ac:dyDescent="0.25">
      <c r="B1494" s="33"/>
      <c r="C1494" s="34"/>
      <c r="F1494" s="35"/>
      <c r="I1494" s="33"/>
      <c r="M1494" s="33"/>
      <c r="N1494" s="33"/>
    </row>
    <row r="1495" spans="2:14" ht="15.75" x14ac:dyDescent="0.25">
      <c r="B1495" s="33"/>
      <c r="C1495" s="34"/>
      <c r="F1495" s="35"/>
      <c r="I1495" s="33"/>
      <c r="M1495" s="33"/>
      <c r="N1495" s="33"/>
    </row>
    <row r="1496" spans="2:14" ht="15.75" x14ac:dyDescent="0.25">
      <c r="B1496" s="33"/>
      <c r="C1496" s="34"/>
      <c r="F1496" s="35"/>
      <c r="I1496" s="33"/>
      <c r="M1496" s="33"/>
      <c r="N1496" s="33"/>
    </row>
    <row r="1497" spans="2:14" ht="15.75" x14ac:dyDescent="0.25">
      <c r="B1497" s="33"/>
      <c r="C1497" s="34"/>
      <c r="F1497" s="35"/>
      <c r="I1497" s="33"/>
      <c r="M1497" s="33"/>
      <c r="N1497" s="33"/>
    </row>
    <row r="1498" spans="2:14" ht="15.75" x14ac:dyDescent="0.25">
      <c r="B1498" s="33"/>
      <c r="C1498" s="34"/>
      <c r="F1498" s="35"/>
      <c r="I1498" s="33"/>
      <c r="M1498" s="33"/>
      <c r="N1498" s="33"/>
    </row>
    <row r="1499" spans="2:14" ht="15.75" x14ac:dyDescent="0.25">
      <c r="B1499" s="33"/>
      <c r="C1499" s="34"/>
      <c r="F1499" s="35"/>
      <c r="I1499" s="33"/>
      <c r="M1499" s="33"/>
      <c r="N1499" s="33"/>
    </row>
    <row r="1500" spans="2:14" ht="15.75" x14ac:dyDescent="0.25">
      <c r="B1500" s="33"/>
      <c r="C1500" s="34"/>
      <c r="F1500" s="35"/>
      <c r="I1500" s="33"/>
      <c r="M1500" s="33"/>
      <c r="N1500" s="33"/>
    </row>
    <row r="1501" spans="2:14" ht="15.75" x14ac:dyDescent="0.25">
      <c r="B1501" s="33"/>
      <c r="C1501" s="34"/>
      <c r="F1501" s="35"/>
      <c r="I1501" s="33"/>
      <c r="M1501" s="33"/>
      <c r="N1501" s="33"/>
    </row>
    <row r="1502" spans="2:14" ht="15.75" x14ac:dyDescent="0.25">
      <c r="B1502" s="33"/>
      <c r="C1502" s="34"/>
      <c r="F1502" s="35"/>
      <c r="I1502" s="33"/>
      <c r="M1502" s="33"/>
      <c r="N1502" s="33"/>
    </row>
    <row r="1503" spans="2:14" ht="15.75" x14ac:dyDescent="0.25">
      <c r="B1503" s="33"/>
      <c r="C1503" s="34"/>
      <c r="F1503" s="35"/>
      <c r="I1503" s="33"/>
      <c r="M1503" s="33"/>
      <c r="N1503" s="33"/>
    </row>
    <row r="1504" spans="2:14" ht="15.75" x14ac:dyDescent="0.25">
      <c r="B1504" s="33"/>
      <c r="C1504" s="34"/>
      <c r="F1504" s="35"/>
      <c r="I1504" s="33"/>
      <c r="M1504" s="33"/>
      <c r="N1504" s="33"/>
    </row>
    <row r="1505" spans="2:14" ht="15.75" x14ac:dyDescent="0.25">
      <c r="B1505" s="33"/>
      <c r="C1505" s="34"/>
      <c r="F1505" s="35"/>
      <c r="I1505" s="33"/>
      <c r="M1505" s="33"/>
      <c r="N1505" s="33"/>
    </row>
    <row r="1506" spans="2:14" ht="15.75" x14ac:dyDescent="0.25">
      <c r="B1506" s="33"/>
      <c r="C1506" s="34"/>
      <c r="F1506" s="35"/>
      <c r="I1506" s="33"/>
      <c r="M1506" s="33"/>
      <c r="N1506" s="33"/>
    </row>
    <row r="1507" spans="2:14" ht="15.75" x14ac:dyDescent="0.25">
      <c r="B1507" s="33"/>
      <c r="C1507" s="34"/>
      <c r="F1507" s="35"/>
      <c r="I1507" s="33"/>
      <c r="M1507" s="33"/>
      <c r="N1507" s="33"/>
    </row>
    <row r="1508" spans="2:14" ht="15.75" x14ac:dyDescent="0.25">
      <c r="B1508" s="33"/>
      <c r="C1508" s="34"/>
      <c r="F1508" s="35"/>
      <c r="I1508" s="33"/>
      <c r="M1508" s="33"/>
      <c r="N1508" s="33"/>
    </row>
    <row r="1509" spans="2:14" ht="15.75" x14ac:dyDescent="0.25">
      <c r="B1509" s="33"/>
      <c r="C1509" s="34"/>
      <c r="F1509" s="35"/>
      <c r="I1509" s="33"/>
      <c r="M1509" s="33"/>
      <c r="N1509" s="33"/>
    </row>
    <row r="1510" spans="2:14" ht="15.75" x14ac:dyDescent="0.25">
      <c r="B1510" s="33"/>
      <c r="C1510" s="34"/>
      <c r="F1510" s="35"/>
      <c r="I1510" s="33"/>
      <c r="M1510" s="33"/>
      <c r="N1510" s="33"/>
    </row>
    <row r="1511" spans="2:14" ht="15.75" x14ac:dyDescent="0.25">
      <c r="B1511" s="33"/>
      <c r="C1511" s="34"/>
      <c r="F1511" s="35"/>
      <c r="I1511" s="33"/>
      <c r="M1511" s="33"/>
      <c r="N1511" s="33"/>
    </row>
    <row r="1512" spans="2:14" ht="15.75" x14ac:dyDescent="0.25">
      <c r="B1512" s="33"/>
      <c r="C1512" s="34"/>
      <c r="F1512" s="35"/>
      <c r="I1512" s="33"/>
      <c r="M1512" s="33"/>
      <c r="N1512" s="33"/>
    </row>
    <row r="1513" spans="2:14" ht="15.75" x14ac:dyDescent="0.25">
      <c r="B1513" s="33"/>
      <c r="C1513" s="34"/>
      <c r="F1513" s="35"/>
      <c r="I1513" s="33"/>
      <c r="M1513" s="33"/>
      <c r="N1513" s="33"/>
    </row>
    <row r="1514" spans="2:14" ht="15.75" x14ac:dyDescent="0.25">
      <c r="B1514" s="33"/>
      <c r="C1514" s="34"/>
      <c r="F1514" s="35"/>
      <c r="I1514" s="33"/>
      <c r="M1514" s="33"/>
      <c r="N1514" s="33"/>
    </row>
    <row r="1515" spans="2:14" ht="15.75" x14ac:dyDescent="0.25">
      <c r="B1515" s="33"/>
      <c r="C1515" s="34"/>
      <c r="F1515" s="35"/>
      <c r="I1515" s="33"/>
      <c r="M1515" s="33"/>
      <c r="N1515" s="33"/>
    </row>
    <row r="1516" spans="2:14" ht="15.75" x14ac:dyDescent="0.25">
      <c r="B1516" s="33"/>
      <c r="C1516" s="34"/>
      <c r="F1516" s="35"/>
      <c r="I1516" s="33"/>
      <c r="M1516" s="33"/>
      <c r="N1516" s="33"/>
    </row>
    <row r="1517" spans="2:14" ht="15.75" x14ac:dyDescent="0.25">
      <c r="B1517" s="33"/>
      <c r="C1517" s="34"/>
      <c r="F1517" s="35"/>
      <c r="I1517" s="33"/>
      <c r="M1517" s="33"/>
      <c r="N1517" s="33"/>
    </row>
    <row r="1518" spans="2:14" ht="15.75" x14ac:dyDescent="0.25">
      <c r="B1518" s="33"/>
      <c r="C1518" s="34"/>
      <c r="F1518" s="35"/>
      <c r="I1518" s="33"/>
      <c r="M1518" s="33"/>
      <c r="N1518" s="33"/>
    </row>
    <row r="1519" spans="2:14" ht="15.75" x14ac:dyDescent="0.25">
      <c r="B1519" s="33"/>
      <c r="C1519" s="34"/>
      <c r="F1519" s="35"/>
      <c r="I1519" s="33"/>
      <c r="M1519" s="33"/>
      <c r="N1519" s="33"/>
    </row>
    <row r="1520" spans="2:14" ht="15.75" x14ac:dyDescent="0.25">
      <c r="B1520" s="33"/>
      <c r="C1520" s="34"/>
      <c r="F1520" s="35"/>
      <c r="I1520" s="33"/>
      <c r="M1520" s="33"/>
      <c r="N1520" s="33"/>
    </row>
    <row r="1521" spans="2:14" ht="15.75" x14ac:dyDescent="0.25">
      <c r="B1521" s="33"/>
      <c r="C1521" s="34"/>
      <c r="F1521" s="35"/>
      <c r="I1521" s="33"/>
      <c r="M1521" s="33"/>
      <c r="N1521" s="33"/>
    </row>
    <row r="1522" spans="2:14" ht="15.75" x14ac:dyDescent="0.25">
      <c r="B1522" s="33"/>
      <c r="C1522" s="34"/>
      <c r="F1522" s="35"/>
      <c r="I1522" s="33"/>
      <c r="M1522" s="33"/>
      <c r="N1522" s="33"/>
    </row>
    <row r="1523" spans="2:14" ht="15.75" x14ac:dyDescent="0.25">
      <c r="B1523" s="33"/>
      <c r="C1523" s="34"/>
      <c r="F1523" s="35"/>
      <c r="I1523" s="33"/>
      <c r="M1523" s="33"/>
      <c r="N1523" s="33"/>
    </row>
    <row r="1524" spans="2:14" ht="15.75" x14ac:dyDescent="0.25">
      <c r="B1524" s="33"/>
      <c r="C1524" s="34"/>
      <c r="F1524" s="35"/>
      <c r="I1524" s="33"/>
      <c r="M1524" s="33"/>
      <c r="N1524" s="33"/>
    </row>
    <row r="1525" spans="2:14" ht="15.75" x14ac:dyDescent="0.25">
      <c r="B1525" s="33"/>
      <c r="C1525" s="34"/>
      <c r="F1525" s="35"/>
      <c r="I1525" s="33"/>
      <c r="M1525" s="33"/>
      <c r="N1525" s="33"/>
    </row>
    <row r="1526" spans="2:14" ht="15.75" x14ac:dyDescent="0.25">
      <c r="B1526" s="33"/>
      <c r="C1526" s="34"/>
      <c r="F1526" s="35"/>
      <c r="I1526" s="33"/>
      <c r="M1526" s="33"/>
      <c r="N1526" s="33"/>
    </row>
    <row r="1527" spans="2:14" ht="15.75" x14ac:dyDescent="0.25">
      <c r="B1527" s="33"/>
      <c r="C1527" s="34"/>
      <c r="F1527" s="35"/>
      <c r="I1527" s="33"/>
      <c r="M1527" s="33"/>
      <c r="N1527" s="33"/>
    </row>
    <row r="1528" spans="2:14" ht="15.75" x14ac:dyDescent="0.25">
      <c r="B1528" s="33"/>
      <c r="C1528" s="34"/>
      <c r="F1528" s="35"/>
      <c r="I1528" s="33"/>
      <c r="M1528" s="33"/>
      <c r="N1528" s="33"/>
    </row>
    <row r="1529" spans="2:14" ht="15.75" x14ac:dyDescent="0.25">
      <c r="B1529" s="33"/>
      <c r="C1529" s="34"/>
      <c r="F1529" s="35"/>
      <c r="I1529" s="33"/>
      <c r="M1529" s="33"/>
      <c r="N1529" s="33"/>
    </row>
    <row r="1530" spans="2:14" ht="15.75" x14ac:dyDescent="0.25">
      <c r="B1530" s="33"/>
      <c r="C1530" s="34"/>
      <c r="F1530" s="35"/>
      <c r="I1530" s="33"/>
      <c r="M1530" s="33"/>
      <c r="N1530" s="33"/>
    </row>
    <row r="1531" spans="2:14" ht="15.75" x14ac:dyDescent="0.25">
      <c r="B1531" s="33"/>
      <c r="C1531" s="34"/>
      <c r="F1531" s="35"/>
      <c r="I1531" s="33"/>
      <c r="M1531" s="33"/>
      <c r="N1531" s="33"/>
    </row>
    <row r="1532" spans="2:14" ht="15.75" x14ac:dyDescent="0.25">
      <c r="B1532" s="33"/>
      <c r="C1532" s="34"/>
      <c r="F1532" s="35"/>
      <c r="I1532" s="33"/>
      <c r="M1532" s="33"/>
      <c r="N1532" s="33"/>
    </row>
    <row r="1533" spans="2:14" ht="15.75" x14ac:dyDescent="0.25">
      <c r="B1533" s="33"/>
      <c r="C1533" s="34"/>
      <c r="F1533" s="35"/>
      <c r="I1533" s="33"/>
      <c r="M1533" s="33"/>
      <c r="N1533" s="33"/>
    </row>
    <row r="1534" spans="2:14" ht="15.75" x14ac:dyDescent="0.25">
      <c r="B1534" s="33"/>
      <c r="C1534" s="34"/>
      <c r="F1534" s="35"/>
      <c r="I1534" s="33"/>
      <c r="M1534" s="33"/>
      <c r="N1534" s="33"/>
    </row>
    <row r="1535" spans="2:14" ht="15.75" x14ac:dyDescent="0.25">
      <c r="B1535" s="33"/>
      <c r="C1535" s="34"/>
      <c r="F1535" s="35"/>
      <c r="I1535" s="33"/>
      <c r="M1535" s="33"/>
      <c r="N1535" s="33"/>
    </row>
    <row r="1536" spans="2:14" ht="15.75" x14ac:dyDescent="0.25">
      <c r="B1536" s="33"/>
      <c r="C1536" s="34"/>
      <c r="F1536" s="35"/>
      <c r="I1536" s="33"/>
      <c r="M1536" s="33"/>
      <c r="N1536" s="33"/>
    </row>
    <row r="1537" spans="2:14" ht="15.75" x14ac:dyDescent="0.25">
      <c r="B1537" s="33"/>
      <c r="C1537" s="34"/>
      <c r="F1537" s="35"/>
      <c r="I1537" s="33"/>
      <c r="M1537" s="33"/>
      <c r="N1537" s="33"/>
    </row>
    <row r="1538" spans="2:14" ht="15.75" x14ac:dyDescent="0.25">
      <c r="B1538" s="33"/>
      <c r="C1538" s="34"/>
      <c r="F1538" s="35"/>
      <c r="I1538" s="33"/>
      <c r="M1538" s="33"/>
      <c r="N1538" s="33"/>
    </row>
    <row r="1539" spans="2:14" ht="15.75" x14ac:dyDescent="0.25">
      <c r="B1539" s="33"/>
      <c r="C1539" s="34"/>
      <c r="F1539" s="35"/>
      <c r="I1539" s="33"/>
      <c r="M1539" s="33"/>
      <c r="N1539" s="33"/>
    </row>
    <row r="1540" spans="2:14" ht="15.75" x14ac:dyDescent="0.25">
      <c r="B1540" s="33"/>
      <c r="C1540" s="34"/>
      <c r="F1540" s="35"/>
      <c r="I1540" s="33"/>
      <c r="M1540" s="33"/>
      <c r="N1540" s="33"/>
    </row>
    <row r="1541" spans="2:14" ht="15.75" x14ac:dyDescent="0.25">
      <c r="B1541" s="33"/>
      <c r="C1541" s="34"/>
      <c r="F1541" s="35"/>
      <c r="I1541" s="33"/>
      <c r="M1541" s="33"/>
      <c r="N1541" s="33"/>
    </row>
    <row r="1542" spans="2:14" ht="15.75" x14ac:dyDescent="0.25">
      <c r="B1542" s="33"/>
      <c r="C1542" s="34"/>
      <c r="F1542" s="35"/>
      <c r="I1542" s="33"/>
      <c r="M1542" s="33"/>
      <c r="N1542" s="33"/>
    </row>
    <row r="1543" spans="2:14" ht="15.75" x14ac:dyDescent="0.25">
      <c r="B1543" s="33"/>
      <c r="C1543" s="34"/>
      <c r="F1543" s="35"/>
      <c r="I1543" s="33"/>
      <c r="M1543" s="33"/>
      <c r="N1543" s="33"/>
    </row>
    <row r="1544" spans="2:14" ht="15.75" x14ac:dyDescent="0.25">
      <c r="B1544" s="33"/>
      <c r="C1544" s="34"/>
      <c r="F1544" s="35"/>
      <c r="I1544" s="33"/>
      <c r="M1544" s="33"/>
      <c r="N1544" s="33"/>
    </row>
    <row r="1545" spans="2:14" ht="15.75" x14ac:dyDescent="0.25">
      <c r="B1545" s="33"/>
      <c r="C1545" s="34"/>
      <c r="F1545" s="35"/>
      <c r="I1545" s="33"/>
      <c r="M1545" s="33"/>
      <c r="N1545" s="33"/>
    </row>
    <row r="1546" spans="2:14" ht="15.75" x14ac:dyDescent="0.25">
      <c r="B1546" s="33"/>
      <c r="C1546" s="34"/>
      <c r="F1546" s="35"/>
      <c r="I1546" s="33"/>
      <c r="M1546" s="33"/>
      <c r="N1546" s="33"/>
    </row>
    <row r="1547" spans="2:14" ht="15.75" x14ac:dyDescent="0.25">
      <c r="B1547" s="33"/>
      <c r="C1547" s="34"/>
      <c r="F1547" s="35"/>
      <c r="I1547" s="33"/>
      <c r="M1547" s="33"/>
      <c r="N1547" s="33"/>
    </row>
    <row r="1548" spans="2:14" ht="15.75" x14ac:dyDescent="0.25">
      <c r="B1548" s="33"/>
      <c r="C1548" s="34"/>
      <c r="F1548" s="35"/>
      <c r="I1548" s="33"/>
      <c r="M1548" s="33"/>
      <c r="N1548" s="33"/>
    </row>
    <row r="1549" spans="2:14" ht="15.75" x14ac:dyDescent="0.25">
      <c r="B1549" s="33"/>
      <c r="C1549" s="34"/>
      <c r="F1549" s="35"/>
      <c r="I1549" s="33"/>
      <c r="M1549" s="33"/>
      <c r="N1549" s="33"/>
    </row>
    <row r="1550" spans="2:14" ht="15.75" x14ac:dyDescent="0.25">
      <c r="B1550" s="33"/>
      <c r="C1550" s="34"/>
      <c r="F1550" s="35"/>
      <c r="I1550" s="33"/>
      <c r="M1550" s="33"/>
      <c r="N1550" s="33"/>
    </row>
    <row r="1551" spans="2:14" ht="15.75" x14ac:dyDescent="0.25">
      <c r="B1551" s="33"/>
      <c r="C1551" s="34"/>
      <c r="F1551" s="35"/>
      <c r="I1551" s="33"/>
      <c r="M1551" s="33"/>
      <c r="N1551" s="33"/>
    </row>
    <row r="1552" spans="2:14" ht="15.75" x14ac:dyDescent="0.25">
      <c r="B1552" s="33"/>
      <c r="C1552" s="34"/>
      <c r="F1552" s="35"/>
      <c r="I1552" s="33"/>
      <c r="M1552" s="33"/>
      <c r="N1552" s="33"/>
    </row>
    <row r="1553" spans="2:14" ht="15.75" x14ac:dyDescent="0.25">
      <c r="B1553" s="33"/>
      <c r="C1553" s="34"/>
      <c r="F1553" s="35"/>
      <c r="I1553" s="33"/>
      <c r="M1553" s="33"/>
      <c r="N1553" s="33"/>
    </row>
    <row r="1554" spans="2:14" ht="15.75" x14ac:dyDescent="0.25">
      <c r="B1554" s="33"/>
      <c r="C1554" s="34"/>
      <c r="F1554" s="35"/>
      <c r="I1554" s="33"/>
      <c r="M1554" s="33"/>
      <c r="N1554" s="33"/>
    </row>
    <row r="1555" spans="2:14" ht="15.75" x14ac:dyDescent="0.25">
      <c r="B1555" s="33"/>
      <c r="C1555" s="34"/>
      <c r="F1555" s="35"/>
      <c r="I1555" s="33"/>
      <c r="M1555" s="33"/>
      <c r="N1555" s="33"/>
    </row>
    <row r="1556" spans="2:14" ht="15.75" x14ac:dyDescent="0.25">
      <c r="B1556" s="33"/>
      <c r="C1556" s="34"/>
      <c r="F1556" s="35"/>
      <c r="I1556" s="33"/>
      <c r="M1556" s="33"/>
      <c r="N1556" s="33"/>
    </row>
    <row r="1557" spans="2:14" ht="15.75" x14ac:dyDescent="0.25">
      <c r="B1557" s="33"/>
      <c r="C1557" s="34"/>
      <c r="F1557" s="35"/>
      <c r="I1557" s="33"/>
      <c r="M1557" s="33"/>
      <c r="N1557" s="33"/>
    </row>
    <row r="1558" spans="2:14" ht="15.75" x14ac:dyDescent="0.25">
      <c r="B1558" s="33"/>
      <c r="C1558" s="34"/>
      <c r="F1558" s="35"/>
      <c r="I1558" s="33"/>
      <c r="M1558" s="33"/>
      <c r="N1558" s="33"/>
    </row>
    <row r="1559" spans="2:14" ht="15.75" x14ac:dyDescent="0.25">
      <c r="B1559" s="33"/>
      <c r="C1559" s="34"/>
      <c r="F1559" s="35"/>
      <c r="I1559" s="33"/>
      <c r="M1559" s="33"/>
      <c r="N1559" s="33"/>
    </row>
    <row r="1560" spans="2:14" ht="15.75" x14ac:dyDescent="0.25">
      <c r="B1560" s="33"/>
      <c r="C1560" s="34"/>
      <c r="F1560" s="35"/>
      <c r="I1560" s="33"/>
      <c r="M1560" s="33"/>
      <c r="N1560" s="33"/>
    </row>
    <row r="1561" spans="2:14" ht="15.75" x14ac:dyDescent="0.25">
      <c r="B1561" s="33"/>
      <c r="C1561" s="34"/>
      <c r="F1561" s="35"/>
      <c r="I1561" s="33"/>
      <c r="M1561" s="33"/>
      <c r="N1561" s="33"/>
    </row>
    <row r="1562" spans="2:14" ht="15.75" x14ac:dyDescent="0.25">
      <c r="B1562" s="33"/>
      <c r="C1562" s="34"/>
      <c r="F1562" s="35"/>
      <c r="I1562" s="33"/>
      <c r="M1562" s="33"/>
      <c r="N1562" s="33"/>
    </row>
    <row r="1563" spans="2:14" ht="15.75" x14ac:dyDescent="0.25">
      <c r="B1563" s="33"/>
      <c r="C1563" s="34"/>
      <c r="F1563" s="35"/>
      <c r="I1563" s="33"/>
      <c r="M1563" s="33"/>
      <c r="N1563" s="33"/>
    </row>
    <row r="1564" spans="2:14" ht="15.75" x14ac:dyDescent="0.25">
      <c r="B1564" s="33"/>
      <c r="C1564" s="34"/>
      <c r="F1564" s="35"/>
      <c r="I1564" s="33"/>
      <c r="M1564" s="33"/>
      <c r="N1564" s="33"/>
    </row>
    <row r="1565" spans="2:14" ht="15.75" x14ac:dyDescent="0.25">
      <c r="B1565" s="33"/>
      <c r="C1565" s="34"/>
      <c r="F1565" s="35"/>
      <c r="I1565" s="33"/>
      <c r="M1565" s="33"/>
      <c r="N1565" s="33"/>
    </row>
    <row r="1566" spans="2:14" ht="15.75" x14ac:dyDescent="0.25">
      <c r="B1566" s="33"/>
      <c r="C1566" s="34"/>
      <c r="F1566" s="35"/>
      <c r="I1566" s="33"/>
      <c r="M1566" s="33"/>
      <c r="N1566" s="33"/>
    </row>
    <row r="1567" spans="2:14" ht="15.75" x14ac:dyDescent="0.25">
      <c r="B1567" s="33"/>
      <c r="C1567" s="34"/>
      <c r="F1567" s="35"/>
      <c r="I1567" s="33"/>
      <c r="M1567" s="33"/>
      <c r="N1567" s="33"/>
    </row>
    <row r="1568" spans="2:14" ht="15.75" x14ac:dyDescent="0.25">
      <c r="B1568" s="33"/>
      <c r="C1568" s="34"/>
      <c r="F1568" s="35"/>
      <c r="I1568" s="33"/>
      <c r="M1568" s="33"/>
      <c r="N1568" s="33"/>
    </row>
    <row r="1569" spans="2:14" ht="15.75" x14ac:dyDescent="0.25">
      <c r="B1569" s="33"/>
      <c r="C1569" s="34"/>
      <c r="F1569" s="35"/>
      <c r="I1569" s="33"/>
      <c r="M1569" s="33"/>
      <c r="N1569" s="33"/>
    </row>
    <row r="1570" spans="2:14" ht="15.75" x14ac:dyDescent="0.25">
      <c r="B1570" s="33"/>
      <c r="C1570" s="34"/>
      <c r="F1570" s="35"/>
      <c r="I1570" s="33"/>
      <c r="M1570" s="33"/>
      <c r="N1570" s="33"/>
    </row>
    <row r="1571" spans="2:14" ht="15.75" x14ac:dyDescent="0.25">
      <c r="B1571" s="33"/>
      <c r="C1571" s="34"/>
      <c r="F1571" s="35"/>
      <c r="I1571" s="33"/>
      <c r="M1571" s="33"/>
      <c r="N1571" s="33"/>
    </row>
    <row r="1572" spans="2:14" ht="15.75" x14ac:dyDescent="0.25">
      <c r="B1572" s="33"/>
      <c r="C1572" s="34"/>
      <c r="F1572" s="35"/>
      <c r="I1572" s="33"/>
      <c r="M1572" s="33"/>
      <c r="N1572" s="33"/>
    </row>
    <row r="1573" spans="2:14" ht="15.75" x14ac:dyDescent="0.25">
      <c r="B1573" s="33"/>
      <c r="C1573" s="34"/>
      <c r="F1573" s="35"/>
      <c r="I1573" s="33"/>
      <c r="M1573" s="33"/>
      <c r="N1573" s="33"/>
    </row>
    <row r="1574" spans="2:14" ht="15.75" x14ac:dyDescent="0.25">
      <c r="B1574" s="33"/>
      <c r="C1574" s="34"/>
      <c r="F1574" s="35"/>
      <c r="I1574" s="33"/>
      <c r="M1574" s="33"/>
      <c r="N1574" s="33"/>
    </row>
    <row r="1575" spans="2:14" ht="15.75" x14ac:dyDescent="0.25">
      <c r="B1575" s="33"/>
      <c r="C1575" s="34"/>
      <c r="F1575" s="35"/>
      <c r="I1575" s="33"/>
      <c r="M1575" s="33"/>
      <c r="N1575" s="33"/>
    </row>
    <row r="1576" spans="2:14" ht="15.75" x14ac:dyDescent="0.25">
      <c r="B1576" s="33"/>
      <c r="C1576" s="34"/>
      <c r="F1576" s="35"/>
      <c r="I1576" s="33"/>
      <c r="M1576" s="33"/>
      <c r="N1576" s="33"/>
    </row>
    <row r="1577" spans="2:14" ht="15.75" x14ac:dyDescent="0.25">
      <c r="B1577" s="33"/>
      <c r="C1577" s="34"/>
      <c r="F1577" s="35"/>
      <c r="I1577" s="33"/>
      <c r="M1577" s="33"/>
      <c r="N1577" s="33"/>
    </row>
    <row r="1578" spans="2:14" ht="15.75" x14ac:dyDescent="0.25">
      <c r="B1578" s="33"/>
      <c r="C1578" s="34"/>
      <c r="F1578" s="35"/>
      <c r="I1578" s="33"/>
      <c r="M1578" s="33"/>
      <c r="N1578" s="33"/>
    </row>
    <row r="1579" spans="2:14" ht="15.75" x14ac:dyDescent="0.25">
      <c r="B1579" s="33"/>
      <c r="C1579" s="34"/>
      <c r="F1579" s="35"/>
      <c r="I1579" s="33"/>
      <c r="M1579" s="33"/>
      <c r="N1579" s="33"/>
    </row>
    <row r="1580" spans="2:14" ht="15.75" x14ac:dyDescent="0.25">
      <c r="B1580" s="33"/>
      <c r="C1580" s="34"/>
      <c r="F1580" s="35"/>
      <c r="I1580" s="33"/>
      <c r="M1580" s="33"/>
      <c r="N1580" s="33"/>
    </row>
    <row r="1581" spans="2:14" ht="15.75" x14ac:dyDescent="0.25">
      <c r="B1581" s="33"/>
      <c r="C1581" s="34"/>
      <c r="F1581" s="35"/>
      <c r="I1581" s="33"/>
      <c r="M1581" s="33"/>
      <c r="N1581" s="33"/>
    </row>
    <row r="1582" spans="2:14" ht="15.75" x14ac:dyDescent="0.25">
      <c r="B1582" s="33"/>
      <c r="C1582" s="34"/>
      <c r="F1582" s="35"/>
      <c r="I1582" s="33"/>
      <c r="M1582" s="33"/>
      <c r="N1582" s="33"/>
    </row>
    <row r="1583" spans="2:14" ht="15.75" x14ac:dyDescent="0.25">
      <c r="B1583" s="33"/>
      <c r="C1583" s="34"/>
      <c r="F1583" s="35"/>
      <c r="I1583" s="33"/>
      <c r="M1583" s="33"/>
      <c r="N1583" s="33"/>
    </row>
    <row r="1584" spans="2:14" ht="15.75" x14ac:dyDescent="0.25">
      <c r="B1584" s="33"/>
      <c r="C1584" s="34"/>
      <c r="F1584" s="35"/>
      <c r="I1584" s="33"/>
      <c r="M1584" s="33"/>
      <c r="N1584" s="33"/>
    </row>
    <row r="1585" spans="2:14" ht="15.75" x14ac:dyDescent="0.25">
      <c r="B1585" s="33"/>
      <c r="C1585" s="34"/>
      <c r="F1585" s="35"/>
      <c r="I1585" s="33"/>
      <c r="M1585" s="33"/>
      <c r="N1585" s="33"/>
    </row>
    <row r="1586" spans="2:14" ht="15.75" x14ac:dyDescent="0.25">
      <c r="B1586" s="33"/>
      <c r="C1586" s="34"/>
      <c r="F1586" s="35"/>
      <c r="I1586" s="33"/>
      <c r="M1586" s="33"/>
      <c r="N1586" s="33"/>
    </row>
    <row r="1587" spans="2:14" ht="15.75" x14ac:dyDescent="0.25">
      <c r="B1587" s="33"/>
      <c r="C1587" s="34"/>
      <c r="F1587" s="35"/>
      <c r="I1587" s="33"/>
      <c r="M1587" s="33"/>
      <c r="N1587" s="33"/>
    </row>
    <row r="1588" spans="2:14" ht="15.75" x14ac:dyDescent="0.25">
      <c r="B1588" s="33"/>
      <c r="C1588" s="34"/>
      <c r="F1588" s="35"/>
      <c r="I1588" s="33"/>
      <c r="M1588" s="33"/>
      <c r="N1588" s="33"/>
    </row>
    <row r="1589" spans="2:14" ht="15.75" x14ac:dyDescent="0.25">
      <c r="B1589" s="33"/>
      <c r="C1589" s="34"/>
      <c r="F1589" s="35"/>
      <c r="I1589" s="33"/>
      <c r="M1589" s="33"/>
      <c r="N1589" s="33"/>
    </row>
    <row r="1590" spans="2:14" ht="15.75" x14ac:dyDescent="0.25">
      <c r="B1590" s="33"/>
      <c r="C1590" s="34"/>
      <c r="F1590" s="35"/>
      <c r="I1590" s="33"/>
      <c r="M1590" s="33"/>
      <c r="N1590" s="33"/>
    </row>
    <row r="1591" spans="2:14" ht="15.75" x14ac:dyDescent="0.25">
      <c r="B1591" s="33"/>
      <c r="C1591" s="34"/>
      <c r="F1591" s="35"/>
      <c r="I1591" s="33"/>
      <c r="M1591" s="33"/>
      <c r="N1591" s="33"/>
    </row>
    <row r="1592" spans="2:14" ht="15.75" x14ac:dyDescent="0.25">
      <c r="B1592" s="33"/>
      <c r="C1592" s="34"/>
      <c r="F1592" s="35"/>
      <c r="I1592" s="33"/>
      <c r="M1592" s="33"/>
      <c r="N1592" s="33"/>
    </row>
    <row r="1593" spans="2:14" ht="15.75" x14ac:dyDescent="0.25">
      <c r="B1593" s="33"/>
      <c r="C1593" s="34"/>
      <c r="F1593" s="35"/>
      <c r="I1593" s="33"/>
      <c r="M1593" s="33"/>
      <c r="N1593" s="33"/>
    </row>
    <row r="1594" spans="2:14" ht="15.75" x14ac:dyDescent="0.25">
      <c r="B1594" s="33"/>
      <c r="C1594" s="34"/>
      <c r="F1594" s="35"/>
      <c r="I1594" s="33"/>
      <c r="M1594" s="33"/>
      <c r="N1594" s="33"/>
    </row>
    <row r="1595" spans="2:14" ht="15.75" x14ac:dyDescent="0.25">
      <c r="B1595" s="33"/>
      <c r="C1595" s="34"/>
      <c r="F1595" s="35"/>
      <c r="I1595" s="33"/>
      <c r="M1595" s="33"/>
      <c r="N1595" s="33"/>
    </row>
    <row r="1596" spans="2:14" ht="15.75" x14ac:dyDescent="0.25">
      <c r="B1596" s="33"/>
      <c r="C1596" s="34"/>
      <c r="F1596" s="35"/>
      <c r="I1596" s="33"/>
      <c r="M1596" s="33"/>
      <c r="N1596" s="33"/>
    </row>
    <row r="1597" spans="2:14" ht="15.75" x14ac:dyDescent="0.25">
      <c r="B1597" s="33"/>
      <c r="C1597" s="34"/>
      <c r="F1597" s="35"/>
      <c r="I1597" s="33"/>
      <c r="M1597" s="33"/>
      <c r="N1597" s="33"/>
    </row>
    <row r="1598" spans="2:14" ht="15.75" x14ac:dyDescent="0.25">
      <c r="B1598" s="33"/>
      <c r="C1598" s="34"/>
      <c r="F1598" s="35"/>
      <c r="I1598" s="33"/>
      <c r="M1598" s="33"/>
      <c r="N1598" s="33"/>
    </row>
    <row r="1599" spans="2:14" ht="15.75" x14ac:dyDescent="0.25">
      <c r="B1599" s="33"/>
      <c r="C1599" s="34"/>
      <c r="F1599" s="35"/>
      <c r="I1599" s="33"/>
      <c r="M1599" s="33"/>
      <c r="N1599" s="33"/>
    </row>
    <row r="1600" spans="2:14" ht="15.75" x14ac:dyDescent="0.25">
      <c r="B1600" s="33"/>
      <c r="C1600" s="34"/>
      <c r="F1600" s="35"/>
      <c r="I1600" s="33"/>
      <c r="M1600" s="33"/>
      <c r="N1600" s="33"/>
    </row>
    <row r="1601" spans="2:14" ht="15.75" x14ac:dyDescent="0.25">
      <c r="B1601" s="33"/>
      <c r="C1601" s="34"/>
      <c r="F1601" s="35"/>
      <c r="I1601" s="33"/>
      <c r="M1601" s="33"/>
      <c r="N1601" s="33"/>
    </row>
    <row r="1602" spans="2:14" ht="15.75" x14ac:dyDescent="0.25">
      <c r="B1602" s="33"/>
      <c r="C1602" s="34"/>
      <c r="F1602" s="35"/>
      <c r="I1602" s="33"/>
      <c r="M1602" s="33"/>
      <c r="N1602" s="33"/>
    </row>
    <row r="1603" spans="2:14" ht="15.75" x14ac:dyDescent="0.25">
      <c r="B1603" s="33"/>
      <c r="C1603" s="34"/>
      <c r="F1603" s="35"/>
      <c r="I1603" s="33"/>
      <c r="M1603" s="33"/>
      <c r="N1603" s="33"/>
    </row>
    <row r="1604" spans="2:14" ht="15.75" x14ac:dyDescent="0.25">
      <c r="B1604" s="33"/>
      <c r="C1604" s="34"/>
      <c r="F1604" s="35"/>
      <c r="I1604" s="33"/>
      <c r="M1604" s="33"/>
      <c r="N1604" s="33"/>
    </row>
    <row r="1605" spans="2:14" ht="15.75" x14ac:dyDescent="0.25">
      <c r="B1605" s="33"/>
      <c r="C1605" s="34"/>
      <c r="F1605" s="35"/>
      <c r="I1605" s="33"/>
      <c r="M1605" s="33"/>
      <c r="N1605" s="33"/>
    </row>
    <row r="1606" spans="2:14" ht="15.75" x14ac:dyDescent="0.25">
      <c r="B1606" s="33"/>
      <c r="C1606" s="34"/>
      <c r="F1606" s="35"/>
      <c r="I1606" s="33"/>
      <c r="M1606" s="33"/>
      <c r="N1606" s="33"/>
    </row>
    <row r="1607" spans="2:14" ht="15.75" x14ac:dyDescent="0.25">
      <c r="B1607" s="33"/>
      <c r="C1607" s="34"/>
      <c r="F1607" s="35"/>
      <c r="I1607" s="33"/>
      <c r="M1607" s="33"/>
      <c r="N1607" s="33"/>
    </row>
    <row r="1608" spans="2:14" ht="15.75" x14ac:dyDescent="0.25">
      <c r="B1608" s="33"/>
      <c r="C1608" s="34"/>
      <c r="F1608" s="35"/>
      <c r="I1608" s="33"/>
      <c r="M1608" s="33"/>
      <c r="N1608" s="33"/>
    </row>
    <row r="1609" spans="2:14" ht="15.75" x14ac:dyDescent="0.25">
      <c r="B1609" s="33"/>
      <c r="C1609" s="34"/>
      <c r="F1609" s="35"/>
      <c r="I1609" s="33"/>
      <c r="M1609" s="33"/>
      <c r="N1609" s="33"/>
    </row>
    <row r="1610" spans="2:14" ht="15.75" x14ac:dyDescent="0.25">
      <c r="B1610" s="33"/>
      <c r="C1610" s="34"/>
      <c r="F1610" s="35"/>
      <c r="I1610" s="33"/>
      <c r="M1610" s="33"/>
      <c r="N1610" s="33"/>
    </row>
    <row r="1611" spans="2:14" ht="15.75" x14ac:dyDescent="0.25">
      <c r="B1611" s="33"/>
      <c r="C1611" s="34"/>
      <c r="F1611" s="35"/>
      <c r="I1611" s="33"/>
      <c r="M1611" s="33"/>
      <c r="N1611" s="33"/>
    </row>
    <row r="1612" spans="2:14" ht="15.75" x14ac:dyDescent="0.25">
      <c r="B1612" s="33"/>
      <c r="C1612" s="34"/>
      <c r="F1612" s="35"/>
      <c r="I1612" s="33"/>
      <c r="M1612" s="33"/>
      <c r="N1612" s="33"/>
    </row>
    <row r="1613" spans="2:14" ht="15.75" x14ac:dyDescent="0.25">
      <c r="B1613" s="33"/>
      <c r="C1613" s="34"/>
      <c r="F1613" s="35"/>
      <c r="I1613" s="33"/>
      <c r="M1613" s="33"/>
      <c r="N1613" s="33"/>
    </row>
    <row r="1614" spans="2:14" ht="15.75" x14ac:dyDescent="0.25">
      <c r="B1614" s="33"/>
      <c r="C1614" s="34"/>
      <c r="F1614" s="35"/>
      <c r="I1614" s="33"/>
      <c r="M1614" s="33"/>
      <c r="N1614" s="33"/>
    </row>
    <row r="1615" spans="2:14" ht="15.75" x14ac:dyDescent="0.25">
      <c r="B1615" s="33"/>
      <c r="C1615" s="34"/>
      <c r="F1615" s="35"/>
      <c r="I1615" s="33"/>
      <c r="M1615" s="33"/>
      <c r="N1615" s="33"/>
    </row>
    <row r="1616" spans="2:14" ht="15.75" x14ac:dyDescent="0.25">
      <c r="B1616" s="33"/>
      <c r="C1616" s="34"/>
      <c r="F1616" s="35"/>
      <c r="I1616" s="33"/>
      <c r="M1616" s="33"/>
      <c r="N1616" s="33"/>
    </row>
    <row r="1617" spans="2:14" ht="15.75" x14ac:dyDescent="0.25">
      <c r="B1617" s="33"/>
      <c r="C1617" s="34"/>
      <c r="F1617" s="35"/>
      <c r="I1617" s="33"/>
      <c r="M1617" s="33"/>
      <c r="N1617" s="33"/>
    </row>
    <row r="1618" spans="2:14" ht="15.75" x14ac:dyDescent="0.25">
      <c r="B1618" s="33"/>
      <c r="C1618" s="34"/>
      <c r="F1618" s="35"/>
      <c r="I1618" s="33"/>
      <c r="M1618" s="33"/>
      <c r="N1618" s="33"/>
    </row>
    <row r="1619" spans="2:14" ht="15.75" x14ac:dyDescent="0.25">
      <c r="B1619" s="33"/>
      <c r="C1619" s="34"/>
      <c r="F1619" s="35"/>
      <c r="I1619" s="33"/>
      <c r="M1619" s="33"/>
      <c r="N1619" s="33"/>
    </row>
    <row r="1620" spans="2:14" ht="15.75" x14ac:dyDescent="0.25">
      <c r="B1620" s="33"/>
      <c r="C1620" s="34"/>
      <c r="F1620" s="35"/>
      <c r="I1620" s="33"/>
      <c r="M1620" s="33"/>
      <c r="N1620" s="33"/>
    </row>
    <row r="1621" spans="2:14" ht="15.75" x14ac:dyDescent="0.25">
      <c r="B1621" s="33"/>
      <c r="C1621" s="34"/>
      <c r="F1621" s="35"/>
      <c r="I1621" s="33"/>
      <c r="M1621" s="33"/>
      <c r="N1621" s="33"/>
    </row>
    <row r="1622" spans="2:14" ht="15.75" x14ac:dyDescent="0.25">
      <c r="B1622" s="33"/>
      <c r="C1622" s="34"/>
      <c r="F1622" s="35"/>
      <c r="I1622" s="33"/>
      <c r="M1622" s="33"/>
      <c r="N1622" s="33"/>
    </row>
    <row r="1623" spans="2:14" ht="15.75" x14ac:dyDescent="0.25">
      <c r="B1623" s="33"/>
      <c r="C1623" s="34"/>
      <c r="F1623" s="35"/>
      <c r="I1623" s="33"/>
      <c r="M1623" s="33"/>
      <c r="N1623" s="33"/>
    </row>
    <row r="1624" spans="2:14" ht="15.75" x14ac:dyDescent="0.25">
      <c r="B1624" s="33"/>
      <c r="C1624" s="34"/>
      <c r="F1624" s="35"/>
      <c r="I1624" s="33"/>
      <c r="M1624" s="33"/>
      <c r="N1624" s="33"/>
    </row>
    <row r="1625" spans="2:14" ht="15.75" x14ac:dyDescent="0.25">
      <c r="B1625" s="33"/>
      <c r="C1625" s="34"/>
      <c r="F1625" s="35"/>
      <c r="I1625" s="33"/>
      <c r="M1625" s="33"/>
      <c r="N1625" s="33"/>
    </row>
    <row r="1626" spans="2:14" ht="15.75" x14ac:dyDescent="0.25">
      <c r="B1626" s="33"/>
      <c r="C1626" s="34"/>
      <c r="F1626" s="35"/>
      <c r="I1626" s="33"/>
      <c r="M1626" s="33"/>
      <c r="N1626" s="33"/>
    </row>
    <row r="1627" spans="2:14" ht="15.75" x14ac:dyDescent="0.25">
      <c r="B1627" s="33"/>
      <c r="C1627" s="34"/>
      <c r="F1627" s="35"/>
      <c r="I1627" s="33"/>
      <c r="M1627" s="33"/>
      <c r="N1627" s="33"/>
    </row>
    <row r="1628" spans="2:14" ht="15.75" x14ac:dyDescent="0.25">
      <c r="B1628" s="33"/>
      <c r="C1628" s="34"/>
      <c r="F1628" s="35"/>
      <c r="I1628" s="33"/>
      <c r="M1628" s="33"/>
      <c r="N1628" s="33"/>
    </row>
    <row r="1629" spans="2:14" ht="15.75" x14ac:dyDescent="0.25">
      <c r="B1629" s="33"/>
      <c r="C1629" s="34"/>
      <c r="F1629" s="35"/>
      <c r="I1629" s="33"/>
      <c r="M1629" s="33"/>
      <c r="N1629" s="33"/>
    </row>
    <row r="1630" spans="2:14" ht="15.75" x14ac:dyDescent="0.25">
      <c r="B1630" s="33"/>
      <c r="C1630" s="34"/>
      <c r="F1630" s="35"/>
      <c r="I1630" s="33"/>
      <c r="M1630" s="33"/>
      <c r="N1630" s="33"/>
    </row>
    <row r="1631" spans="2:14" ht="15.75" x14ac:dyDescent="0.25">
      <c r="B1631" s="33"/>
      <c r="C1631" s="34"/>
      <c r="F1631" s="35"/>
      <c r="I1631" s="33"/>
      <c r="M1631" s="33"/>
      <c r="N1631" s="33"/>
    </row>
    <row r="1632" spans="2:14" ht="15.75" x14ac:dyDescent="0.25">
      <c r="B1632" s="33"/>
      <c r="C1632" s="34"/>
      <c r="F1632" s="35"/>
      <c r="I1632" s="33"/>
      <c r="M1632" s="33"/>
      <c r="N1632" s="33"/>
    </row>
    <row r="1633" spans="2:14" ht="15.75" x14ac:dyDescent="0.25">
      <c r="B1633" s="33"/>
      <c r="C1633" s="34"/>
      <c r="F1633" s="35"/>
      <c r="I1633" s="33"/>
      <c r="M1633" s="33"/>
      <c r="N1633" s="33"/>
    </row>
    <row r="1634" spans="2:14" ht="15.75" x14ac:dyDescent="0.25">
      <c r="B1634" s="33"/>
      <c r="C1634" s="34"/>
      <c r="F1634" s="35"/>
      <c r="I1634" s="33"/>
      <c r="M1634" s="33"/>
      <c r="N1634" s="33"/>
    </row>
    <row r="1635" spans="2:14" ht="15.75" x14ac:dyDescent="0.25">
      <c r="B1635" s="33"/>
      <c r="C1635" s="34"/>
      <c r="F1635" s="35"/>
      <c r="I1635" s="33"/>
      <c r="M1635" s="33"/>
      <c r="N1635" s="33"/>
    </row>
    <row r="1636" spans="2:14" ht="15.75" x14ac:dyDescent="0.25">
      <c r="B1636" s="33"/>
      <c r="C1636" s="34"/>
      <c r="F1636" s="35"/>
      <c r="I1636" s="33"/>
      <c r="M1636" s="33"/>
      <c r="N1636" s="33"/>
    </row>
    <row r="1637" spans="2:14" ht="15.75" x14ac:dyDescent="0.25">
      <c r="B1637" s="33"/>
      <c r="C1637" s="34"/>
      <c r="F1637" s="35"/>
      <c r="I1637" s="33"/>
      <c r="M1637" s="33"/>
      <c r="N1637" s="33"/>
    </row>
    <row r="1638" spans="2:14" ht="15.75" x14ac:dyDescent="0.25">
      <c r="B1638" s="33"/>
      <c r="C1638" s="34"/>
      <c r="F1638" s="35"/>
      <c r="I1638" s="33"/>
      <c r="M1638" s="33"/>
      <c r="N1638" s="33"/>
    </row>
    <row r="1639" spans="2:14" ht="15.75" x14ac:dyDescent="0.25">
      <c r="B1639" s="33"/>
      <c r="C1639" s="34"/>
      <c r="F1639" s="35"/>
      <c r="I1639" s="33"/>
      <c r="M1639" s="33"/>
      <c r="N1639" s="33"/>
    </row>
    <row r="1640" spans="2:14" ht="15.75" x14ac:dyDescent="0.25">
      <c r="B1640" s="33"/>
      <c r="C1640" s="34"/>
      <c r="F1640" s="35"/>
      <c r="I1640" s="33"/>
      <c r="M1640" s="33"/>
      <c r="N1640" s="33"/>
    </row>
    <row r="1641" spans="2:14" ht="15.75" x14ac:dyDescent="0.25">
      <c r="B1641" s="33"/>
      <c r="C1641" s="34"/>
      <c r="F1641" s="35"/>
      <c r="I1641" s="33"/>
      <c r="M1641" s="33"/>
      <c r="N1641" s="33"/>
    </row>
    <row r="1642" spans="2:14" ht="15.75" x14ac:dyDescent="0.25">
      <c r="B1642" s="33"/>
      <c r="C1642" s="34"/>
      <c r="F1642" s="35"/>
      <c r="I1642" s="33"/>
      <c r="M1642" s="33"/>
      <c r="N1642" s="33"/>
    </row>
    <row r="1643" spans="2:14" ht="15.75" x14ac:dyDescent="0.25">
      <c r="B1643" s="33"/>
      <c r="C1643" s="34"/>
      <c r="F1643" s="35"/>
      <c r="I1643" s="33"/>
      <c r="M1643" s="33"/>
      <c r="N1643" s="33"/>
    </row>
    <row r="1644" spans="2:14" ht="15.75" x14ac:dyDescent="0.25">
      <c r="B1644" s="33"/>
      <c r="C1644" s="34"/>
      <c r="F1644" s="35"/>
      <c r="I1644" s="33"/>
      <c r="M1644" s="33"/>
      <c r="N1644" s="33"/>
    </row>
    <row r="1645" spans="2:14" ht="15.75" x14ac:dyDescent="0.25">
      <c r="B1645" s="33"/>
      <c r="C1645" s="34"/>
      <c r="F1645" s="35"/>
      <c r="I1645" s="33"/>
      <c r="M1645" s="33"/>
      <c r="N1645" s="33"/>
    </row>
    <row r="1646" spans="2:14" ht="15.75" x14ac:dyDescent="0.25">
      <c r="B1646" s="33"/>
      <c r="C1646" s="34"/>
      <c r="F1646" s="35"/>
      <c r="I1646" s="33"/>
      <c r="M1646" s="33"/>
      <c r="N1646" s="33"/>
    </row>
    <row r="1647" spans="2:14" ht="15.75" x14ac:dyDescent="0.25">
      <c r="B1647" s="33"/>
      <c r="C1647" s="34"/>
      <c r="F1647" s="35"/>
      <c r="I1647" s="33"/>
      <c r="M1647" s="33"/>
      <c r="N1647" s="33"/>
    </row>
    <row r="1648" spans="2:14" ht="15.75" x14ac:dyDescent="0.25">
      <c r="B1648" s="33"/>
      <c r="C1648" s="34"/>
      <c r="F1648" s="35"/>
      <c r="I1648" s="33"/>
      <c r="M1648" s="33"/>
      <c r="N1648" s="33"/>
    </row>
    <row r="1649" spans="2:14" ht="15.75" x14ac:dyDescent="0.25">
      <c r="B1649" s="33"/>
      <c r="C1649" s="34"/>
      <c r="F1649" s="35"/>
      <c r="I1649" s="33"/>
      <c r="M1649" s="33"/>
      <c r="N1649" s="33"/>
    </row>
    <row r="1650" spans="2:14" ht="15.75" x14ac:dyDescent="0.25">
      <c r="B1650" s="33"/>
      <c r="C1650" s="34"/>
      <c r="F1650" s="35"/>
      <c r="I1650" s="33"/>
      <c r="M1650" s="33"/>
      <c r="N1650" s="33"/>
    </row>
    <row r="1651" spans="2:14" ht="15.75" x14ac:dyDescent="0.25">
      <c r="B1651" s="33"/>
      <c r="C1651" s="34"/>
      <c r="F1651" s="35"/>
      <c r="I1651" s="33"/>
      <c r="M1651" s="33"/>
      <c r="N1651" s="33"/>
    </row>
    <row r="1652" spans="2:14" ht="15.75" x14ac:dyDescent="0.25">
      <c r="B1652" s="33"/>
      <c r="C1652" s="34"/>
      <c r="F1652" s="35"/>
      <c r="I1652" s="33"/>
      <c r="M1652" s="33"/>
      <c r="N1652" s="33"/>
    </row>
    <row r="1653" spans="2:14" ht="15.75" x14ac:dyDescent="0.25">
      <c r="B1653" s="33"/>
      <c r="C1653" s="34"/>
      <c r="F1653" s="35"/>
      <c r="I1653" s="33"/>
      <c r="M1653" s="33"/>
      <c r="N1653" s="33"/>
    </row>
    <row r="1654" spans="2:14" ht="15.75" x14ac:dyDescent="0.25">
      <c r="B1654" s="33"/>
      <c r="C1654" s="34"/>
      <c r="F1654" s="35"/>
      <c r="I1654" s="33"/>
      <c r="M1654" s="33"/>
      <c r="N1654" s="33"/>
    </row>
    <row r="1655" spans="2:14" ht="15.75" x14ac:dyDescent="0.25">
      <c r="B1655" s="33"/>
      <c r="C1655" s="34"/>
      <c r="F1655" s="35"/>
      <c r="I1655" s="33"/>
      <c r="M1655" s="33"/>
      <c r="N1655" s="33"/>
    </row>
    <row r="1656" spans="2:14" ht="15.75" x14ac:dyDescent="0.25">
      <c r="B1656" s="33"/>
      <c r="C1656" s="34"/>
      <c r="F1656" s="35"/>
      <c r="I1656" s="33"/>
      <c r="M1656" s="33"/>
      <c r="N1656" s="33"/>
    </row>
    <row r="1657" spans="2:14" ht="15.75" x14ac:dyDescent="0.25">
      <c r="B1657" s="33"/>
      <c r="C1657" s="34"/>
      <c r="F1657" s="35"/>
      <c r="I1657" s="33"/>
      <c r="M1657" s="33"/>
      <c r="N1657" s="33"/>
    </row>
    <row r="1658" spans="2:14" ht="15.75" x14ac:dyDescent="0.25">
      <c r="B1658" s="33"/>
      <c r="C1658" s="34"/>
      <c r="F1658" s="35"/>
      <c r="I1658" s="33"/>
      <c r="M1658" s="33"/>
      <c r="N1658" s="33"/>
    </row>
    <row r="1659" spans="2:14" ht="15.75" x14ac:dyDescent="0.25">
      <c r="B1659" s="33"/>
      <c r="C1659" s="34"/>
      <c r="F1659" s="35"/>
      <c r="I1659" s="33"/>
      <c r="M1659" s="33"/>
      <c r="N1659" s="33"/>
    </row>
    <row r="1660" spans="2:14" ht="15.75" x14ac:dyDescent="0.25">
      <c r="B1660" s="33"/>
      <c r="C1660" s="34"/>
      <c r="F1660" s="35"/>
      <c r="I1660" s="33"/>
      <c r="M1660" s="33"/>
      <c r="N1660" s="33"/>
    </row>
    <row r="1661" spans="2:14" ht="15.75" x14ac:dyDescent="0.25">
      <c r="B1661" s="33"/>
      <c r="C1661" s="34"/>
      <c r="F1661" s="35"/>
      <c r="I1661" s="33"/>
      <c r="M1661" s="33"/>
      <c r="N1661" s="33"/>
    </row>
    <row r="1662" spans="2:14" ht="15.75" x14ac:dyDescent="0.25">
      <c r="B1662" s="33"/>
      <c r="C1662" s="34"/>
      <c r="F1662" s="35"/>
      <c r="I1662" s="33"/>
      <c r="M1662" s="33"/>
      <c r="N1662" s="33"/>
    </row>
    <row r="1663" spans="2:14" ht="15.75" x14ac:dyDescent="0.25">
      <c r="B1663" s="33"/>
      <c r="C1663" s="34"/>
      <c r="F1663" s="35"/>
      <c r="I1663" s="33"/>
      <c r="M1663" s="33"/>
      <c r="N1663" s="33"/>
    </row>
    <row r="1664" spans="2:14" ht="15.75" x14ac:dyDescent="0.25">
      <c r="B1664" s="33"/>
      <c r="C1664" s="34"/>
      <c r="F1664" s="35"/>
      <c r="I1664" s="33"/>
      <c r="M1664" s="33"/>
      <c r="N1664" s="33"/>
    </row>
    <row r="1665" spans="2:14" ht="15.75" x14ac:dyDescent="0.25">
      <c r="B1665" s="33"/>
      <c r="C1665" s="34"/>
      <c r="F1665" s="35"/>
      <c r="I1665" s="33"/>
      <c r="M1665" s="33"/>
      <c r="N1665" s="33"/>
    </row>
    <row r="1666" spans="2:14" ht="15.75" x14ac:dyDescent="0.25">
      <c r="B1666" s="33"/>
      <c r="C1666" s="34"/>
      <c r="F1666" s="35"/>
      <c r="I1666" s="33"/>
      <c r="M1666" s="33"/>
      <c r="N1666" s="33"/>
    </row>
    <row r="1667" spans="2:14" ht="15.75" x14ac:dyDescent="0.25">
      <c r="B1667" s="33"/>
      <c r="C1667" s="34"/>
      <c r="F1667" s="35"/>
      <c r="I1667" s="33"/>
      <c r="M1667" s="33"/>
      <c r="N1667" s="33"/>
    </row>
    <row r="1668" spans="2:14" ht="15.75" x14ac:dyDescent="0.25">
      <c r="B1668" s="33"/>
      <c r="C1668" s="34"/>
      <c r="F1668" s="35"/>
      <c r="I1668" s="33"/>
      <c r="M1668" s="33"/>
      <c r="N1668" s="33"/>
    </row>
    <row r="1669" spans="2:14" ht="15.75" x14ac:dyDescent="0.25">
      <c r="B1669" s="33"/>
      <c r="C1669" s="34"/>
      <c r="F1669" s="35"/>
      <c r="I1669" s="33"/>
      <c r="M1669" s="33"/>
      <c r="N1669" s="33"/>
    </row>
    <row r="1670" spans="2:14" ht="15.75" x14ac:dyDescent="0.25">
      <c r="B1670" s="33"/>
      <c r="C1670" s="34"/>
      <c r="F1670" s="35"/>
      <c r="I1670" s="33"/>
      <c r="M1670" s="33"/>
      <c r="N1670" s="33"/>
    </row>
    <row r="1671" spans="2:14" ht="15.75" x14ac:dyDescent="0.25">
      <c r="B1671" s="33"/>
      <c r="C1671" s="34"/>
      <c r="F1671" s="35"/>
      <c r="I1671" s="33"/>
      <c r="M1671" s="33"/>
      <c r="N1671" s="33"/>
    </row>
    <row r="1672" spans="2:14" ht="15.75" x14ac:dyDescent="0.25">
      <c r="B1672" s="33"/>
      <c r="C1672" s="34"/>
      <c r="F1672" s="35"/>
      <c r="I1672" s="33"/>
      <c r="M1672" s="33"/>
      <c r="N1672" s="33"/>
    </row>
    <row r="1673" spans="2:14" ht="15.75" x14ac:dyDescent="0.25">
      <c r="B1673" s="33"/>
      <c r="C1673" s="34"/>
      <c r="F1673" s="35"/>
      <c r="I1673" s="33"/>
      <c r="M1673" s="33"/>
      <c r="N1673" s="33"/>
    </row>
    <row r="1674" spans="2:14" ht="15.75" x14ac:dyDescent="0.25">
      <c r="B1674" s="33"/>
      <c r="C1674" s="34"/>
      <c r="F1674" s="35"/>
      <c r="I1674" s="33"/>
      <c r="M1674" s="33"/>
      <c r="N1674" s="33"/>
    </row>
    <row r="1675" spans="2:14" ht="15.75" x14ac:dyDescent="0.25">
      <c r="B1675" s="33"/>
      <c r="C1675" s="34"/>
      <c r="F1675" s="35"/>
      <c r="I1675" s="33"/>
      <c r="M1675" s="33"/>
      <c r="N1675" s="33"/>
    </row>
    <row r="1676" spans="2:14" ht="15.75" x14ac:dyDescent="0.25">
      <c r="B1676" s="33"/>
      <c r="C1676" s="34"/>
      <c r="F1676" s="35"/>
      <c r="I1676" s="33"/>
      <c r="M1676" s="33"/>
      <c r="N1676" s="33"/>
    </row>
    <row r="1677" spans="2:14" ht="15.75" x14ac:dyDescent="0.25">
      <c r="B1677" s="33"/>
      <c r="C1677" s="34"/>
      <c r="F1677" s="35"/>
      <c r="I1677" s="33"/>
      <c r="M1677" s="33"/>
      <c r="N1677" s="33"/>
    </row>
    <row r="1678" spans="2:14" ht="15.75" x14ac:dyDescent="0.25">
      <c r="B1678" s="33"/>
      <c r="C1678" s="34"/>
      <c r="F1678" s="35"/>
      <c r="I1678" s="33"/>
      <c r="M1678" s="33"/>
      <c r="N1678" s="33"/>
    </row>
    <row r="1679" spans="2:14" ht="15.75" x14ac:dyDescent="0.25">
      <c r="B1679" s="33"/>
      <c r="C1679" s="34"/>
      <c r="F1679" s="35"/>
      <c r="I1679" s="33"/>
      <c r="M1679" s="33"/>
      <c r="N1679" s="33"/>
    </row>
    <row r="1680" spans="2:14" ht="15.75" x14ac:dyDescent="0.25">
      <c r="B1680" s="33"/>
      <c r="C1680" s="34"/>
      <c r="F1680" s="35"/>
      <c r="I1680" s="33"/>
      <c r="M1680" s="33"/>
      <c r="N1680" s="33"/>
    </row>
    <row r="1681" spans="2:14" ht="15.75" x14ac:dyDescent="0.25">
      <c r="B1681" s="33"/>
      <c r="C1681" s="34"/>
      <c r="F1681" s="35"/>
      <c r="I1681" s="33"/>
      <c r="M1681" s="33"/>
      <c r="N1681" s="33"/>
    </row>
    <row r="1682" spans="2:14" ht="15.75" x14ac:dyDescent="0.25">
      <c r="B1682" s="33"/>
      <c r="C1682" s="34"/>
      <c r="F1682" s="35"/>
      <c r="I1682" s="33"/>
      <c r="M1682" s="33"/>
      <c r="N1682" s="33"/>
    </row>
    <row r="1683" spans="2:14" ht="15.75" x14ac:dyDescent="0.25">
      <c r="B1683" s="33"/>
      <c r="C1683" s="34"/>
      <c r="F1683" s="35"/>
      <c r="I1683" s="33"/>
      <c r="M1683" s="33"/>
      <c r="N1683" s="33"/>
    </row>
    <row r="1684" spans="2:14" ht="15.75" x14ac:dyDescent="0.25">
      <c r="B1684" s="33"/>
      <c r="C1684" s="34"/>
      <c r="F1684" s="35"/>
      <c r="I1684" s="33"/>
      <c r="M1684" s="33"/>
      <c r="N1684" s="33"/>
    </row>
    <row r="1685" spans="2:14" ht="15.75" x14ac:dyDescent="0.25">
      <c r="B1685" s="33"/>
      <c r="C1685" s="34"/>
      <c r="F1685" s="35"/>
      <c r="I1685" s="33"/>
      <c r="M1685" s="33"/>
      <c r="N1685" s="33"/>
    </row>
    <row r="1686" spans="2:14" ht="15.75" x14ac:dyDescent="0.25">
      <c r="B1686" s="33"/>
      <c r="C1686" s="34"/>
      <c r="F1686" s="35"/>
      <c r="I1686" s="33"/>
      <c r="M1686" s="33"/>
      <c r="N1686" s="33"/>
    </row>
    <row r="1687" spans="2:14" ht="15.75" x14ac:dyDescent="0.25">
      <c r="B1687" s="33"/>
      <c r="C1687" s="34"/>
      <c r="F1687" s="35"/>
      <c r="I1687" s="33"/>
      <c r="M1687" s="33"/>
      <c r="N1687" s="33"/>
    </row>
    <row r="1688" spans="2:14" ht="15.75" x14ac:dyDescent="0.25">
      <c r="B1688" s="33"/>
      <c r="C1688" s="34"/>
      <c r="F1688" s="35"/>
      <c r="I1688" s="33"/>
      <c r="M1688" s="33"/>
      <c r="N1688" s="33"/>
    </row>
    <row r="1689" spans="2:14" ht="15.75" x14ac:dyDescent="0.25">
      <c r="B1689" s="33"/>
      <c r="C1689" s="34"/>
      <c r="F1689" s="35"/>
      <c r="I1689" s="33"/>
      <c r="M1689" s="33"/>
      <c r="N1689" s="33"/>
    </row>
    <row r="1690" spans="2:14" ht="15.75" x14ac:dyDescent="0.25">
      <c r="B1690" s="33"/>
      <c r="C1690" s="34"/>
      <c r="F1690" s="35"/>
      <c r="I1690" s="33"/>
      <c r="M1690" s="33"/>
      <c r="N1690" s="33"/>
    </row>
    <row r="1691" spans="2:14" ht="15.75" x14ac:dyDescent="0.25">
      <c r="B1691" s="33"/>
      <c r="C1691" s="34"/>
      <c r="F1691" s="35"/>
      <c r="I1691" s="33"/>
      <c r="M1691" s="33"/>
      <c r="N1691" s="33"/>
    </row>
    <row r="1692" spans="2:14" ht="15.75" x14ac:dyDescent="0.25">
      <c r="B1692" s="33"/>
      <c r="C1692" s="34"/>
      <c r="F1692" s="35"/>
      <c r="I1692" s="33"/>
      <c r="M1692" s="33"/>
      <c r="N1692" s="33"/>
    </row>
    <row r="1693" spans="2:14" ht="15.75" x14ac:dyDescent="0.25">
      <c r="B1693" s="33"/>
      <c r="C1693" s="34"/>
      <c r="F1693" s="35"/>
      <c r="I1693" s="33"/>
      <c r="M1693" s="33"/>
      <c r="N1693" s="33"/>
    </row>
    <row r="1694" spans="2:14" ht="15.75" x14ac:dyDescent="0.25">
      <c r="B1694" s="33"/>
      <c r="C1694" s="34"/>
      <c r="F1694" s="35"/>
      <c r="I1694" s="33"/>
      <c r="M1694" s="33"/>
      <c r="N1694" s="33"/>
    </row>
    <row r="1695" spans="2:14" ht="15.75" x14ac:dyDescent="0.25">
      <c r="B1695" s="33"/>
      <c r="C1695" s="34"/>
      <c r="F1695" s="35"/>
      <c r="I1695" s="33"/>
      <c r="M1695" s="33"/>
      <c r="N1695" s="33"/>
    </row>
    <row r="1696" spans="2:14" ht="15.75" x14ac:dyDescent="0.25">
      <c r="B1696" s="33"/>
      <c r="C1696" s="34"/>
      <c r="F1696" s="35"/>
      <c r="I1696" s="33"/>
      <c r="M1696" s="33"/>
      <c r="N1696" s="33"/>
    </row>
    <row r="1697" spans="2:14" ht="15.75" x14ac:dyDescent="0.25">
      <c r="B1697" s="33"/>
      <c r="C1697" s="34"/>
      <c r="F1697" s="35"/>
      <c r="I1697" s="33"/>
      <c r="M1697" s="33"/>
      <c r="N1697" s="33"/>
    </row>
    <row r="1698" spans="2:14" ht="15.75" x14ac:dyDescent="0.25">
      <c r="B1698" s="33"/>
      <c r="C1698" s="34"/>
      <c r="F1698" s="35"/>
      <c r="I1698" s="33"/>
      <c r="M1698" s="33"/>
      <c r="N1698" s="33"/>
    </row>
    <row r="1699" spans="2:14" ht="15.75" x14ac:dyDescent="0.25">
      <c r="B1699" s="33"/>
      <c r="C1699" s="34"/>
      <c r="F1699" s="35"/>
      <c r="I1699" s="33"/>
      <c r="M1699" s="33"/>
      <c r="N1699" s="33"/>
    </row>
    <row r="1700" spans="2:14" ht="15.75" x14ac:dyDescent="0.25">
      <c r="B1700" s="33"/>
      <c r="C1700" s="34"/>
      <c r="F1700" s="35"/>
      <c r="I1700" s="33"/>
      <c r="M1700" s="33"/>
      <c r="N1700" s="33"/>
    </row>
    <row r="1701" spans="2:14" ht="15.75" x14ac:dyDescent="0.25">
      <c r="B1701" s="33"/>
      <c r="C1701" s="34"/>
      <c r="F1701" s="35"/>
      <c r="I1701" s="33"/>
      <c r="M1701" s="33"/>
      <c r="N1701" s="33"/>
    </row>
    <row r="1702" spans="2:14" ht="15.75" x14ac:dyDescent="0.25">
      <c r="B1702" s="33"/>
      <c r="C1702" s="34"/>
      <c r="F1702" s="35"/>
      <c r="I1702" s="33"/>
      <c r="M1702" s="33"/>
      <c r="N1702" s="33"/>
    </row>
    <row r="1703" spans="2:14" ht="15.75" x14ac:dyDescent="0.25">
      <c r="B1703" s="33"/>
      <c r="C1703" s="34"/>
      <c r="F1703" s="35"/>
      <c r="I1703" s="33"/>
      <c r="M1703" s="33"/>
      <c r="N1703" s="33"/>
    </row>
    <row r="1704" spans="2:14" ht="15.75" x14ac:dyDescent="0.25">
      <c r="B1704" s="33"/>
      <c r="C1704" s="34"/>
      <c r="F1704" s="35"/>
      <c r="I1704" s="33"/>
      <c r="M1704" s="33"/>
      <c r="N1704" s="33"/>
    </row>
    <row r="1705" spans="2:14" ht="15.75" x14ac:dyDescent="0.25">
      <c r="B1705" s="33"/>
      <c r="C1705" s="34"/>
      <c r="F1705" s="35"/>
      <c r="I1705" s="33"/>
      <c r="M1705" s="33"/>
      <c r="N1705" s="33"/>
    </row>
    <row r="1706" spans="2:14" ht="15.75" x14ac:dyDescent="0.25">
      <c r="B1706" s="33"/>
      <c r="C1706" s="34"/>
      <c r="F1706" s="35"/>
      <c r="I1706" s="33"/>
      <c r="M1706" s="33"/>
      <c r="N1706" s="33"/>
    </row>
    <row r="1707" spans="2:14" ht="15.75" x14ac:dyDescent="0.25">
      <c r="B1707" s="33"/>
      <c r="C1707" s="34"/>
      <c r="F1707" s="35"/>
      <c r="I1707" s="33"/>
      <c r="M1707" s="33"/>
      <c r="N1707" s="33"/>
    </row>
    <row r="1708" spans="2:14" ht="15.75" x14ac:dyDescent="0.25">
      <c r="B1708" s="33"/>
      <c r="C1708" s="34"/>
      <c r="F1708" s="35"/>
      <c r="I1708" s="33"/>
      <c r="M1708" s="33"/>
      <c r="N1708" s="33"/>
    </row>
    <row r="1709" spans="2:14" ht="15.75" x14ac:dyDescent="0.25">
      <c r="B1709" s="33"/>
      <c r="C1709" s="34"/>
      <c r="F1709" s="35"/>
      <c r="I1709" s="33"/>
      <c r="M1709" s="33"/>
      <c r="N1709" s="33"/>
    </row>
    <row r="1710" spans="2:14" ht="15.75" x14ac:dyDescent="0.25">
      <c r="B1710" s="33"/>
      <c r="C1710" s="34"/>
      <c r="F1710" s="35"/>
      <c r="I1710" s="33"/>
      <c r="M1710" s="33"/>
      <c r="N1710" s="33"/>
    </row>
    <row r="1711" spans="2:14" ht="15.75" x14ac:dyDescent="0.25">
      <c r="B1711" s="33"/>
      <c r="C1711" s="34"/>
      <c r="F1711" s="35"/>
      <c r="I1711" s="33"/>
      <c r="M1711" s="33"/>
      <c r="N1711" s="33"/>
    </row>
    <row r="1712" spans="2:14" ht="15.75" x14ac:dyDescent="0.25">
      <c r="B1712" s="33"/>
      <c r="C1712" s="34"/>
      <c r="F1712" s="35"/>
      <c r="I1712" s="33"/>
      <c r="M1712" s="33"/>
      <c r="N1712" s="33"/>
    </row>
    <row r="1713" spans="2:14" ht="15.75" x14ac:dyDescent="0.25">
      <c r="B1713" s="33"/>
      <c r="C1713" s="34"/>
      <c r="F1713" s="35"/>
      <c r="I1713" s="33"/>
      <c r="M1713" s="33"/>
      <c r="N1713" s="33"/>
    </row>
    <row r="1714" spans="2:14" ht="15.75" x14ac:dyDescent="0.25">
      <c r="B1714" s="33"/>
      <c r="C1714" s="34"/>
      <c r="F1714" s="35"/>
      <c r="I1714" s="33"/>
      <c r="M1714" s="33"/>
      <c r="N1714" s="33"/>
    </row>
    <row r="1715" spans="2:14" ht="15.75" x14ac:dyDescent="0.25">
      <c r="B1715" s="33"/>
      <c r="C1715" s="34"/>
      <c r="F1715" s="35"/>
      <c r="I1715" s="33"/>
      <c r="M1715" s="33"/>
      <c r="N1715" s="33"/>
    </row>
    <row r="1716" spans="2:14" ht="15.75" x14ac:dyDescent="0.25">
      <c r="B1716" s="33"/>
      <c r="C1716" s="34"/>
      <c r="F1716" s="35"/>
      <c r="I1716" s="33"/>
      <c r="M1716" s="33"/>
      <c r="N1716" s="33"/>
    </row>
    <row r="1717" spans="2:14" ht="15.75" x14ac:dyDescent="0.25">
      <c r="B1717" s="33"/>
      <c r="C1717" s="34"/>
      <c r="F1717" s="35"/>
      <c r="I1717" s="33"/>
      <c r="M1717" s="33"/>
      <c r="N1717" s="33"/>
    </row>
    <row r="1718" spans="2:14" ht="15.75" x14ac:dyDescent="0.25">
      <c r="B1718" s="33"/>
      <c r="C1718" s="34"/>
      <c r="F1718" s="35"/>
      <c r="I1718" s="33"/>
      <c r="M1718" s="33"/>
      <c r="N1718" s="33"/>
    </row>
    <row r="1719" spans="2:14" ht="15.75" x14ac:dyDescent="0.25">
      <c r="B1719" s="33"/>
      <c r="C1719" s="34"/>
      <c r="F1719" s="35"/>
      <c r="I1719" s="33"/>
      <c r="M1719" s="33"/>
      <c r="N1719" s="33"/>
    </row>
    <row r="1720" spans="2:14" ht="15.75" x14ac:dyDescent="0.25">
      <c r="B1720" s="33"/>
      <c r="C1720" s="34"/>
      <c r="F1720" s="35"/>
      <c r="I1720" s="33"/>
      <c r="M1720" s="33"/>
      <c r="N1720" s="33"/>
    </row>
    <row r="1721" spans="2:14" ht="15.75" x14ac:dyDescent="0.25">
      <c r="B1721" s="33"/>
      <c r="C1721" s="34"/>
      <c r="F1721" s="35"/>
      <c r="I1721" s="33"/>
      <c r="M1721" s="33"/>
      <c r="N1721" s="33"/>
    </row>
    <row r="1722" spans="2:14" ht="15.75" x14ac:dyDescent="0.25">
      <c r="B1722" s="33"/>
      <c r="C1722" s="34"/>
      <c r="F1722" s="35"/>
      <c r="I1722" s="33"/>
      <c r="M1722" s="33"/>
      <c r="N1722" s="33"/>
    </row>
    <row r="1723" spans="2:14" ht="15.75" x14ac:dyDescent="0.25">
      <c r="B1723" s="33"/>
      <c r="C1723" s="34"/>
      <c r="F1723" s="35"/>
      <c r="I1723" s="33"/>
      <c r="M1723" s="33"/>
      <c r="N1723" s="33"/>
    </row>
    <row r="1724" spans="2:14" ht="15.75" x14ac:dyDescent="0.25">
      <c r="B1724" s="33"/>
      <c r="C1724" s="34"/>
      <c r="F1724" s="35"/>
      <c r="I1724" s="33"/>
      <c r="M1724" s="33"/>
      <c r="N1724" s="33"/>
    </row>
    <row r="1725" spans="2:14" ht="15.75" x14ac:dyDescent="0.25">
      <c r="B1725" s="33"/>
      <c r="C1725" s="34"/>
      <c r="F1725" s="35"/>
      <c r="I1725" s="33"/>
      <c r="M1725" s="33"/>
      <c r="N1725" s="33"/>
    </row>
    <row r="1726" spans="2:14" ht="15.75" x14ac:dyDescent="0.25">
      <c r="B1726" s="33"/>
      <c r="C1726" s="34"/>
      <c r="F1726" s="35"/>
      <c r="I1726" s="33"/>
      <c r="M1726" s="33"/>
      <c r="N1726" s="33"/>
    </row>
    <row r="1727" spans="2:14" ht="15.75" x14ac:dyDescent="0.25">
      <c r="B1727" s="33"/>
      <c r="C1727" s="34"/>
      <c r="F1727" s="35"/>
      <c r="I1727" s="33"/>
      <c r="M1727" s="33"/>
      <c r="N1727" s="33"/>
    </row>
    <row r="1728" spans="2:14" ht="15.75" x14ac:dyDescent="0.25">
      <c r="B1728" s="33"/>
      <c r="C1728" s="34"/>
      <c r="F1728" s="35"/>
      <c r="I1728" s="33"/>
      <c r="M1728" s="33"/>
      <c r="N1728" s="33"/>
    </row>
    <row r="1729" spans="2:14" ht="15.75" x14ac:dyDescent="0.25">
      <c r="B1729" s="33"/>
      <c r="C1729" s="34"/>
      <c r="F1729" s="35"/>
      <c r="I1729" s="33"/>
      <c r="M1729" s="33"/>
      <c r="N1729" s="33"/>
    </row>
    <row r="1730" spans="2:14" ht="15.75" x14ac:dyDescent="0.25">
      <c r="B1730" s="33"/>
      <c r="C1730" s="34"/>
      <c r="F1730" s="35"/>
      <c r="I1730" s="33"/>
      <c r="M1730" s="33"/>
      <c r="N1730" s="33"/>
    </row>
    <row r="1731" spans="2:14" ht="15.75" x14ac:dyDescent="0.25">
      <c r="B1731" s="33"/>
      <c r="C1731" s="34"/>
      <c r="F1731" s="35"/>
      <c r="I1731" s="33"/>
      <c r="M1731" s="33"/>
      <c r="N1731" s="33"/>
    </row>
    <row r="1732" spans="2:14" ht="15.75" x14ac:dyDescent="0.25">
      <c r="B1732" s="33"/>
      <c r="C1732" s="34"/>
      <c r="F1732" s="35"/>
      <c r="I1732" s="33"/>
      <c r="M1732" s="33"/>
      <c r="N1732" s="33"/>
    </row>
    <row r="1733" spans="2:14" ht="15.75" x14ac:dyDescent="0.25">
      <c r="B1733" s="33"/>
      <c r="C1733" s="34"/>
      <c r="F1733" s="35"/>
      <c r="I1733" s="33"/>
      <c r="M1733" s="33"/>
      <c r="N1733" s="33"/>
    </row>
    <row r="1734" spans="2:14" ht="15.75" x14ac:dyDescent="0.25">
      <c r="B1734" s="33"/>
      <c r="C1734" s="34"/>
      <c r="F1734" s="35"/>
      <c r="I1734" s="33"/>
      <c r="M1734" s="33"/>
      <c r="N1734" s="33"/>
    </row>
    <row r="1735" spans="2:14" ht="15.75" x14ac:dyDescent="0.25">
      <c r="B1735" s="33"/>
      <c r="C1735" s="34"/>
      <c r="F1735" s="35"/>
      <c r="I1735" s="33"/>
      <c r="M1735" s="33"/>
      <c r="N1735" s="33"/>
    </row>
    <row r="1736" spans="2:14" ht="15.75" x14ac:dyDescent="0.25">
      <c r="B1736" s="33"/>
      <c r="C1736" s="34"/>
      <c r="F1736" s="35"/>
      <c r="I1736" s="33"/>
      <c r="M1736" s="33"/>
      <c r="N1736" s="33"/>
    </row>
    <row r="1737" spans="2:14" ht="15.75" x14ac:dyDescent="0.25">
      <c r="B1737" s="33"/>
      <c r="C1737" s="34"/>
      <c r="F1737" s="35"/>
      <c r="I1737" s="33"/>
      <c r="M1737" s="33"/>
      <c r="N1737" s="33"/>
    </row>
    <row r="1738" spans="2:14" ht="15.75" x14ac:dyDescent="0.25">
      <c r="B1738" s="33"/>
      <c r="C1738" s="34"/>
      <c r="F1738" s="35"/>
      <c r="I1738" s="33"/>
      <c r="M1738" s="33"/>
      <c r="N1738" s="33"/>
    </row>
    <row r="1739" spans="2:14" ht="15.75" x14ac:dyDescent="0.25">
      <c r="B1739" s="33"/>
      <c r="C1739" s="34"/>
      <c r="F1739" s="35"/>
      <c r="I1739" s="33"/>
      <c r="M1739" s="33"/>
      <c r="N1739" s="33"/>
    </row>
    <row r="1740" spans="2:14" ht="15.75" x14ac:dyDescent="0.25">
      <c r="B1740" s="33"/>
      <c r="C1740" s="34"/>
      <c r="F1740" s="35"/>
      <c r="I1740" s="33"/>
      <c r="M1740" s="33"/>
      <c r="N1740" s="33"/>
    </row>
    <row r="1741" spans="2:14" ht="15.75" x14ac:dyDescent="0.25">
      <c r="B1741" s="33"/>
      <c r="C1741" s="34"/>
      <c r="F1741" s="35"/>
      <c r="I1741" s="33"/>
      <c r="M1741" s="33"/>
      <c r="N1741" s="33"/>
    </row>
    <row r="1742" spans="2:14" ht="15.75" x14ac:dyDescent="0.25">
      <c r="B1742" s="33"/>
      <c r="C1742" s="34"/>
      <c r="F1742" s="35"/>
      <c r="I1742" s="33"/>
      <c r="M1742" s="33"/>
      <c r="N1742" s="33"/>
    </row>
    <row r="1743" spans="2:14" ht="15.75" x14ac:dyDescent="0.25">
      <c r="B1743" s="33"/>
      <c r="C1743" s="34"/>
      <c r="F1743" s="35"/>
      <c r="I1743" s="33"/>
      <c r="M1743" s="33"/>
      <c r="N1743" s="33"/>
    </row>
    <row r="1744" spans="2:14" ht="15.75" x14ac:dyDescent="0.25">
      <c r="B1744" s="33"/>
      <c r="C1744" s="34"/>
      <c r="F1744" s="35"/>
      <c r="I1744" s="33"/>
      <c r="M1744" s="33"/>
      <c r="N1744" s="33"/>
    </row>
    <row r="1745" spans="2:14" ht="15.75" x14ac:dyDescent="0.25">
      <c r="B1745" s="33"/>
      <c r="C1745" s="34"/>
      <c r="F1745" s="35"/>
      <c r="I1745" s="33"/>
      <c r="M1745" s="33"/>
      <c r="N1745" s="33"/>
    </row>
    <row r="1746" spans="2:14" ht="15.75" x14ac:dyDescent="0.25">
      <c r="B1746" s="33"/>
      <c r="C1746" s="34"/>
      <c r="F1746" s="35"/>
      <c r="I1746" s="33"/>
      <c r="M1746" s="33"/>
      <c r="N1746" s="33"/>
    </row>
    <row r="1747" spans="2:14" ht="15.75" x14ac:dyDescent="0.25">
      <c r="B1747" s="33"/>
      <c r="C1747" s="34"/>
      <c r="F1747" s="35"/>
      <c r="I1747" s="33"/>
      <c r="M1747" s="33"/>
      <c r="N1747" s="33"/>
    </row>
    <row r="1748" spans="2:14" ht="15.75" x14ac:dyDescent="0.25">
      <c r="B1748" s="33"/>
      <c r="C1748" s="34"/>
      <c r="F1748" s="35"/>
      <c r="I1748" s="33"/>
      <c r="M1748" s="33"/>
      <c r="N1748" s="33"/>
    </row>
    <row r="1749" spans="2:14" ht="15.75" x14ac:dyDescent="0.25">
      <c r="B1749" s="33"/>
      <c r="C1749" s="34"/>
      <c r="F1749" s="35"/>
      <c r="I1749" s="33"/>
      <c r="M1749" s="33"/>
      <c r="N1749" s="33"/>
    </row>
    <row r="1750" spans="2:14" ht="15.75" x14ac:dyDescent="0.25">
      <c r="B1750" s="33"/>
      <c r="C1750" s="34"/>
      <c r="F1750" s="35"/>
      <c r="I1750" s="33"/>
      <c r="M1750" s="33"/>
      <c r="N1750" s="33"/>
    </row>
    <row r="1751" spans="2:14" ht="15.75" x14ac:dyDescent="0.25">
      <c r="B1751" s="33"/>
      <c r="C1751" s="34"/>
      <c r="F1751" s="35"/>
      <c r="I1751" s="33"/>
      <c r="M1751" s="33"/>
      <c r="N1751" s="33"/>
    </row>
    <row r="1752" spans="2:14" ht="15.75" x14ac:dyDescent="0.25">
      <c r="B1752" s="33"/>
      <c r="C1752" s="34"/>
      <c r="F1752" s="35"/>
      <c r="I1752" s="33"/>
      <c r="M1752" s="33"/>
      <c r="N1752" s="33"/>
    </row>
    <row r="1753" spans="2:14" ht="15.75" x14ac:dyDescent="0.25">
      <c r="B1753" s="33"/>
      <c r="C1753" s="34"/>
      <c r="F1753" s="35"/>
      <c r="I1753" s="33"/>
      <c r="M1753" s="33"/>
      <c r="N1753" s="33"/>
    </row>
    <row r="1754" spans="2:14" ht="15.75" x14ac:dyDescent="0.25">
      <c r="B1754" s="33"/>
      <c r="C1754" s="34"/>
      <c r="F1754" s="35"/>
      <c r="I1754" s="33"/>
      <c r="M1754" s="33"/>
      <c r="N1754" s="33"/>
    </row>
    <row r="1755" spans="2:14" ht="15.75" x14ac:dyDescent="0.25">
      <c r="B1755" s="33"/>
      <c r="C1755" s="34"/>
      <c r="F1755" s="35"/>
      <c r="I1755" s="33"/>
      <c r="M1755" s="33"/>
      <c r="N1755" s="33"/>
    </row>
    <row r="1756" spans="2:14" ht="15.75" x14ac:dyDescent="0.25">
      <c r="B1756" s="33"/>
      <c r="C1756" s="34"/>
      <c r="F1756" s="35"/>
      <c r="I1756" s="33"/>
      <c r="M1756" s="33"/>
      <c r="N1756" s="33"/>
    </row>
    <row r="1757" spans="2:14" ht="15.75" x14ac:dyDescent="0.25">
      <c r="B1757" s="33"/>
      <c r="C1757" s="34"/>
      <c r="F1757" s="35"/>
      <c r="I1757" s="33"/>
      <c r="M1757" s="33"/>
      <c r="N1757" s="33"/>
    </row>
    <row r="1758" spans="2:14" ht="15.75" x14ac:dyDescent="0.25">
      <c r="B1758" s="33"/>
      <c r="C1758" s="34"/>
      <c r="F1758" s="35"/>
      <c r="I1758" s="33"/>
      <c r="M1758" s="33"/>
      <c r="N1758" s="33"/>
    </row>
    <row r="1759" spans="2:14" ht="15.75" x14ac:dyDescent="0.25">
      <c r="B1759" s="33"/>
      <c r="C1759" s="34"/>
      <c r="F1759" s="35"/>
      <c r="I1759" s="33"/>
      <c r="M1759" s="33"/>
      <c r="N1759" s="33"/>
    </row>
    <row r="1760" spans="2:14" ht="15.75" x14ac:dyDescent="0.25">
      <c r="B1760" s="33"/>
      <c r="C1760" s="34"/>
      <c r="F1760" s="35"/>
      <c r="I1760" s="33"/>
      <c r="M1760" s="33"/>
      <c r="N1760" s="33"/>
    </row>
    <row r="1761" spans="2:14" ht="15.75" x14ac:dyDescent="0.25">
      <c r="B1761" s="33"/>
      <c r="C1761" s="34"/>
      <c r="F1761" s="35"/>
      <c r="I1761" s="33"/>
      <c r="M1761" s="33"/>
      <c r="N1761" s="33"/>
    </row>
    <row r="1762" spans="2:14" ht="15.75" x14ac:dyDescent="0.25">
      <c r="B1762" s="33"/>
      <c r="C1762" s="34"/>
      <c r="F1762" s="35"/>
      <c r="I1762" s="33"/>
      <c r="M1762" s="33"/>
      <c r="N1762" s="33"/>
    </row>
    <row r="1763" spans="2:14" ht="15.75" x14ac:dyDescent="0.25">
      <c r="B1763" s="33"/>
      <c r="C1763" s="34"/>
      <c r="F1763" s="35"/>
      <c r="I1763" s="33"/>
      <c r="M1763" s="33"/>
      <c r="N1763" s="33"/>
    </row>
    <row r="1764" spans="2:14" ht="15.75" x14ac:dyDescent="0.25">
      <c r="B1764" s="33"/>
      <c r="C1764" s="34"/>
      <c r="F1764" s="35"/>
      <c r="I1764" s="33"/>
      <c r="M1764" s="33"/>
      <c r="N1764" s="33"/>
    </row>
    <row r="1765" spans="2:14" ht="15.75" x14ac:dyDescent="0.25">
      <c r="B1765" s="33"/>
      <c r="C1765" s="34"/>
      <c r="F1765" s="35"/>
      <c r="I1765" s="33"/>
      <c r="M1765" s="33"/>
      <c r="N1765" s="33"/>
    </row>
    <row r="1766" spans="2:14" ht="15.75" x14ac:dyDescent="0.25">
      <c r="B1766" s="33"/>
      <c r="C1766" s="34"/>
      <c r="F1766" s="35"/>
      <c r="I1766" s="33"/>
      <c r="M1766" s="33"/>
      <c r="N1766" s="33"/>
    </row>
    <row r="1767" spans="2:14" ht="15.75" x14ac:dyDescent="0.25">
      <c r="B1767" s="33"/>
      <c r="C1767" s="34"/>
      <c r="F1767" s="35"/>
      <c r="I1767" s="33"/>
      <c r="M1767" s="33"/>
      <c r="N1767" s="33"/>
    </row>
    <row r="1768" spans="2:14" ht="15.75" x14ac:dyDescent="0.25">
      <c r="B1768" s="33"/>
      <c r="C1768" s="34"/>
      <c r="F1768" s="35"/>
      <c r="I1768" s="33"/>
      <c r="M1768" s="33"/>
      <c r="N1768" s="33"/>
    </row>
    <row r="1769" spans="2:14" ht="15.75" x14ac:dyDescent="0.25">
      <c r="B1769" s="33"/>
      <c r="C1769" s="34"/>
      <c r="F1769" s="35"/>
      <c r="I1769" s="33"/>
      <c r="M1769" s="33"/>
      <c r="N1769" s="33"/>
    </row>
    <row r="1770" spans="2:14" ht="15.75" x14ac:dyDescent="0.25">
      <c r="B1770" s="33"/>
      <c r="C1770" s="34"/>
      <c r="F1770" s="35"/>
      <c r="I1770" s="33"/>
      <c r="M1770" s="33"/>
      <c r="N1770" s="33"/>
    </row>
    <row r="1771" spans="2:14" ht="15.75" x14ac:dyDescent="0.25">
      <c r="B1771" s="33"/>
      <c r="C1771" s="34"/>
      <c r="F1771" s="35"/>
      <c r="I1771" s="33"/>
      <c r="M1771" s="33"/>
      <c r="N1771" s="33"/>
    </row>
    <row r="1772" spans="2:14" ht="15.75" x14ac:dyDescent="0.25">
      <c r="B1772" s="33"/>
      <c r="C1772" s="34"/>
      <c r="F1772" s="35"/>
      <c r="I1772" s="33"/>
      <c r="M1772" s="33"/>
      <c r="N1772" s="33"/>
    </row>
    <row r="1773" spans="2:14" ht="15.75" x14ac:dyDescent="0.25">
      <c r="B1773" s="33"/>
      <c r="C1773" s="34"/>
      <c r="F1773" s="35"/>
      <c r="I1773" s="33"/>
      <c r="M1773" s="33"/>
      <c r="N1773" s="33"/>
    </row>
    <row r="1774" spans="2:14" ht="15.75" x14ac:dyDescent="0.25">
      <c r="B1774" s="33"/>
      <c r="C1774" s="34"/>
      <c r="F1774" s="35"/>
      <c r="I1774" s="33"/>
      <c r="M1774" s="33"/>
      <c r="N1774" s="33"/>
    </row>
    <row r="1775" spans="2:14" ht="15.75" x14ac:dyDescent="0.25">
      <c r="B1775" s="33"/>
      <c r="C1775" s="34"/>
      <c r="F1775" s="35"/>
      <c r="I1775" s="33"/>
      <c r="M1775" s="33"/>
      <c r="N1775" s="33"/>
    </row>
    <row r="1776" spans="2:14" ht="15.75" x14ac:dyDescent="0.25">
      <c r="B1776" s="33"/>
      <c r="C1776" s="34"/>
      <c r="F1776" s="35"/>
      <c r="I1776" s="33"/>
      <c r="M1776" s="33"/>
      <c r="N1776" s="33"/>
    </row>
    <row r="1777" spans="2:14" ht="15.75" x14ac:dyDescent="0.25">
      <c r="B1777" s="33"/>
      <c r="C1777" s="34"/>
      <c r="F1777" s="35"/>
      <c r="I1777" s="33"/>
      <c r="M1777" s="33"/>
      <c r="N1777" s="33"/>
    </row>
    <row r="1778" spans="2:14" ht="15.75" x14ac:dyDescent="0.25">
      <c r="B1778" s="33"/>
      <c r="C1778" s="34"/>
      <c r="F1778" s="35"/>
      <c r="I1778" s="33"/>
      <c r="M1778" s="33"/>
      <c r="N1778" s="33"/>
    </row>
    <row r="1779" spans="2:14" ht="15.75" x14ac:dyDescent="0.25">
      <c r="B1779" s="33"/>
      <c r="C1779" s="34"/>
      <c r="F1779" s="35"/>
      <c r="I1779" s="33"/>
      <c r="M1779" s="33"/>
      <c r="N1779" s="33"/>
    </row>
    <row r="1780" spans="2:14" ht="15.75" x14ac:dyDescent="0.25">
      <c r="B1780" s="33"/>
      <c r="C1780" s="34"/>
      <c r="F1780" s="35"/>
      <c r="I1780" s="33"/>
      <c r="M1780" s="33"/>
      <c r="N1780" s="33"/>
    </row>
    <row r="1781" spans="2:14" ht="15.75" x14ac:dyDescent="0.25">
      <c r="B1781" s="33"/>
      <c r="C1781" s="34"/>
      <c r="F1781" s="35"/>
      <c r="I1781" s="33"/>
      <c r="M1781" s="33"/>
      <c r="N1781" s="33"/>
    </row>
    <row r="1782" spans="2:14" ht="15.75" x14ac:dyDescent="0.25">
      <c r="B1782" s="33"/>
      <c r="C1782" s="34"/>
      <c r="F1782" s="35"/>
      <c r="I1782" s="33"/>
      <c r="M1782" s="33"/>
      <c r="N1782" s="33"/>
    </row>
    <row r="1783" spans="2:14" ht="15.75" x14ac:dyDescent="0.25">
      <c r="B1783" s="33"/>
      <c r="C1783" s="34"/>
      <c r="F1783" s="35"/>
      <c r="I1783" s="33"/>
      <c r="M1783" s="33"/>
      <c r="N1783" s="33"/>
    </row>
    <row r="1784" spans="2:14" ht="15.75" x14ac:dyDescent="0.25">
      <c r="B1784" s="33"/>
      <c r="C1784" s="34"/>
      <c r="F1784" s="35"/>
      <c r="I1784" s="33"/>
      <c r="M1784" s="33"/>
      <c r="N1784" s="33"/>
    </row>
    <row r="1785" spans="2:14" ht="15.75" x14ac:dyDescent="0.25">
      <c r="B1785" s="33"/>
      <c r="C1785" s="34"/>
      <c r="F1785" s="35"/>
      <c r="I1785" s="33"/>
      <c r="M1785" s="33"/>
      <c r="N1785" s="33"/>
    </row>
    <row r="1786" spans="2:14" ht="15.75" x14ac:dyDescent="0.25">
      <c r="B1786" s="33"/>
      <c r="C1786" s="34"/>
      <c r="F1786" s="35"/>
      <c r="I1786" s="33"/>
      <c r="M1786" s="33"/>
      <c r="N1786" s="33"/>
    </row>
    <row r="1787" spans="2:14" ht="15.75" x14ac:dyDescent="0.25">
      <c r="B1787" s="33"/>
      <c r="C1787" s="34"/>
      <c r="F1787" s="35"/>
      <c r="I1787" s="33"/>
      <c r="M1787" s="33"/>
      <c r="N1787" s="33"/>
    </row>
    <row r="1788" spans="2:14" ht="15.75" x14ac:dyDescent="0.25">
      <c r="B1788" s="33"/>
      <c r="C1788" s="34"/>
      <c r="F1788" s="35"/>
      <c r="I1788" s="33"/>
      <c r="M1788" s="33"/>
      <c r="N1788" s="33"/>
    </row>
    <row r="1789" spans="2:14" ht="15.75" x14ac:dyDescent="0.25">
      <c r="B1789" s="33"/>
      <c r="C1789" s="34"/>
      <c r="F1789" s="35"/>
      <c r="I1789" s="33"/>
      <c r="M1789" s="33"/>
      <c r="N1789" s="33"/>
    </row>
    <row r="1790" spans="2:14" ht="15.75" x14ac:dyDescent="0.25">
      <c r="B1790" s="33"/>
      <c r="C1790" s="34"/>
      <c r="F1790" s="35"/>
      <c r="I1790" s="33"/>
      <c r="M1790" s="33"/>
      <c r="N1790" s="33"/>
    </row>
    <row r="1791" spans="2:14" ht="15.75" x14ac:dyDescent="0.25">
      <c r="B1791" s="33"/>
      <c r="C1791" s="34"/>
      <c r="F1791" s="35"/>
      <c r="I1791" s="33"/>
      <c r="M1791" s="33"/>
      <c r="N1791" s="33"/>
    </row>
    <row r="1792" spans="2:14" ht="15.75" x14ac:dyDescent="0.25">
      <c r="B1792" s="33"/>
      <c r="C1792" s="34"/>
      <c r="F1792" s="35"/>
      <c r="I1792" s="33"/>
      <c r="M1792" s="33"/>
      <c r="N1792" s="33"/>
    </row>
    <row r="1793" spans="2:14" ht="15.75" x14ac:dyDescent="0.25">
      <c r="B1793" s="33"/>
      <c r="C1793" s="34"/>
      <c r="F1793" s="35"/>
      <c r="I1793" s="33"/>
      <c r="M1793" s="33"/>
      <c r="N1793" s="33"/>
    </row>
    <row r="1794" spans="2:14" ht="15.75" x14ac:dyDescent="0.25">
      <c r="B1794" s="33"/>
      <c r="C1794" s="34"/>
      <c r="F1794" s="35"/>
      <c r="I1794" s="33"/>
      <c r="M1794" s="33"/>
      <c r="N1794" s="33"/>
    </row>
    <row r="1795" spans="2:14" ht="15.75" x14ac:dyDescent="0.25">
      <c r="B1795" s="33"/>
      <c r="C1795" s="34"/>
      <c r="F1795" s="35"/>
      <c r="I1795" s="33"/>
      <c r="M1795" s="33"/>
      <c r="N1795" s="33"/>
    </row>
    <row r="1796" spans="2:14" ht="15.75" x14ac:dyDescent="0.25">
      <c r="B1796" s="33"/>
      <c r="C1796" s="34"/>
      <c r="F1796" s="35"/>
      <c r="I1796" s="33"/>
      <c r="M1796" s="33"/>
      <c r="N1796" s="33"/>
    </row>
    <row r="1797" spans="2:14" ht="15.75" x14ac:dyDescent="0.25">
      <c r="B1797" s="33"/>
      <c r="C1797" s="34"/>
      <c r="F1797" s="35"/>
      <c r="I1797" s="33"/>
      <c r="M1797" s="33"/>
      <c r="N1797" s="33"/>
    </row>
    <row r="1798" spans="2:14" ht="15.75" x14ac:dyDescent="0.25">
      <c r="B1798" s="33"/>
      <c r="C1798" s="34"/>
      <c r="F1798" s="35"/>
      <c r="I1798" s="33"/>
      <c r="M1798" s="33"/>
      <c r="N1798" s="33"/>
    </row>
    <row r="1799" spans="2:14" ht="15.75" x14ac:dyDescent="0.25">
      <c r="B1799" s="33"/>
      <c r="C1799" s="34"/>
      <c r="F1799" s="35"/>
      <c r="I1799" s="33"/>
      <c r="M1799" s="33"/>
      <c r="N1799" s="33"/>
    </row>
    <row r="1800" spans="2:14" ht="15.75" x14ac:dyDescent="0.25">
      <c r="B1800" s="33"/>
      <c r="C1800" s="34"/>
      <c r="F1800" s="35"/>
      <c r="I1800" s="33"/>
      <c r="M1800" s="33"/>
      <c r="N1800" s="33"/>
    </row>
    <row r="1801" spans="2:14" ht="15.75" x14ac:dyDescent="0.25">
      <c r="B1801" s="33"/>
      <c r="C1801" s="34"/>
      <c r="F1801" s="35"/>
      <c r="I1801" s="33"/>
      <c r="M1801" s="33"/>
      <c r="N1801" s="33"/>
    </row>
    <row r="1802" spans="2:14" ht="15.75" x14ac:dyDescent="0.25">
      <c r="B1802" s="33"/>
      <c r="C1802" s="34"/>
      <c r="F1802" s="35"/>
      <c r="I1802" s="33"/>
      <c r="M1802" s="33"/>
      <c r="N1802" s="33"/>
    </row>
    <row r="1803" spans="2:14" ht="15.75" x14ac:dyDescent="0.25">
      <c r="B1803" s="33"/>
      <c r="C1803" s="34"/>
      <c r="F1803" s="35"/>
      <c r="I1803" s="33"/>
      <c r="M1803" s="33"/>
      <c r="N1803" s="33"/>
    </row>
    <row r="1804" spans="2:14" ht="15.75" x14ac:dyDescent="0.25">
      <c r="B1804" s="33"/>
      <c r="C1804" s="34"/>
      <c r="F1804" s="35"/>
      <c r="I1804" s="33"/>
      <c r="M1804" s="33"/>
      <c r="N1804" s="33"/>
    </row>
    <row r="1805" spans="2:14" ht="15.75" x14ac:dyDescent="0.25">
      <c r="B1805" s="33"/>
      <c r="C1805" s="34"/>
      <c r="F1805" s="35"/>
      <c r="I1805" s="33"/>
      <c r="M1805" s="33"/>
      <c r="N1805" s="33"/>
    </row>
    <row r="1806" spans="2:14" ht="15.75" x14ac:dyDescent="0.25">
      <c r="B1806" s="33"/>
      <c r="C1806" s="34"/>
      <c r="F1806" s="35"/>
      <c r="I1806" s="33"/>
      <c r="M1806" s="33"/>
      <c r="N1806" s="33"/>
    </row>
    <row r="1807" spans="2:14" ht="15.75" x14ac:dyDescent="0.25">
      <c r="B1807" s="33"/>
      <c r="C1807" s="34"/>
      <c r="F1807" s="35"/>
      <c r="I1807" s="33"/>
      <c r="M1807" s="33"/>
      <c r="N1807" s="33"/>
    </row>
    <row r="1808" spans="2:14" ht="15.75" x14ac:dyDescent="0.25">
      <c r="B1808" s="33"/>
      <c r="C1808" s="34"/>
      <c r="F1808" s="35"/>
      <c r="I1808" s="33"/>
      <c r="M1808" s="33"/>
      <c r="N1808" s="33"/>
    </row>
    <row r="1809" spans="2:14" ht="15.75" x14ac:dyDescent="0.25">
      <c r="B1809" s="33"/>
      <c r="C1809" s="34"/>
      <c r="F1809" s="35"/>
      <c r="I1809" s="33"/>
      <c r="M1809" s="33"/>
      <c r="N1809" s="33"/>
    </row>
    <row r="1810" spans="2:14" ht="15.75" x14ac:dyDescent="0.25">
      <c r="B1810" s="33"/>
      <c r="C1810" s="34"/>
      <c r="F1810" s="35"/>
      <c r="I1810" s="33"/>
      <c r="M1810" s="33"/>
      <c r="N1810" s="33"/>
    </row>
    <row r="1811" spans="2:14" ht="15.75" x14ac:dyDescent="0.25">
      <c r="B1811" s="33"/>
      <c r="C1811" s="34"/>
      <c r="F1811" s="35"/>
      <c r="I1811" s="33"/>
      <c r="M1811" s="33"/>
      <c r="N1811" s="33"/>
    </row>
    <row r="1812" spans="2:14" ht="15.75" x14ac:dyDescent="0.25">
      <c r="B1812" s="33"/>
      <c r="C1812" s="34"/>
      <c r="F1812" s="35"/>
      <c r="I1812" s="33"/>
      <c r="M1812" s="33"/>
      <c r="N1812" s="33"/>
    </row>
    <row r="1813" spans="2:14" ht="15.75" x14ac:dyDescent="0.25">
      <c r="B1813" s="33"/>
      <c r="C1813" s="34"/>
      <c r="F1813" s="35"/>
      <c r="I1813" s="33"/>
      <c r="M1813" s="33"/>
      <c r="N1813" s="33"/>
    </row>
    <row r="1814" spans="2:14" ht="15.75" x14ac:dyDescent="0.25">
      <c r="B1814" s="33"/>
      <c r="C1814" s="34"/>
      <c r="F1814" s="35"/>
      <c r="I1814" s="33"/>
      <c r="M1814" s="33"/>
      <c r="N1814" s="33"/>
    </row>
    <row r="1815" spans="2:14" ht="15.75" x14ac:dyDescent="0.25">
      <c r="B1815" s="33"/>
      <c r="C1815" s="34"/>
      <c r="F1815" s="35"/>
      <c r="I1815" s="33"/>
      <c r="M1815" s="33"/>
      <c r="N1815" s="33"/>
    </row>
    <row r="1816" spans="2:14" ht="15.75" x14ac:dyDescent="0.25">
      <c r="B1816" s="33"/>
      <c r="C1816" s="34"/>
      <c r="F1816" s="35"/>
      <c r="I1816" s="33"/>
      <c r="M1816" s="33"/>
      <c r="N1816" s="33"/>
    </row>
    <row r="1817" spans="2:14" ht="15.75" x14ac:dyDescent="0.25">
      <c r="B1817" s="33"/>
      <c r="C1817" s="34"/>
      <c r="F1817" s="35"/>
      <c r="I1817" s="33"/>
      <c r="M1817" s="33"/>
      <c r="N1817" s="33"/>
    </row>
    <row r="1818" spans="2:14" ht="15.75" x14ac:dyDescent="0.25">
      <c r="B1818" s="33"/>
      <c r="C1818" s="34"/>
      <c r="F1818" s="35"/>
      <c r="I1818" s="33"/>
      <c r="M1818" s="33"/>
      <c r="N1818" s="33"/>
    </row>
    <row r="1819" spans="2:14" ht="15.75" x14ac:dyDescent="0.25">
      <c r="B1819" s="33"/>
      <c r="C1819" s="34"/>
      <c r="F1819" s="35"/>
      <c r="I1819" s="33"/>
      <c r="M1819" s="33"/>
      <c r="N1819" s="33"/>
    </row>
    <row r="1820" spans="2:14" ht="15.75" x14ac:dyDescent="0.25">
      <c r="B1820" s="33"/>
      <c r="C1820" s="34"/>
      <c r="F1820" s="35"/>
      <c r="I1820" s="33"/>
      <c r="M1820" s="33"/>
      <c r="N1820" s="33"/>
    </row>
    <row r="1821" spans="2:14" ht="15.75" x14ac:dyDescent="0.25">
      <c r="B1821" s="33"/>
      <c r="C1821" s="34"/>
      <c r="F1821" s="35"/>
      <c r="I1821" s="33"/>
      <c r="M1821" s="33"/>
      <c r="N1821" s="33"/>
    </row>
    <row r="1822" spans="2:14" ht="15.75" x14ac:dyDescent="0.25">
      <c r="B1822" s="33"/>
      <c r="C1822" s="34"/>
      <c r="F1822" s="35"/>
      <c r="I1822" s="33"/>
      <c r="M1822" s="33"/>
      <c r="N1822" s="33"/>
    </row>
    <row r="1823" spans="2:14" ht="15.75" x14ac:dyDescent="0.25">
      <c r="B1823" s="33"/>
      <c r="C1823" s="34"/>
      <c r="F1823" s="35"/>
      <c r="I1823" s="33"/>
      <c r="M1823" s="33"/>
      <c r="N1823" s="33"/>
    </row>
    <row r="1824" spans="2:14" ht="15.75" x14ac:dyDescent="0.25">
      <c r="B1824" s="33"/>
      <c r="C1824" s="34"/>
      <c r="F1824" s="35"/>
      <c r="I1824" s="33"/>
      <c r="M1824" s="33"/>
      <c r="N1824" s="33"/>
    </row>
    <row r="1825" spans="2:14" ht="15.75" x14ac:dyDescent="0.25">
      <c r="B1825" s="33"/>
      <c r="C1825" s="34"/>
      <c r="F1825" s="35"/>
      <c r="I1825" s="33"/>
      <c r="M1825" s="33"/>
      <c r="N1825" s="33"/>
    </row>
    <row r="1826" spans="2:14" ht="15.75" x14ac:dyDescent="0.25">
      <c r="B1826" s="33"/>
      <c r="C1826" s="34"/>
      <c r="F1826" s="35"/>
      <c r="I1826" s="33"/>
      <c r="M1826" s="33"/>
      <c r="N1826" s="33"/>
    </row>
    <row r="1827" spans="2:14" ht="15.75" x14ac:dyDescent="0.25">
      <c r="B1827" s="33"/>
      <c r="C1827" s="34"/>
      <c r="F1827" s="35"/>
      <c r="I1827" s="33"/>
      <c r="M1827" s="33"/>
      <c r="N1827" s="33"/>
    </row>
    <row r="1828" spans="2:14" ht="15.75" x14ac:dyDescent="0.25">
      <c r="B1828" s="33"/>
      <c r="C1828" s="34"/>
      <c r="F1828" s="35"/>
      <c r="I1828" s="33"/>
      <c r="M1828" s="33"/>
      <c r="N1828" s="33"/>
    </row>
    <row r="1829" spans="2:14" ht="15.75" x14ac:dyDescent="0.25">
      <c r="B1829" s="33"/>
      <c r="C1829" s="34"/>
      <c r="F1829" s="35"/>
      <c r="I1829" s="33"/>
      <c r="M1829" s="33"/>
      <c r="N1829" s="33"/>
    </row>
    <row r="1830" spans="2:14" ht="15.75" x14ac:dyDescent="0.25">
      <c r="B1830" s="33"/>
      <c r="C1830" s="34"/>
      <c r="F1830" s="35"/>
      <c r="I1830" s="33"/>
      <c r="M1830" s="33"/>
      <c r="N1830" s="33"/>
    </row>
    <row r="1831" spans="2:14" ht="15.75" x14ac:dyDescent="0.25">
      <c r="B1831" s="33"/>
      <c r="C1831" s="34"/>
      <c r="F1831" s="35"/>
      <c r="I1831" s="33"/>
      <c r="M1831" s="33"/>
      <c r="N1831" s="33"/>
    </row>
    <row r="1832" spans="2:14" ht="15.75" x14ac:dyDescent="0.25">
      <c r="B1832" s="33"/>
      <c r="C1832" s="34"/>
      <c r="F1832" s="35"/>
      <c r="I1832" s="33"/>
      <c r="M1832" s="33"/>
      <c r="N1832" s="33"/>
    </row>
    <row r="1833" spans="2:14" ht="15.75" x14ac:dyDescent="0.25">
      <c r="B1833" s="33"/>
      <c r="C1833" s="34"/>
      <c r="F1833" s="35"/>
      <c r="I1833" s="33"/>
      <c r="M1833" s="33"/>
      <c r="N1833" s="33"/>
    </row>
    <row r="1834" spans="2:14" ht="15.75" x14ac:dyDescent="0.25">
      <c r="B1834" s="33"/>
      <c r="C1834" s="34"/>
      <c r="F1834" s="35"/>
      <c r="I1834" s="33"/>
      <c r="M1834" s="33"/>
      <c r="N1834" s="33"/>
    </row>
    <row r="1835" spans="2:14" ht="15.75" x14ac:dyDescent="0.25">
      <c r="B1835" s="33"/>
      <c r="C1835" s="34"/>
      <c r="F1835" s="35"/>
      <c r="I1835" s="33"/>
      <c r="M1835" s="33"/>
      <c r="N1835" s="33"/>
    </row>
    <row r="1836" spans="2:14" ht="15.75" x14ac:dyDescent="0.25">
      <c r="B1836" s="33"/>
      <c r="C1836" s="34"/>
      <c r="F1836" s="35"/>
      <c r="I1836" s="33"/>
      <c r="M1836" s="33"/>
      <c r="N1836" s="33"/>
    </row>
    <row r="1837" spans="2:14" ht="15.75" x14ac:dyDescent="0.25">
      <c r="B1837" s="33"/>
      <c r="C1837" s="34"/>
      <c r="F1837" s="35"/>
      <c r="I1837" s="33"/>
      <c r="M1837" s="33"/>
      <c r="N1837" s="33"/>
    </row>
    <row r="1838" spans="2:14" ht="15.75" x14ac:dyDescent="0.25">
      <c r="B1838" s="33"/>
      <c r="C1838" s="34"/>
      <c r="F1838" s="35"/>
      <c r="I1838" s="33"/>
      <c r="M1838" s="33"/>
      <c r="N1838" s="33"/>
    </row>
    <row r="1839" spans="2:14" ht="15.75" x14ac:dyDescent="0.25">
      <c r="B1839" s="33"/>
      <c r="C1839" s="34"/>
      <c r="F1839" s="35"/>
      <c r="I1839" s="33"/>
      <c r="M1839" s="33"/>
      <c r="N1839" s="33"/>
    </row>
    <row r="1840" spans="2:14" ht="15.75" x14ac:dyDescent="0.25">
      <c r="B1840" s="33"/>
      <c r="C1840" s="34"/>
      <c r="F1840" s="35"/>
      <c r="I1840" s="33"/>
      <c r="M1840" s="33"/>
      <c r="N1840" s="33"/>
    </row>
    <row r="1841" spans="2:14" ht="15.75" x14ac:dyDescent="0.25">
      <c r="B1841" s="33"/>
      <c r="C1841" s="34"/>
      <c r="F1841" s="35"/>
      <c r="I1841" s="33"/>
      <c r="M1841" s="33"/>
      <c r="N1841" s="33"/>
    </row>
    <row r="1842" spans="2:14" ht="15.75" x14ac:dyDescent="0.25">
      <c r="B1842" s="33"/>
      <c r="C1842" s="34"/>
      <c r="F1842" s="35"/>
      <c r="I1842" s="33"/>
      <c r="M1842" s="33"/>
      <c r="N1842" s="33"/>
    </row>
    <row r="1843" spans="2:14" ht="15.75" x14ac:dyDescent="0.25">
      <c r="B1843" s="33"/>
      <c r="C1843" s="34"/>
      <c r="F1843" s="35"/>
      <c r="I1843" s="33"/>
      <c r="M1843" s="33"/>
      <c r="N1843" s="33"/>
    </row>
    <row r="1844" spans="2:14" ht="15.75" x14ac:dyDescent="0.25">
      <c r="B1844" s="33"/>
      <c r="C1844" s="34"/>
      <c r="F1844" s="35"/>
      <c r="I1844" s="33"/>
      <c r="M1844" s="33"/>
      <c r="N1844" s="33"/>
    </row>
    <row r="1845" spans="2:14" ht="15.75" x14ac:dyDescent="0.25">
      <c r="B1845" s="33"/>
      <c r="C1845" s="34"/>
      <c r="F1845" s="35"/>
      <c r="I1845" s="33"/>
      <c r="M1845" s="33"/>
      <c r="N1845" s="33"/>
    </row>
    <row r="1846" spans="2:14" ht="15.75" x14ac:dyDescent="0.25">
      <c r="B1846" s="33"/>
      <c r="C1846" s="34"/>
      <c r="F1846" s="35"/>
      <c r="I1846" s="33"/>
      <c r="M1846" s="33"/>
      <c r="N1846" s="33"/>
    </row>
    <row r="1847" spans="2:14" ht="15.75" x14ac:dyDescent="0.25">
      <c r="B1847" s="33"/>
      <c r="C1847" s="34"/>
      <c r="F1847" s="35"/>
      <c r="I1847" s="33"/>
      <c r="M1847" s="33"/>
      <c r="N1847" s="33"/>
    </row>
    <row r="1848" spans="2:14" ht="15.75" x14ac:dyDescent="0.25">
      <c r="B1848" s="33"/>
      <c r="C1848" s="34"/>
      <c r="F1848" s="35"/>
      <c r="I1848" s="33"/>
      <c r="M1848" s="33"/>
      <c r="N1848" s="33"/>
    </row>
    <row r="1849" spans="2:14" ht="15.75" x14ac:dyDescent="0.25">
      <c r="B1849" s="33"/>
      <c r="C1849" s="34"/>
      <c r="F1849" s="35"/>
      <c r="I1849" s="33"/>
      <c r="M1849" s="33"/>
      <c r="N1849" s="33"/>
    </row>
    <row r="1850" spans="2:14" ht="15.75" x14ac:dyDescent="0.25">
      <c r="B1850" s="33"/>
      <c r="C1850" s="34"/>
      <c r="F1850" s="35"/>
      <c r="I1850" s="33"/>
      <c r="M1850" s="33"/>
      <c r="N1850" s="33"/>
    </row>
    <row r="1851" spans="2:14" ht="15.75" x14ac:dyDescent="0.25">
      <c r="B1851" s="33"/>
      <c r="C1851" s="34"/>
      <c r="F1851" s="35"/>
      <c r="I1851" s="33"/>
      <c r="M1851" s="33"/>
      <c r="N1851" s="33"/>
    </row>
    <row r="1852" spans="2:14" ht="15.75" x14ac:dyDescent="0.25">
      <c r="B1852" s="33"/>
      <c r="C1852" s="34"/>
      <c r="F1852" s="35"/>
      <c r="I1852" s="33"/>
      <c r="M1852" s="33"/>
      <c r="N1852" s="33"/>
    </row>
    <row r="1853" spans="2:14" ht="15.75" x14ac:dyDescent="0.25">
      <c r="B1853" s="33"/>
      <c r="C1853" s="34"/>
      <c r="F1853" s="35"/>
      <c r="I1853" s="33"/>
      <c r="M1853" s="33"/>
      <c r="N1853" s="33"/>
    </row>
    <row r="1854" spans="2:14" ht="15.75" x14ac:dyDescent="0.25">
      <c r="B1854" s="33"/>
      <c r="C1854" s="34"/>
      <c r="F1854" s="35"/>
      <c r="I1854" s="33"/>
      <c r="M1854" s="33"/>
      <c r="N1854" s="33"/>
    </row>
    <row r="1855" spans="2:14" ht="15.75" x14ac:dyDescent="0.25">
      <c r="B1855" s="33"/>
      <c r="C1855" s="34"/>
      <c r="F1855" s="35"/>
      <c r="I1855" s="33"/>
      <c r="M1855" s="33"/>
      <c r="N1855" s="33"/>
    </row>
    <row r="1856" spans="2:14" ht="15.75" x14ac:dyDescent="0.25">
      <c r="B1856" s="33"/>
      <c r="C1856" s="34"/>
      <c r="F1856" s="35"/>
      <c r="I1856" s="33"/>
      <c r="M1856" s="33"/>
      <c r="N1856" s="33"/>
    </row>
    <row r="1857" spans="2:14" ht="15.75" x14ac:dyDescent="0.25">
      <c r="B1857" s="33"/>
      <c r="C1857" s="34"/>
      <c r="F1857" s="35"/>
      <c r="I1857" s="33"/>
      <c r="M1857" s="33"/>
      <c r="N1857" s="33"/>
    </row>
    <row r="1858" spans="2:14" ht="15.75" x14ac:dyDescent="0.25">
      <c r="B1858" s="33"/>
      <c r="C1858" s="34"/>
      <c r="F1858" s="35"/>
      <c r="I1858" s="33"/>
      <c r="M1858" s="33"/>
      <c r="N1858" s="33"/>
    </row>
    <row r="1859" spans="2:14" ht="15.75" x14ac:dyDescent="0.25">
      <c r="B1859" s="33"/>
      <c r="C1859" s="34"/>
      <c r="F1859" s="35"/>
      <c r="I1859" s="33"/>
      <c r="M1859" s="33"/>
      <c r="N1859" s="33"/>
    </row>
    <row r="1860" spans="2:14" ht="15.75" x14ac:dyDescent="0.25">
      <c r="B1860" s="33"/>
      <c r="C1860" s="34"/>
      <c r="F1860" s="35"/>
      <c r="I1860" s="33"/>
      <c r="M1860" s="33"/>
      <c r="N1860" s="33"/>
    </row>
    <row r="1861" spans="2:14" ht="15.75" x14ac:dyDescent="0.25">
      <c r="B1861" s="33"/>
      <c r="C1861" s="34"/>
      <c r="F1861" s="35"/>
      <c r="I1861" s="33"/>
      <c r="M1861" s="33"/>
      <c r="N1861" s="33"/>
    </row>
    <row r="1862" spans="2:14" ht="15.75" x14ac:dyDescent="0.25">
      <c r="B1862" s="33"/>
      <c r="C1862" s="34"/>
      <c r="F1862" s="35"/>
      <c r="I1862" s="33"/>
      <c r="M1862" s="33"/>
      <c r="N1862" s="33"/>
    </row>
    <row r="1863" spans="2:14" ht="15.75" x14ac:dyDescent="0.25">
      <c r="B1863" s="33"/>
      <c r="C1863" s="34"/>
      <c r="F1863" s="35"/>
      <c r="I1863" s="33"/>
      <c r="M1863" s="33"/>
      <c r="N1863" s="33"/>
    </row>
    <row r="1864" spans="2:14" ht="15.75" x14ac:dyDescent="0.25">
      <c r="B1864" s="33"/>
      <c r="C1864" s="34"/>
      <c r="F1864" s="35"/>
      <c r="I1864" s="33"/>
      <c r="M1864" s="33"/>
      <c r="N1864" s="33"/>
    </row>
    <row r="1865" spans="2:14" ht="15.75" x14ac:dyDescent="0.25">
      <c r="B1865" s="33"/>
      <c r="C1865" s="34"/>
      <c r="F1865" s="35"/>
      <c r="I1865" s="33"/>
      <c r="M1865" s="33"/>
      <c r="N1865" s="33"/>
    </row>
    <row r="1866" spans="2:14" ht="15.75" x14ac:dyDescent="0.25">
      <c r="B1866" s="33"/>
      <c r="C1866" s="34"/>
      <c r="F1866" s="35"/>
      <c r="I1866" s="33"/>
      <c r="M1866" s="33"/>
      <c r="N1866" s="33"/>
    </row>
    <row r="1867" spans="2:14" ht="15.75" x14ac:dyDescent="0.25">
      <c r="B1867" s="33"/>
      <c r="C1867" s="34"/>
      <c r="F1867" s="35"/>
      <c r="I1867" s="33"/>
      <c r="M1867" s="33"/>
      <c r="N1867" s="33"/>
    </row>
    <row r="1868" spans="2:14" ht="15.75" x14ac:dyDescent="0.25">
      <c r="B1868" s="33"/>
      <c r="C1868" s="34"/>
      <c r="F1868" s="35"/>
      <c r="I1868" s="33"/>
      <c r="M1868" s="33"/>
      <c r="N1868" s="33"/>
    </row>
    <row r="1869" spans="2:14" ht="15.75" x14ac:dyDescent="0.25">
      <c r="B1869" s="33"/>
      <c r="C1869" s="34"/>
      <c r="F1869" s="35"/>
      <c r="I1869" s="33"/>
      <c r="M1869" s="33"/>
      <c r="N1869" s="33"/>
    </row>
    <row r="1870" spans="2:14" ht="15.75" x14ac:dyDescent="0.25">
      <c r="B1870" s="33"/>
      <c r="C1870" s="34"/>
      <c r="F1870" s="35"/>
      <c r="I1870" s="33"/>
      <c r="M1870" s="33"/>
      <c r="N1870" s="33"/>
    </row>
    <row r="1871" spans="2:14" ht="15.75" x14ac:dyDescent="0.25">
      <c r="B1871" s="33"/>
      <c r="C1871" s="34"/>
      <c r="F1871" s="35"/>
      <c r="I1871" s="33"/>
      <c r="M1871" s="33"/>
      <c r="N1871" s="33"/>
    </row>
    <row r="1872" spans="2:14" ht="15.75" x14ac:dyDescent="0.25">
      <c r="B1872" s="33"/>
      <c r="C1872" s="34"/>
      <c r="F1872" s="35"/>
      <c r="I1872" s="33"/>
      <c r="M1872" s="33"/>
      <c r="N1872" s="33"/>
    </row>
    <row r="1873" spans="2:14" ht="15.75" x14ac:dyDescent="0.25">
      <c r="B1873" s="33"/>
      <c r="C1873" s="34"/>
      <c r="F1873" s="35"/>
      <c r="I1873" s="33"/>
      <c r="M1873" s="33"/>
      <c r="N1873" s="33"/>
    </row>
    <row r="1874" spans="2:14" ht="15.75" x14ac:dyDescent="0.25">
      <c r="B1874" s="33"/>
      <c r="C1874" s="34"/>
      <c r="F1874" s="35"/>
      <c r="I1874" s="33"/>
      <c r="M1874" s="33"/>
      <c r="N1874" s="33"/>
    </row>
    <row r="1875" spans="2:14" ht="15.75" x14ac:dyDescent="0.25">
      <c r="B1875" s="33"/>
      <c r="C1875" s="34"/>
      <c r="F1875" s="35"/>
      <c r="I1875" s="33"/>
      <c r="M1875" s="33"/>
      <c r="N1875" s="33"/>
    </row>
    <row r="1876" spans="2:14" ht="15.75" x14ac:dyDescent="0.25">
      <c r="B1876" s="33"/>
      <c r="C1876" s="34"/>
      <c r="F1876" s="35"/>
      <c r="I1876" s="33"/>
      <c r="M1876" s="33"/>
      <c r="N1876" s="33"/>
    </row>
    <row r="1877" spans="2:14" ht="15.75" x14ac:dyDescent="0.25">
      <c r="B1877" s="33"/>
      <c r="C1877" s="34"/>
      <c r="F1877" s="35"/>
      <c r="I1877" s="33"/>
      <c r="M1877" s="33"/>
      <c r="N1877" s="33"/>
    </row>
    <row r="1878" spans="2:14" ht="15.75" x14ac:dyDescent="0.25">
      <c r="B1878" s="33"/>
      <c r="C1878" s="34"/>
      <c r="F1878" s="35"/>
      <c r="I1878" s="33"/>
      <c r="M1878" s="33"/>
      <c r="N1878" s="33"/>
    </row>
    <row r="1879" spans="2:14" ht="15.75" x14ac:dyDescent="0.25">
      <c r="B1879" s="33"/>
      <c r="C1879" s="34"/>
      <c r="F1879" s="35"/>
      <c r="I1879" s="33"/>
      <c r="M1879" s="33"/>
      <c r="N1879" s="33"/>
    </row>
    <row r="1880" spans="2:14" ht="15.75" x14ac:dyDescent="0.25">
      <c r="B1880" s="33"/>
      <c r="C1880" s="34"/>
      <c r="F1880" s="35"/>
      <c r="I1880" s="33"/>
      <c r="M1880" s="33"/>
      <c r="N1880" s="33"/>
    </row>
    <row r="1881" spans="2:14" ht="15.75" x14ac:dyDescent="0.25">
      <c r="B1881" s="33"/>
      <c r="C1881" s="34"/>
      <c r="F1881" s="35"/>
      <c r="I1881" s="33"/>
      <c r="M1881" s="33"/>
      <c r="N1881" s="33"/>
    </row>
    <row r="1882" spans="2:14" ht="15.75" x14ac:dyDescent="0.25">
      <c r="B1882" s="33"/>
      <c r="C1882" s="34"/>
      <c r="F1882" s="35"/>
      <c r="I1882" s="33"/>
      <c r="M1882" s="33"/>
      <c r="N1882" s="33"/>
    </row>
    <row r="1883" spans="2:14" ht="15.75" x14ac:dyDescent="0.25">
      <c r="B1883" s="33"/>
      <c r="C1883" s="34"/>
      <c r="F1883" s="35"/>
      <c r="I1883" s="33"/>
      <c r="M1883" s="33"/>
      <c r="N1883" s="33"/>
    </row>
    <row r="1884" spans="2:14" ht="15.75" x14ac:dyDescent="0.25">
      <c r="B1884" s="33"/>
      <c r="C1884" s="34"/>
      <c r="F1884" s="35"/>
      <c r="I1884" s="33"/>
      <c r="M1884" s="33"/>
      <c r="N1884" s="33"/>
    </row>
    <row r="1885" spans="2:14" ht="15.75" x14ac:dyDescent="0.25">
      <c r="B1885" s="33"/>
      <c r="C1885" s="34"/>
      <c r="F1885" s="35"/>
      <c r="I1885" s="33"/>
      <c r="M1885" s="33"/>
      <c r="N1885" s="33"/>
    </row>
    <row r="1886" spans="2:14" ht="15.75" x14ac:dyDescent="0.25">
      <c r="B1886" s="33"/>
      <c r="C1886" s="34"/>
      <c r="F1886" s="35"/>
      <c r="I1886" s="33"/>
      <c r="M1886" s="33"/>
      <c r="N1886" s="33"/>
    </row>
    <row r="1887" spans="2:14" ht="15.75" x14ac:dyDescent="0.25">
      <c r="B1887" s="33"/>
      <c r="C1887" s="34"/>
      <c r="F1887" s="35"/>
      <c r="I1887" s="33"/>
      <c r="M1887" s="33"/>
      <c r="N1887" s="33"/>
    </row>
    <row r="1888" spans="2:14" ht="15.75" x14ac:dyDescent="0.25">
      <c r="B1888" s="33"/>
      <c r="C1888" s="34"/>
      <c r="F1888" s="35"/>
      <c r="I1888" s="33"/>
      <c r="M1888" s="33"/>
      <c r="N1888" s="33"/>
    </row>
    <row r="1889" spans="2:14" ht="15.75" x14ac:dyDescent="0.25">
      <c r="B1889" s="33"/>
      <c r="C1889" s="34"/>
      <c r="F1889" s="35"/>
      <c r="I1889" s="33"/>
      <c r="M1889" s="33"/>
      <c r="N1889" s="33"/>
    </row>
    <row r="1890" spans="2:14" ht="15.75" x14ac:dyDescent="0.25">
      <c r="B1890" s="33"/>
      <c r="C1890" s="34"/>
      <c r="F1890" s="35"/>
      <c r="I1890" s="33"/>
      <c r="M1890" s="33"/>
      <c r="N1890" s="33"/>
    </row>
    <row r="1891" spans="2:14" ht="15.75" x14ac:dyDescent="0.25">
      <c r="B1891" s="33"/>
      <c r="C1891" s="34"/>
      <c r="F1891" s="35"/>
      <c r="I1891" s="33"/>
      <c r="M1891" s="33"/>
      <c r="N1891" s="33"/>
    </row>
    <row r="1892" spans="2:14" ht="15.75" x14ac:dyDescent="0.25">
      <c r="B1892" s="33"/>
      <c r="C1892" s="34"/>
      <c r="F1892" s="35"/>
      <c r="I1892" s="33"/>
      <c r="M1892" s="33"/>
      <c r="N1892" s="33"/>
    </row>
    <row r="1893" spans="2:14" ht="15.75" x14ac:dyDescent="0.25">
      <c r="B1893" s="33"/>
      <c r="C1893" s="34"/>
      <c r="F1893" s="35"/>
      <c r="I1893" s="33"/>
      <c r="M1893" s="33"/>
      <c r="N1893" s="33"/>
    </row>
    <row r="1894" spans="2:14" ht="15.75" x14ac:dyDescent="0.25">
      <c r="B1894" s="33"/>
      <c r="C1894" s="34"/>
      <c r="F1894" s="35"/>
      <c r="I1894" s="33"/>
      <c r="M1894" s="33"/>
      <c r="N1894" s="33"/>
    </row>
    <row r="1895" spans="2:14" ht="15.75" x14ac:dyDescent="0.25">
      <c r="B1895" s="33"/>
      <c r="C1895" s="34"/>
      <c r="F1895" s="35"/>
      <c r="I1895" s="33"/>
      <c r="M1895" s="33"/>
      <c r="N1895" s="33"/>
    </row>
    <row r="1896" spans="2:14" ht="15.75" x14ac:dyDescent="0.25">
      <c r="B1896" s="33"/>
      <c r="C1896" s="34"/>
      <c r="F1896" s="35"/>
      <c r="I1896" s="33"/>
      <c r="M1896" s="33"/>
      <c r="N1896" s="33"/>
    </row>
    <row r="1897" spans="2:14" ht="15.75" x14ac:dyDescent="0.25">
      <c r="B1897" s="33"/>
      <c r="C1897" s="34"/>
      <c r="F1897" s="35"/>
      <c r="I1897" s="33"/>
      <c r="M1897" s="33"/>
      <c r="N1897" s="33"/>
    </row>
    <row r="1898" spans="2:14" ht="15.75" x14ac:dyDescent="0.25">
      <c r="B1898" s="33"/>
      <c r="C1898" s="34"/>
      <c r="F1898" s="35"/>
      <c r="I1898" s="33"/>
      <c r="M1898" s="33"/>
      <c r="N1898" s="33"/>
    </row>
    <row r="1899" spans="2:14" ht="15.75" x14ac:dyDescent="0.25">
      <c r="B1899" s="33"/>
      <c r="C1899" s="34"/>
      <c r="F1899" s="35"/>
      <c r="I1899" s="33"/>
      <c r="M1899" s="33"/>
      <c r="N1899" s="33"/>
    </row>
    <row r="1900" spans="2:14" ht="15.75" x14ac:dyDescent="0.25">
      <c r="B1900" s="33"/>
      <c r="C1900" s="34"/>
      <c r="F1900" s="35"/>
      <c r="I1900" s="33"/>
      <c r="M1900" s="33"/>
      <c r="N1900" s="33"/>
    </row>
    <row r="1901" spans="2:14" ht="15.75" x14ac:dyDescent="0.25">
      <c r="B1901" s="33"/>
      <c r="C1901" s="34"/>
      <c r="F1901" s="35"/>
      <c r="I1901" s="33"/>
      <c r="M1901" s="33"/>
      <c r="N1901" s="33"/>
    </row>
    <row r="1902" spans="2:14" ht="15.75" x14ac:dyDescent="0.25">
      <c r="B1902" s="33"/>
      <c r="C1902" s="34"/>
      <c r="F1902" s="35"/>
      <c r="I1902" s="33"/>
      <c r="M1902" s="33"/>
      <c r="N1902" s="33"/>
    </row>
    <row r="1903" spans="2:14" ht="15.75" x14ac:dyDescent="0.25">
      <c r="B1903" s="33"/>
      <c r="C1903" s="34"/>
      <c r="F1903" s="35"/>
      <c r="I1903" s="33"/>
      <c r="M1903" s="33"/>
      <c r="N1903" s="33"/>
    </row>
    <row r="1904" spans="2:14" ht="15.75" x14ac:dyDescent="0.25">
      <c r="B1904" s="33"/>
      <c r="C1904" s="34"/>
      <c r="F1904" s="35"/>
      <c r="I1904" s="33"/>
      <c r="M1904" s="33"/>
      <c r="N1904" s="33"/>
    </row>
    <row r="1905" spans="2:14" ht="15.75" x14ac:dyDescent="0.25">
      <c r="B1905" s="33"/>
      <c r="C1905" s="34"/>
      <c r="F1905" s="35"/>
      <c r="I1905" s="33"/>
      <c r="M1905" s="33"/>
      <c r="N1905" s="33"/>
    </row>
    <row r="1906" spans="2:14" ht="15.75" x14ac:dyDescent="0.25">
      <c r="B1906" s="33"/>
      <c r="C1906" s="34"/>
      <c r="F1906" s="35"/>
      <c r="I1906" s="33"/>
      <c r="M1906" s="33"/>
      <c r="N1906" s="33"/>
    </row>
    <row r="1907" spans="2:14" ht="15.75" x14ac:dyDescent="0.25">
      <c r="B1907" s="33"/>
      <c r="C1907" s="34"/>
      <c r="F1907" s="35"/>
      <c r="I1907" s="33"/>
      <c r="M1907" s="33"/>
      <c r="N1907" s="33"/>
    </row>
    <row r="1908" spans="2:14" ht="15.75" x14ac:dyDescent="0.25">
      <c r="B1908" s="33"/>
      <c r="C1908" s="34"/>
      <c r="F1908" s="35"/>
      <c r="I1908" s="33"/>
      <c r="M1908" s="33"/>
      <c r="N1908" s="33"/>
    </row>
    <row r="1909" spans="2:14" ht="15.75" x14ac:dyDescent="0.25">
      <c r="B1909" s="33"/>
      <c r="C1909" s="34"/>
      <c r="F1909" s="35"/>
      <c r="I1909" s="33"/>
      <c r="M1909" s="33"/>
      <c r="N1909" s="33"/>
    </row>
    <row r="1910" spans="2:14" ht="15.75" x14ac:dyDescent="0.25">
      <c r="B1910" s="33"/>
      <c r="C1910" s="34"/>
      <c r="F1910" s="35"/>
      <c r="I1910" s="33"/>
      <c r="M1910" s="33"/>
      <c r="N1910" s="33"/>
    </row>
    <row r="1911" spans="2:14" ht="15.75" x14ac:dyDescent="0.25">
      <c r="B1911" s="33"/>
      <c r="C1911" s="34"/>
      <c r="F1911" s="35"/>
      <c r="I1911" s="33"/>
      <c r="M1911" s="33"/>
      <c r="N1911" s="33"/>
    </row>
    <row r="1912" spans="2:14" ht="15.75" x14ac:dyDescent="0.25">
      <c r="B1912" s="33"/>
      <c r="C1912" s="34"/>
      <c r="F1912" s="35"/>
      <c r="I1912" s="33"/>
      <c r="M1912" s="33"/>
      <c r="N1912" s="33"/>
    </row>
    <row r="1913" spans="2:14" ht="15.75" x14ac:dyDescent="0.25">
      <c r="B1913" s="33"/>
      <c r="C1913" s="34"/>
      <c r="F1913" s="35"/>
      <c r="I1913" s="33"/>
      <c r="M1913" s="33"/>
      <c r="N1913" s="33"/>
    </row>
    <row r="1914" spans="2:14" ht="15.75" x14ac:dyDescent="0.25">
      <c r="B1914" s="33"/>
      <c r="C1914" s="34"/>
      <c r="F1914" s="35"/>
      <c r="I1914" s="33"/>
      <c r="M1914" s="33"/>
      <c r="N1914" s="33"/>
    </row>
    <row r="1915" spans="2:14" ht="15.75" x14ac:dyDescent="0.25">
      <c r="B1915" s="33"/>
      <c r="C1915" s="34"/>
      <c r="F1915" s="35"/>
      <c r="I1915" s="33"/>
      <c r="M1915" s="33"/>
      <c r="N1915" s="33"/>
    </row>
    <row r="1916" spans="2:14" ht="15.75" x14ac:dyDescent="0.25">
      <c r="B1916" s="33"/>
      <c r="C1916" s="34"/>
      <c r="F1916" s="35"/>
      <c r="I1916" s="33"/>
      <c r="M1916" s="33"/>
      <c r="N1916" s="33"/>
    </row>
    <row r="1917" spans="2:14" ht="15.75" x14ac:dyDescent="0.25">
      <c r="B1917" s="33"/>
      <c r="C1917" s="34"/>
      <c r="F1917" s="35"/>
      <c r="I1917" s="33"/>
      <c r="M1917" s="33"/>
      <c r="N1917" s="33"/>
    </row>
    <row r="1918" spans="2:14" ht="15.75" x14ac:dyDescent="0.25">
      <c r="B1918" s="33"/>
      <c r="C1918" s="34"/>
      <c r="F1918" s="35"/>
      <c r="I1918" s="33"/>
      <c r="M1918" s="33"/>
      <c r="N1918" s="33"/>
    </row>
    <row r="1919" spans="2:14" ht="15.75" x14ac:dyDescent="0.25">
      <c r="B1919" s="33"/>
      <c r="C1919" s="34"/>
      <c r="F1919" s="35"/>
      <c r="I1919" s="33"/>
      <c r="M1919" s="33"/>
      <c r="N1919" s="33"/>
    </row>
    <row r="1920" spans="2:14" ht="15.75" x14ac:dyDescent="0.25">
      <c r="B1920" s="33"/>
      <c r="C1920" s="34"/>
      <c r="F1920" s="35"/>
      <c r="I1920" s="33"/>
      <c r="M1920" s="33"/>
      <c r="N1920" s="33"/>
    </row>
    <row r="1921" spans="2:14" ht="15.75" x14ac:dyDescent="0.25">
      <c r="B1921" s="33"/>
      <c r="C1921" s="34"/>
      <c r="F1921" s="35"/>
      <c r="I1921" s="33"/>
      <c r="M1921" s="33"/>
      <c r="N1921" s="33"/>
    </row>
    <row r="1922" spans="2:14" ht="15.75" x14ac:dyDescent="0.25">
      <c r="B1922" s="33"/>
      <c r="C1922" s="34"/>
      <c r="F1922" s="35"/>
      <c r="I1922" s="33"/>
      <c r="M1922" s="33"/>
      <c r="N1922" s="33"/>
    </row>
    <row r="1923" spans="2:14" ht="15.75" x14ac:dyDescent="0.25">
      <c r="B1923" s="33"/>
      <c r="C1923" s="34"/>
      <c r="F1923" s="35"/>
      <c r="I1923" s="33"/>
      <c r="M1923" s="33"/>
      <c r="N1923" s="33"/>
    </row>
    <row r="1924" spans="2:14" ht="15.75" x14ac:dyDescent="0.25">
      <c r="B1924" s="33"/>
      <c r="C1924" s="34"/>
      <c r="F1924" s="35"/>
      <c r="I1924" s="33"/>
      <c r="M1924" s="33"/>
      <c r="N1924" s="33"/>
    </row>
    <row r="1925" spans="2:14" ht="15.75" x14ac:dyDescent="0.25">
      <c r="B1925" s="33"/>
      <c r="C1925" s="34"/>
      <c r="F1925" s="35"/>
      <c r="I1925" s="33"/>
      <c r="M1925" s="33"/>
      <c r="N1925" s="33"/>
    </row>
    <row r="1926" spans="2:14" ht="15.75" x14ac:dyDescent="0.25">
      <c r="B1926" s="33"/>
      <c r="C1926" s="34"/>
      <c r="F1926" s="35"/>
      <c r="I1926" s="33"/>
      <c r="M1926" s="33"/>
      <c r="N1926" s="33"/>
    </row>
    <row r="1927" spans="2:14" ht="15.75" x14ac:dyDescent="0.25">
      <c r="B1927" s="33"/>
      <c r="C1927" s="34"/>
      <c r="F1927" s="35"/>
      <c r="I1927" s="33"/>
      <c r="M1927" s="33"/>
      <c r="N1927" s="33"/>
    </row>
    <row r="1928" spans="2:14" ht="15.75" x14ac:dyDescent="0.25">
      <c r="B1928" s="33"/>
      <c r="C1928" s="34"/>
      <c r="F1928" s="35"/>
      <c r="I1928" s="33"/>
      <c r="M1928" s="33"/>
      <c r="N1928" s="33"/>
    </row>
    <row r="1929" spans="2:14" ht="15.75" x14ac:dyDescent="0.25">
      <c r="B1929" s="33"/>
      <c r="C1929" s="34"/>
      <c r="F1929" s="35"/>
      <c r="I1929" s="33"/>
      <c r="M1929" s="33"/>
      <c r="N1929" s="33"/>
    </row>
    <row r="1930" spans="2:14" ht="15.75" x14ac:dyDescent="0.25">
      <c r="B1930" s="33"/>
      <c r="C1930" s="34"/>
      <c r="F1930" s="35"/>
      <c r="I1930" s="33"/>
      <c r="M1930" s="33"/>
      <c r="N1930" s="33"/>
    </row>
    <row r="1931" spans="2:14" ht="15.75" x14ac:dyDescent="0.25">
      <c r="B1931" s="33"/>
      <c r="C1931" s="34"/>
      <c r="F1931" s="35"/>
      <c r="I1931" s="33"/>
      <c r="M1931" s="33"/>
      <c r="N1931" s="33"/>
    </row>
    <row r="1932" spans="2:14" ht="15.75" x14ac:dyDescent="0.25">
      <c r="B1932" s="33"/>
      <c r="C1932" s="34"/>
      <c r="F1932" s="35"/>
      <c r="I1932" s="33"/>
      <c r="M1932" s="33"/>
      <c r="N1932" s="33"/>
    </row>
    <row r="1933" spans="2:14" ht="15.75" x14ac:dyDescent="0.25">
      <c r="B1933" s="33"/>
      <c r="C1933" s="34"/>
      <c r="F1933" s="35"/>
      <c r="I1933" s="33"/>
      <c r="M1933" s="33"/>
      <c r="N1933" s="33"/>
    </row>
    <row r="1934" spans="2:14" ht="15.75" x14ac:dyDescent="0.25">
      <c r="B1934" s="33"/>
      <c r="C1934" s="34"/>
      <c r="F1934" s="35"/>
      <c r="I1934" s="33"/>
      <c r="M1934" s="33"/>
      <c r="N1934" s="33"/>
    </row>
    <row r="1935" spans="2:14" ht="15.75" x14ac:dyDescent="0.25">
      <c r="B1935" s="33"/>
      <c r="C1935" s="34"/>
      <c r="F1935" s="35"/>
      <c r="I1935" s="33"/>
      <c r="M1935" s="33"/>
      <c r="N1935" s="33"/>
    </row>
    <row r="1936" spans="2:14" ht="15.75" x14ac:dyDescent="0.25">
      <c r="B1936" s="33"/>
      <c r="C1936" s="34"/>
      <c r="F1936" s="35"/>
      <c r="I1936" s="33"/>
      <c r="M1936" s="33"/>
      <c r="N1936" s="33"/>
    </row>
    <row r="1937" spans="2:14" ht="15.75" x14ac:dyDescent="0.25">
      <c r="B1937" s="33"/>
      <c r="C1937" s="34"/>
      <c r="F1937" s="35"/>
      <c r="I1937" s="33"/>
      <c r="M1937" s="33"/>
      <c r="N1937" s="33"/>
    </row>
    <row r="1938" spans="2:14" ht="15.75" x14ac:dyDescent="0.25">
      <c r="B1938" s="33"/>
      <c r="C1938" s="34"/>
      <c r="F1938" s="35"/>
      <c r="I1938" s="33"/>
      <c r="M1938" s="33"/>
      <c r="N1938" s="33"/>
    </row>
    <row r="1939" spans="2:14" ht="15.75" x14ac:dyDescent="0.25">
      <c r="B1939" s="33"/>
      <c r="C1939" s="34"/>
      <c r="F1939" s="35"/>
      <c r="I1939" s="33"/>
      <c r="M1939" s="33"/>
      <c r="N1939" s="33"/>
    </row>
    <row r="1940" spans="2:14" ht="15.75" x14ac:dyDescent="0.25">
      <c r="B1940" s="33"/>
      <c r="C1940" s="34"/>
      <c r="F1940" s="35"/>
      <c r="I1940" s="33"/>
      <c r="M1940" s="33"/>
      <c r="N1940" s="33"/>
    </row>
    <row r="1941" spans="2:14" ht="15.75" x14ac:dyDescent="0.25">
      <c r="B1941" s="33"/>
      <c r="C1941" s="34"/>
      <c r="F1941" s="35"/>
      <c r="I1941" s="33"/>
      <c r="M1941" s="33"/>
      <c r="N1941" s="33"/>
    </row>
    <row r="1942" spans="2:14" ht="15.75" x14ac:dyDescent="0.25">
      <c r="B1942" s="33"/>
      <c r="C1942" s="34"/>
      <c r="F1942" s="35"/>
      <c r="I1942" s="33"/>
      <c r="M1942" s="33"/>
      <c r="N1942" s="33"/>
    </row>
    <row r="1943" spans="2:14" ht="15.75" x14ac:dyDescent="0.25">
      <c r="B1943" s="33"/>
      <c r="C1943" s="34"/>
      <c r="F1943" s="35"/>
      <c r="I1943" s="33"/>
      <c r="M1943" s="33"/>
      <c r="N1943" s="33"/>
    </row>
    <row r="1944" spans="2:14" ht="15.75" x14ac:dyDescent="0.25">
      <c r="B1944" s="33"/>
      <c r="C1944" s="34"/>
      <c r="F1944" s="35"/>
      <c r="I1944" s="33"/>
      <c r="M1944" s="33"/>
      <c r="N1944" s="33"/>
    </row>
    <row r="1945" spans="2:14" ht="15.75" x14ac:dyDescent="0.25">
      <c r="B1945" s="33"/>
      <c r="C1945" s="34"/>
      <c r="F1945" s="35"/>
      <c r="I1945" s="33"/>
      <c r="M1945" s="33"/>
      <c r="N1945" s="33"/>
    </row>
    <row r="1946" spans="2:14" ht="15.75" x14ac:dyDescent="0.25">
      <c r="B1946" s="33"/>
      <c r="C1946" s="34"/>
      <c r="F1946" s="35"/>
      <c r="I1946" s="33"/>
      <c r="M1946" s="33"/>
      <c r="N1946" s="33"/>
    </row>
    <row r="1947" spans="2:14" ht="15.75" x14ac:dyDescent="0.25">
      <c r="B1947" s="33"/>
      <c r="C1947" s="34"/>
      <c r="F1947" s="35"/>
      <c r="I1947" s="33"/>
      <c r="M1947" s="33"/>
      <c r="N1947" s="33"/>
    </row>
    <row r="1948" spans="2:14" ht="15.75" x14ac:dyDescent="0.25">
      <c r="B1948" s="33"/>
      <c r="C1948" s="34"/>
      <c r="F1948" s="35"/>
      <c r="I1948" s="33"/>
      <c r="M1948" s="33"/>
      <c r="N1948" s="33"/>
    </row>
    <row r="1949" spans="2:14" ht="15.75" x14ac:dyDescent="0.25">
      <c r="B1949" s="33"/>
      <c r="C1949" s="34"/>
      <c r="F1949" s="35"/>
      <c r="I1949" s="33"/>
      <c r="M1949" s="33"/>
      <c r="N1949" s="33"/>
    </row>
    <row r="1950" spans="2:14" ht="15.75" x14ac:dyDescent="0.25">
      <c r="B1950" s="33"/>
      <c r="C1950" s="34"/>
      <c r="F1950" s="35"/>
      <c r="I1950" s="33"/>
      <c r="M1950" s="33"/>
      <c r="N1950" s="33"/>
    </row>
    <row r="1951" spans="2:14" ht="15.75" x14ac:dyDescent="0.25">
      <c r="B1951" s="33"/>
      <c r="C1951" s="34"/>
      <c r="F1951" s="35"/>
      <c r="I1951" s="33"/>
      <c r="M1951" s="33"/>
      <c r="N1951" s="33"/>
    </row>
    <row r="1952" spans="2:14" ht="15.75" x14ac:dyDescent="0.25">
      <c r="B1952" s="33"/>
      <c r="C1952" s="34"/>
      <c r="F1952" s="35"/>
      <c r="I1952" s="33"/>
      <c r="M1952" s="33"/>
      <c r="N1952" s="33"/>
    </row>
    <row r="1953" spans="2:14" ht="15.75" x14ac:dyDescent="0.25">
      <c r="B1953" s="33"/>
      <c r="C1953" s="34"/>
      <c r="F1953" s="35"/>
      <c r="I1953" s="33"/>
      <c r="M1953" s="33"/>
      <c r="N1953" s="33"/>
    </row>
    <row r="1954" spans="2:14" ht="15.75" x14ac:dyDescent="0.25">
      <c r="B1954" s="33"/>
      <c r="C1954" s="34"/>
      <c r="F1954" s="35"/>
      <c r="I1954" s="33"/>
      <c r="M1954" s="33"/>
      <c r="N1954" s="33"/>
    </row>
    <row r="1955" spans="2:14" ht="15.75" x14ac:dyDescent="0.25">
      <c r="B1955" s="33"/>
      <c r="C1955" s="34"/>
      <c r="F1955" s="35"/>
      <c r="I1955" s="33"/>
      <c r="M1955" s="33"/>
      <c r="N1955" s="33"/>
    </row>
    <row r="1956" spans="2:14" ht="15.75" x14ac:dyDescent="0.25">
      <c r="B1956" s="33"/>
      <c r="C1956" s="34"/>
      <c r="F1956" s="35"/>
      <c r="I1956" s="33"/>
      <c r="M1956" s="33"/>
      <c r="N1956" s="33"/>
    </row>
    <row r="1957" spans="2:14" ht="15.75" x14ac:dyDescent="0.25">
      <c r="B1957" s="33"/>
      <c r="C1957" s="34"/>
      <c r="F1957" s="35"/>
      <c r="I1957" s="33"/>
      <c r="M1957" s="33"/>
      <c r="N1957" s="33"/>
    </row>
    <row r="1958" spans="2:14" ht="15.75" x14ac:dyDescent="0.25">
      <c r="B1958" s="33"/>
      <c r="C1958" s="34"/>
      <c r="F1958" s="35"/>
      <c r="I1958" s="33"/>
      <c r="M1958" s="33"/>
      <c r="N1958" s="33"/>
    </row>
    <row r="1959" spans="2:14" ht="15.75" x14ac:dyDescent="0.25">
      <c r="B1959" s="33"/>
      <c r="C1959" s="34"/>
      <c r="F1959" s="35"/>
      <c r="I1959" s="33"/>
      <c r="M1959" s="33"/>
      <c r="N1959" s="33"/>
    </row>
    <row r="1960" spans="2:14" ht="15.75" x14ac:dyDescent="0.25">
      <c r="B1960" s="33"/>
      <c r="C1960" s="34"/>
      <c r="F1960" s="35"/>
      <c r="I1960" s="33"/>
      <c r="M1960" s="33"/>
      <c r="N1960" s="33"/>
    </row>
    <row r="1961" spans="2:14" ht="15.75" x14ac:dyDescent="0.25">
      <c r="B1961" s="33"/>
      <c r="C1961" s="34"/>
      <c r="F1961" s="35"/>
      <c r="I1961" s="33"/>
      <c r="M1961" s="33"/>
      <c r="N1961" s="33"/>
    </row>
    <row r="1962" spans="2:14" ht="15.75" x14ac:dyDescent="0.25">
      <c r="B1962" s="33"/>
      <c r="C1962" s="34"/>
      <c r="F1962" s="35"/>
      <c r="I1962" s="33"/>
      <c r="M1962" s="33"/>
      <c r="N1962" s="33"/>
    </row>
    <row r="1963" spans="2:14" ht="15.75" x14ac:dyDescent="0.25">
      <c r="B1963" s="33"/>
      <c r="C1963" s="34"/>
      <c r="F1963" s="35"/>
      <c r="I1963" s="33"/>
      <c r="M1963" s="33"/>
      <c r="N1963" s="33"/>
    </row>
    <row r="1964" spans="2:14" ht="15.75" x14ac:dyDescent="0.25">
      <c r="B1964" s="33"/>
      <c r="C1964" s="34"/>
      <c r="F1964" s="35"/>
      <c r="I1964" s="33"/>
      <c r="M1964" s="33"/>
      <c r="N1964" s="33"/>
    </row>
    <row r="1965" spans="2:14" ht="15.75" x14ac:dyDescent="0.25">
      <c r="B1965" s="33"/>
      <c r="C1965" s="34"/>
      <c r="F1965" s="35"/>
      <c r="I1965" s="33"/>
      <c r="M1965" s="33"/>
      <c r="N1965" s="33"/>
    </row>
    <row r="1966" spans="2:14" ht="15.75" x14ac:dyDescent="0.25">
      <c r="B1966" s="33"/>
      <c r="C1966" s="34"/>
      <c r="F1966" s="35"/>
      <c r="I1966" s="33"/>
      <c r="M1966" s="33"/>
      <c r="N1966" s="33"/>
    </row>
    <row r="1967" spans="2:14" ht="15.75" x14ac:dyDescent="0.25">
      <c r="B1967" s="33"/>
      <c r="C1967" s="34"/>
      <c r="F1967" s="35"/>
      <c r="I1967" s="33"/>
      <c r="M1967" s="33"/>
      <c r="N1967" s="33"/>
    </row>
    <row r="1968" spans="2:14" ht="15.75" x14ac:dyDescent="0.25">
      <c r="B1968" s="33"/>
      <c r="C1968" s="34"/>
      <c r="F1968" s="35"/>
      <c r="I1968" s="33"/>
      <c r="M1968" s="33"/>
      <c r="N1968" s="33"/>
    </row>
    <row r="1969" spans="2:14" ht="15.75" x14ac:dyDescent="0.25">
      <c r="B1969" s="33"/>
      <c r="C1969" s="34"/>
      <c r="F1969" s="35"/>
      <c r="I1969" s="33"/>
      <c r="M1969" s="33"/>
      <c r="N1969" s="33"/>
    </row>
    <row r="1970" spans="2:14" ht="15.75" x14ac:dyDescent="0.25">
      <c r="B1970" s="33"/>
      <c r="C1970" s="34"/>
      <c r="F1970" s="35"/>
      <c r="I1970" s="33"/>
      <c r="M1970" s="33"/>
      <c r="N1970" s="33"/>
    </row>
    <row r="1971" spans="2:14" ht="15.75" x14ac:dyDescent="0.25">
      <c r="B1971" s="33"/>
      <c r="C1971" s="34"/>
      <c r="F1971" s="35"/>
      <c r="I1971" s="33"/>
      <c r="M1971" s="33"/>
      <c r="N1971" s="33"/>
    </row>
    <row r="1972" spans="2:14" ht="15.75" x14ac:dyDescent="0.25">
      <c r="B1972" s="33"/>
      <c r="C1972" s="34"/>
      <c r="F1972" s="35"/>
      <c r="I1972" s="33"/>
      <c r="M1972" s="33"/>
      <c r="N1972" s="33"/>
    </row>
    <row r="1973" spans="2:14" ht="15.75" x14ac:dyDescent="0.25">
      <c r="B1973" s="33"/>
      <c r="C1973" s="34"/>
      <c r="F1973" s="35"/>
      <c r="I1973" s="33"/>
      <c r="M1973" s="33"/>
      <c r="N1973" s="33"/>
    </row>
    <row r="1974" spans="2:14" ht="15.75" x14ac:dyDescent="0.25">
      <c r="B1974" s="33"/>
      <c r="C1974" s="34"/>
      <c r="F1974" s="35"/>
      <c r="I1974" s="33"/>
      <c r="M1974" s="33"/>
      <c r="N1974" s="33"/>
    </row>
    <row r="1975" spans="2:14" ht="15.75" x14ac:dyDescent="0.25">
      <c r="B1975" s="33"/>
      <c r="C1975" s="34"/>
      <c r="F1975" s="35"/>
      <c r="I1975" s="33"/>
      <c r="M1975" s="33"/>
      <c r="N1975" s="33"/>
    </row>
    <row r="1976" spans="2:14" ht="15.75" x14ac:dyDescent="0.25">
      <c r="B1976" s="33"/>
      <c r="C1976" s="34"/>
      <c r="F1976" s="35"/>
      <c r="I1976" s="33"/>
      <c r="M1976" s="33"/>
      <c r="N1976" s="33"/>
    </row>
    <row r="1977" spans="2:14" ht="15.75" x14ac:dyDescent="0.25">
      <c r="B1977" s="33"/>
      <c r="C1977" s="34"/>
      <c r="F1977" s="35"/>
      <c r="I1977" s="33"/>
      <c r="M1977" s="33"/>
      <c r="N1977" s="33"/>
    </row>
    <row r="1978" spans="2:14" ht="15.75" x14ac:dyDescent="0.25">
      <c r="B1978" s="33"/>
      <c r="C1978" s="34"/>
      <c r="F1978" s="35"/>
      <c r="I1978" s="33"/>
      <c r="M1978" s="33"/>
      <c r="N1978" s="33"/>
    </row>
    <row r="1979" spans="2:14" ht="15.75" x14ac:dyDescent="0.25">
      <c r="B1979" s="33"/>
      <c r="C1979" s="34"/>
      <c r="F1979" s="35"/>
      <c r="I1979" s="33"/>
      <c r="M1979" s="33"/>
      <c r="N1979" s="33"/>
    </row>
    <row r="1980" spans="2:14" ht="15.75" x14ac:dyDescent="0.25">
      <c r="B1980" s="33"/>
      <c r="C1980" s="34"/>
      <c r="F1980" s="35"/>
      <c r="I1980" s="33"/>
      <c r="M1980" s="33"/>
      <c r="N1980" s="33"/>
    </row>
    <row r="1981" spans="2:14" ht="15.75" x14ac:dyDescent="0.25">
      <c r="B1981" s="33"/>
      <c r="C1981" s="34"/>
      <c r="F1981" s="35"/>
      <c r="I1981" s="33"/>
      <c r="M1981" s="33"/>
      <c r="N1981" s="33"/>
    </row>
    <row r="1982" spans="2:14" ht="15.75" x14ac:dyDescent="0.25">
      <c r="B1982" s="33"/>
      <c r="C1982" s="34"/>
      <c r="F1982" s="35"/>
      <c r="I1982" s="33"/>
      <c r="M1982" s="33"/>
      <c r="N1982" s="33"/>
    </row>
    <row r="1983" spans="2:14" ht="15.75" x14ac:dyDescent="0.25">
      <c r="B1983" s="33"/>
      <c r="C1983" s="34"/>
      <c r="F1983" s="35"/>
      <c r="I1983" s="33"/>
      <c r="M1983" s="33"/>
      <c r="N1983" s="33"/>
    </row>
    <row r="1984" spans="2:14" ht="15.75" x14ac:dyDescent="0.25">
      <c r="B1984" s="33"/>
      <c r="C1984" s="34"/>
      <c r="F1984" s="35"/>
      <c r="I1984" s="33"/>
      <c r="M1984" s="33"/>
      <c r="N1984" s="33"/>
    </row>
    <row r="1985" spans="2:14" ht="15.75" x14ac:dyDescent="0.25">
      <c r="B1985" s="33"/>
      <c r="C1985" s="34"/>
      <c r="F1985" s="35"/>
      <c r="I1985" s="33"/>
      <c r="M1985" s="33"/>
      <c r="N1985" s="33"/>
    </row>
    <row r="1986" spans="2:14" ht="15.75" x14ac:dyDescent="0.25">
      <c r="B1986" s="33"/>
      <c r="C1986" s="34"/>
      <c r="F1986" s="35"/>
      <c r="I1986" s="33"/>
      <c r="M1986" s="33"/>
      <c r="N1986" s="33"/>
    </row>
    <row r="1987" spans="2:14" ht="15.75" x14ac:dyDescent="0.25">
      <c r="B1987" s="33"/>
      <c r="C1987" s="34"/>
      <c r="F1987" s="35"/>
      <c r="I1987" s="33"/>
      <c r="M1987" s="33"/>
      <c r="N1987" s="33"/>
    </row>
    <row r="1988" spans="2:14" ht="15.75" x14ac:dyDescent="0.25">
      <c r="B1988" s="33"/>
      <c r="C1988" s="34"/>
      <c r="F1988" s="35"/>
      <c r="I1988" s="33"/>
      <c r="M1988" s="33"/>
      <c r="N1988" s="33"/>
    </row>
    <row r="1989" spans="2:14" ht="15.75" x14ac:dyDescent="0.25">
      <c r="B1989" s="33"/>
      <c r="C1989" s="34"/>
      <c r="F1989" s="35"/>
      <c r="I1989" s="33"/>
      <c r="M1989" s="33"/>
      <c r="N1989" s="33"/>
    </row>
    <row r="1990" spans="2:14" ht="15.75" x14ac:dyDescent="0.25">
      <c r="B1990" s="33"/>
      <c r="C1990" s="34"/>
      <c r="F1990" s="35"/>
      <c r="I1990" s="33"/>
      <c r="M1990" s="33"/>
      <c r="N1990" s="33"/>
    </row>
    <row r="1991" spans="2:14" ht="15.75" x14ac:dyDescent="0.25">
      <c r="B1991" s="33"/>
      <c r="C1991" s="34"/>
      <c r="F1991" s="35"/>
      <c r="I1991" s="33"/>
      <c r="M1991" s="33"/>
      <c r="N1991" s="33"/>
    </row>
    <row r="1992" spans="2:14" ht="15.75" x14ac:dyDescent="0.25">
      <c r="B1992" s="33"/>
      <c r="C1992" s="34"/>
      <c r="F1992" s="35"/>
      <c r="I1992" s="33"/>
      <c r="M1992" s="33"/>
      <c r="N1992" s="33"/>
    </row>
    <row r="1993" spans="2:14" ht="15.75" x14ac:dyDescent="0.25">
      <c r="B1993" s="33"/>
      <c r="C1993" s="34"/>
      <c r="F1993" s="35"/>
      <c r="I1993" s="33"/>
      <c r="M1993" s="33"/>
      <c r="N1993" s="33"/>
    </row>
    <row r="1994" spans="2:14" ht="15.75" x14ac:dyDescent="0.25">
      <c r="B1994" s="33"/>
      <c r="C1994" s="34"/>
      <c r="F1994" s="35"/>
      <c r="I1994" s="33"/>
      <c r="M1994" s="33"/>
      <c r="N1994" s="33"/>
    </row>
    <row r="1995" spans="2:14" ht="15.75" x14ac:dyDescent="0.25">
      <c r="B1995" s="33"/>
      <c r="C1995" s="34"/>
      <c r="F1995" s="35"/>
      <c r="I1995" s="33"/>
      <c r="M1995" s="33"/>
      <c r="N1995" s="33"/>
    </row>
    <row r="1996" spans="2:14" ht="15.75" x14ac:dyDescent="0.25">
      <c r="B1996" s="33"/>
      <c r="C1996" s="34"/>
      <c r="F1996" s="35"/>
      <c r="I1996" s="33"/>
      <c r="M1996" s="33"/>
      <c r="N1996" s="33"/>
    </row>
    <row r="1997" spans="2:14" ht="15.75" x14ac:dyDescent="0.25">
      <c r="B1997" s="33"/>
      <c r="C1997" s="34"/>
      <c r="F1997" s="35"/>
      <c r="I1997" s="33"/>
      <c r="M1997" s="33"/>
      <c r="N1997" s="33"/>
    </row>
    <row r="1998" spans="2:14" ht="15.75" x14ac:dyDescent="0.25">
      <c r="B1998" s="33"/>
      <c r="C1998" s="34"/>
      <c r="F1998" s="35"/>
      <c r="I1998" s="33"/>
      <c r="M1998" s="33"/>
      <c r="N1998" s="33"/>
    </row>
    <row r="1999" spans="2:14" ht="15.75" x14ac:dyDescent="0.25">
      <c r="B1999" s="33"/>
      <c r="C1999" s="34"/>
      <c r="F1999" s="35"/>
      <c r="I1999" s="33"/>
      <c r="M1999" s="33"/>
      <c r="N1999" s="33"/>
    </row>
    <row r="2000" spans="2:14" ht="15.75" x14ac:dyDescent="0.25">
      <c r="B2000" s="33"/>
      <c r="C2000" s="34"/>
      <c r="F2000" s="35"/>
      <c r="I2000" s="33"/>
      <c r="M2000" s="33"/>
      <c r="N2000" s="33"/>
    </row>
    <row r="2001" spans="2:14" ht="15.75" x14ac:dyDescent="0.25">
      <c r="B2001" s="33"/>
      <c r="C2001" s="34"/>
      <c r="F2001" s="35"/>
      <c r="I2001" s="33"/>
      <c r="M2001" s="33"/>
      <c r="N2001" s="33"/>
    </row>
    <row r="2002" spans="2:14" ht="15.75" x14ac:dyDescent="0.25">
      <c r="B2002" s="33"/>
      <c r="C2002" s="34"/>
      <c r="F2002" s="35"/>
      <c r="I2002" s="33"/>
      <c r="M2002" s="33"/>
      <c r="N2002" s="33"/>
    </row>
    <row r="2003" spans="2:14" ht="15.75" x14ac:dyDescent="0.25">
      <c r="B2003" s="33"/>
      <c r="C2003" s="34"/>
      <c r="F2003" s="35"/>
      <c r="I2003" s="33"/>
      <c r="M2003" s="33"/>
      <c r="N2003" s="33"/>
    </row>
    <row r="2004" spans="2:14" ht="15.75" x14ac:dyDescent="0.25">
      <c r="B2004" s="33"/>
      <c r="C2004" s="34"/>
      <c r="F2004" s="35"/>
      <c r="I2004" s="33"/>
      <c r="M2004" s="33"/>
      <c r="N2004" s="33"/>
    </row>
    <row r="2005" spans="2:14" ht="15.75" x14ac:dyDescent="0.25">
      <c r="B2005" s="33"/>
      <c r="C2005" s="34"/>
      <c r="F2005" s="35"/>
      <c r="I2005" s="33"/>
      <c r="M2005" s="33"/>
      <c r="N2005" s="33"/>
    </row>
    <row r="2006" spans="2:14" ht="15.75" x14ac:dyDescent="0.25">
      <c r="B2006" s="33"/>
      <c r="C2006" s="34"/>
      <c r="F2006" s="35"/>
      <c r="I2006" s="33"/>
      <c r="M2006" s="33"/>
      <c r="N2006" s="33"/>
    </row>
    <row r="2007" spans="2:14" ht="15.75" x14ac:dyDescent="0.25">
      <c r="B2007" s="33"/>
      <c r="C2007" s="34"/>
      <c r="F2007" s="35"/>
      <c r="I2007" s="33"/>
      <c r="M2007" s="33"/>
      <c r="N2007" s="33"/>
    </row>
    <row r="2008" spans="2:14" ht="15.75" x14ac:dyDescent="0.25">
      <c r="B2008" s="33"/>
      <c r="C2008" s="34"/>
      <c r="F2008" s="35"/>
      <c r="I2008" s="33"/>
      <c r="M2008" s="33"/>
      <c r="N2008" s="33"/>
    </row>
    <row r="2009" spans="2:14" ht="15.75" x14ac:dyDescent="0.25">
      <c r="B2009" s="33"/>
      <c r="C2009" s="34"/>
      <c r="F2009" s="35"/>
      <c r="I2009" s="33"/>
      <c r="M2009" s="33"/>
      <c r="N2009" s="33"/>
    </row>
    <row r="2010" spans="2:14" ht="15.75" x14ac:dyDescent="0.25">
      <c r="B2010" s="33"/>
      <c r="C2010" s="34"/>
      <c r="F2010" s="35"/>
      <c r="I2010" s="33"/>
      <c r="M2010" s="33"/>
      <c r="N2010" s="33"/>
    </row>
    <row r="2011" spans="2:14" ht="15.75" x14ac:dyDescent="0.25">
      <c r="B2011" s="33"/>
      <c r="C2011" s="34"/>
      <c r="F2011" s="35"/>
      <c r="I2011" s="33"/>
      <c r="M2011" s="33"/>
      <c r="N2011" s="33"/>
    </row>
    <row r="2012" spans="2:14" ht="15.75" x14ac:dyDescent="0.25">
      <c r="B2012" s="33"/>
      <c r="C2012" s="34"/>
      <c r="F2012" s="35"/>
      <c r="I2012" s="33"/>
      <c r="M2012" s="33"/>
      <c r="N2012" s="33"/>
    </row>
    <row r="2013" spans="2:14" ht="15.75" x14ac:dyDescent="0.25">
      <c r="B2013" s="33"/>
      <c r="C2013" s="34"/>
      <c r="F2013" s="35"/>
      <c r="I2013" s="33"/>
      <c r="M2013" s="33"/>
      <c r="N2013" s="33"/>
    </row>
    <row r="2014" spans="2:14" ht="15.75" x14ac:dyDescent="0.25">
      <c r="B2014" s="33"/>
      <c r="C2014" s="34"/>
      <c r="F2014" s="35"/>
      <c r="I2014" s="33"/>
      <c r="M2014" s="33"/>
      <c r="N2014" s="33"/>
    </row>
    <row r="2015" spans="2:14" ht="15.75" x14ac:dyDescent="0.25">
      <c r="B2015" s="33"/>
      <c r="C2015" s="34"/>
      <c r="F2015" s="35"/>
      <c r="I2015" s="33"/>
      <c r="M2015" s="33"/>
      <c r="N2015" s="33"/>
    </row>
    <row r="2016" spans="2:14" ht="15.75" x14ac:dyDescent="0.25">
      <c r="B2016" s="33"/>
      <c r="C2016" s="34"/>
      <c r="F2016" s="35"/>
      <c r="I2016" s="33"/>
      <c r="M2016" s="33"/>
      <c r="N2016" s="33"/>
    </row>
    <row r="2017" spans="2:14" ht="15.75" x14ac:dyDescent="0.25">
      <c r="B2017" s="33"/>
      <c r="C2017" s="34"/>
      <c r="F2017" s="35"/>
      <c r="I2017" s="33"/>
      <c r="M2017" s="33"/>
      <c r="N2017" s="33"/>
    </row>
    <row r="2018" spans="2:14" ht="15.75" x14ac:dyDescent="0.25">
      <c r="B2018" s="33"/>
      <c r="C2018" s="34"/>
      <c r="F2018" s="35"/>
      <c r="I2018" s="33"/>
      <c r="M2018" s="33"/>
      <c r="N2018" s="33"/>
    </row>
    <row r="2019" spans="2:14" ht="15.75" x14ac:dyDescent="0.25">
      <c r="B2019" s="33"/>
      <c r="C2019" s="34"/>
      <c r="F2019" s="35"/>
      <c r="I2019" s="33"/>
      <c r="M2019" s="33"/>
      <c r="N2019" s="33"/>
    </row>
    <row r="2020" spans="2:14" ht="15.75" x14ac:dyDescent="0.25">
      <c r="B2020" s="33"/>
      <c r="C2020" s="34"/>
      <c r="F2020" s="35"/>
      <c r="I2020" s="33"/>
      <c r="M2020" s="33"/>
      <c r="N2020" s="33"/>
    </row>
    <row r="2021" spans="2:14" ht="15.75" x14ac:dyDescent="0.25">
      <c r="B2021" s="33"/>
      <c r="C2021" s="34"/>
      <c r="F2021" s="35"/>
      <c r="I2021" s="33"/>
      <c r="M2021" s="33"/>
      <c r="N2021" s="33"/>
    </row>
    <row r="2022" spans="2:14" ht="15.75" x14ac:dyDescent="0.25">
      <c r="B2022" s="33"/>
      <c r="C2022" s="34"/>
      <c r="F2022" s="35"/>
      <c r="I2022" s="33"/>
      <c r="M2022" s="33"/>
      <c r="N2022" s="33"/>
    </row>
    <row r="2023" spans="2:14" ht="15.75" x14ac:dyDescent="0.25">
      <c r="B2023" s="33"/>
      <c r="C2023" s="34"/>
      <c r="F2023" s="35"/>
      <c r="I2023" s="33"/>
      <c r="M2023" s="33"/>
      <c r="N2023" s="33"/>
    </row>
    <row r="2024" spans="2:14" ht="15.75" x14ac:dyDescent="0.25">
      <c r="B2024" s="33"/>
      <c r="C2024" s="34"/>
      <c r="F2024" s="35"/>
      <c r="I2024" s="33"/>
      <c r="M2024" s="33"/>
      <c r="N2024" s="33"/>
    </row>
    <row r="2025" spans="2:14" ht="15.75" x14ac:dyDescent="0.25">
      <c r="B2025" s="33"/>
      <c r="C2025" s="34"/>
      <c r="F2025" s="35"/>
      <c r="I2025" s="33"/>
      <c r="M2025" s="33"/>
      <c r="N2025" s="33"/>
    </row>
    <row r="2026" spans="2:14" ht="15.75" x14ac:dyDescent="0.25">
      <c r="B2026" s="33"/>
      <c r="C2026" s="34"/>
      <c r="F2026" s="35"/>
      <c r="I2026" s="33"/>
      <c r="M2026" s="33"/>
      <c r="N2026" s="33"/>
    </row>
    <row r="2027" spans="2:14" ht="15.75" x14ac:dyDescent="0.25">
      <c r="B2027" s="33"/>
      <c r="C2027" s="34"/>
      <c r="F2027" s="35"/>
      <c r="I2027" s="33"/>
      <c r="M2027" s="33"/>
      <c r="N2027" s="33"/>
    </row>
    <row r="2028" spans="2:14" ht="15.75" x14ac:dyDescent="0.25">
      <c r="B2028" s="33"/>
      <c r="C2028" s="34"/>
      <c r="F2028" s="35"/>
      <c r="I2028" s="33"/>
      <c r="M2028" s="33"/>
      <c r="N2028" s="33"/>
    </row>
    <row r="2029" spans="2:14" ht="15.75" x14ac:dyDescent="0.25">
      <c r="B2029" s="33"/>
      <c r="C2029" s="34"/>
      <c r="F2029" s="35"/>
      <c r="I2029" s="33"/>
      <c r="M2029" s="33"/>
      <c r="N2029" s="33"/>
    </row>
    <row r="2030" spans="2:14" ht="15.75" x14ac:dyDescent="0.25">
      <c r="B2030" s="33"/>
      <c r="C2030" s="34"/>
      <c r="F2030" s="35"/>
      <c r="I2030" s="33"/>
      <c r="M2030" s="33"/>
      <c r="N2030" s="33"/>
    </row>
    <row r="2031" spans="2:14" ht="15.75" x14ac:dyDescent="0.25">
      <c r="B2031" s="33"/>
      <c r="C2031" s="34"/>
      <c r="F2031" s="35"/>
      <c r="I2031" s="33"/>
      <c r="M2031" s="33"/>
      <c r="N2031" s="33"/>
    </row>
    <row r="2032" spans="2:14" ht="15.75" x14ac:dyDescent="0.25">
      <c r="B2032" s="33"/>
      <c r="C2032" s="34"/>
      <c r="F2032" s="35"/>
      <c r="I2032" s="33"/>
      <c r="M2032" s="33"/>
      <c r="N2032" s="33"/>
    </row>
    <row r="2033" spans="2:14" ht="15.75" x14ac:dyDescent="0.25">
      <c r="B2033" s="33"/>
      <c r="C2033" s="34"/>
      <c r="F2033" s="35"/>
      <c r="I2033" s="33"/>
      <c r="M2033" s="33"/>
      <c r="N2033" s="33"/>
    </row>
    <row r="2034" spans="2:14" ht="15.75" x14ac:dyDescent="0.25">
      <c r="B2034" s="33"/>
      <c r="C2034" s="34"/>
      <c r="F2034" s="35"/>
      <c r="I2034" s="33"/>
      <c r="M2034" s="33"/>
      <c r="N2034" s="33"/>
    </row>
    <row r="2035" spans="2:14" ht="15.75" x14ac:dyDescent="0.25">
      <c r="B2035" s="33"/>
      <c r="C2035" s="34"/>
      <c r="F2035" s="35"/>
      <c r="I2035" s="33"/>
      <c r="M2035" s="33"/>
      <c r="N2035" s="33"/>
    </row>
    <row r="2036" spans="2:14" ht="15.75" x14ac:dyDescent="0.25">
      <c r="B2036" s="33"/>
      <c r="C2036" s="34"/>
      <c r="F2036" s="35"/>
      <c r="I2036" s="33"/>
      <c r="M2036" s="33"/>
      <c r="N2036" s="33"/>
    </row>
    <row r="2037" spans="2:14" ht="15.75" x14ac:dyDescent="0.25">
      <c r="B2037" s="33"/>
      <c r="C2037" s="34"/>
      <c r="F2037" s="35"/>
      <c r="I2037" s="33"/>
      <c r="M2037" s="33"/>
      <c r="N2037" s="33"/>
    </row>
    <row r="2038" spans="2:14" ht="15.75" x14ac:dyDescent="0.25">
      <c r="B2038" s="33"/>
      <c r="C2038" s="34"/>
      <c r="F2038" s="35"/>
      <c r="I2038" s="33"/>
      <c r="M2038" s="33"/>
      <c r="N2038" s="33"/>
    </row>
    <row r="2039" spans="2:14" ht="15.75" x14ac:dyDescent="0.25">
      <c r="B2039" s="33"/>
      <c r="C2039" s="34"/>
      <c r="F2039" s="35"/>
      <c r="I2039" s="33"/>
      <c r="M2039" s="33"/>
      <c r="N2039" s="33"/>
    </row>
    <row r="2040" spans="2:14" ht="15.75" x14ac:dyDescent="0.25">
      <c r="B2040" s="33"/>
      <c r="C2040" s="34"/>
      <c r="F2040" s="35"/>
      <c r="I2040" s="33"/>
      <c r="M2040" s="33"/>
      <c r="N2040" s="33"/>
    </row>
    <row r="2041" spans="2:14" ht="15.75" x14ac:dyDescent="0.25">
      <c r="B2041" s="33"/>
      <c r="C2041" s="34"/>
      <c r="F2041" s="35"/>
      <c r="I2041" s="33"/>
      <c r="M2041" s="33"/>
      <c r="N2041" s="33"/>
    </row>
    <row r="2042" spans="2:14" ht="15.75" x14ac:dyDescent="0.25">
      <c r="B2042" s="33"/>
      <c r="C2042" s="34"/>
      <c r="F2042" s="35"/>
      <c r="I2042" s="33"/>
      <c r="M2042" s="33"/>
      <c r="N2042" s="33"/>
    </row>
    <row r="2043" spans="2:14" ht="15.75" x14ac:dyDescent="0.25">
      <c r="B2043" s="33"/>
      <c r="C2043" s="34"/>
      <c r="F2043" s="35"/>
      <c r="I2043" s="33"/>
      <c r="M2043" s="33"/>
      <c r="N2043" s="33"/>
    </row>
    <row r="2044" spans="2:14" ht="15.75" x14ac:dyDescent="0.25">
      <c r="B2044" s="33"/>
      <c r="C2044" s="34"/>
      <c r="F2044" s="35"/>
      <c r="I2044" s="33"/>
      <c r="M2044" s="33"/>
      <c r="N2044" s="33"/>
    </row>
    <row r="2045" spans="2:14" ht="15.75" x14ac:dyDescent="0.25">
      <c r="B2045" s="33"/>
      <c r="C2045" s="34"/>
      <c r="F2045" s="35"/>
      <c r="I2045" s="33"/>
      <c r="M2045" s="33"/>
      <c r="N2045" s="33"/>
    </row>
    <row r="2046" spans="2:14" ht="15.75" x14ac:dyDescent="0.25">
      <c r="B2046" s="33"/>
      <c r="C2046" s="34"/>
      <c r="F2046" s="35"/>
      <c r="I2046" s="33"/>
      <c r="M2046" s="33"/>
      <c r="N2046" s="33"/>
    </row>
    <row r="2047" spans="2:14" ht="15.75" x14ac:dyDescent="0.25">
      <c r="B2047" s="33"/>
      <c r="C2047" s="34"/>
      <c r="F2047" s="35"/>
      <c r="I2047" s="33"/>
      <c r="M2047" s="33"/>
      <c r="N2047" s="33"/>
    </row>
    <row r="2048" spans="2:14" ht="15.75" x14ac:dyDescent="0.25">
      <c r="B2048" s="33"/>
      <c r="C2048" s="34"/>
      <c r="F2048" s="35"/>
      <c r="I2048" s="33"/>
      <c r="M2048" s="33"/>
      <c r="N2048" s="33"/>
    </row>
    <row r="2049" spans="2:14" ht="15.75" x14ac:dyDescent="0.25">
      <c r="B2049" s="33"/>
      <c r="C2049" s="34"/>
      <c r="F2049" s="35"/>
      <c r="I2049" s="33"/>
      <c r="M2049" s="33"/>
      <c r="N2049" s="33"/>
    </row>
    <row r="2050" spans="2:14" ht="15.75" x14ac:dyDescent="0.25">
      <c r="B2050" s="33"/>
      <c r="C2050" s="34"/>
      <c r="F2050" s="35"/>
      <c r="I2050" s="33"/>
      <c r="M2050" s="33"/>
      <c r="N2050" s="33"/>
    </row>
    <row r="2051" spans="2:14" ht="15.75" x14ac:dyDescent="0.25">
      <c r="B2051" s="33"/>
      <c r="C2051" s="34"/>
      <c r="F2051" s="35"/>
      <c r="I2051" s="33"/>
      <c r="M2051" s="33"/>
      <c r="N2051" s="33"/>
    </row>
    <row r="2052" spans="2:14" ht="15.75" x14ac:dyDescent="0.25">
      <c r="B2052" s="33"/>
      <c r="C2052" s="34"/>
      <c r="F2052" s="35"/>
      <c r="I2052" s="33"/>
      <c r="M2052" s="33"/>
      <c r="N2052" s="33"/>
    </row>
    <row r="2053" spans="2:14" ht="15.75" x14ac:dyDescent="0.25">
      <c r="B2053" s="33"/>
      <c r="C2053" s="34"/>
      <c r="F2053" s="35"/>
      <c r="I2053" s="33"/>
      <c r="M2053" s="33"/>
      <c r="N2053" s="33"/>
    </row>
    <row r="2054" spans="2:14" ht="15.75" x14ac:dyDescent="0.25">
      <c r="B2054" s="33"/>
      <c r="C2054" s="34"/>
      <c r="F2054" s="35"/>
      <c r="I2054" s="33"/>
      <c r="M2054" s="33"/>
      <c r="N2054" s="33"/>
    </row>
    <row r="2055" spans="2:14" ht="15.75" x14ac:dyDescent="0.25">
      <c r="B2055" s="33"/>
      <c r="C2055" s="34"/>
      <c r="F2055" s="35"/>
      <c r="I2055" s="33"/>
      <c r="M2055" s="33"/>
      <c r="N2055" s="33"/>
    </row>
    <row r="2056" spans="2:14" ht="15.75" x14ac:dyDescent="0.25">
      <c r="B2056" s="33"/>
      <c r="C2056" s="34"/>
      <c r="F2056" s="35"/>
      <c r="I2056" s="33"/>
      <c r="M2056" s="33"/>
      <c r="N2056" s="33"/>
    </row>
    <row r="2057" spans="2:14" ht="15.75" x14ac:dyDescent="0.25">
      <c r="B2057" s="33"/>
      <c r="C2057" s="34"/>
      <c r="F2057" s="35"/>
      <c r="I2057" s="33"/>
      <c r="M2057" s="33"/>
      <c r="N2057" s="33"/>
    </row>
    <row r="2058" spans="2:14" ht="15.75" x14ac:dyDescent="0.25">
      <c r="B2058" s="33"/>
      <c r="C2058" s="34"/>
      <c r="F2058" s="35"/>
      <c r="I2058" s="33"/>
      <c r="M2058" s="33"/>
      <c r="N2058" s="33"/>
    </row>
    <row r="2059" spans="2:14" ht="15.75" x14ac:dyDescent="0.25">
      <c r="B2059" s="33"/>
      <c r="C2059" s="34"/>
      <c r="F2059" s="35"/>
      <c r="I2059" s="33"/>
      <c r="M2059" s="33"/>
      <c r="N2059" s="33"/>
    </row>
    <row r="2060" spans="2:14" ht="15.75" x14ac:dyDescent="0.25">
      <c r="B2060" s="33"/>
      <c r="C2060" s="34"/>
      <c r="F2060" s="35"/>
      <c r="I2060" s="33"/>
      <c r="M2060" s="33"/>
      <c r="N2060" s="33"/>
    </row>
    <row r="2061" spans="2:14" ht="15.75" x14ac:dyDescent="0.25">
      <c r="B2061" s="33"/>
      <c r="C2061" s="34"/>
      <c r="F2061" s="35"/>
      <c r="I2061" s="33"/>
      <c r="M2061" s="33"/>
      <c r="N2061" s="33"/>
    </row>
    <row r="2062" spans="2:14" ht="15.75" x14ac:dyDescent="0.25">
      <c r="B2062" s="33"/>
      <c r="C2062" s="34"/>
      <c r="F2062" s="35"/>
      <c r="I2062" s="33"/>
      <c r="M2062" s="33"/>
      <c r="N2062" s="33"/>
    </row>
    <row r="2063" spans="2:14" ht="15.75" x14ac:dyDescent="0.25">
      <c r="B2063" s="33"/>
      <c r="C2063" s="34"/>
      <c r="F2063" s="35"/>
      <c r="I2063" s="33"/>
      <c r="M2063" s="33"/>
      <c r="N2063" s="33"/>
    </row>
    <row r="2064" spans="2:14" ht="15.75" x14ac:dyDescent="0.25">
      <c r="B2064" s="33"/>
      <c r="C2064" s="34"/>
      <c r="F2064" s="35"/>
      <c r="I2064" s="33"/>
      <c r="M2064" s="33"/>
      <c r="N2064" s="33"/>
    </row>
    <row r="2065" spans="2:14" ht="15.75" x14ac:dyDescent="0.25">
      <c r="B2065" s="33"/>
      <c r="C2065" s="34"/>
      <c r="F2065" s="35"/>
      <c r="I2065" s="33"/>
      <c r="M2065" s="33"/>
      <c r="N2065" s="33"/>
    </row>
    <row r="2066" spans="2:14" ht="15.75" x14ac:dyDescent="0.25">
      <c r="B2066" s="33"/>
      <c r="C2066" s="34"/>
      <c r="F2066" s="35"/>
      <c r="I2066" s="33"/>
      <c r="M2066" s="33"/>
      <c r="N2066" s="33"/>
    </row>
    <row r="2067" spans="2:14" ht="15.75" x14ac:dyDescent="0.25">
      <c r="B2067" s="33"/>
      <c r="C2067" s="34"/>
      <c r="F2067" s="35"/>
      <c r="I2067" s="33"/>
      <c r="M2067" s="33"/>
      <c r="N2067" s="33"/>
    </row>
    <row r="2068" spans="2:14" ht="15.75" x14ac:dyDescent="0.25">
      <c r="B2068" s="33"/>
      <c r="C2068" s="34"/>
      <c r="F2068" s="35"/>
      <c r="I2068" s="33"/>
      <c r="M2068" s="33"/>
      <c r="N2068" s="33"/>
    </row>
    <row r="2069" spans="2:14" ht="15.75" x14ac:dyDescent="0.25">
      <c r="B2069" s="33"/>
      <c r="C2069" s="34"/>
      <c r="F2069" s="35"/>
      <c r="I2069" s="33"/>
      <c r="M2069" s="33"/>
      <c r="N2069" s="33"/>
    </row>
    <row r="2070" spans="2:14" ht="15.75" x14ac:dyDescent="0.25">
      <c r="B2070" s="33"/>
      <c r="C2070" s="34"/>
      <c r="F2070" s="35"/>
      <c r="I2070" s="33"/>
      <c r="M2070" s="33"/>
      <c r="N2070" s="33"/>
    </row>
    <row r="2071" spans="2:14" ht="15.75" x14ac:dyDescent="0.25">
      <c r="B2071" s="33"/>
      <c r="C2071" s="34"/>
      <c r="F2071" s="35"/>
      <c r="I2071" s="33"/>
      <c r="M2071" s="33"/>
      <c r="N2071" s="33"/>
    </row>
    <row r="2072" spans="2:14" ht="15.75" x14ac:dyDescent="0.25">
      <c r="B2072" s="33"/>
      <c r="C2072" s="34"/>
      <c r="F2072" s="35"/>
      <c r="I2072" s="33"/>
      <c r="M2072" s="33"/>
      <c r="N2072" s="33"/>
    </row>
    <row r="2073" spans="2:14" ht="15.75" x14ac:dyDescent="0.25">
      <c r="B2073" s="33"/>
      <c r="C2073" s="34"/>
      <c r="F2073" s="35"/>
      <c r="I2073" s="33"/>
      <c r="M2073" s="33"/>
      <c r="N2073" s="33"/>
    </row>
    <row r="2074" spans="2:14" ht="15.75" x14ac:dyDescent="0.25">
      <c r="B2074" s="33"/>
      <c r="C2074" s="34"/>
      <c r="F2074" s="35"/>
      <c r="I2074" s="33"/>
      <c r="M2074" s="33"/>
      <c r="N2074" s="33"/>
    </row>
    <row r="2075" spans="2:14" ht="15.75" x14ac:dyDescent="0.25">
      <c r="B2075" s="33"/>
      <c r="C2075" s="34"/>
      <c r="F2075" s="35"/>
      <c r="I2075" s="33"/>
      <c r="M2075" s="33"/>
      <c r="N2075" s="33"/>
    </row>
    <row r="2076" spans="2:14" ht="15.75" x14ac:dyDescent="0.25">
      <c r="B2076" s="33"/>
      <c r="C2076" s="34"/>
      <c r="F2076" s="35"/>
      <c r="I2076" s="33"/>
      <c r="M2076" s="33"/>
      <c r="N2076" s="33"/>
    </row>
    <row r="2077" spans="2:14" ht="15.75" x14ac:dyDescent="0.25">
      <c r="B2077" s="33"/>
      <c r="C2077" s="34"/>
      <c r="F2077" s="35"/>
      <c r="I2077" s="33"/>
      <c r="M2077" s="33"/>
      <c r="N2077" s="33"/>
    </row>
    <row r="2078" spans="2:14" ht="15.75" x14ac:dyDescent="0.25">
      <c r="B2078" s="33"/>
      <c r="C2078" s="34"/>
      <c r="F2078" s="35"/>
      <c r="I2078" s="33"/>
      <c r="M2078" s="33"/>
      <c r="N2078" s="33"/>
    </row>
    <row r="2079" spans="2:14" ht="15.75" x14ac:dyDescent="0.25">
      <c r="B2079" s="33"/>
      <c r="C2079" s="34"/>
      <c r="F2079" s="35"/>
      <c r="I2079" s="33"/>
      <c r="M2079" s="33"/>
      <c r="N2079" s="33"/>
    </row>
    <row r="2080" spans="2:14" ht="15.75" x14ac:dyDescent="0.25">
      <c r="B2080" s="33"/>
      <c r="C2080" s="34"/>
      <c r="F2080" s="35"/>
      <c r="I2080" s="33"/>
      <c r="M2080" s="33"/>
      <c r="N2080" s="33"/>
    </row>
    <row r="2081" spans="2:14" ht="15.75" x14ac:dyDescent="0.25">
      <c r="B2081" s="33"/>
      <c r="C2081" s="34"/>
      <c r="F2081" s="35"/>
      <c r="I2081" s="33"/>
      <c r="M2081" s="33"/>
      <c r="N2081" s="33"/>
    </row>
    <row r="2082" spans="2:14" ht="15.75" x14ac:dyDescent="0.25">
      <c r="B2082" s="33"/>
      <c r="C2082" s="34"/>
      <c r="F2082" s="35"/>
      <c r="I2082" s="33"/>
      <c r="M2082" s="33"/>
      <c r="N2082" s="33"/>
    </row>
    <row r="2083" spans="2:14" ht="15.75" x14ac:dyDescent="0.25">
      <c r="B2083" s="33"/>
      <c r="C2083" s="34"/>
      <c r="F2083" s="35"/>
      <c r="I2083" s="33"/>
      <c r="M2083" s="33"/>
      <c r="N2083" s="33"/>
    </row>
    <row r="2084" spans="2:14" ht="15.75" x14ac:dyDescent="0.25">
      <c r="B2084" s="33"/>
      <c r="C2084" s="34"/>
      <c r="F2084" s="35"/>
      <c r="I2084" s="33"/>
      <c r="M2084" s="33"/>
      <c r="N2084" s="33"/>
    </row>
    <row r="2085" spans="2:14" ht="15.75" x14ac:dyDescent="0.25">
      <c r="B2085" s="33"/>
      <c r="C2085" s="34"/>
      <c r="F2085" s="35"/>
      <c r="I2085" s="33"/>
      <c r="M2085" s="33"/>
      <c r="N2085" s="33"/>
    </row>
    <row r="2086" spans="2:14" ht="15.75" x14ac:dyDescent="0.25">
      <c r="B2086" s="33"/>
      <c r="C2086" s="34"/>
      <c r="F2086" s="35"/>
      <c r="I2086" s="33"/>
      <c r="M2086" s="33"/>
      <c r="N2086" s="33"/>
    </row>
    <row r="2087" spans="2:14" ht="15.75" x14ac:dyDescent="0.25">
      <c r="B2087" s="33"/>
      <c r="C2087" s="34"/>
      <c r="F2087" s="35"/>
      <c r="I2087" s="33"/>
      <c r="M2087" s="33"/>
      <c r="N2087" s="33"/>
    </row>
    <row r="2088" spans="2:14" ht="15.75" x14ac:dyDescent="0.25">
      <c r="B2088" s="33"/>
      <c r="C2088" s="34"/>
      <c r="F2088" s="35"/>
      <c r="I2088" s="33"/>
      <c r="M2088" s="33"/>
      <c r="N2088" s="33"/>
    </row>
    <row r="2089" spans="2:14" ht="15.75" x14ac:dyDescent="0.25">
      <c r="B2089" s="33"/>
      <c r="C2089" s="34"/>
      <c r="F2089" s="35"/>
      <c r="I2089" s="33"/>
      <c r="M2089" s="33"/>
      <c r="N2089" s="33"/>
    </row>
    <row r="2090" spans="2:14" ht="15.75" x14ac:dyDescent="0.25">
      <c r="B2090" s="33"/>
      <c r="C2090" s="34"/>
      <c r="F2090" s="35"/>
      <c r="I2090" s="33"/>
      <c r="M2090" s="33"/>
      <c r="N2090" s="33"/>
    </row>
    <row r="2091" spans="2:14" ht="15.75" x14ac:dyDescent="0.25">
      <c r="B2091" s="33"/>
      <c r="C2091" s="34"/>
      <c r="F2091" s="35"/>
      <c r="I2091" s="33"/>
      <c r="M2091" s="33"/>
      <c r="N2091" s="33"/>
    </row>
    <row r="2092" spans="2:14" ht="15.75" x14ac:dyDescent="0.25">
      <c r="B2092" s="33"/>
      <c r="C2092" s="34"/>
      <c r="F2092" s="35"/>
      <c r="I2092" s="33"/>
      <c r="M2092" s="33"/>
      <c r="N2092" s="33"/>
    </row>
    <row r="2093" spans="2:14" ht="15.75" x14ac:dyDescent="0.25">
      <c r="B2093" s="33"/>
      <c r="C2093" s="34"/>
      <c r="F2093" s="35"/>
      <c r="I2093" s="33"/>
      <c r="M2093" s="33"/>
      <c r="N2093" s="33"/>
    </row>
    <row r="2094" spans="2:14" ht="15.75" x14ac:dyDescent="0.25">
      <c r="B2094" s="33"/>
      <c r="C2094" s="34"/>
      <c r="F2094" s="35"/>
      <c r="I2094" s="33"/>
      <c r="M2094" s="33"/>
      <c r="N2094" s="33"/>
    </row>
    <row r="2095" spans="2:14" ht="15.75" x14ac:dyDescent="0.25">
      <c r="B2095" s="33"/>
      <c r="C2095" s="34"/>
      <c r="F2095" s="35"/>
      <c r="I2095" s="33"/>
      <c r="M2095" s="33"/>
      <c r="N2095" s="33"/>
    </row>
    <row r="2096" spans="2:14" ht="15.75" x14ac:dyDescent="0.25">
      <c r="B2096" s="33"/>
      <c r="C2096" s="34"/>
      <c r="F2096" s="35"/>
      <c r="I2096" s="33"/>
      <c r="M2096" s="33"/>
      <c r="N2096" s="33"/>
    </row>
    <row r="2097" spans="2:14" ht="15.75" x14ac:dyDescent="0.25">
      <c r="B2097" s="33"/>
      <c r="C2097" s="34"/>
      <c r="F2097" s="35"/>
      <c r="I2097" s="33"/>
      <c r="M2097" s="33"/>
      <c r="N2097" s="33"/>
    </row>
    <row r="2098" spans="2:14" ht="15.75" x14ac:dyDescent="0.25">
      <c r="B2098" s="33"/>
      <c r="C2098" s="34"/>
      <c r="F2098" s="35"/>
      <c r="I2098" s="33"/>
      <c r="M2098" s="33"/>
      <c r="N2098" s="33"/>
    </row>
    <row r="2099" spans="2:14" ht="15.75" x14ac:dyDescent="0.25">
      <c r="B2099" s="33"/>
      <c r="C2099" s="34"/>
      <c r="F2099" s="35"/>
      <c r="I2099" s="33"/>
      <c r="M2099" s="33"/>
      <c r="N2099" s="33"/>
    </row>
    <row r="2100" spans="2:14" ht="15.75" x14ac:dyDescent="0.25">
      <c r="B2100" s="33"/>
      <c r="C2100" s="34"/>
      <c r="F2100" s="35"/>
      <c r="I2100" s="33"/>
      <c r="M2100" s="33"/>
      <c r="N2100" s="33"/>
    </row>
    <row r="2101" spans="2:14" ht="15.75" x14ac:dyDescent="0.25">
      <c r="B2101" s="33"/>
      <c r="C2101" s="34"/>
      <c r="F2101" s="35"/>
      <c r="I2101" s="33"/>
      <c r="M2101" s="33"/>
      <c r="N2101" s="33"/>
    </row>
    <row r="2102" spans="2:14" ht="15.75" x14ac:dyDescent="0.25">
      <c r="B2102" s="33"/>
      <c r="C2102" s="34"/>
      <c r="F2102" s="35"/>
      <c r="I2102" s="33"/>
      <c r="M2102" s="33"/>
      <c r="N2102" s="33"/>
    </row>
    <row r="2103" spans="2:14" ht="15.75" x14ac:dyDescent="0.25">
      <c r="B2103" s="33"/>
      <c r="C2103" s="34"/>
      <c r="F2103" s="35"/>
      <c r="I2103" s="33"/>
      <c r="M2103" s="33"/>
      <c r="N2103" s="33"/>
    </row>
    <row r="2104" spans="2:14" ht="15.75" x14ac:dyDescent="0.25">
      <c r="B2104" s="33"/>
      <c r="C2104" s="34"/>
      <c r="F2104" s="35"/>
      <c r="I2104" s="33"/>
      <c r="M2104" s="33"/>
      <c r="N2104" s="33"/>
    </row>
    <row r="2105" spans="2:14" ht="15.75" x14ac:dyDescent="0.25">
      <c r="B2105" s="33"/>
      <c r="C2105" s="34"/>
      <c r="F2105" s="35"/>
      <c r="I2105" s="33"/>
      <c r="M2105" s="33"/>
      <c r="N2105" s="33"/>
    </row>
    <row r="2106" spans="2:14" ht="15.75" x14ac:dyDescent="0.25">
      <c r="B2106" s="33"/>
      <c r="C2106" s="34"/>
      <c r="F2106" s="35"/>
      <c r="I2106" s="33"/>
      <c r="M2106" s="33"/>
      <c r="N2106" s="33"/>
    </row>
    <row r="2107" spans="2:14" ht="15.75" x14ac:dyDescent="0.25">
      <c r="B2107" s="33"/>
      <c r="C2107" s="34"/>
      <c r="F2107" s="35"/>
      <c r="I2107" s="33"/>
      <c r="M2107" s="33"/>
      <c r="N2107" s="33"/>
    </row>
    <row r="2108" spans="2:14" ht="15.75" x14ac:dyDescent="0.25">
      <c r="B2108" s="33"/>
      <c r="C2108" s="34"/>
      <c r="F2108" s="35"/>
      <c r="I2108" s="33"/>
      <c r="M2108" s="33"/>
      <c r="N2108" s="33"/>
    </row>
    <row r="2109" spans="2:14" ht="15.75" x14ac:dyDescent="0.25">
      <c r="B2109" s="33"/>
      <c r="C2109" s="34"/>
      <c r="F2109" s="35"/>
      <c r="I2109" s="33"/>
      <c r="M2109" s="33"/>
      <c r="N2109" s="33"/>
    </row>
    <row r="2110" spans="2:14" ht="15.75" x14ac:dyDescent="0.25">
      <c r="B2110" s="33"/>
      <c r="C2110" s="34"/>
      <c r="F2110" s="35"/>
      <c r="I2110" s="33"/>
      <c r="M2110" s="33"/>
      <c r="N2110" s="33"/>
    </row>
    <row r="2111" spans="2:14" ht="15.75" x14ac:dyDescent="0.25">
      <c r="B2111" s="33"/>
      <c r="C2111" s="34"/>
      <c r="F2111" s="35"/>
      <c r="I2111" s="33"/>
      <c r="M2111" s="33"/>
      <c r="N2111" s="33"/>
    </row>
    <row r="2112" spans="2:14" ht="15.75" x14ac:dyDescent="0.25">
      <c r="B2112" s="33"/>
      <c r="C2112" s="34"/>
      <c r="F2112" s="35"/>
      <c r="I2112" s="33"/>
      <c r="M2112" s="33"/>
      <c r="N2112" s="33"/>
    </row>
    <row r="2113" spans="2:14" ht="15.75" x14ac:dyDescent="0.25">
      <c r="B2113" s="33"/>
      <c r="C2113" s="34"/>
      <c r="F2113" s="35"/>
      <c r="I2113" s="33"/>
      <c r="M2113" s="33"/>
      <c r="N2113" s="33"/>
    </row>
    <row r="2114" spans="2:14" ht="15.75" x14ac:dyDescent="0.25">
      <c r="B2114" s="33"/>
      <c r="C2114" s="34"/>
      <c r="F2114" s="35"/>
      <c r="I2114" s="33"/>
      <c r="M2114" s="33"/>
      <c r="N2114" s="33"/>
    </row>
    <row r="2115" spans="2:14" ht="15.75" x14ac:dyDescent="0.25">
      <c r="B2115" s="33"/>
      <c r="C2115" s="34"/>
      <c r="F2115" s="35"/>
      <c r="I2115" s="33"/>
      <c r="M2115" s="33"/>
      <c r="N2115" s="33"/>
    </row>
    <row r="2116" spans="2:14" ht="15.75" x14ac:dyDescent="0.25">
      <c r="B2116" s="33"/>
      <c r="C2116" s="34"/>
      <c r="F2116" s="35"/>
      <c r="I2116" s="33"/>
      <c r="M2116" s="33"/>
      <c r="N2116" s="33"/>
    </row>
    <row r="2117" spans="2:14" ht="15.75" x14ac:dyDescent="0.25">
      <c r="B2117" s="33"/>
      <c r="C2117" s="34"/>
      <c r="F2117" s="35"/>
      <c r="I2117" s="33"/>
      <c r="M2117" s="33"/>
      <c r="N2117" s="33"/>
    </row>
    <row r="2118" spans="2:14" ht="15.75" x14ac:dyDescent="0.25">
      <c r="B2118" s="33"/>
      <c r="C2118" s="34"/>
      <c r="F2118" s="35"/>
      <c r="I2118" s="33"/>
      <c r="M2118" s="33"/>
      <c r="N2118" s="33"/>
    </row>
    <row r="2119" spans="2:14" ht="15.75" x14ac:dyDescent="0.25">
      <c r="B2119" s="33"/>
      <c r="C2119" s="34"/>
      <c r="F2119" s="35"/>
      <c r="I2119" s="33"/>
      <c r="M2119" s="33"/>
      <c r="N2119" s="33"/>
    </row>
    <row r="2120" spans="2:14" ht="15.75" x14ac:dyDescent="0.25">
      <c r="B2120" s="33"/>
      <c r="C2120" s="34"/>
      <c r="F2120" s="35"/>
      <c r="I2120" s="33"/>
      <c r="M2120" s="33"/>
      <c r="N2120" s="33"/>
    </row>
    <row r="2121" spans="2:14" ht="15.75" x14ac:dyDescent="0.25">
      <c r="B2121" s="33"/>
      <c r="C2121" s="34"/>
      <c r="F2121" s="35"/>
      <c r="I2121" s="33"/>
      <c r="M2121" s="33"/>
      <c r="N2121" s="33"/>
    </row>
    <row r="2122" spans="2:14" ht="15.75" x14ac:dyDescent="0.25">
      <c r="B2122" s="33"/>
      <c r="C2122" s="34"/>
      <c r="F2122" s="35"/>
      <c r="I2122" s="33"/>
      <c r="M2122" s="33"/>
      <c r="N2122" s="33"/>
    </row>
    <row r="2123" spans="2:14" ht="15.75" x14ac:dyDescent="0.25">
      <c r="B2123" s="33"/>
      <c r="C2123" s="34"/>
      <c r="F2123" s="35"/>
      <c r="I2123" s="33"/>
      <c r="M2123" s="33"/>
      <c r="N2123" s="33"/>
    </row>
    <row r="2124" spans="2:14" ht="15.75" x14ac:dyDescent="0.25">
      <c r="B2124" s="33"/>
      <c r="C2124" s="34"/>
      <c r="F2124" s="35"/>
      <c r="I2124" s="33"/>
      <c r="M2124" s="33"/>
      <c r="N2124" s="33"/>
    </row>
    <row r="2125" spans="2:14" ht="15.75" x14ac:dyDescent="0.25">
      <c r="B2125" s="33"/>
      <c r="C2125" s="34"/>
      <c r="F2125" s="35"/>
      <c r="I2125" s="33"/>
      <c r="M2125" s="33"/>
      <c r="N2125" s="33"/>
    </row>
    <row r="2126" spans="2:14" ht="15.75" x14ac:dyDescent="0.25">
      <c r="B2126" s="33"/>
      <c r="C2126" s="34"/>
      <c r="F2126" s="35"/>
      <c r="I2126" s="33"/>
      <c r="M2126" s="33"/>
      <c r="N2126" s="33"/>
    </row>
    <row r="2127" spans="2:14" ht="15.75" x14ac:dyDescent="0.25">
      <c r="B2127" s="33"/>
      <c r="C2127" s="34"/>
      <c r="F2127" s="35"/>
      <c r="I2127" s="33"/>
      <c r="M2127" s="33"/>
      <c r="N2127" s="33"/>
    </row>
    <row r="2128" spans="2:14" ht="15.75" x14ac:dyDescent="0.25">
      <c r="B2128" s="33"/>
      <c r="C2128" s="34"/>
      <c r="F2128" s="35"/>
      <c r="I2128" s="33"/>
      <c r="M2128" s="33"/>
      <c r="N2128" s="33"/>
    </row>
    <row r="2129" spans="2:14" ht="15.75" x14ac:dyDescent="0.25">
      <c r="B2129" s="33"/>
      <c r="C2129" s="34"/>
      <c r="F2129" s="35"/>
      <c r="I2129" s="33"/>
      <c r="M2129" s="33"/>
      <c r="N2129" s="33"/>
    </row>
    <row r="2130" spans="2:14" ht="15.75" x14ac:dyDescent="0.25">
      <c r="B2130" s="33"/>
      <c r="C2130" s="34"/>
      <c r="F2130" s="35"/>
      <c r="I2130" s="33"/>
      <c r="M2130" s="33"/>
      <c r="N2130" s="33"/>
    </row>
    <row r="2131" spans="2:14" ht="15.75" x14ac:dyDescent="0.25">
      <c r="B2131" s="33"/>
      <c r="C2131" s="34"/>
      <c r="F2131" s="35"/>
      <c r="I2131" s="33"/>
      <c r="M2131" s="33"/>
      <c r="N2131" s="33"/>
    </row>
    <row r="2132" spans="2:14" ht="15.75" x14ac:dyDescent="0.25">
      <c r="B2132" s="33"/>
      <c r="C2132" s="34"/>
      <c r="F2132" s="35"/>
      <c r="I2132" s="33"/>
      <c r="M2132" s="33"/>
      <c r="N2132" s="33"/>
    </row>
    <row r="2133" spans="2:14" ht="15.75" x14ac:dyDescent="0.25">
      <c r="B2133" s="33"/>
      <c r="C2133" s="34"/>
      <c r="F2133" s="35"/>
      <c r="I2133" s="33"/>
      <c r="M2133" s="33"/>
      <c r="N2133" s="33"/>
    </row>
    <row r="2134" spans="2:14" ht="15.75" x14ac:dyDescent="0.25">
      <c r="B2134" s="33"/>
      <c r="C2134" s="34"/>
      <c r="F2134" s="35"/>
      <c r="I2134" s="33"/>
      <c r="M2134" s="33"/>
      <c r="N2134" s="33"/>
    </row>
    <row r="2135" spans="2:14" ht="15.75" x14ac:dyDescent="0.25">
      <c r="B2135" s="33"/>
      <c r="C2135" s="34"/>
      <c r="F2135" s="35"/>
      <c r="I2135" s="33"/>
      <c r="M2135" s="33"/>
      <c r="N2135" s="33"/>
    </row>
    <row r="2136" spans="2:14" ht="15.75" x14ac:dyDescent="0.25">
      <c r="B2136" s="33"/>
      <c r="C2136" s="34"/>
      <c r="F2136" s="35"/>
      <c r="I2136" s="33"/>
      <c r="M2136" s="33"/>
      <c r="N2136" s="33"/>
    </row>
    <row r="2137" spans="2:14" ht="15.75" x14ac:dyDescent="0.25">
      <c r="B2137" s="33"/>
      <c r="C2137" s="34"/>
      <c r="F2137" s="35"/>
      <c r="I2137" s="33"/>
      <c r="M2137" s="33"/>
      <c r="N2137" s="33"/>
    </row>
    <row r="2138" spans="2:14" ht="15.75" x14ac:dyDescent="0.25">
      <c r="B2138" s="33"/>
      <c r="C2138" s="34"/>
      <c r="F2138" s="35"/>
      <c r="I2138" s="33"/>
      <c r="M2138" s="33"/>
      <c r="N2138" s="33"/>
    </row>
    <row r="2139" spans="2:14" ht="15.75" x14ac:dyDescent="0.25">
      <c r="B2139" s="33"/>
      <c r="C2139" s="34"/>
      <c r="F2139" s="35"/>
      <c r="I2139" s="33"/>
      <c r="M2139" s="33"/>
      <c r="N2139" s="33"/>
    </row>
    <row r="2140" spans="2:14" ht="15.75" x14ac:dyDescent="0.25">
      <c r="B2140" s="33"/>
      <c r="C2140" s="34"/>
      <c r="F2140" s="35"/>
      <c r="I2140" s="33"/>
      <c r="M2140" s="33"/>
      <c r="N2140" s="33"/>
    </row>
    <row r="2141" spans="2:14" ht="15.75" x14ac:dyDescent="0.25">
      <c r="B2141" s="33"/>
      <c r="C2141" s="34"/>
      <c r="F2141" s="35"/>
      <c r="I2141" s="33"/>
      <c r="M2141" s="33"/>
      <c r="N2141" s="33"/>
    </row>
    <row r="2142" spans="2:14" ht="15.75" x14ac:dyDescent="0.25">
      <c r="B2142" s="33"/>
      <c r="C2142" s="34"/>
      <c r="F2142" s="35"/>
      <c r="I2142" s="33"/>
      <c r="M2142" s="33"/>
      <c r="N2142" s="33"/>
    </row>
    <row r="2143" spans="2:14" ht="15.75" x14ac:dyDescent="0.25">
      <c r="B2143" s="33"/>
      <c r="C2143" s="34"/>
      <c r="F2143" s="35"/>
      <c r="I2143" s="33"/>
      <c r="M2143" s="33"/>
      <c r="N2143" s="33"/>
    </row>
    <row r="2144" spans="2:14" ht="15.75" x14ac:dyDescent="0.25">
      <c r="B2144" s="33"/>
      <c r="C2144" s="34"/>
      <c r="F2144" s="35"/>
      <c r="I2144" s="33"/>
      <c r="M2144" s="33"/>
      <c r="N2144" s="33"/>
    </row>
    <row r="2145" spans="2:14" ht="15.75" x14ac:dyDescent="0.25">
      <c r="B2145" s="33"/>
      <c r="C2145" s="34"/>
      <c r="F2145" s="35"/>
      <c r="I2145" s="33"/>
      <c r="M2145" s="33"/>
      <c r="N2145" s="33"/>
    </row>
    <row r="2146" spans="2:14" ht="15.75" x14ac:dyDescent="0.25">
      <c r="B2146" s="33"/>
      <c r="C2146" s="34"/>
      <c r="F2146" s="35"/>
      <c r="I2146" s="33"/>
      <c r="M2146" s="33"/>
      <c r="N2146" s="33"/>
    </row>
    <row r="2147" spans="2:14" ht="15.75" x14ac:dyDescent="0.25">
      <c r="B2147" s="33"/>
      <c r="C2147" s="34"/>
      <c r="F2147" s="35"/>
      <c r="I2147" s="33"/>
      <c r="M2147" s="33"/>
      <c r="N2147" s="33"/>
    </row>
    <row r="2148" spans="2:14" ht="15.75" x14ac:dyDescent="0.25">
      <c r="B2148" s="33"/>
      <c r="C2148" s="34"/>
      <c r="F2148" s="35"/>
      <c r="I2148" s="33"/>
      <c r="M2148" s="33"/>
      <c r="N2148" s="33"/>
    </row>
    <row r="2149" spans="2:14" ht="15.75" x14ac:dyDescent="0.25">
      <c r="B2149" s="33"/>
      <c r="C2149" s="34"/>
      <c r="F2149" s="35"/>
      <c r="I2149" s="33"/>
      <c r="M2149" s="33"/>
      <c r="N2149" s="33"/>
    </row>
    <row r="2150" spans="2:14" ht="15.75" x14ac:dyDescent="0.25">
      <c r="B2150" s="33"/>
      <c r="C2150" s="34"/>
      <c r="F2150" s="35"/>
      <c r="I2150" s="33"/>
      <c r="M2150" s="33"/>
      <c r="N2150" s="33"/>
    </row>
    <row r="2151" spans="2:14" ht="15.75" x14ac:dyDescent="0.25">
      <c r="B2151" s="33"/>
      <c r="C2151" s="34"/>
      <c r="F2151" s="35"/>
      <c r="I2151" s="33"/>
      <c r="M2151" s="33"/>
      <c r="N2151" s="33"/>
    </row>
    <row r="2152" spans="2:14" ht="15.75" x14ac:dyDescent="0.25">
      <c r="B2152" s="33"/>
      <c r="C2152" s="34"/>
      <c r="F2152" s="35"/>
      <c r="I2152" s="33"/>
      <c r="M2152" s="33"/>
      <c r="N2152" s="33"/>
    </row>
    <row r="2153" spans="2:14" ht="15.75" x14ac:dyDescent="0.25">
      <c r="B2153" s="33"/>
      <c r="C2153" s="34"/>
      <c r="F2153" s="35"/>
      <c r="I2153" s="33"/>
      <c r="M2153" s="33"/>
      <c r="N2153" s="33"/>
    </row>
    <row r="2154" spans="2:14" ht="15.75" x14ac:dyDescent="0.25">
      <c r="B2154" s="33"/>
      <c r="C2154" s="34"/>
      <c r="F2154" s="35"/>
      <c r="I2154" s="33"/>
      <c r="M2154" s="33"/>
      <c r="N2154" s="33"/>
    </row>
    <row r="2155" spans="2:14" ht="15.75" x14ac:dyDescent="0.25">
      <c r="B2155" s="33"/>
      <c r="C2155" s="34"/>
      <c r="F2155" s="35"/>
      <c r="I2155" s="33"/>
      <c r="M2155" s="33"/>
      <c r="N2155" s="33"/>
    </row>
    <row r="2156" spans="2:14" ht="15.75" x14ac:dyDescent="0.25">
      <c r="B2156" s="33"/>
      <c r="C2156" s="34"/>
      <c r="F2156" s="35"/>
      <c r="I2156" s="33"/>
      <c r="M2156" s="33"/>
      <c r="N2156" s="33"/>
    </row>
    <row r="2157" spans="2:14" ht="15.75" x14ac:dyDescent="0.25">
      <c r="B2157" s="33"/>
      <c r="C2157" s="34"/>
      <c r="F2157" s="35"/>
      <c r="I2157" s="33"/>
      <c r="M2157" s="33"/>
      <c r="N2157" s="33"/>
    </row>
    <row r="2158" spans="2:14" ht="15.75" x14ac:dyDescent="0.25">
      <c r="B2158" s="33"/>
      <c r="C2158" s="34"/>
      <c r="F2158" s="35"/>
      <c r="I2158" s="33"/>
      <c r="M2158" s="33"/>
      <c r="N2158" s="33"/>
    </row>
    <row r="2159" spans="2:14" ht="15.75" x14ac:dyDescent="0.25">
      <c r="B2159" s="33"/>
      <c r="C2159" s="34"/>
      <c r="F2159" s="35"/>
      <c r="I2159" s="33"/>
      <c r="M2159" s="33"/>
      <c r="N2159" s="33"/>
    </row>
    <row r="2160" spans="2:14" ht="15.75" x14ac:dyDescent="0.25">
      <c r="B2160" s="33"/>
      <c r="C2160" s="34"/>
      <c r="F2160" s="35"/>
      <c r="I2160" s="33"/>
      <c r="M2160" s="33"/>
      <c r="N2160" s="33"/>
    </row>
    <row r="2161" spans="2:14" ht="15.75" x14ac:dyDescent="0.25">
      <c r="B2161" s="33"/>
      <c r="C2161" s="34"/>
      <c r="F2161" s="35"/>
      <c r="I2161" s="33"/>
      <c r="M2161" s="33"/>
      <c r="N2161" s="33"/>
    </row>
    <row r="2162" spans="2:14" ht="15.75" x14ac:dyDescent="0.25">
      <c r="B2162" s="33"/>
      <c r="C2162" s="34"/>
      <c r="F2162" s="35"/>
      <c r="I2162" s="33"/>
      <c r="M2162" s="33"/>
      <c r="N2162" s="33"/>
    </row>
    <row r="2163" spans="2:14" ht="15.75" x14ac:dyDescent="0.25">
      <c r="B2163" s="33"/>
      <c r="C2163" s="34"/>
      <c r="F2163" s="35"/>
      <c r="I2163" s="33"/>
      <c r="M2163" s="33"/>
      <c r="N2163" s="33"/>
    </row>
    <row r="2164" spans="2:14" ht="15.75" x14ac:dyDescent="0.25">
      <c r="B2164" s="33"/>
      <c r="C2164" s="34"/>
      <c r="F2164" s="35"/>
      <c r="I2164" s="33"/>
      <c r="M2164" s="33"/>
      <c r="N2164" s="33"/>
    </row>
    <row r="2165" spans="2:14" ht="15.75" x14ac:dyDescent="0.25">
      <c r="B2165" s="33"/>
      <c r="C2165" s="34"/>
      <c r="F2165" s="35"/>
      <c r="I2165" s="33"/>
      <c r="M2165" s="33"/>
      <c r="N2165" s="33"/>
    </row>
    <row r="2166" spans="2:14" ht="15.75" x14ac:dyDescent="0.25">
      <c r="B2166" s="33"/>
      <c r="C2166" s="34"/>
      <c r="F2166" s="35"/>
      <c r="I2166" s="33"/>
      <c r="M2166" s="33"/>
      <c r="N2166" s="33"/>
    </row>
    <row r="2167" spans="2:14" ht="15.75" x14ac:dyDescent="0.25">
      <c r="B2167" s="33"/>
      <c r="C2167" s="34"/>
      <c r="F2167" s="35"/>
      <c r="I2167" s="33"/>
      <c r="M2167" s="33"/>
      <c r="N2167" s="33"/>
    </row>
    <row r="2168" spans="2:14" ht="15.75" x14ac:dyDescent="0.25">
      <c r="B2168" s="33"/>
      <c r="C2168" s="34"/>
      <c r="F2168" s="35"/>
      <c r="I2168" s="33"/>
      <c r="M2168" s="33"/>
      <c r="N2168" s="33"/>
    </row>
    <row r="2169" spans="2:14" ht="15.75" x14ac:dyDescent="0.25">
      <c r="B2169" s="33"/>
      <c r="C2169" s="34"/>
      <c r="F2169" s="35"/>
      <c r="I2169" s="33"/>
      <c r="M2169" s="33"/>
      <c r="N2169" s="33"/>
    </row>
    <row r="2170" spans="2:14" ht="15.75" x14ac:dyDescent="0.25">
      <c r="B2170" s="33"/>
      <c r="C2170" s="34"/>
      <c r="F2170" s="35"/>
      <c r="I2170" s="33"/>
      <c r="M2170" s="33"/>
      <c r="N2170" s="33"/>
    </row>
    <row r="2171" spans="2:14" ht="15.75" x14ac:dyDescent="0.25">
      <c r="B2171" s="33"/>
      <c r="C2171" s="34"/>
      <c r="F2171" s="35"/>
      <c r="I2171" s="33"/>
      <c r="M2171" s="33"/>
      <c r="N2171" s="33"/>
    </row>
    <row r="2172" spans="2:14" ht="15.75" x14ac:dyDescent="0.25">
      <c r="B2172" s="33"/>
      <c r="C2172" s="34"/>
      <c r="F2172" s="35"/>
      <c r="I2172" s="33"/>
      <c r="M2172" s="33"/>
      <c r="N2172" s="33"/>
    </row>
    <row r="2173" spans="2:14" ht="15.75" x14ac:dyDescent="0.25">
      <c r="B2173" s="33"/>
      <c r="C2173" s="34"/>
      <c r="F2173" s="35"/>
      <c r="I2173" s="33"/>
      <c r="M2173" s="33"/>
      <c r="N2173" s="33"/>
    </row>
    <row r="2174" spans="2:14" ht="15.75" x14ac:dyDescent="0.25">
      <c r="B2174" s="33"/>
      <c r="C2174" s="34"/>
      <c r="F2174" s="35"/>
      <c r="I2174" s="33"/>
      <c r="M2174" s="33"/>
      <c r="N2174" s="33"/>
    </row>
    <row r="2175" spans="2:14" ht="15.75" x14ac:dyDescent="0.25">
      <c r="B2175" s="33"/>
      <c r="C2175" s="34"/>
      <c r="F2175" s="35"/>
      <c r="I2175" s="33"/>
      <c r="M2175" s="33"/>
      <c r="N2175" s="33"/>
    </row>
    <row r="2176" spans="2:14" ht="15.75" x14ac:dyDescent="0.25">
      <c r="B2176" s="33"/>
      <c r="C2176" s="34"/>
      <c r="F2176" s="35"/>
      <c r="I2176" s="33"/>
      <c r="M2176" s="33"/>
      <c r="N2176" s="33"/>
    </row>
    <row r="2177" spans="2:14" ht="15.75" x14ac:dyDescent="0.25">
      <c r="B2177" s="33"/>
      <c r="C2177" s="34"/>
      <c r="F2177" s="35"/>
      <c r="I2177" s="33"/>
      <c r="M2177" s="33"/>
      <c r="N2177" s="33"/>
    </row>
    <row r="2178" spans="2:14" ht="15.75" x14ac:dyDescent="0.25">
      <c r="B2178" s="33"/>
      <c r="C2178" s="34"/>
      <c r="F2178" s="35"/>
      <c r="I2178" s="33"/>
      <c r="M2178" s="33"/>
      <c r="N2178" s="33"/>
    </row>
    <row r="2179" spans="2:14" ht="15.75" x14ac:dyDescent="0.25">
      <c r="B2179" s="33"/>
      <c r="C2179" s="34"/>
      <c r="F2179" s="35"/>
      <c r="I2179" s="33"/>
      <c r="M2179" s="33"/>
      <c r="N2179" s="33"/>
    </row>
    <row r="2180" spans="2:14" ht="15.75" x14ac:dyDescent="0.25">
      <c r="B2180" s="33"/>
      <c r="C2180" s="34"/>
      <c r="F2180" s="35"/>
      <c r="I2180" s="33"/>
      <c r="M2180" s="33"/>
      <c r="N2180" s="33"/>
    </row>
    <row r="2181" spans="2:14" ht="15.75" x14ac:dyDescent="0.25">
      <c r="B2181" s="33"/>
      <c r="C2181" s="34"/>
      <c r="F2181" s="35"/>
      <c r="I2181" s="33"/>
      <c r="M2181" s="33"/>
      <c r="N2181" s="33"/>
    </row>
    <row r="2182" spans="2:14" ht="15.75" x14ac:dyDescent="0.25">
      <c r="B2182" s="33"/>
      <c r="C2182" s="34"/>
      <c r="F2182" s="35"/>
      <c r="I2182" s="33"/>
      <c r="M2182" s="33"/>
      <c r="N2182" s="33"/>
    </row>
    <row r="2183" spans="2:14" ht="15.75" x14ac:dyDescent="0.25">
      <c r="B2183" s="33"/>
      <c r="C2183" s="34"/>
      <c r="F2183" s="35"/>
      <c r="I2183" s="33"/>
      <c r="M2183" s="33"/>
      <c r="N2183" s="33"/>
    </row>
    <row r="2184" spans="2:14" ht="15.75" x14ac:dyDescent="0.25">
      <c r="B2184" s="33"/>
      <c r="C2184" s="34"/>
      <c r="F2184" s="35"/>
      <c r="I2184" s="33"/>
      <c r="M2184" s="33"/>
      <c r="N2184" s="33"/>
    </row>
    <row r="2185" spans="2:14" ht="15.75" x14ac:dyDescent="0.25">
      <c r="B2185" s="33"/>
      <c r="C2185" s="34"/>
      <c r="F2185" s="35"/>
      <c r="I2185" s="33"/>
      <c r="M2185" s="33"/>
      <c r="N2185" s="33"/>
    </row>
    <row r="2186" spans="2:14" ht="15.75" x14ac:dyDescent="0.25">
      <c r="B2186" s="33"/>
      <c r="C2186" s="34"/>
      <c r="F2186" s="35"/>
      <c r="I2186" s="33"/>
      <c r="M2186" s="33"/>
      <c r="N2186" s="33"/>
    </row>
    <row r="2187" spans="2:14" ht="15.75" x14ac:dyDescent="0.25">
      <c r="B2187" s="33"/>
      <c r="C2187" s="34"/>
      <c r="F2187" s="35"/>
      <c r="I2187" s="33"/>
      <c r="M2187" s="33"/>
      <c r="N2187" s="33"/>
    </row>
    <row r="2188" spans="2:14" ht="15.75" x14ac:dyDescent="0.25">
      <c r="B2188" s="33"/>
      <c r="C2188" s="34"/>
      <c r="F2188" s="35"/>
      <c r="I2188" s="33"/>
      <c r="M2188" s="33"/>
      <c r="N2188" s="33"/>
    </row>
    <row r="2189" spans="2:14" ht="15.75" x14ac:dyDescent="0.25">
      <c r="B2189" s="33"/>
      <c r="C2189" s="34"/>
      <c r="F2189" s="35"/>
      <c r="I2189" s="33"/>
      <c r="M2189" s="33"/>
      <c r="N2189" s="33"/>
    </row>
    <row r="2190" spans="2:14" ht="15.75" x14ac:dyDescent="0.25">
      <c r="B2190" s="33"/>
      <c r="C2190" s="34"/>
      <c r="F2190" s="35"/>
      <c r="I2190" s="33"/>
      <c r="M2190" s="33"/>
      <c r="N2190" s="33"/>
    </row>
    <row r="2191" spans="2:14" ht="15.75" x14ac:dyDescent="0.25">
      <c r="B2191" s="33"/>
      <c r="C2191" s="34"/>
      <c r="F2191" s="35"/>
      <c r="I2191" s="33"/>
      <c r="M2191" s="33"/>
      <c r="N2191" s="33"/>
    </row>
    <row r="2192" spans="2:14" ht="15.75" x14ac:dyDescent="0.25">
      <c r="B2192" s="33"/>
      <c r="C2192" s="34"/>
      <c r="F2192" s="35"/>
      <c r="I2192" s="33"/>
      <c r="M2192" s="33"/>
      <c r="N2192" s="33"/>
    </row>
    <row r="2193" spans="2:14" ht="15.75" x14ac:dyDescent="0.25">
      <c r="B2193" s="33"/>
      <c r="C2193" s="34"/>
      <c r="F2193" s="35"/>
      <c r="I2193" s="33"/>
      <c r="M2193" s="33"/>
      <c r="N2193" s="33"/>
    </row>
    <row r="2194" spans="2:14" ht="15.75" x14ac:dyDescent="0.25">
      <c r="B2194" s="33"/>
      <c r="C2194" s="34"/>
      <c r="F2194" s="35"/>
      <c r="I2194" s="33"/>
      <c r="M2194" s="33"/>
      <c r="N2194" s="33"/>
    </row>
    <row r="2195" spans="2:14" ht="15.75" x14ac:dyDescent="0.25">
      <c r="B2195" s="33"/>
      <c r="C2195" s="34"/>
      <c r="F2195" s="35"/>
      <c r="I2195" s="33"/>
      <c r="M2195" s="33"/>
      <c r="N2195" s="33"/>
    </row>
    <row r="2196" spans="2:14" ht="15.75" x14ac:dyDescent="0.25">
      <c r="B2196" s="33"/>
      <c r="C2196" s="34"/>
      <c r="F2196" s="35"/>
      <c r="I2196" s="33"/>
      <c r="M2196" s="33"/>
      <c r="N2196" s="33"/>
    </row>
    <row r="2197" spans="2:14" ht="15.75" x14ac:dyDescent="0.25">
      <c r="B2197" s="33"/>
      <c r="C2197" s="34"/>
      <c r="F2197" s="35"/>
      <c r="I2197" s="33"/>
      <c r="M2197" s="33"/>
      <c r="N2197" s="33"/>
    </row>
    <row r="2198" spans="2:14" ht="15.75" x14ac:dyDescent="0.25">
      <c r="B2198" s="33"/>
      <c r="C2198" s="34"/>
      <c r="F2198" s="35"/>
      <c r="I2198" s="33"/>
      <c r="M2198" s="33"/>
      <c r="N2198" s="33"/>
    </row>
    <row r="2199" spans="2:14" ht="15.75" x14ac:dyDescent="0.25">
      <c r="B2199" s="33"/>
      <c r="C2199" s="34"/>
      <c r="F2199" s="35"/>
      <c r="I2199" s="33"/>
      <c r="M2199" s="33"/>
      <c r="N2199" s="33"/>
    </row>
    <row r="2200" spans="2:14" ht="15.75" x14ac:dyDescent="0.25">
      <c r="B2200" s="33"/>
      <c r="C2200" s="34"/>
      <c r="F2200" s="35"/>
      <c r="I2200" s="33"/>
      <c r="M2200" s="33"/>
      <c r="N2200" s="33"/>
    </row>
    <row r="2201" spans="2:14" ht="15.75" x14ac:dyDescent="0.25">
      <c r="B2201" s="33"/>
      <c r="C2201" s="34"/>
      <c r="F2201" s="35"/>
      <c r="I2201" s="33"/>
      <c r="M2201" s="33"/>
      <c r="N2201" s="33"/>
    </row>
    <row r="2202" spans="2:14" ht="15.75" x14ac:dyDescent="0.25">
      <c r="B2202" s="33"/>
      <c r="C2202" s="34"/>
      <c r="F2202" s="35"/>
      <c r="I2202" s="33"/>
      <c r="M2202" s="33"/>
      <c r="N2202" s="33"/>
    </row>
    <row r="2203" spans="2:14" ht="15.75" x14ac:dyDescent="0.25">
      <c r="B2203" s="33"/>
      <c r="C2203" s="34"/>
      <c r="F2203" s="35"/>
      <c r="I2203" s="33"/>
      <c r="M2203" s="33"/>
      <c r="N2203" s="33"/>
    </row>
    <row r="2204" spans="2:14" ht="15.75" x14ac:dyDescent="0.25">
      <c r="B2204" s="33"/>
      <c r="C2204" s="34"/>
      <c r="F2204" s="35"/>
      <c r="I2204" s="33"/>
      <c r="M2204" s="33"/>
      <c r="N2204" s="33"/>
    </row>
    <row r="2205" spans="2:14" ht="15.75" x14ac:dyDescent="0.25">
      <c r="B2205" s="33"/>
      <c r="C2205" s="34"/>
      <c r="F2205" s="35"/>
      <c r="I2205" s="33"/>
      <c r="M2205" s="33"/>
      <c r="N2205" s="33"/>
    </row>
    <row r="2206" spans="2:14" ht="15.75" x14ac:dyDescent="0.25">
      <c r="B2206" s="33"/>
      <c r="C2206" s="34"/>
      <c r="F2206" s="35"/>
      <c r="I2206" s="33"/>
      <c r="M2206" s="33"/>
      <c r="N2206" s="33"/>
    </row>
    <row r="2207" spans="2:14" ht="15.75" x14ac:dyDescent="0.25">
      <c r="B2207" s="33"/>
      <c r="C2207" s="34"/>
      <c r="F2207" s="35"/>
      <c r="I2207" s="33"/>
      <c r="M2207" s="33"/>
      <c r="N2207" s="33"/>
    </row>
    <row r="2208" spans="2:14" ht="15.75" x14ac:dyDescent="0.25">
      <c r="B2208" s="33"/>
      <c r="C2208" s="34"/>
      <c r="F2208" s="35"/>
      <c r="I2208" s="33"/>
      <c r="M2208" s="33"/>
      <c r="N2208" s="33"/>
    </row>
    <row r="2209" spans="2:14" ht="15.75" x14ac:dyDescent="0.25">
      <c r="B2209" s="33"/>
      <c r="C2209" s="34"/>
      <c r="F2209" s="35"/>
      <c r="I2209" s="33"/>
      <c r="M2209" s="33"/>
      <c r="N2209" s="33"/>
    </row>
    <row r="2210" spans="2:14" ht="15.75" x14ac:dyDescent="0.25">
      <c r="B2210" s="33"/>
      <c r="C2210" s="34"/>
      <c r="F2210" s="35"/>
      <c r="I2210" s="33"/>
      <c r="M2210" s="33"/>
      <c r="N2210" s="33"/>
    </row>
    <row r="2211" spans="2:14" ht="15.75" x14ac:dyDescent="0.25">
      <c r="B2211" s="33"/>
      <c r="C2211" s="34"/>
      <c r="F2211" s="35"/>
      <c r="I2211" s="33"/>
      <c r="M2211" s="33"/>
      <c r="N2211" s="33"/>
    </row>
    <row r="2212" spans="2:14" ht="15.75" x14ac:dyDescent="0.25">
      <c r="B2212" s="33"/>
      <c r="C2212" s="34"/>
      <c r="F2212" s="35"/>
      <c r="I2212" s="33"/>
      <c r="M2212" s="33"/>
      <c r="N2212" s="33"/>
    </row>
    <row r="2213" spans="2:14" ht="15.75" x14ac:dyDescent="0.25">
      <c r="B2213" s="33"/>
      <c r="C2213" s="34"/>
      <c r="F2213" s="35"/>
      <c r="I2213" s="33"/>
      <c r="M2213" s="33"/>
      <c r="N2213" s="33"/>
    </row>
    <row r="2214" spans="2:14" ht="15.75" x14ac:dyDescent="0.25">
      <c r="B2214" s="33"/>
      <c r="C2214" s="34"/>
      <c r="F2214" s="35"/>
      <c r="I2214" s="33"/>
      <c r="M2214" s="33"/>
      <c r="N2214" s="33"/>
    </row>
    <row r="2215" spans="2:14" ht="15.75" x14ac:dyDescent="0.25">
      <c r="B2215" s="33"/>
      <c r="C2215" s="34"/>
      <c r="F2215" s="35"/>
      <c r="I2215" s="33"/>
      <c r="M2215" s="33"/>
      <c r="N2215" s="33"/>
    </row>
    <row r="2216" spans="2:14" ht="15.75" x14ac:dyDescent="0.25">
      <c r="B2216" s="33"/>
      <c r="C2216" s="34"/>
      <c r="F2216" s="35"/>
      <c r="I2216" s="33"/>
      <c r="M2216" s="33"/>
      <c r="N2216" s="33"/>
    </row>
    <row r="2217" spans="2:14" ht="15.75" x14ac:dyDescent="0.25">
      <c r="B2217" s="33"/>
      <c r="C2217" s="34"/>
      <c r="F2217" s="35"/>
      <c r="I2217" s="33"/>
      <c r="M2217" s="33"/>
      <c r="N2217" s="33"/>
    </row>
    <row r="2218" spans="2:14" ht="15.75" x14ac:dyDescent="0.25">
      <c r="B2218" s="33"/>
      <c r="C2218" s="34"/>
      <c r="F2218" s="35"/>
      <c r="I2218" s="33"/>
      <c r="M2218" s="33"/>
      <c r="N2218" s="33"/>
    </row>
    <row r="2219" spans="2:14" ht="15.75" x14ac:dyDescent="0.25">
      <c r="B2219" s="33"/>
      <c r="C2219" s="34"/>
      <c r="F2219" s="35"/>
      <c r="I2219" s="33"/>
      <c r="M2219" s="33"/>
      <c r="N2219" s="33"/>
    </row>
    <row r="2220" spans="2:14" ht="15.75" x14ac:dyDescent="0.25">
      <c r="B2220" s="33"/>
      <c r="C2220" s="34"/>
      <c r="F2220" s="35"/>
      <c r="I2220" s="33"/>
      <c r="M2220" s="33"/>
      <c r="N2220" s="33"/>
    </row>
    <row r="2221" spans="2:14" ht="15.75" x14ac:dyDescent="0.25">
      <c r="B2221" s="33"/>
      <c r="C2221" s="34"/>
      <c r="F2221" s="35"/>
      <c r="I2221" s="33"/>
      <c r="M2221" s="33"/>
      <c r="N2221" s="33"/>
    </row>
    <row r="2222" spans="2:14" ht="15.75" x14ac:dyDescent="0.25">
      <c r="B2222" s="33"/>
      <c r="C2222" s="34"/>
      <c r="F2222" s="35"/>
      <c r="I2222" s="33"/>
      <c r="M2222" s="33"/>
      <c r="N2222" s="33"/>
    </row>
    <row r="2223" spans="2:14" ht="15.75" x14ac:dyDescent="0.25">
      <c r="B2223" s="33"/>
      <c r="C2223" s="34"/>
      <c r="F2223" s="35"/>
      <c r="I2223" s="33"/>
      <c r="M2223" s="33"/>
      <c r="N2223" s="33"/>
    </row>
    <row r="2224" spans="2:14" ht="15.75" x14ac:dyDescent="0.25">
      <c r="B2224" s="33"/>
      <c r="C2224" s="34"/>
      <c r="F2224" s="35"/>
      <c r="I2224" s="33"/>
      <c r="M2224" s="33"/>
      <c r="N2224" s="33"/>
    </row>
    <row r="2225" spans="2:14" ht="15.75" x14ac:dyDescent="0.25">
      <c r="B2225" s="33"/>
      <c r="C2225" s="34"/>
      <c r="F2225" s="35"/>
      <c r="I2225" s="33"/>
      <c r="M2225" s="33"/>
      <c r="N2225" s="33"/>
    </row>
    <row r="2226" spans="2:14" ht="15.75" x14ac:dyDescent="0.25">
      <c r="B2226" s="33"/>
      <c r="C2226" s="34"/>
      <c r="F2226" s="35"/>
      <c r="I2226" s="33"/>
      <c r="M2226" s="33"/>
      <c r="N2226" s="33"/>
    </row>
    <row r="2227" spans="2:14" ht="15.75" x14ac:dyDescent="0.25">
      <c r="B2227" s="33"/>
      <c r="C2227" s="34"/>
      <c r="F2227" s="35"/>
      <c r="I2227" s="33"/>
      <c r="M2227" s="33"/>
      <c r="N2227" s="33"/>
    </row>
    <row r="2228" spans="2:14" ht="15.75" x14ac:dyDescent="0.25">
      <c r="B2228" s="33"/>
      <c r="C2228" s="34"/>
      <c r="F2228" s="35"/>
      <c r="I2228" s="33"/>
      <c r="M2228" s="33"/>
      <c r="N2228" s="33"/>
    </row>
    <row r="2229" spans="2:14" ht="15.75" x14ac:dyDescent="0.25">
      <c r="B2229" s="33"/>
      <c r="C2229" s="34"/>
      <c r="F2229" s="35"/>
      <c r="I2229" s="33"/>
      <c r="M2229" s="33"/>
      <c r="N2229" s="33"/>
    </row>
    <row r="2230" spans="2:14" ht="15.75" x14ac:dyDescent="0.25">
      <c r="B2230" s="33"/>
      <c r="C2230" s="34"/>
      <c r="F2230" s="35"/>
      <c r="I2230" s="33"/>
      <c r="M2230" s="33"/>
      <c r="N2230" s="33"/>
    </row>
    <row r="2231" spans="2:14" ht="15.75" x14ac:dyDescent="0.25">
      <c r="B2231" s="33"/>
      <c r="C2231" s="34"/>
      <c r="F2231" s="35"/>
      <c r="I2231" s="33"/>
      <c r="M2231" s="33"/>
      <c r="N2231" s="33"/>
    </row>
    <row r="2232" spans="2:14" ht="15.75" x14ac:dyDescent="0.25">
      <c r="B2232" s="33"/>
      <c r="C2232" s="34"/>
      <c r="F2232" s="35"/>
      <c r="I2232" s="33"/>
      <c r="M2232" s="33"/>
      <c r="N2232" s="33"/>
    </row>
    <row r="2233" spans="2:14" ht="15.75" x14ac:dyDescent="0.25">
      <c r="B2233" s="33"/>
      <c r="C2233" s="34"/>
      <c r="F2233" s="35"/>
      <c r="I2233" s="33"/>
      <c r="M2233" s="33"/>
      <c r="N2233" s="33"/>
    </row>
    <row r="2234" spans="2:14" ht="15.75" x14ac:dyDescent="0.25">
      <c r="B2234" s="33"/>
      <c r="C2234" s="34"/>
      <c r="F2234" s="35"/>
      <c r="I2234" s="33"/>
      <c r="M2234" s="33"/>
      <c r="N2234" s="33"/>
    </row>
    <row r="2235" spans="2:14" ht="15.75" x14ac:dyDescent="0.25">
      <c r="B2235" s="33"/>
      <c r="C2235" s="34"/>
      <c r="F2235" s="35"/>
      <c r="I2235" s="33"/>
      <c r="M2235" s="33"/>
      <c r="N2235" s="33"/>
    </row>
    <row r="2236" spans="2:14" ht="15.75" x14ac:dyDescent="0.25">
      <c r="B2236" s="33"/>
      <c r="C2236" s="34"/>
      <c r="F2236" s="35"/>
      <c r="I2236" s="33"/>
      <c r="M2236" s="33"/>
      <c r="N2236" s="33"/>
    </row>
    <row r="2237" spans="2:14" ht="15.75" x14ac:dyDescent="0.25">
      <c r="B2237" s="33"/>
      <c r="C2237" s="34"/>
      <c r="F2237" s="35"/>
      <c r="I2237" s="33"/>
      <c r="M2237" s="33"/>
      <c r="N2237" s="33"/>
    </row>
    <row r="2238" spans="2:14" ht="15.75" x14ac:dyDescent="0.25">
      <c r="B2238" s="33"/>
      <c r="C2238" s="34"/>
      <c r="F2238" s="35"/>
      <c r="I2238" s="33"/>
      <c r="M2238" s="33"/>
      <c r="N2238" s="33"/>
    </row>
    <row r="2239" spans="2:14" ht="15.75" x14ac:dyDescent="0.25">
      <c r="B2239" s="33"/>
      <c r="C2239" s="34"/>
      <c r="F2239" s="35"/>
      <c r="I2239" s="33"/>
      <c r="M2239" s="33"/>
      <c r="N2239" s="33"/>
    </row>
    <row r="2240" spans="2:14" ht="15.75" x14ac:dyDescent="0.25">
      <c r="B2240" s="33"/>
      <c r="C2240" s="34"/>
      <c r="F2240" s="35"/>
      <c r="I2240" s="33"/>
      <c r="M2240" s="33"/>
      <c r="N2240" s="33"/>
    </row>
    <row r="2241" spans="2:14" ht="15.75" x14ac:dyDescent="0.25">
      <c r="B2241" s="33"/>
      <c r="C2241" s="34"/>
      <c r="F2241" s="35"/>
      <c r="I2241" s="33"/>
      <c r="M2241" s="33"/>
      <c r="N2241" s="33"/>
    </row>
    <row r="2242" spans="2:14" ht="15.75" x14ac:dyDescent="0.25">
      <c r="B2242" s="33"/>
      <c r="C2242" s="34"/>
      <c r="F2242" s="35"/>
      <c r="I2242" s="33"/>
      <c r="M2242" s="33"/>
      <c r="N2242" s="33"/>
    </row>
    <row r="2243" spans="2:14" ht="15.75" x14ac:dyDescent="0.25">
      <c r="B2243" s="33"/>
      <c r="C2243" s="34"/>
      <c r="F2243" s="35"/>
      <c r="I2243" s="33"/>
      <c r="M2243" s="33"/>
      <c r="N2243" s="33"/>
    </row>
    <row r="2244" spans="2:14" ht="15.75" x14ac:dyDescent="0.25">
      <c r="B2244" s="33"/>
      <c r="C2244" s="34"/>
      <c r="F2244" s="35"/>
      <c r="I2244" s="33"/>
      <c r="M2244" s="33"/>
      <c r="N2244" s="33"/>
    </row>
    <row r="2245" spans="2:14" ht="15.75" x14ac:dyDescent="0.25">
      <c r="B2245" s="33"/>
      <c r="C2245" s="34"/>
      <c r="F2245" s="35"/>
      <c r="I2245" s="33"/>
      <c r="M2245" s="33"/>
      <c r="N2245" s="33"/>
    </row>
    <row r="2246" spans="2:14" ht="15.75" x14ac:dyDescent="0.25">
      <c r="B2246" s="33"/>
      <c r="C2246" s="34"/>
      <c r="F2246" s="35"/>
      <c r="I2246" s="33"/>
      <c r="M2246" s="33"/>
      <c r="N2246" s="33"/>
    </row>
    <row r="2247" spans="2:14" ht="15.75" x14ac:dyDescent="0.25">
      <c r="B2247" s="33"/>
      <c r="C2247" s="34"/>
      <c r="F2247" s="35"/>
      <c r="I2247" s="33"/>
      <c r="M2247" s="33"/>
      <c r="N2247" s="33"/>
    </row>
    <row r="2248" spans="2:14" ht="15.75" x14ac:dyDescent="0.25">
      <c r="B2248" s="33"/>
      <c r="C2248" s="34"/>
      <c r="F2248" s="35"/>
      <c r="I2248" s="33"/>
      <c r="M2248" s="33"/>
      <c r="N2248" s="33"/>
    </row>
    <row r="2249" spans="2:14" ht="15.75" x14ac:dyDescent="0.25">
      <c r="B2249" s="33"/>
      <c r="C2249" s="34"/>
      <c r="F2249" s="35"/>
      <c r="I2249" s="33"/>
      <c r="M2249" s="33"/>
      <c r="N2249" s="33"/>
    </row>
    <row r="2250" spans="2:14" ht="15.75" x14ac:dyDescent="0.25">
      <c r="B2250" s="33"/>
      <c r="C2250" s="34"/>
      <c r="F2250" s="35"/>
      <c r="I2250" s="33"/>
      <c r="M2250" s="33"/>
      <c r="N2250" s="33"/>
    </row>
    <row r="2251" spans="2:14" ht="15.75" x14ac:dyDescent="0.25">
      <c r="B2251" s="33"/>
      <c r="C2251" s="34"/>
      <c r="F2251" s="35"/>
      <c r="I2251" s="33"/>
      <c r="M2251" s="33"/>
      <c r="N2251" s="33"/>
    </row>
    <row r="2252" spans="2:14" ht="15.75" x14ac:dyDescent="0.25">
      <c r="B2252" s="33"/>
      <c r="C2252" s="34"/>
      <c r="F2252" s="35"/>
      <c r="I2252" s="33"/>
      <c r="M2252" s="33"/>
      <c r="N2252" s="33"/>
    </row>
    <row r="2253" spans="2:14" ht="15.75" x14ac:dyDescent="0.25">
      <c r="B2253" s="33"/>
      <c r="C2253" s="34"/>
      <c r="F2253" s="35"/>
      <c r="I2253" s="33"/>
      <c r="M2253" s="33"/>
      <c r="N2253" s="33"/>
    </row>
    <row r="2254" spans="2:14" ht="15.75" x14ac:dyDescent="0.25">
      <c r="B2254" s="33"/>
      <c r="C2254" s="34"/>
      <c r="F2254" s="35"/>
      <c r="I2254" s="33"/>
      <c r="M2254" s="33"/>
      <c r="N2254" s="33"/>
    </row>
    <row r="2255" spans="2:14" ht="15.75" x14ac:dyDescent="0.25">
      <c r="B2255" s="33"/>
      <c r="C2255" s="34"/>
      <c r="F2255" s="35"/>
      <c r="I2255" s="33"/>
      <c r="M2255" s="33"/>
      <c r="N2255" s="33"/>
    </row>
    <row r="2256" spans="2:14" ht="15.75" x14ac:dyDescent="0.25">
      <c r="B2256" s="33"/>
      <c r="C2256" s="34"/>
      <c r="F2256" s="35"/>
      <c r="I2256" s="33"/>
      <c r="M2256" s="33"/>
      <c r="N2256" s="33"/>
    </row>
    <row r="2257" spans="2:14" ht="15.75" x14ac:dyDescent="0.25">
      <c r="B2257" s="33"/>
      <c r="C2257" s="34"/>
      <c r="F2257" s="35"/>
      <c r="I2257" s="33"/>
      <c r="M2257" s="33"/>
      <c r="N2257" s="33"/>
    </row>
    <row r="2258" spans="2:14" ht="15.75" x14ac:dyDescent="0.25">
      <c r="B2258" s="33"/>
      <c r="C2258" s="34"/>
      <c r="F2258" s="35"/>
      <c r="I2258" s="33"/>
      <c r="M2258" s="33"/>
      <c r="N2258" s="33"/>
    </row>
    <row r="2259" spans="2:14" ht="15.75" x14ac:dyDescent="0.25">
      <c r="B2259" s="33"/>
      <c r="C2259" s="34"/>
      <c r="F2259" s="35"/>
      <c r="I2259" s="33"/>
      <c r="M2259" s="33"/>
      <c r="N2259" s="33"/>
    </row>
    <row r="2260" spans="2:14" ht="15.75" x14ac:dyDescent="0.25">
      <c r="B2260" s="33"/>
      <c r="C2260" s="34"/>
      <c r="F2260" s="35"/>
      <c r="I2260" s="33"/>
      <c r="M2260" s="33"/>
      <c r="N2260" s="33"/>
    </row>
    <row r="2261" spans="2:14" ht="15.75" x14ac:dyDescent="0.25">
      <c r="B2261" s="33"/>
      <c r="C2261" s="34"/>
      <c r="F2261" s="35"/>
      <c r="I2261" s="33"/>
      <c r="M2261" s="33"/>
      <c r="N2261" s="33"/>
    </row>
    <row r="2262" spans="2:14" ht="15.75" x14ac:dyDescent="0.25">
      <c r="B2262" s="33"/>
      <c r="C2262" s="34"/>
      <c r="F2262" s="35"/>
      <c r="I2262" s="33"/>
      <c r="M2262" s="33"/>
      <c r="N2262" s="33"/>
    </row>
    <row r="2263" spans="2:14" ht="15.75" x14ac:dyDescent="0.25">
      <c r="B2263" s="33"/>
      <c r="C2263" s="34"/>
      <c r="F2263" s="35"/>
      <c r="I2263" s="33"/>
      <c r="M2263" s="33"/>
      <c r="N2263" s="33"/>
    </row>
    <row r="2264" spans="2:14" ht="15.75" x14ac:dyDescent="0.25">
      <c r="B2264" s="33"/>
      <c r="C2264" s="34"/>
      <c r="F2264" s="35"/>
      <c r="I2264" s="33"/>
      <c r="M2264" s="33"/>
      <c r="N2264" s="33"/>
    </row>
    <row r="2265" spans="2:14" ht="15.75" x14ac:dyDescent="0.25">
      <c r="B2265" s="33"/>
      <c r="C2265" s="34"/>
      <c r="F2265" s="35"/>
      <c r="I2265" s="33"/>
      <c r="M2265" s="33"/>
      <c r="N2265" s="33"/>
    </row>
    <row r="2266" spans="2:14" ht="15.75" x14ac:dyDescent="0.25">
      <c r="B2266" s="33"/>
      <c r="C2266" s="34"/>
      <c r="F2266" s="35"/>
      <c r="I2266" s="33"/>
      <c r="M2266" s="33"/>
      <c r="N2266" s="33"/>
    </row>
    <row r="2267" spans="2:14" ht="15.75" x14ac:dyDescent="0.25">
      <c r="B2267" s="33"/>
      <c r="C2267" s="34"/>
      <c r="F2267" s="35"/>
      <c r="I2267" s="33"/>
      <c r="M2267" s="33"/>
      <c r="N2267" s="33"/>
    </row>
    <row r="2268" spans="2:14" ht="15.75" x14ac:dyDescent="0.25">
      <c r="B2268" s="33"/>
      <c r="C2268" s="34"/>
      <c r="F2268" s="35"/>
      <c r="I2268" s="33"/>
      <c r="M2268" s="33"/>
      <c r="N2268" s="33"/>
    </row>
    <row r="2269" spans="2:14" ht="15.75" x14ac:dyDescent="0.25">
      <c r="B2269" s="33"/>
      <c r="C2269" s="34"/>
      <c r="F2269" s="35"/>
      <c r="I2269" s="33"/>
      <c r="M2269" s="33"/>
      <c r="N2269" s="33"/>
    </row>
    <row r="2270" spans="2:14" ht="15.75" x14ac:dyDescent="0.25">
      <c r="B2270" s="33"/>
      <c r="C2270" s="34"/>
      <c r="F2270" s="35"/>
      <c r="I2270" s="33"/>
      <c r="M2270" s="33"/>
      <c r="N2270" s="33"/>
    </row>
    <row r="2271" spans="2:14" ht="15.75" x14ac:dyDescent="0.25">
      <c r="B2271" s="33"/>
      <c r="C2271" s="34"/>
      <c r="F2271" s="35"/>
      <c r="I2271" s="33"/>
      <c r="M2271" s="33"/>
      <c r="N2271" s="33"/>
    </row>
    <row r="2272" spans="2:14" ht="15.75" x14ac:dyDescent="0.25">
      <c r="B2272" s="33"/>
      <c r="C2272" s="34"/>
      <c r="F2272" s="35"/>
      <c r="I2272" s="33"/>
      <c r="M2272" s="33"/>
      <c r="N2272" s="33"/>
    </row>
    <row r="2273" spans="2:14" ht="15.75" x14ac:dyDescent="0.25">
      <c r="B2273" s="33"/>
      <c r="C2273" s="34"/>
      <c r="F2273" s="35"/>
      <c r="I2273" s="33"/>
      <c r="M2273" s="33"/>
      <c r="N2273" s="33"/>
    </row>
    <row r="2274" spans="2:14" ht="15.75" x14ac:dyDescent="0.25">
      <c r="B2274" s="33"/>
      <c r="C2274" s="34"/>
      <c r="F2274" s="35"/>
      <c r="I2274" s="33"/>
      <c r="M2274" s="33"/>
      <c r="N2274" s="33"/>
    </row>
    <row r="2275" spans="2:14" ht="15.75" x14ac:dyDescent="0.25">
      <c r="B2275" s="33"/>
      <c r="C2275" s="34"/>
      <c r="F2275" s="35"/>
      <c r="I2275" s="33"/>
      <c r="M2275" s="33"/>
      <c r="N2275" s="33"/>
    </row>
    <row r="2276" spans="2:14" ht="15.75" x14ac:dyDescent="0.25">
      <c r="B2276" s="33"/>
      <c r="C2276" s="34"/>
      <c r="F2276" s="35"/>
      <c r="I2276" s="33"/>
      <c r="M2276" s="33"/>
      <c r="N2276" s="33"/>
    </row>
    <row r="2277" spans="2:14" ht="15.75" x14ac:dyDescent="0.25">
      <c r="B2277" s="33"/>
      <c r="C2277" s="34"/>
      <c r="F2277" s="35"/>
      <c r="I2277" s="33"/>
      <c r="M2277" s="33"/>
      <c r="N2277" s="33"/>
    </row>
    <row r="2278" spans="2:14" ht="15.75" x14ac:dyDescent="0.25">
      <c r="B2278" s="33"/>
      <c r="C2278" s="34"/>
      <c r="F2278" s="35"/>
      <c r="I2278" s="33"/>
      <c r="M2278" s="33"/>
      <c r="N2278" s="33"/>
    </row>
    <row r="2279" spans="2:14" ht="15.75" x14ac:dyDescent="0.25">
      <c r="B2279" s="33"/>
      <c r="C2279" s="34"/>
      <c r="F2279" s="35"/>
      <c r="I2279" s="33"/>
      <c r="M2279" s="33"/>
      <c r="N2279" s="33"/>
    </row>
    <row r="2280" spans="2:14" ht="15.75" x14ac:dyDescent="0.25">
      <c r="B2280" s="33"/>
      <c r="C2280" s="34"/>
      <c r="F2280" s="35"/>
      <c r="I2280" s="33"/>
      <c r="M2280" s="33"/>
      <c r="N2280" s="33"/>
    </row>
    <row r="2281" spans="2:14" ht="15.75" x14ac:dyDescent="0.25">
      <c r="B2281" s="33"/>
      <c r="C2281" s="34"/>
      <c r="F2281" s="35"/>
      <c r="I2281" s="33"/>
      <c r="M2281" s="33"/>
      <c r="N2281" s="33"/>
    </row>
    <row r="2282" spans="2:14" ht="15.75" x14ac:dyDescent="0.25">
      <c r="B2282" s="33"/>
      <c r="C2282" s="34"/>
      <c r="F2282" s="35"/>
      <c r="I2282" s="33"/>
      <c r="M2282" s="33"/>
      <c r="N2282" s="33"/>
    </row>
    <row r="2283" spans="2:14" ht="15.75" x14ac:dyDescent="0.25">
      <c r="B2283" s="33"/>
      <c r="C2283" s="34"/>
      <c r="F2283" s="35"/>
      <c r="I2283" s="33"/>
      <c r="M2283" s="33"/>
      <c r="N2283" s="33"/>
    </row>
    <row r="2284" spans="2:14" ht="15.75" x14ac:dyDescent="0.25">
      <c r="B2284" s="33"/>
      <c r="C2284" s="34"/>
      <c r="F2284" s="35"/>
      <c r="I2284" s="33"/>
      <c r="M2284" s="33"/>
      <c r="N2284" s="33"/>
    </row>
    <row r="2285" spans="2:14" ht="15.75" x14ac:dyDescent="0.25">
      <c r="B2285" s="33"/>
      <c r="C2285" s="34"/>
      <c r="F2285" s="35"/>
      <c r="I2285" s="33"/>
      <c r="M2285" s="33"/>
      <c r="N2285" s="33"/>
    </row>
    <row r="2286" spans="2:14" ht="15.75" x14ac:dyDescent="0.25">
      <c r="B2286" s="33"/>
      <c r="C2286" s="34"/>
      <c r="F2286" s="35"/>
      <c r="I2286" s="33"/>
      <c r="M2286" s="33"/>
      <c r="N2286" s="33"/>
    </row>
    <row r="2287" spans="2:14" ht="15.75" x14ac:dyDescent="0.25">
      <c r="B2287" s="33"/>
      <c r="C2287" s="34"/>
      <c r="F2287" s="35"/>
      <c r="I2287" s="33"/>
      <c r="M2287" s="33"/>
      <c r="N2287" s="33"/>
    </row>
    <row r="2288" spans="2:14" ht="15.75" x14ac:dyDescent="0.25">
      <c r="B2288" s="33"/>
      <c r="C2288" s="34"/>
      <c r="F2288" s="35"/>
      <c r="I2288" s="33"/>
      <c r="M2288" s="33"/>
      <c r="N2288" s="33"/>
    </row>
    <row r="2289" spans="2:14" ht="15.75" x14ac:dyDescent="0.25">
      <c r="B2289" s="33"/>
      <c r="C2289" s="34"/>
      <c r="F2289" s="35"/>
      <c r="I2289" s="33"/>
      <c r="M2289" s="33"/>
      <c r="N2289" s="33"/>
    </row>
    <row r="2290" spans="2:14" ht="15.75" x14ac:dyDescent="0.25">
      <c r="B2290" s="33"/>
      <c r="C2290" s="34"/>
      <c r="F2290" s="35"/>
      <c r="I2290" s="33"/>
      <c r="M2290" s="33"/>
      <c r="N2290" s="33"/>
    </row>
    <row r="2291" spans="2:14" ht="15.75" x14ac:dyDescent="0.25">
      <c r="B2291" s="33"/>
      <c r="C2291" s="34"/>
      <c r="F2291" s="35"/>
      <c r="I2291" s="33"/>
      <c r="M2291" s="33"/>
      <c r="N2291" s="33"/>
    </row>
    <row r="2292" spans="2:14" ht="15.75" x14ac:dyDescent="0.25">
      <c r="B2292" s="33"/>
      <c r="C2292" s="34"/>
      <c r="F2292" s="35"/>
      <c r="I2292" s="33"/>
      <c r="M2292" s="33"/>
      <c r="N2292" s="33"/>
    </row>
    <row r="2293" spans="2:14" ht="15.75" x14ac:dyDescent="0.25">
      <c r="B2293" s="33"/>
      <c r="C2293" s="34"/>
      <c r="F2293" s="35"/>
      <c r="I2293" s="33"/>
      <c r="M2293" s="33"/>
      <c r="N2293" s="33"/>
    </row>
    <row r="2294" spans="2:14" ht="15.75" x14ac:dyDescent="0.25">
      <c r="B2294" s="33"/>
      <c r="C2294" s="34"/>
      <c r="F2294" s="35"/>
      <c r="I2294" s="33"/>
      <c r="M2294" s="33"/>
      <c r="N2294" s="33"/>
    </row>
    <row r="2295" spans="2:14" ht="15.75" x14ac:dyDescent="0.25">
      <c r="B2295" s="33"/>
      <c r="C2295" s="34"/>
      <c r="F2295" s="35"/>
      <c r="I2295" s="33"/>
      <c r="M2295" s="33"/>
      <c r="N2295" s="33"/>
    </row>
    <row r="2296" spans="2:14" ht="15.75" x14ac:dyDescent="0.25">
      <c r="B2296" s="33"/>
      <c r="C2296" s="34"/>
      <c r="F2296" s="35"/>
      <c r="I2296" s="33"/>
      <c r="M2296" s="33"/>
      <c r="N2296" s="33"/>
    </row>
    <row r="2297" spans="2:14" ht="15.75" x14ac:dyDescent="0.25">
      <c r="B2297" s="33"/>
      <c r="C2297" s="34"/>
      <c r="F2297" s="35"/>
      <c r="I2297" s="33"/>
      <c r="M2297" s="33"/>
      <c r="N2297" s="33"/>
    </row>
    <row r="2298" spans="2:14" ht="15.75" x14ac:dyDescent="0.25">
      <c r="B2298" s="33"/>
      <c r="C2298" s="34"/>
      <c r="F2298" s="35"/>
      <c r="I2298" s="33"/>
      <c r="M2298" s="33"/>
      <c r="N2298" s="33"/>
    </row>
    <row r="2299" spans="2:14" ht="15.75" x14ac:dyDescent="0.25">
      <c r="B2299" s="33"/>
      <c r="C2299" s="34"/>
      <c r="F2299" s="35"/>
      <c r="I2299" s="33"/>
      <c r="M2299" s="33"/>
      <c r="N2299" s="33"/>
    </row>
    <row r="2300" spans="2:14" ht="15.75" x14ac:dyDescent="0.25">
      <c r="B2300" s="33"/>
      <c r="C2300" s="34"/>
      <c r="F2300" s="35"/>
      <c r="I2300" s="33"/>
      <c r="M2300" s="33"/>
      <c r="N2300" s="33"/>
    </row>
    <row r="2301" spans="2:14" ht="15.75" x14ac:dyDescent="0.25">
      <c r="B2301" s="33"/>
      <c r="C2301" s="34"/>
      <c r="F2301" s="35"/>
      <c r="I2301" s="33"/>
      <c r="M2301" s="33"/>
      <c r="N2301" s="33"/>
    </row>
    <row r="2302" spans="2:14" ht="15.75" x14ac:dyDescent="0.25">
      <c r="B2302" s="33"/>
      <c r="C2302" s="34"/>
      <c r="F2302" s="35"/>
      <c r="I2302" s="33"/>
      <c r="M2302" s="33"/>
      <c r="N2302" s="33"/>
    </row>
    <row r="2303" spans="2:14" ht="15.75" x14ac:dyDescent="0.25">
      <c r="B2303" s="33"/>
      <c r="C2303" s="34"/>
      <c r="F2303" s="35"/>
      <c r="I2303" s="33"/>
      <c r="M2303" s="33"/>
      <c r="N2303" s="33"/>
    </row>
    <row r="2304" spans="2:14" ht="15.75" x14ac:dyDescent="0.25">
      <c r="B2304" s="33"/>
      <c r="C2304" s="34"/>
      <c r="F2304" s="35"/>
      <c r="I2304" s="33"/>
      <c r="M2304" s="33"/>
      <c r="N2304" s="33"/>
    </row>
    <row r="2305" spans="2:14" ht="15.75" x14ac:dyDescent="0.25">
      <c r="B2305" s="33"/>
      <c r="C2305" s="34"/>
      <c r="F2305" s="35"/>
      <c r="I2305" s="33"/>
      <c r="M2305" s="33"/>
      <c r="N2305" s="33"/>
    </row>
    <row r="2306" spans="2:14" ht="15.75" x14ac:dyDescent="0.25">
      <c r="B2306" s="33"/>
      <c r="C2306" s="34"/>
      <c r="F2306" s="35"/>
      <c r="I2306" s="33"/>
      <c r="M2306" s="33"/>
      <c r="N2306" s="33"/>
    </row>
    <row r="2307" spans="2:14" ht="15.75" x14ac:dyDescent="0.25">
      <c r="B2307" s="33"/>
      <c r="C2307" s="34"/>
      <c r="F2307" s="35"/>
      <c r="I2307" s="33"/>
      <c r="M2307" s="33"/>
      <c r="N2307" s="33"/>
    </row>
    <row r="2308" spans="2:14" ht="15.75" x14ac:dyDescent="0.25">
      <c r="B2308" s="33"/>
      <c r="C2308" s="34"/>
      <c r="F2308" s="35"/>
      <c r="I2308" s="33"/>
      <c r="M2308" s="33"/>
      <c r="N2308" s="33"/>
    </row>
    <row r="2309" spans="2:14" ht="15.75" x14ac:dyDescent="0.25">
      <c r="B2309" s="33"/>
      <c r="C2309" s="34"/>
      <c r="F2309" s="35"/>
      <c r="I2309" s="33"/>
      <c r="M2309" s="33"/>
      <c r="N2309" s="33"/>
    </row>
    <row r="2310" spans="2:14" ht="15.75" x14ac:dyDescent="0.25">
      <c r="B2310" s="33"/>
      <c r="C2310" s="34"/>
      <c r="F2310" s="35"/>
      <c r="I2310" s="33"/>
      <c r="M2310" s="33"/>
      <c r="N2310" s="33"/>
    </row>
    <row r="2311" spans="2:14" ht="15.75" x14ac:dyDescent="0.25">
      <c r="B2311" s="33"/>
      <c r="C2311" s="34"/>
      <c r="F2311" s="35"/>
      <c r="I2311" s="33"/>
      <c r="M2311" s="33"/>
      <c r="N2311" s="33"/>
    </row>
    <row r="2312" spans="2:14" ht="15.75" x14ac:dyDescent="0.25">
      <c r="B2312" s="33"/>
      <c r="C2312" s="34"/>
      <c r="F2312" s="35"/>
      <c r="I2312" s="33"/>
      <c r="M2312" s="33"/>
      <c r="N2312" s="33"/>
    </row>
    <row r="2313" spans="2:14" ht="15.75" x14ac:dyDescent="0.25">
      <c r="B2313" s="33"/>
      <c r="C2313" s="34"/>
      <c r="F2313" s="35"/>
      <c r="I2313" s="33"/>
      <c r="M2313" s="33"/>
      <c r="N2313" s="33"/>
    </row>
    <row r="2314" spans="2:14" ht="15.75" x14ac:dyDescent="0.25">
      <c r="B2314" s="33"/>
      <c r="C2314" s="34"/>
      <c r="F2314" s="35"/>
      <c r="I2314" s="33"/>
      <c r="M2314" s="33"/>
      <c r="N2314" s="33"/>
    </row>
    <row r="2315" spans="2:14" ht="15.75" x14ac:dyDescent="0.25">
      <c r="B2315" s="33"/>
      <c r="C2315" s="34"/>
      <c r="F2315" s="35"/>
      <c r="I2315" s="33"/>
      <c r="M2315" s="33"/>
      <c r="N2315" s="33"/>
    </row>
    <row r="2316" spans="2:14" ht="15.75" x14ac:dyDescent="0.25">
      <c r="B2316" s="33"/>
      <c r="C2316" s="34"/>
      <c r="F2316" s="35"/>
      <c r="I2316" s="33"/>
      <c r="M2316" s="33"/>
      <c r="N2316" s="33"/>
    </row>
    <row r="2317" spans="2:14" ht="15.75" x14ac:dyDescent="0.25">
      <c r="B2317" s="33"/>
      <c r="C2317" s="34"/>
      <c r="F2317" s="35"/>
      <c r="I2317" s="33"/>
      <c r="M2317" s="33"/>
      <c r="N2317" s="33"/>
    </row>
    <row r="2318" spans="2:14" ht="15.75" x14ac:dyDescent="0.25">
      <c r="B2318" s="33"/>
      <c r="C2318" s="34"/>
      <c r="F2318" s="35"/>
      <c r="I2318" s="33"/>
      <c r="M2318" s="33"/>
      <c r="N2318" s="33"/>
    </row>
    <row r="2319" spans="2:14" ht="15.75" x14ac:dyDescent="0.25">
      <c r="B2319" s="33"/>
      <c r="C2319" s="34"/>
      <c r="F2319" s="35"/>
      <c r="I2319" s="33"/>
      <c r="M2319" s="33"/>
      <c r="N2319" s="33"/>
    </row>
    <row r="2320" spans="2:14" ht="15.75" x14ac:dyDescent="0.25">
      <c r="B2320" s="33"/>
      <c r="C2320" s="34"/>
      <c r="F2320" s="35"/>
      <c r="I2320" s="33"/>
      <c r="M2320" s="33"/>
      <c r="N2320" s="33"/>
    </row>
    <row r="2321" spans="2:14" ht="15.75" x14ac:dyDescent="0.25">
      <c r="B2321" s="33"/>
      <c r="C2321" s="34"/>
      <c r="F2321" s="35"/>
      <c r="I2321" s="33"/>
      <c r="M2321" s="33"/>
      <c r="N2321" s="33"/>
    </row>
    <row r="2322" spans="2:14" ht="15.75" x14ac:dyDescent="0.25">
      <c r="B2322" s="33"/>
      <c r="C2322" s="34"/>
      <c r="F2322" s="35"/>
      <c r="I2322" s="33"/>
      <c r="M2322" s="33"/>
      <c r="N2322" s="33"/>
    </row>
    <row r="2323" spans="2:14" ht="15.75" x14ac:dyDescent="0.25">
      <c r="B2323" s="33"/>
      <c r="C2323" s="34"/>
      <c r="F2323" s="35"/>
      <c r="I2323" s="33"/>
      <c r="M2323" s="33"/>
      <c r="N2323" s="33"/>
    </row>
    <row r="2324" spans="2:14" ht="15.75" x14ac:dyDescent="0.25">
      <c r="B2324" s="33"/>
      <c r="C2324" s="34"/>
      <c r="F2324" s="35"/>
      <c r="I2324" s="33"/>
      <c r="M2324" s="33"/>
      <c r="N2324" s="33"/>
    </row>
    <row r="2325" spans="2:14" ht="15.75" x14ac:dyDescent="0.25">
      <c r="B2325" s="33"/>
      <c r="C2325" s="34"/>
      <c r="F2325" s="35"/>
      <c r="I2325" s="33"/>
      <c r="M2325" s="33"/>
      <c r="N2325" s="33"/>
    </row>
    <row r="2326" spans="2:14" ht="15.75" x14ac:dyDescent="0.25">
      <c r="B2326" s="33"/>
      <c r="C2326" s="34"/>
      <c r="F2326" s="35"/>
      <c r="I2326" s="33"/>
      <c r="M2326" s="33"/>
      <c r="N2326" s="33"/>
    </row>
    <row r="2327" spans="2:14" ht="15.75" x14ac:dyDescent="0.25">
      <c r="B2327" s="33"/>
      <c r="C2327" s="34"/>
      <c r="F2327" s="35"/>
      <c r="I2327" s="33"/>
      <c r="M2327" s="33"/>
      <c r="N2327" s="33"/>
    </row>
    <row r="2328" spans="2:14" ht="15.75" x14ac:dyDescent="0.25">
      <c r="B2328" s="33"/>
      <c r="C2328" s="34"/>
      <c r="F2328" s="35"/>
      <c r="I2328" s="33"/>
      <c r="M2328" s="33"/>
      <c r="N2328" s="33"/>
    </row>
    <row r="2329" spans="2:14" ht="15.75" x14ac:dyDescent="0.25">
      <c r="B2329" s="33"/>
      <c r="C2329" s="34"/>
      <c r="F2329" s="35"/>
      <c r="I2329" s="33"/>
      <c r="M2329" s="33"/>
      <c r="N2329" s="33"/>
    </row>
    <row r="2330" spans="2:14" ht="15.75" x14ac:dyDescent="0.25">
      <c r="B2330" s="33"/>
      <c r="C2330" s="34"/>
      <c r="F2330" s="35"/>
      <c r="I2330" s="33"/>
      <c r="M2330" s="33"/>
      <c r="N2330" s="33"/>
    </row>
    <row r="2331" spans="2:14" ht="15.75" x14ac:dyDescent="0.25">
      <c r="B2331" s="33"/>
      <c r="C2331" s="34"/>
      <c r="F2331" s="35"/>
      <c r="I2331" s="33"/>
      <c r="M2331" s="33"/>
      <c r="N2331" s="33"/>
    </row>
    <row r="2332" spans="2:14" ht="15.75" x14ac:dyDescent="0.25">
      <c r="B2332" s="33"/>
      <c r="C2332" s="34"/>
      <c r="F2332" s="35"/>
      <c r="I2332" s="33"/>
      <c r="M2332" s="33"/>
      <c r="N2332" s="33"/>
    </row>
    <row r="2333" spans="2:14" ht="15.75" x14ac:dyDescent="0.25">
      <c r="B2333" s="33"/>
      <c r="C2333" s="34"/>
      <c r="F2333" s="35"/>
      <c r="I2333" s="33"/>
      <c r="M2333" s="33"/>
      <c r="N2333" s="33"/>
    </row>
    <row r="2334" spans="2:14" ht="15.75" x14ac:dyDescent="0.25">
      <c r="B2334" s="33"/>
      <c r="C2334" s="34"/>
      <c r="F2334" s="35"/>
      <c r="I2334" s="33"/>
      <c r="M2334" s="33"/>
      <c r="N2334" s="33"/>
    </row>
    <row r="2335" spans="2:14" ht="15.75" x14ac:dyDescent="0.25">
      <c r="B2335" s="33"/>
      <c r="C2335" s="34"/>
      <c r="F2335" s="35"/>
      <c r="I2335" s="33"/>
      <c r="M2335" s="33"/>
      <c r="N2335" s="33"/>
    </row>
    <row r="2336" spans="2:14" ht="15.75" x14ac:dyDescent="0.25">
      <c r="B2336" s="33"/>
      <c r="C2336" s="34"/>
      <c r="F2336" s="35"/>
      <c r="I2336" s="33"/>
      <c r="M2336" s="33"/>
      <c r="N2336" s="33"/>
    </row>
    <row r="2337" spans="2:14" ht="15.75" x14ac:dyDescent="0.25">
      <c r="B2337" s="33"/>
      <c r="C2337" s="34"/>
      <c r="F2337" s="35"/>
      <c r="I2337" s="33"/>
      <c r="M2337" s="33"/>
      <c r="N2337" s="33"/>
    </row>
    <row r="2338" spans="2:14" ht="15.75" x14ac:dyDescent="0.25">
      <c r="B2338" s="33"/>
      <c r="C2338" s="34"/>
      <c r="F2338" s="35"/>
      <c r="I2338" s="33"/>
      <c r="M2338" s="33"/>
      <c r="N2338" s="33"/>
    </row>
    <row r="2339" spans="2:14" ht="15.75" x14ac:dyDescent="0.25">
      <c r="B2339" s="33"/>
      <c r="C2339" s="34"/>
      <c r="F2339" s="35"/>
      <c r="I2339" s="33"/>
      <c r="M2339" s="33"/>
      <c r="N2339" s="33"/>
    </row>
    <row r="2340" spans="2:14" ht="15.75" x14ac:dyDescent="0.25">
      <c r="B2340" s="33"/>
      <c r="C2340" s="34"/>
      <c r="F2340" s="35"/>
      <c r="I2340" s="33"/>
      <c r="M2340" s="33"/>
      <c r="N2340" s="33"/>
    </row>
    <row r="2341" spans="2:14" ht="15.75" x14ac:dyDescent="0.25">
      <c r="B2341" s="33"/>
      <c r="C2341" s="34"/>
      <c r="F2341" s="35"/>
      <c r="I2341" s="33"/>
      <c r="M2341" s="33"/>
      <c r="N2341" s="33"/>
    </row>
    <row r="2342" spans="2:14" ht="15.75" x14ac:dyDescent="0.25">
      <c r="B2342" s="33"/>
      <c r="C2342" s="34"/>
      <c r="F2342" s="35"/>
      <c r="I2342" s="33"/>
      <c r="M2342" s="33"/>
      <c r="N2342" s="33"/>
    </row>
    <row r="2343" spans="2:14" ht="15.75" x14ac:dyDescent="0.25">
      <c r="B2343" s="33"/>
      <c r="C2343" s="34"/>
      <c r="F2343" s="35"/>
      <c r="I2343" s="33"/>
      <c r="M2343" s="33"/>
      <c r="N2343" s="33"/>
    </row>
    <row r="2344" spans="2:14" ht="15.75" x14ac:dyDescent="0.25">
      <c r="B2344" s="33"/>
      <c r="C2344" s="34"/>
      <c r="F2344" s="35"/>
      <c r="I2344" s="33"/>
      <c r="M2344" s="33"/>
      <c r="N2344" s="33"/>
    </row>
    <row r="2345" spans="2:14" ht="15.75" x14ac:dyDescent="0.25">
      <c r="B2345" s="33"/>
      <c r="C2345" s="34"/>
      <c r="F2345" s="35"/>
      <c r="I2345" s="33"/>
      <c r="M2345" s="33"/>
      <c r="N2345" s="33"/>
    </row>
    <row r="2346" spans="2:14" ht="15.75" x14ac:dyDescent="0.25">
      <c r="B2346" s="33"/>
      <c r="C2346" s="34"/>
      <c r="F2346" s="35"/>
      <c r="I2346" s="33"/>
      <c r="M2346" s="33"/>
      <c r="N2346" s="33"/>
    </row>
    <row r="2347" spans="2:14" ht="15.75" x14ac:dyDescent="0.25">
      <c r="B2347" s="33"/>
      <c r="C2347" s="34"/>
      <c r="F2347" s="35"/>
      <c r="I2347" s="33"/>
      <c r="M2347" s="33"/>
      <c r="N2347" s="33"/>
    </row>
    <row r="2348" spans="2:14" ht="15.75" x14ac:dyDescent="0.25">
      <c r="B2348" s="33"/>
      <c r="C2348" s="34"/>
      <c r="F2348" s="35"/>
      <c r="I2348" s="33"/>
      <c r="M2348" s="33"/>
      <c r="N2348" s="33"/>
    </row>
    <row r="2349" spans="2:14" ht="15.75" x14ac:dyDescent="0.25">
      <c r="B2349" s="33"/>
      <c r="C2349" s="34"/>
      <c r="F2349" s="35"/>
      <c r="I2349" s="33"/>
      <c r="M2349" s="33"/>
      <c r="N2349" s="33"/>
    </row>
    <row r="2350" spans="2:14" ht="15.75" x14ac:dyDescent="0.25">
      <c r="B2350" s="33"/>
      <c r="C2350" s="34"/>
      <c r="F2350" s="35"/>
      <c r="I2350" s="33"/>
      <c r="M2350" s="33"/>
      <c r="N2350" s="33"/>
    </row>
    <row r="2351" spans="2:14" ht="15.75" x14ac:dyDescent="0.25">
      <c r="B2351" s="33"/>
      <c r="C2351" s="34"/>
      <c r="F2351" s="35"/>
      <c r="I2351" s="33"/>
      <c r="M2351" s="33"/>
      <c r="N2351" s="33"/>
    </row>
    <row r="2352" spans="2:14" ht="15.75" x14ac:dyDescent="0.25">
      <c r="B2352" s="33"/>
      <c r="C2352" s="34"/>
      <c r="F2352" s="35"/>
      <c r="I2352" s="33"/>
      <c r="M2352" s="33"/>
      <c r="N2352" s="33"/>
    </row>
    <row r="2353" spans="2:14" ht="15.75" x14ac:dyDescent="0.25">
      <c r="B2353" s="33"/>
      <c r="C2353" s="34"/>
      <c r="F2353" s="35"/>
      <c r="I2353" s="33"/>
      <c r="M2353" s="33"/>
      <c r="N2353" s="33"/>
    </row>
    <row r="2354" spans="2:14" ht="15.75" x14ac:dyDescent="0.25">
      <c r="B2354" s="33"/>
      <c r="C2354" s="34"/>
      <c r="F2354" s="35"/>
      <c r="I2354" s="33"/>
      <c r="M2354" s="33"/>
      <c r="N2354" s="33"/>
    </row>
    <row r="2355" spans="2:14" ht="15.75" x14ac:dyDescent="0.25">
      <c r="B2355" s="33"/>
      <c r="C2355" s="34"/>
      <c r="F2355" s="35"/>
      <c r="I2355" s="33"/>
      <c r="M2355" s="33"/>
      <c r="N2355" s="33"/>
    </row>
    <row r="2356" spans="2:14" ht="15.75" x14ac:dyDescent="0.25">
      <c r="B2356" s="33"/>
      <c r="C2356" s="34"/>
      <c r="F2356" s="35"/>
      <c r="I2356" s="33"/>
      <c r="M2356" s="33"/>
      <c r="N2356" s="33"/>
    </row>
    <row r="2357" spans="2:14" ht="15.75" x14ac:dyDescent="0.25">
      <c r="B2357" s="33"/>
      <c r="C2357" s="34"/>
      <c r="F2357" s="35"/>
      <c r="I2357" s="33"/>
      <c r="M2357" s="33"/>
      <c r="N2357" s="33"/>
    </row>
    <row r="2358" spans="2:14" ht="15.75" x14ac:dyDescent="0.25">
      <c r="B2358" s="33"/>
      <c r="C2358" s="34"/>
      <c r="F2358" s="35"/>
      <c r="I2358" s="33"/>
      <c r="M2358" s="33"/>
      <c r="N2358" s="33"/>
    </row>
    <row r="2359" spans="2:14" ht="15.75" x14ac:dyDescent="0.25">
      <c r="B2359" s="33"/>
      <c r="C2359" s="34"/>
      <c r="F2359" s="35"/>
      <c r="I2359" s="33"/>
      <c r="M2359" s="33"/>
      <c r="N2359" s="33"/>
    </row>
    <row r="2360" spans="2:14" ht="15.75" x14ac:dyDescent="0.25">
      <c r="B2360" s="33"/>
      <c r="C2360" s="34"/>
      <c r="F2360" s="35"/>
      <c r="I2360" s="33"/>
      <c r="M2360" s="33"/>
      <c r="N2360" s="33"/>
    </row>
    <row r="2361" spans="2:14" ht="15.75" x14ac:dyDescent="0.25">
      <c r="B2361" s="33"/>
      <c r="C2361" s="34"/>
      <c r="F2361" s="35"/>
      <c r="I2361" s="33"/>
      <c r="M2361" s="33"/>
      <c r="N2361" s="33"/>
    </row>
    <row r="2362" spans="2:14" ht="15.75" x14ac:dyDescent="0.25">
      <c r="B2362" s="33"/>
      <c r="C2362" s="34"/>
      <c r="F2362" s="35"/>
      <c r="I2362" s="33"/>
      <c r="M2362" s="33"/>
      <c r="N2362" s="33"/>
    </row>
    <row r="2363" spans="2:14" ht="15.75" x14ac:dyDescent="0.25">
      <c r="B2363" s="33"/>
      <c r="C2363" s="34"/>
      <c r="F2363" s="35"/>
      <c r="I2363" s="33"/>
      <c r="M2363" s="33"/>
      <c r="N2363" s="33"/>
    </row>
    <row r="2364" spans="2:14" ht="15.75" x14ac:dyDescent="0.25">
      <c r="B2364" s="33"/>
      <c r="C2364" s="34"/>
      <c r="F2364" s="35"/>
      <c r="I2364" s="33"/>
      <c r="M2364" s="33"/>
      <c r="N2364" s="33"/>
    </row>
    <row r="2365" spans="2:14" ht="15.75" x14ac:dyDescent="0.25">
      <c r="B2365" s="33"/>
      <c r="C2365" s="34"/>
      <c r="F2365" s="35"/>
      <c r="I2365" s="33"/>
      <c r="M2365" s="33"/>
      <c r="N2365" s="33"/>
    </row>
    <row r="2366" spans="2:14" ht="15.75" x14ac:dyDescent="0.25">
      <c r="B2366" s="33"/>
      <c r="C2366" s="34"/>
      <c r="F2366" s="35"/>
      <c r="I2366" s="33"/>
      <c r="M2366" s="33"/>
      <c r="N2366" s="33"/>
    </row>
    <row r="2367" spans="2:14" ht="15.75" x14ac:dyDescent="0.25">
      <c r="B2367" s="33"/>
      <c r="C2367" s="34"/>
      <c r="F2367" s="35"/>
      <c r="I2367" s="33"/>
      <c r="M2367" s="33"/>
      <c r="N2367" s="33"/>
    </row>
    <row r="2368" spans="2:14" ht="15.75" x14ac:dyDescent="0.25">
      <c r="B2368" s="33"/>
      <c r="C2368" s="34"/>
      <c r="F2368" s="35"/>
      <c r="I2368" s="33"/>
      <c r="M2368" s="33"/>
      <c r="N2368" s="33"/>
    </row>
    <row r="2369" spans="2:14" ht="15.75" x14ac:dyDescent="0.25">
      <c r="B2369" s="33"/>
      <c r="C2369" s="34"/>
      <c r="F2369" s="35"/>
      <c r="I2369" s="33"/>
      <c r="M2369" s="33"/>
      <c r="N2369" s="33"/>
    </row>
    <row r="2370" spans="2:14" ht="15.75" x14ac:dyDescent="0.25">
      <c r="B2370" s="33"/>
      <c r="C2370" s="34"/>
      <c r="F2370" s="35"/>
      <c r="I2370" s="33"/>
      <c r="M2370" s="33"/>
      <c r="N2370" s="33"/>
    </row>
    <row r="2371" spans="2:14" ht="15.75" x14ac:dyDescent="0.25">
      <c r="B2371" s="33"/>
      <c r="C2371" s="34"/>
      <c r="F2371" s="35"/>
      <c r="I2371" s="33"/>
      <c r="M2371" s="33"/>
      <c r="N2371" s="33"/>
    </row>
    <row r="2372" spans="2:14" ht="15.75" x14ac:dyDescent="0.25">
      <c r="B2372" s="33"/>
      <c r="C2372" s="34"/>
      <c r="F2372" s="35"/>
      <c r="I2372" s="33"/>
      <c r="M2372" s="33"/>
      <c r="N2372" s="33"/>
    </row>
    <row r="2373" spans="2:14" ht="15.75" x14ac:dyDescent="0.25">
      <c r="B2373" s="33"/>
      <c r="C2373" s="34"/>
      <c r="F2373" s="35"/>
      <c r="I2373" s="33"/>
      <c r="M2373" s="33"/>
      <c r="N2373" s="33"/>
    </row>
    <row r="2374" spans="2:14" ht="15.75" x14ac:dyDescent="0.25">
      <c r="B2374" s="33"/>
      <c r="C2374" s="34"/>
      <c r="F2374" s="35"/>
      <c r="I2374" s="33"/>
      <c r="M2374" s="33"/>
      <c r="N2374" s="33"/>
    </row>
    <row r="2375" spans="2:14" ht="15.75" x14ac:dyDescent="0.25">
      <c r="B2375" s="33"/>
      <c r="C2375" s="34"/>
      <c r="F2375" s="35"/>
      <c r="I2375" s="33"/>
      <c r="M2375" s="33"/>
      <c r="N2375" s="33"/>
    </row>
    <row r="2376" spans="2:14" ht="15.75" x14ac:dyDescent="0.25">
      <c r="B2376" s="33"/>
      <c r="C2376" s="34"/>
      <c r="F2376" s="35"/>
      <c r="I2376" s="33"/>
      <c r="M2376" s="33"/>
      <c r="N2376" s="33"/>
    </row>
    <row r="2377" spans="2:14" ht="15.75" x14ac:dyDescent="0.25">
      <c r="B2377" s="33"/>
      <c r="C2377" s="34"/>
      <c r="F2377" s="35"/>
      <c r="I2377" s="33"/>
      <c r="M2377" s="33"/>
      <c r="N2377" s="33"/>
    </row>
    <row r="2378" spans="2:14" ht="15.75" x14ac:dyDescent="0.25">
      <c r="B2378" s="33"/>
      <c r="C2378" s="34"/>
      <c r="F2378" s="35"/>
      <c r="I2378" s="33"/>
      <c r="M2378" s="33"/>
      <c r="N2378" s="33"/>
    </row>
    <row r="2379" spans="2:14" ht="15.75" x14ac:dyDescent="0.25">
      <c r="B2379" s="33"/>
      <c r="C2379" s="34"/>
      <c r="F2379" s="35"/>
      <c r="I2379" s="33"/>
      <c r="M2379" s="33"/>
      <c r="N2379" s="33"/>
    </row>
    <row r="2380" spans="2:14" ht="15.75" x14ac:dyDescent="0.25">
      <c r="B2380" s="33"/>
      <c r="C2380" s="34"/>
      <c r="F2380" s="35"/>
      <c r="I2380" s="33"/>
      <c r="M2380" s="33"/>
      <c r="N2380" s="33"/>
    </row>
    <row r="2381" spans="2:14" ht="15.75" x14ac:dyDescent="0.25">
      <c r="B2381" s="33"/>
      <c r="C2381" s="34"/>
      <c r="F2381" s="35"/>
      <c r="I2381" s="33"/>
      <c r="M2381" s="33"/>
      <c r="N2381" s="33"/>
    </row>
    <row r="2382" spans="2:14" ht="15.75" x14ac:dyDescent="0.25">
      <c r="B2382" s="33"/>
      <c r="C2382" s="34"/>
      <c r="F2382" s="35"/>
      <c r="I2382" s="33"/>
      <c r="M2382" s="33"/>
      <c r="N2382" s="33"/>
    </row>
    <row r="2383" spans="2:14" ht="15.75" x14ac:dyDescent="0.25">
      <c r="B2383" s="33"/>
      <c r="C2383" s="34"/>
      <c r="F2383" s="35"/>
      <c r="I2383" s="33"/>
      <c r="M2383" s="33"/>
      <c r="N2383" s="33"/>
    </row>
    <row r="2384" spans="2:14" ht="15.75" x14ac:dyDescent="0.25">
      <c r="B2384" s="33"/>
      <c r="C2384" s="34"/>
      <c r="F2384" s="35"/>
      <c r="I2384" s="33"/>
      <c r="M2384" s="33"/>
      <c r="N2384" s="33"/>
    </row>
    <row r="2385" spans="2:14" ht="15.75" x14ac:dyDescent="0.25">
      <c r="B2385" s="33"/>
      <c r="C2385" s="34"/>
      <c r="F2385" s="35"/>
      <c r="I2385" s="33"/>
      <c r="M2385" s="33"/>
      <c r="N2385" s="33"/>
    </row>
    <row r="2386" spans="2:14" ht="15.75" x14ac:dyDescent="0.25">
      <c r="B2386" s="33"/>
      <c r="C2386" s="34"/>
      <c r="F2386" s="35"/>
      <c r="I2386" s="33"/>
      <c r="M2386" s="33"/>
      <c r="N2386" s="33"/>
    </row>
    <row r="2387" spans="2:14" ht="15.75" x14ac:dyDescent="0.25">
      <c r="B2387" s="33"/>
      <c r="C2387" s="34"/>
      <c r="F2387" s="35"/>
      <c r="I2387" s="33"/>
      <c r="M2387" s="33"/>
      <c r="N2387" s="33"/>
    </row>
    <row r="2388" spans="2:14" ht="15.75" x14ac:dyDescent="0.25">
      <c r="B2388" s="33"/>
      <c r="C2388" s="34"/>
      <c r="F2388" s="35"/>
      <c r="I2388" s="33"/>
      <c r="M2388" s="33"/>
      <c r="N2388" s="33"/>
    </row>
    <row r="2389" spans="2:14" ht="15.75" x14ac:dyDescent="0.25">
      <c r="B2389" s="33"/>
      <c r="C2389" s="34"/>
      <c r="F2389" s="35"/>
      <c r="I2389" s="33"/>
      <c r="M2389" s="33"/>
      <c r="N2389" s="33"/>
    </row>
    <row r="2390" spans="2:14" ht="15.75" x14ac:dyDescent="0.25">
      <c r="B2390" s="33"/>
      <c r="C2390" s="34"/>
      <c r="F2390" s="35"/>
      <c r="I2390" s="33"/>
      <c r="M2390" s="33"/>
      <c r="N2390" s="33"/>
    </row>
    <row r="2391" spans="2:14" ht="15.75" x14ac:dyDescent="0.25">
      <c r="B2391" s="33"/>
      <c r="C2391" s="34"/>
      <c r="F2391" s="35"/>
      <c r="I2391" s="33"/>
      <c r="M2391" s="33"/>
      <c r="N2391" s="33"/>
    </row>
    <row r="2392" spans="2:14" ht="15.75" x14ac:dyDescent="0.25">
      <c r="B2392" s="33"/>
      <c r="C2392" s="34"/>
      <c r="F2392" s="35"/>
      <c r="I2392" s="33"/>
      <c r="M2392" s="33"/>
      <c r="N2392" s="33"/>
    </row>
    <row r="2393" spans="2:14" ht="15.75" x14ac:dyDescent="0.25">
      <c r="B2393" s="33"/>
      <c r="C2393" s="34"/>
      <c r="F2393" s="35"/>
      <c r="I2393" s="33"/>
      <c r="M2393" s="33"/>
      <c r="N2393" s="33"/>
    </row>
    <row r="2394" spans="2:14" ht="15.75" x14ac:dyDescent="0.25">
      <c r="B2394" s="33"/>
      <c r="C2394" s="34"/>
      <c r="F2394" s="35"/>
      <c r="I2394" s="33"/>
      <c r="M2394" s="33"/>
      <c r="N2394" s="33"/>
    </row>
    <row r="2395" spans="2:14" ht="15.75" x14ac:dyDescent="0.25">
      <c r="B2395" s="33"/>
      <c r="C2395" s="34"/>
      <c r="F2395" s="35"/>
      <c r="I2395" s="33"/>
      <c r="M2395" s="33"/>
      <c r="N2395" s="33"/>
    </row>
    <row r="2396" spans="2:14" ht="15.75" x14ac:dyDescent="0.25">
      <c r="B2396" s="33"/>
      <c r="C2396" s="34"/>
      <c r="F2396" s="35"/>
      <c r="I2396" s="33"/>
      <c r="M2396" s="33"/>
      <c r="N2396" s="33"/>
    </row>
    <row r="2397" spans="2:14" ht="15.75" x14ac:dyDescent="0.25">
      <c r="B2397" s="33"/>
      <c r="C2397" s="34"/>
      <c r="F2397" s="35"/>
      <c r="I2397" s="33"/>
      <c r="M2397" s="33"/>
      <c r="N2397" s="33"/>
    </row>
    <row r="2398" spans="2:14" ht="15.75" x14ac:dyDescent="0.25">
      <c r="B2398" s="33"/>
      <c r="C2398" s="34"/>
      <c r="F2398" s="35"/>
      <c r="I2398" s="33"/>
      <c r="M2398" s="33"/>
      <c r="N2398" s="33"/>
    </row>
    <row r="2399" spans="2:14" ht="15.75" x14ac:dyDescent="0.25">
      <c r="B2399" s="33"/>
      <c r="C2399" s="34"/>
      <c r="F2399" s="35"/>
      <c r="I2399" s="33"/>
      <c r="M2399" s="33"/>
      <c r="N2399" s="33"/>
    </row>
    <row r="2400" spans="2:14" ht="15.75" x14ac:dyDescent="0.25">
      <c r="B2400" s="33"/>
      <c r="C2400" s="34"/>
      <c r="F2400" s="35"/>
      <c r="I2400" s="33"/>
      <c r="M2400" s="33"/>
      <c r="N2400" s="33"/>
    </row>
    <row r="2401" spans="2:14" ht="15.75" x14ac:dyDescent="0.25">
      <c r="B2401" s="33"/>
      <c r="C2401" s="34"/>
      <c r="F2401" s="35"/>
      <c r="I2401" s="33"/>
      <c r="M2401" s="33"/>
      <c r="N2401" s="33"/>
    </row>
    <row r="2402" spans="2:14" ht="15.75" x14ac:dyDescent="0.25">
      <c r="B2402" s="33"/>
      <c r="C2402" s="34"/>
      <c r="F2402" s="35"/>
      <c r="I2402" s="33"/>
      <c r="M2402" s="33"/>
      <c r="N2402" s="33"/>
    </row>
    <row r="2403" spans="2:14" ht="15.75" x14ac:dyDescent="0.25">
      <c r="B2403" s="33"/>
      <c r="C2403" s="34"/>
      <c r="F2403" s="35"/>
      <c r="I2403" s="33"/>
      <c r="M2403" s="33"/>
      <c r="N2403" s="33"/>
    </row>
    <row r="2404" spans="2:14" ht="15.75" x14ac:dyDescent="0.25">
      <c r="B2404" s="33"/>
      <c r="C2404" s="34"/>
      <c r="F2404" s="35"/>
      <c r="I2404" s="33"/>
      <c r="M2404" s="33"/>
      <c r="N2404" s="33"/>
    </row>
    <row r="2405" spans="2:14" ht="15.75" x14ac:dyDescent="0.25">
      <c r="B2405" s="33"/>
      <c r="C2405" s="34"/>
      <c r="F2405" s="35"/>
      <c r="I2405" s="33"/>
      <c r="M2405" s="33"/>
      <c r="N2405" s="33"/>
    </row>
    <row r="2406" spans="2:14" ht="15.75" x14ac:dyDescent="0.25">
      <c r="B2406" s="33"/>
      <c r="C2406" s="34"/>
      <c r="F2406" s="35"/>
      <c r="I2406" s="33"/>
      <c r="M2406" s="33"/>
      <c r="N2406" s="33"/>
    </row>
    <row r="2407" spans="2:14" ht="15.75" x14ac:dyDescent="0.25">
      <c r="B2407" s="33"/>
      <c r="C2407" s="34"/>
      <c r="F2407" s="35"/>
      <c r="I2407" s="33"/>
      <c r="M2407" s="33"/>
      <c r="N2407" s="33"/>
    </row>
    <row r="2408" spans="2:14" ht="15.75" x14ac:dyDescent="0.25">
      <c r="B2408" s="33"/>
      <c r="C2408" s="34"/>
      <c r="F2408" s="35"/>
      <c r="I2408" s="33"/>
      <c r="M2408" s="33"/>
      <c r="N2408" s="33"/>
    </row>
    <row r="2409" spans="2:14" ht="15.75" x14ac:dyDescent="0.25">
      <c r="B2409" s="33"/>
      <c r="C2409" s="34"/>
      <c r="F2409" s="35"/>
      <c r="I2409" s="33"/>
      <c r="M2409" s="33"/>
      <c r="N2409" s="33"/>
    </row>
    <row r="2410" spans="2:14" ht="15.75" x14ac:dyDescent="0.25">
      <c r="B2410" s="33"/>
      <c r="C2410" s="34"/>
      <c r="F2410" s="35"/>
      <c r="I2410" s="33"/>
      <c r="M2410" s="33"/>
      <c r="N2410" s="33"/>
    </row>
    <row r="2411" spans="2:14" ht="15.75" x14ac:dyDescent="0.25">
      <c r="B2411" s="33"/>
      <c r="C2411" s="34"/>
      <c r="F2411" s="35"/>
      <c r="I2411" s="33"/>
      <c r="M2411" s="33"/>
      <c r="N2411" s="33"/>
    </row>
    <row r="2412" spans="2:14" ht="15.75" x14ac:dyDescent="0.25">
      <c r="B2412" s="33"/>
      <c r="C2412" s="34"/>
      <c r="F2412" s="35"/>
      <c r="I2412" s="33"/>
      <c r="M2412" s="33"/>
      <c r="N2412" s="33"/>
    </row>
    <row r="2413" spans="2:14" ht="15.75" x14ac:dyDescent="0.25">
      <c r="B2413" s="33"/>
      <c r="C2413" s="34"/>
      <c r="F2413" s="35"/>
      <c r="I2413" s="33"/>
      <c r="M2413" s="33"/>
      <c r="N2413" s="33"/>
    </row>
    <row r="2414" spans="2:14" ht="15.75" x14ac:dyDescent="0.25">
      <c r="B2414" s="33"/>
      <c r="C2414" s="34"/>
      <c r="F2414" s="35"/>
      <c r="I2414" s="33"/>
      <c r="M2414" s="33"/>
      <c r="N2414" s="33"/>
    </row>
    <row r="2415" spans="2:14" ht="15.75" x14ac:dyDescent="0.25">
      <c r="B2415" s="33"/>
      <c r="C2415" s="34"/>
      <c r="F2415" s="35"/>
      <c r="I2415" s="33"/>
      <c r="M2415" s="33"/>
      <c r="N2415" s="33"/>
    </row>
    <row r="2416" spans="2:14" ht="15.75" x14ac:dyDescent="0.25">
      <c r="B2416" s="33"/>
      <c r="C2416" s="34"/>
      <c r="F2416" s="35"/>
      <c r="I2416" s="33"/>
      <c r="M2416" s="33"/>
      <c r="N2416" s="33"/>
    </row>
    <row r="2417" spans="2:14" ht="15.75" x14ac:dyDescent="0.25">
      <c r="B2417" s="33"/>
      <c r="C2417" s="34"/>
      <c r="F2417" s="35"/>
      <c r="I2417" s="33"/>
      <c r="M2417" s="33"/>
      <c r="N2417" s="33"/>
    </row>
    <row r="2418" spans="2:14" ht="15.75" x14ac:dyDescent="0.25">
      <c r="B2418" s="33"/>
      <c r="C2418" s="34"/>
      <c r="F2418" s="35"/>
      <c r="I2418" s="33"/>
      <c r="M2418" s="33"/>
      <c r="N2418" s="33"/>
    </row>
    <row r="2419" spans="2:14" ht="15.75" x14ac:dyDescent="0.25">
      <c r="B2419" s="33"/>
      <c r="C2419" s="34"/>
      <c r="F2419" s="35"/>
      <c r="I2419" s="33"/>
      <c r="M2419" s="33"/>
      <c r="N2419" s="33"/>
    </row>
    <row r="2420" spans="2:14" ht="15.75" x14ac:dyDescent="0.25">
      <c r="B2420" s="33"/>
      <c r="C2420" s="34"/>
      <c r="F2420" s="35"/>
      <c r="I2420" s="33"/>
      <c r="M2420" s="33"/>
      <c r="N2420" s="33"/>
    </row>
    <row r="2421" spans="2:14" ht="15.75" x14ac:dyDescent="0.25">
      <c r="B2421" s="33"/>
      <c r="C2421" s="34"/>
      <c r="F2421" s="35"/>
      <c r="I2421" s="33"/>
      <c r="M2421" s="33"/>
      <c r="N2421" s="33"/>
    </row>
    <row r="2422" spans="2:14" ht="15.75" x14ac:dyDescent="0.25">
      <c r="B2422" s="33"/>
      <c r="C2422" s="34"/>
      <c r="F2422" s="35"/>
      <c r="I2422" s="33"/>
      <c r="M2422" s="33"/>
      <c r="N2422" s="33"/>
    </row>
    <row r="2423" spans="2:14" ht="15.75" x14ac:dyDescent="0.25">
      <c r="B2423" s="33"/>
      <c r="C2423" s="34"/>
      <c r="F2423" s="35"/>
      <c r="I2423" s="33"/>
      <c r="M2423" s="33"/>
      <c r="N2423" s="33"/>
    </row>
    <row r="2424" spans="2:14" ht="15.75" x14ac:dyDescent="0.25">
      <c r="B2424" s="33"/>
      <c r="C2424" s="34"/>
      <c r="F2424" s="35"/>
      <c r="I2424" s="33"/>
      <c r="M2424" s="33"/>
      <c r="N2424" s="33"/>
    </row>
    <row r="2425" spans="2:14" ht="15.75" x14ac:dyDescent="0.25">
      <c r="B2425" s="33"/>
      <c r="C2425" s="34"/>
      <c r="F2425" s="35"/>
      <c r="I2425" s="33"/>
      <c r="M2425" s="33"/>
      <c r="N2425" s="33"/>
    </row>
    <row r="2426" spans="2:14" ht="15.75" x14ac:dyDescent="0.25">
      <c r="B2426" s="33"/>
      <c r="C2426" s="34"/>
      <c r="F2426" s="35"/>
      <c r="I2426" s="33"/>
      <c r="M2426" s="33"/>
      <c r="N2426" s="33"/>
    </row>
    <row r="2427" spans="2:14" ht="15.75" x14ac:dyDescent="0.25">
      <c r="B2427" s="33"/>
      <c r="C2427" s="34"/>
      <c r="F2427" s="35"/>
      <c r="I2427" s="33"/>
      <c r="M2427" s="33"/>
      <c r="N2427" s="33"/>
    </row>
    <row r="2428" spans="2:14" ht="15.75" x14ac:dyDescent="0.25">
      <c r="B2428" s="33"/>
      <c r="C2428" s="34"/>
      <c r="F2428" s="35"/>
      <c r="I2428" s="33"/>
      <c r="M2428" s="33"/>
      <c r="N2428" s="33"/>
    </row>
    <row r="2429" spans="2:14" ht="15.75" x14ac:dyDescent="0.25">
      <c r="B2429" s="33"/>
      <c r="C2429" s="34"/>
      <c r="F2429" s="35"/>
      <c r="I2429" s="33"/>
      <c r="M2429" s="33"/>
      <c r="N2429" s="33"/>
    </row>
    <row r="2430" spans="2:14" ht="15.75" x14ac:dyDescent="0.25">
      <c r="B2430" s="33"/>
      <c r="C2430" s="34"/>
      <c r="F2430" s="35"/>
      <c r="I2430" s="33"/>
      <c r="M2430" s="33"/>
      <c r="N2430" s="33"/>
    </row>
    <row r="2431" spans="2:14" ht="15.75" x14ac:dyDescent="0.25">
      <c r="B2431" s="33"/>
      <c r="C2431" s="34"/>
      <c r="F2431" s="35"/>
      <c r="I2431" s="33"/>
      <c r="M2431" s="33"/>
      <c r="N2431" s="33"/>
    </row>
    <row r="2432" spans="2:14" ht="15.75" x14ac:dyDescent="0.25">
      <c r="B2432" s="33"/>
      <c r="C2432" s="34"/>
      <c r="F2432" s="35"/>
      <c r="I2432" s="33"/>
      <c r="M2432" s="33"/>
      <c r="N2432" s="33"/>
    </row>
    <row r="2433" spans="2:14" ht="15.75" x14ac:dyDescent="0.25">
      <c r="B2433" s="33"/>
      <c r="C2433" s="34"/>
      <c r="F2433" s="35"/>
      <c r="I2433" s="33"/>
      <c r="M2433" s="33"/>
      <c r="N2433" s="33"/>
    </row>
    <row r="2434" spans="2:14" ht="15.75" x14ac:dyDescent="0.25">
      <c r="B2434" s="33"/>
      <c r="C2434" s="34"/>
      <c r="F2434" s="35"/>
      <c r="I2434" s="33"/>
      <c r="M2434" s="33"/>
      <c r="N2434" s="33"/>
    </row>
    <row r="2435" spans="2:14" ht="15.75" x14ac:dyDescent="0.25">
      <c r="B2435" s="33"/>
      <c r="C2435" s="34"/>
      <c r="F2435" s="35"/>
      <c r="I2435" s="33"/>
      <c r="M2435" s="33"/>
      <c r="N2435" s="33"/>
    </row>
    <row r="2436" spans="2:14" ht="15.75" x14ac:dyDescent="0.25">
      <c r="B2436" s="33"/>
      <c r="C2436" s="34"/>
      <c r="F2436" s="35"/>
      <c r="I2436" s="33"/>
      <c r="M2436" s="33"/>
      <c r="N2436" s="33"/>
    </row>
    <row r="2437" spans="2:14" ht="15.75" x14ac:dyDescent="0.25">
      <c r="B2437" s="33"/>
      <c r="C2437" s="34"/>
      <c r="F2437" s="35"/>
      <c r="I2437" s="33"/>
      <c r="M2437" s="33"/>
      <c r="N2437" s="33"/>
    </row>
    <row r="2438" spans="2:14" ht="15.75" x14ac:dyDescent="0.25">
      <c r="B2438" s="33"/>
      <c r="C2438" s="34"/>
      <c r="F2438" s="35"/>
      <c r="I2438" s="33"/>
      <c r="M2438" s="33"/>
      <c r="N2438" s="33"/>
    </row>
    <row r="2439" spans="2:14" ht="15.75" x14ac:dyDescent="0.25">
      <c r="B2439" s="33"/>
      <c r="C2439" s="34"/>
      <c r="F2439" s="35"/>
      <c r="I2439" s="33"/>
      <c r="M2439" s="33"/>
      <c r="N2439" s="33"/>
    </row>
    <row r="2440" spans="2:14" ht="15.75" x14ac:dyDescent="0.25">
      <c r="B2440" s="33"/>
      <c r="C2440" s="34"/>
      <c r="F2440" s="35"/>
      <c r="I2440" s="33"/>
      <c r="M2440" s="33"/>
      <c r="N2440" s="33"/>
    </row>
    <row r="2441" spans="2:14" ht="15.75" x14ac:dyDescent="0.25">
      <c r="B2441" s="33"/>
      <c r="C2441" s="34"/>
      <c r="F2441" s="35"/>
      <c r="I2441" s="33"/>
      <c r="M2441" s="33"/>
      <c r="N2441" s="33"/>
    </row>
    <row r="2442" spans="2:14" ht="15.75" x14ac:dyDescent="0.25">
      <c r="B2442" s="33"/>
      <c r="C2442" s="34"/>
      <c r="F2442" s="35"/>
      <c r="I2442" s="33"/>
      <c r="M2442" s="33"/>
      <c r="N2442" s="33"/>
    </row>
    <row r="2443" spans="2:14" ht="15.75" x14ac:dyDescent="0.25">
      <c r="B2443" s="33"/>
      <c r="C2443" s="34"/>
      <c r="F2443" s="35"/>
      <c r="I2443" s="33"/>
      <c r="M2443" s="33"/>
      <c r="N2443" s="33"/>
    </row>
    <row r="2444" spans="2:14" ht="15.75" x14ac:dyDescent="0.25">
      <c r="B2444" s="33"/>
      <c r="C2444" s="34"/>
      <c r="F2444" s="35"/>
      <c r="I2444" s="33"/>
      <c r="M2444" s="33"/>
      <c r="N2444" s="33"/>
    </row>
    <row r="2445" spans="2:14" ht="15.75" x14ac:dyDescent="0.25">
      <c r="B2445" s="33"/>
      <c r="C2445" s="34"/>
      <c r="F2445" s="35"/>
      <c r="I2445" s="33"/>
      <c r="M2445" s="33"/>
      <c r="N2445" s="33"/>
    </row>
    <row r="2446" spans="2:14" ht="15.75" x14ac:dyDescent="0.25">
      <c r="B2446" s="33"/>
      <c r="C2446" s="34"/>
      <c r="F2446" s="35"/>
      <c r="I2446" s="33"/>
      <c r="M2446" s="33"/>
      <c r="N2446" s="33"/>
    </row>
    <row r="2447" spans="2:14" ht="15.75" x14ac:dyDescent="0.25">
      <c r="B2447" s="33"/>
      <c r="C2447" s="34"/>
      <c r="F2447" s="35"/>
      <c r="I2447" s="33"/>
      <c r="M2447" s="33"/>
      <c r="N2447" s="33"/>
    </row>
    <row r="2448" spans="2:14" ht="15.75" x14ac:dyDescent="0.25">
      <c r="B2448" s="33"/>
      <c r="C2448" s="34"/>
      <c r="F2448" s="35"/>
      <c r="I2448" s="33"/>
      <c r="M2448" s="33"/>
      <c r="N2448" s="33"/>
    </row>
    <row r="2449" spans="2:14" ht="15.75" x14ac:dyDescent="0.25">
      <c r="B2449" s="33"/>
      <c r="C2449" s="34"/>
      <c r="F2449" s="35"/>
      <c r="I2449" s="33"/>
      <c r="M2449" s="33"/>
      <c r="N2449" s="33"/>
    </row>
    <row r="2450" spans="2:14" ht="15.75" x14ac:dyDescent="0.25">
      <c r="B2450" s="33"/>
      <c r="C2450" s="34"/>
      <c r="F2450" s="35"/>
      <c r="I2450" s="33"/>
      <c r="M2450" s="33"/>
      <c r="N2450" s="33"/>
    </row>
    <row r="2451" spans="2:14" ht="15.75" x14ac:dyDescent="0.25">
      <c r="B2451" s="33"/>
      <c r="C2451" s="34"/>
      <c r="F2451" s="35"/>
      <c r="I2451" s="33"/>
      <c r="M2451" s="33"/>
      <c r="N2451" s="33"/>
    </row>
    <row r="2452" spans="2:14" ht="15.75" x14ac:dyDescent="0.25">
      <c r="B2452" s="33"/>
      <c r="C2452" s="34"/>
      <c r="F2452" s="35"/>
      <c r="I2452" s="33"/>
      <c r="M2452" s="33"/>
      <c r="N2452" s="33"/>
    </row>
    <row r="2453" spans="2:14" ht="15.75" x14ac:dyDescent="0.25">
      <c r="B2453" s="33"/>
      <c r="C2453" s="34"/>
      <c r="F2453" s="35"/>
      <c r="I2453" s="33"/>
      <c r="M2453" s="33"/>
      <c r="N2453" s="33"/>
    </row>
    <row r="2454" spans="2:14" ht="15.75" x14ac:dyDescent="0.25">
      <c r="B2454" s="33"/>
      <c r="C2454" s="34"/>
      <c r="F2454" s="35"/>
      <c r="I2454" s="33"/>
      <c r="M2454" s="33"/>
      <c r="N2454" s="33"/>
    </row>
    <row r="2455" spans="2:14" ht="15.75" x14ac:dyDescent="0.25">
      <c r="B2455" s="33"/>
      <c r="C2455" s="34"/>
      <c r="F2455" s="35"/>
      <c r="I2455" s="33"/>
      <c r="M2455" s="33"/>
      <c r="N2455" s="33"/>
    </row>
    <row r="2456" spans="2:14" ht="15.75" x14ac:dyDescent="0.25">
      <c r="B2456" s="33"/>
      <c r="C2456" s="34"/>
      <c r="F2456" s="35"/>
      <c r="I2456" s="33"/>
      <c r="M2456" s="33"/>
      <c r="N2456" s="33"/>
    </row>
    <row r="2457" spans="2:14" ht="15.75" x14ac:dyDescent="0.25">
      <c r="B2457" s="33"/>
      <c r="C2457" s="34"/>
      <c r="F2457" s="35"/>
      <c r="I2457" s="33"/>
      <c r="M2457" s="33"/>
      <c r="N2457" s="33"/>
    </row>
    <row r="2458" spans="2:14" ht="15.75" x14ac:dyDescent="0.25">
      <c r="B2458" s="33"/>
      <c r="C2458" s="34"/>
      <c r="F2458" s="35"/>
      <c r="I2458" s="33"/>
      <c r="M2458" s="33"/>
      <c r="N2458" s="33"/>
    </row>
    <row r="2459" spans="2:14" ht="15.75" x14ac:dyDescent="0.25">
      <c r="B2459" s="33"/>
      <c r="C2459" s="34"/>
      <c r="F2459" s="35"/>
      <c r="I2459" s="33"/>
      <c r="M2459" s="33"/>
      <c r="N2459" s="33"/>
    </row>
    <row r="2460" spans="2:14" ht="15.75" x14ac:dyDescent="0.25">
      <c r="B2460" s="33"/>
      <c r="C2460" s="34"/>
      <c r="F2460" s="35"/>
      <c r="I2460" s="33"/>
      <c r="M2460" s="33"/>
      <c r="N2460" s="33"/>
    </row>
    <row r="2461" spans="2:14" ht="15.75" x14ac:dyDescent="0.25">
      <c r="B2461" s="33"/>
      <c r="C2461" s="34"/>
      <c r="F2461" s="35"/>
      <c r="I2461" s="33"/>
      <c r="M2461" s="33"/>
      <c r="N2461" s="33"/>
    </row>
    <row r="2462" spans="2:14" ht="15.75" x14ac:dyDescent="0.25">
      <c r="B2462" s="33"/>
      <c r="C2462" s="34"/>
      <c r="F2462" s="35"/>
      <c r="I2462" s="33"/>
      <c r="M2462" s="33"/>
      <c r="N2462" s="33"/>
    </row>
    <row r="2463" spans="2:14" ht="15.75" x14ac:dyDescent="0.25">
      <c r="B2463" s="33"/>
      <c r="C2463" s="34"/>
      <c r="F2463" s="35"/>
      <c r="I2463" s="33"/>
      <c r="M2463" s="33"/>
      <c r="N2463" s="33"/>
    </row>
    <row r="2464" spans="2:14" ht="15.75" x14ac:dyDescent="0.25">
      <c r="B2464" s="33"/>
      <c r="C2464" s="34"/>
      <c r="F2464" s="35"/>
      <c r="I2464" s="33"/>
      <c r="M2464" s="33"/>
      <c r="N2464" s="33"/>
    </row>
    <row r="2465" spans="2:14" ht="15.75" x14ac:dyDescent="0.25">
      <c r="B2465" s="33"/>
      <c r="C2465" s="34"/>
      <c r="F2465" s="35"/>
      <c r="I2465" s="33"/>
      <c r="M2465" s="33"/>
      <c r="N2465" s="33"/>
    </row>
    <row r="2466" spans="2:14" ht="15.75" x14ac:dyDescent="0.25">
      <c r="B2466" s="33"/>
      <c r="C2466" s="34"/>
      <c r="F2466" s="35"/>
      <c r="I2466" s="33"/>
      <c r="M2466" s="33"/>
      <c r="N2466" s="33"/>
    </row>
    <row r="2467" spans="2:14" ht="15.75" x14ac:dyDescent="0.25">
      <c r="B2467" s="33"/>
      <c r="C2467" s="34"/>
      <c r="F2467" s="35"/>
      <c r="I2467" s="33"/>
      <c r="M2467" s="33"/>
      <c r="N2467" s="33"/>
    </row>
    <row r="2468" spans="2:14" ht="15.75" x14ac:dyDescent="0.25">
      <c r="B2468" s="33"/>
      <c r="C2468" s="34"/>
      <c r="F2468" s="35"/>
      <c r="I2468" s="33"/>
      <c r="M2468" s="33"/>
      <c r="N2468" s="33"/>
    </row>
    <row r="2469" spans="2:14" ht="15.75" x14ac:dyDescent="0.25">
      <c r="B2469" s="33"/>
      <c r="C2469" s="34"/>
      <c r="F2469" s="35"/>
      <c r="I2469" s="33"/>
      <c r="M2469" s="33"/>
      <c r="N2469" s="33"/>
    </row>
    <row r="2470" spans="2:14" ht="15.75" x14ac:dyDescent="0.25">
      <c r="B2470" s="33"/>
      <c r="C2470" s="34"/>
      <c r="F2470" s="35"/>
      <c r="I2470" s="33"/>
      <c r="M2470" s="33"/>
      <c r="N2470" s="33"/>
    </row>
    <row r="2471" spans="2:14" ht="15.75" x14ac:dyDescent="0.25">
      <c r="B2471" s="33"/>
      <c r="C2471" s="34"/>
      <c r="F2471" s="35"/>
      <c r="I2471" s="33"/>
      <c r="M2471" s="33"/>
      <c r="N2471" s="33"/>
    </row>
    <row r="2472" spans="2:14" ht="15.75" x14ac:dyDescent="0.25">
      <c r="B2472" s="33"/>
      <c r="C2472" s="34"/>
      <c r="F2472" s="35"/>
      <c r="I2472" s="33"/>
      <c r="M2472" s="33"/>
      <c r="N2472" s="33"/>
    </row>
    <row r="2473" spans="2:14" ht="15.75" x14ac:dyDescent="0.25">
      <c r="B2473" s="33"/>
      <c r="C2473" s="34"/>
      <c r="F2473" s="35"/>
      <c r="I2473" s="33"/>
      <c r="M2473" s="33"/>
      <c r="N2473" s="33"/>
    </row>
    <row r="2474" spans="2:14" ht="15.75" x14ac:dyDescent="0.25">
      <c r="B2474" s="33"/>
      <c r="C2474" s="34"/>
      <c r="F2474" s="35"/>
      <c r="I2474" s="33"/>
      <c r="M2474" s="33"/>
      <c r="N2474" s="33"/>
    </row>
    <row r="2475" spans="2:14" ht="15.75" x14ac:dyDescent="0.25">
      <c r="B2475" s="33"/>
      <c r="C2475" s="34"/>
      <c r="F2475" s="35"/>
      <c r="I2475" s="33"/>
      <c r="M2475" s="33"/>
      <c r="N2475" s="33"/>
    </row>
    <row r="2476" spans="2:14" ht="15.75" x14ac:dyDescent="0.25">
      <c r="B2476" s="33"/>
      <c r="C2476" s="34"/>
      <c r="F2476" s="35"/>
      <c r="I2476" s="33"/>
      <c r="M2476" s="33"/>
      <c r="N2476" s="33"/>
    </row>
    <row r="2477" spans="2:14" ht="15.75" x14ac:dyDescent="0.25">
      <c r="B2477" s="33"/>
      <c r="C2477" s="34"/>
      <c r="F2477" s="35"/>
      <c r="I2477" s="33"/>
      <c r="M2477" s="33"/>
      <c r="N2477" s="33"/>
    </row>
    <row r="2478" spans="2:14" ht="15.75" x14ac:dyDescent="0.25">
      <c r="B2478" s="33"/>
      <c r="C2478" s="34"/>
      <c r="F2478" s="35"/>
      <c r="I2478" s="33"/>
      <c r="M2478" s="33"/>
      <c r="N2478" s="33"/>
    </row>
    <row r="2479" spans="2:14" ht="15.75" x14ac:dyDescent="0.25">
      <c r="B2479" s="33"/>
      <c r="C2479" s="34"/>
      <c r="F2479" s="35"/>
      <c r="I2479" s="33"/>
      <c r="M2479" s="33"/>
      <c r="N2479" s="33"/>
    </row>
    <row r="2480" spans="2:14" ht="15.75" x14ac:dyDescent="0.25">
      <c r="B2480" s="33"/>
      <c r="C2480" s="34"/>
      <c r="F2480" s="35"/>
      <c r="I2480" s="33"/>
      <c r="M2480" s="33"/>
      <c r="N2480" s="33"/>
    </row>
    <row r="2481" spans="2:14" ht="15.75" x14ac:dyDescent="0.25">
      <c r="B2481" s="33"/>
      <c r="C2481" s="34"/>
      <c r="F2481" s="35"/>
      <c r="I2481" s="33"/>
      <c r="M2481" s="33"/>
      <c r="N2481" s="33"/>
    </row>
    <row r="2482" spans="2:14" ht="15.75" x14ac:dyDescent="0.25">
      <c r="B2482" s="33"/>
      <c r="C2482" s="34"/>
      <c r="F2482" s="35"/>
      <c r="I2482" s="33"/>
      <c r="M2482" s="33"/>
      <c r="N2482" s="33"/>
    </row>
    <row r="2483" spans="2:14" ht="15.75" x14ac:dyDescent="0.25">
      <c r="B2483" s="33"/>
      <c r="C2483" s="34"/>
      <c r="F2483" s="35"/>
      <c r="I2483" s="33"/>
      <c r="M2483" s="33"/>
      <c r="N2483" s="33"/>
    </row>
    <row r="2484" spans="2:14" ht="15.75" x14ac:dyDescent="0.25">
      <c r="B2484" s="33"/>
      <c r="C2484" s="34"/>
      <c r="F2484" s="35"/>
      <c r="I2484" s="33"/>
      <c r="M2484" s="33"/>
      <c r="N2484" s="33"/>
    </row>
    <row r="2485" spans="2:14" ht="15.75" x14ac:dyDescent="0.25">
      <c r="B2485" s="33"/>
      <c r="C2485" s="34"/>
      <c r="F2485" s="35"/>
      <c r="I2485" s="33"/>
      <c r="M2485" s="33"/>
      <c r="N2485" s="33"/>
    </row>
    <row r="2486" spans="2:14" ht="15.75" x14ac:dyDescent="0.25">
      <c r="B2486" s="33"/>
      <c r="C2486" s="34"/>
      <c r="F2486" s="35"/>
      <c r="I2486" s="33"/>
      <c r="M2486" s="33"/>
      <c r="N2486" s="33"/>
    </row>
    <row r="2487" spans="2:14" ht="15.75" x14ac:dyDescent="0.25">
      <c r="B2487" s="33"/>
      <c r="C2487" s="34"/>
      <c r="F2487" s="35"/>
      <c r="I2487" s="33"/>
      <c r="M2487" s="33"/>
      <c r="N2487" s="33"/>
    </row>
    <row r="2488" spans="2:14" ht="15.75" x14ac:dyDescent="0.25">
      <c r="B2488" s="33"/>
      <c r="C2488" s="34"/>
      <c r="F2488" s="35"/>
      <c r="I2488" s="33"/>
      <c r="M2488" s="33"/>
      <c r="N2488" s="33"/>
    </row>
    <row r="2489" spans="2:14" ht="15.75" x14ac:dyDescent="0.25">
      <c r="B2489" s="33"/>
      <c r="C2489" s="34"/>
      <c r="F2489" s="35"/>
      <c r="I2489" s="33"/>
      <c r="M2489" s="33"/>
      <c r="N2489" s="33"/>
    </row>
    <row r="2490" spans="2:14" ht="15.75" x14ac:dyDescent="0.25">
      <c r="B2490" s="33"/>
      <c r="C2490" s="34"/>
      <c r="F2490" s="35"/>
      <c r="I2490" s="33"/>
      <c r="M2490" s="33"/>
      <c r="N2490" s="33"/>
    </row>
    <row r="2491" spans="2:14" ht="15.75" x14ac:dyDescent="0.25">
      <c r="B2491" s="33"/>
      <c r="C2491" s="34"/>
      <c r="F2491" s="35"/>
      <c r="I2491" s="33"/>
      <c r="M2491" s="33"/>
      <c r="N2491" s="33"/>
    </row>
    <row r="2492" spans="2:14" ht="15.75" x14ac:dyDescent="0.25">
      <c r="B2492" s="33"/>
      <c r="C2492" s="34"/>
      <c r="F2492" s="35"/>
      <c r="I2492" s="33"/>
      <c r="M2492" s="33"/>
      <c r="N2492" s="33"/>
    </row>
    <row r="2493" spans="2:14" ht="15.75" x14ac:dyDescent="0.25">
      <c r="B2493" s="33"/>
      <c r="C2493" s="34"/>
      <c r="F2493" s="35"/>
      <c r="I2493" s="33"/>
      <c r="M2493" s="33"/>
      <c r="N2493" s="33"/>
    </row>
    <row r="2494" spans="2:14" ht="15.75" x14ac:dyDescent="0.25">
      <c r="B2494" s="33"/>
      <c r="C2494" s="34"/>
      <c r="F2494" s="35"/>
      <c r="I2494" s="33"/>
      <c r="M2494" s="33"/>
      <c r="N2494" s="33"/>
    </row>
    <row r="2495" spans="2:14" ht="15.75" x14ac:dyDescent="0.25">
      <c r="B2495" s="33"/>
      <c r="C2495" s="34"/>
      <c r="F2495" s="35"/>
      <c r="I2495" s="33"/>
      <c r="M2495" s="33"/>
      <c r="N2495" s="33"/>
    </row>
    <row r="2496" spans="2:14" ht="15.75" x14ac:dyDescent="0.25">
      <c r="B2496" s="33"/>
      <c r="C2496" s="34"/>
      <c r="F2496" s="35"/>
      <c r="I2496" s="33"/>
      <c r="M2496" s="33"/>
      <c r="N2496" s="33"/>
    </row>
    <row r="2497" spans="2:14" ht="15.75" x14ac:dyDescent="0.25">
      <c r="B2497" s="33"/>
      <c r="C2497" s="34"/>
      <c r="F2497" s="35"/>
      <c r="I2497" s="33"/>
      <c r="M2497" s="33"/>
      <c r="N2497" s="33"/>
    </row>
    <row r="2498" spans="2:14" ht="15.75" x14ac:dyDescent="0.25">
      <c r="B2498" s="33"/>
      <c r="C2498" s="34"/>
      <c r="F2498" s="35"/>
      <c r="I2498" s="33"/>
      <c r="M2498" s="33"/>
      <c r="N2498" s="33"/>
    </row>
    <row r="2499" spans="2:14" ht="15.75" x14ac:dyDescent="0.25">
      <c r="B2499" s="33"/>
      <c r="C2499" s="34"/>
      <c r="F2499" s="35"/>
      <c r="I2499" s="33"/>
      <c r="M2499" s="33"/>
      <c r="N2499" s="33"/>
    </row>
    <row r="2500" spans="2:14" ht="15.75" x14ac:dyDescent="0.25">
      <c r="B2500" s="33"/>
      <c r="C2500" s="34"/>
      <c r="F2500" s="35"/>
      <c r="I2500" s="33"/>
      <c r="M2500" s="33"/>
      <c r="N2500" s="33"/>
    </row>
    <row r="2501" spans="2:14" ht="15.75" x14ac:dyDescent="0.25">
      <c r="B2501" s="33"/>
      <c r="C2501" s="34"/>
      <c r="F2501" s="35"/>
      <c r="I2501" s="33"/>
      <c r="M2501" s="33"/>
      <c r="N2501" s="33"/>
    </row>
    <row r="2502" spans="2:14" ht="15.75" x14ac:dyDescent="0.25">
      <c r="B2502" s="33"/>
      <c r="C2502" s="34"/>
      <c r="F2502" s="35"/>
      <c r="I2502" s="33"/>
      <c r="M2502" s="33"/>
      <c r="N2502" s="33"/>
    </row>
    <row r="2503" spans="2:14" ht="15.75" x14ac:dyDescent="0.25">
      <c r="B2503" s="33"/>
      <c r="C2503" s="34"/>
      <c r="F2503" s="35"/>
      <c r="I2503" s="33"/>
      <c r="M2503" s="33"/>
      <c r="N2503" s="33"/>
    </row>
    <row r="2504" spans="2:14" ht="15.75" x14ac:dyDescent="0.25">
      <c r="B2504" s="33"/>
      <c r="C2504" s="34"/>
      <c r="F2504" s="35"/>
      <c r="I2504" s="33"/>
      <c r="M2504" s="33"/>
      <c r="N2504" s="33"/>
    </row>
    <row r="2505" spans="2:14" ht="15.75" x14ac:dyDescent="0.25">
      <c r="B2505" s="33"/>
      <c r="C2505" s="34"/>
      <c r="F2505" s="35"/>
      <c r="I2505" s="33"/>
      <c r="M2505" s="33"/>
      <c r="N2505" s="33"/>
    </row>
    <row r="2506" spans="2:14" ht="15.75" x14ac:dyDescent="0.25">
      <c r="B2506" s="33"/>
      <c r="C2506" s="34"/>
      <c r="F2506" s="35"/>
      <c r="I2506" s="33"/>
      <c r="M2506" s="33"/>
      <c r="N2506" s="33"/>
    </row>
    <row r="2507" spans="2:14" ht="15.75" x14ac:dyDescent="0.25">
      <c r="B2507" s="33"/>
      <c r="C2507" s="34"/>
      <c r="F2507" s="35"/>
      <c r="I2507" s="33"/>
      <c r="M2507" s="33"/>
      <c r="N2507" s="33"/>
    </row>
    <row r="2508" spans="2:14" ht="15.75" x14ac:dyDescent="0.25">
      <c r="B2508" s="33"/>
      <c r="C2508" s="34"/>
      <c r="F2508" s="35"/>
      <c r="I2508" s="33"/>
      <c r="M2508" s="33"/>
      <c r="N2508" s="33"/>
    </row>
    <row r="2509" spans="2:14" ht="15.75" x14ac:dyDescent="0.25">
      <c r="B2509" s="33"/>
      <c r="C2509" s="34"/>
      <c r="F2509" s="35"/>
      <c r="I2509" s="33"/>
      <c r="M2509" s="33"/>
      <c r="N2509" s="33"/>
    </row>
    <row r="2510" spans="2:14" ht="15.75" x14ac:dyDescent="0.25">
      <c r="B2510" s="33"/>
      <c r="C2510" s="34"/>
      <c r="F2510" s="35"/>
      <c r="I2510" s="33"/>
      <c r="M2510" s="33"/>
      <c r="N2510" s="33"/>
    </row>
    <row r="2511" spans="2:14" ht="15.75" x14ac:dyDescent="0.25">
      <c r="B2511" s="33"/>
      <c r="C2511" s="34"/>
      <c r="F2511" s="35"/>
      <c r="I2511" s="33"/>
      <c r="M2511" s="33"/>
      <c r="N2511" s="33"/>
    </row>
    <row r="2512" spans="2:14" ht="15.75" x14ac:dyDescent="0.25">
      <c r="B2512" s="33"/>
      <c r="C2512" s="34"/>
      <c r="F2512" s="35"/>
      <c r="I2512" s="33"/>
      <c r="M2512" s="33"/>
      <c r="N2512" s="33"/>
    </row>
    <row r="2513" spans="2:14" ht="15.75" x14ac:dyDescent="0.25">
      <c r="B2513" s="33"/>
      <c r="C2513" s="34"/>
      <c r="F2513" s="35"/>
      <c r="I2513" s="33"/>
      <c r="M2513" s="33"/>
      <c r="N2513" s="33"/>
    </row>
    <row r="2514" spans="2:14" ht="15.75" x14ac:dyDescent="0.25">
      <c r="B2514" s="33"/>
      <c r="C2514" s="34"/>
      <c r="F2514" s="35"/>
      <c r="I2514" s="33"/>
      <c r="M2514" s="33"/>
      <c r="N2514" s="33"/>
    </row>
    <row r="2515" spans="2:14" ht="15.75" x14ac:dyDescent="0.25">
      <c r="B2515" s="33"/>
      <c r="C2515" s="34"/>
      <c r="F2515" s="35"/>
      <c r="I2515" s="33"/>
      <c r="M2515" s="33"/>
      <c r="N2515" s="33"/>
    </row>
    <row r="2516" spans="2:14" ht="15.75" x14ac:dyDescent="0.25">
      <c r="B2516" s="33"/>
      <c r="C2516" s="34"/>
      <c r="F2516" s="35"/>
      <c r="I2516" s="33"/>
      <c r="M2516" s="33"/>
      <c r="N2516" s="33"/>
    </row>
    <row r="2517" spans="2:14" ht="15.75" x14ac:dyDescent="0.25">
      <c r="B2517" s="33"/>
      <c r="C2517" s="34"/>
      <c r="F2517" s="35"/>
      <c r="I2517" s="33"/>
      <c r="M2517" s="33"/>
      <c r="N2517" s="33"/>
    </row>
    <row r="2518" spans="2:14" ht="15.75" x14ac:dyDescent="0.25">
      <c r="B2518" s="33"/>
      <c r="C2518" s="34"/>
      <c r="F2518" s="35"/>
      <c r="I2518" s="33"/>
      <c r="M2518" s="33"/>
      <c r="N2518" s="33"/>
    </row>
    <row r="2519" spans="2:14" ht="15.75" x14ac:dyDescent="0.25">
      <c r="B2519" s="33"/>
      <c r="C2519" s="34"/>
      <c r="F2519" s="35"/>
      <c r="I2519" s="33"/>
      <c r="M2519" s="33"/>
      <c r="N2519" s="33"/>
    </row>
    <row r="2520" spans="2:14" ht="15.75" x14ac:dyDescent="0.25">
      <c r="B2520" s="33"/>
      <c r="C2520" s="34"/>
      <c r="F2520" s="35"/>
      <c r="I2520" s="33"/>
      <c r="M2520" s="33"/>
      <c r="N2520" s="33"/>
    </row>
    <row r="2521" spans="2:14" ht="15.75" x14ac:dyDescent="0.25">
      <c r="B2521" s="33"/>
      <c r="C2521" s="34"/>
      <c r="F2521" s="35"/>
      <c r="I2521" s="33"/>
      <c r="M2521" s="33"/>
      <c r="N2521" s="33"/>
    </row>
    <row r="2522" spans="2:14" ht="15.75" x14ac:dyDescent="0.25">
      <c r="B2522" s="33"/>
      <c r="C2522" s="34"/>
      <c r="F2522" s="35"/>
      <c r="I2522" s="33"/>
      <c r="M2522" s="33"/>
      <c r="N2522" s="33"/>
    </row>
    <row r="2523" spans="2:14" ht="15.75" x14ac:dyDescent="0.25">
      <c r="B2523" s="33"/>
      <c r="C2523" s="34"/>
      <c r="F2523" s="35"/>
      <c r="I2523" s="33"/>
      <c r="M2523" s="33"/>
      <c r="N2523" s="33"/>
    </row>
    <row r="2524" spans="2:14" ht="15.75" x14ac:dyDescent="0.25">
      <c r="B2524" s="33"/>
      <c r="C2524" s="34"/>
      <c r="F2524" s="35"/>
      <c r="I2524" s="33"/>
      <c r="M2524" s="33"/>
      <c r="N2524" s="33"/>
    </row>
    <row r="2525" spans="2:14" ht="15.75" x14ac:dyDescent="0.25">
      <c r="B2525" s="33"/>
      <c r="C2525" s="34"/>
      <c r="F2525" s="35"/>
      <c r="I2525" s="33"/>
      <c r="M2525" s="33"/>
      <c r="N2525" s="33"/>
    </row>
    <row r="2526" spans="2:14" ht="15.75" x14ac:dyDescent="0.25">
      <c r="B2526" s="33"/>
      <c r="C2526" s="34"/>
      <c r="F2526" s="35"/>
      <c r="I2526" s="33"/>
      <c r="M2526" s="33"/>
      <c r="N2526" s="33"/>
    </row>
    <row r="2527" spans="2:14" ht="15.75" x14ac:dyDescent="0.25">
      <c r="B2527" s="33"/>
      <c r="C2527" s="34"/>
      <c r="F2527" s="35"/>
      <c r="I2527" s="33"/>
      <c r="M2527" s="33"/>
      <c r="N2527" s="33"/>
    </row>
    <row r="2528" spans="2:14" ht="15.75" x14ac:dyDescent="0.25">
      <c r="B2528" s="33"/>
      <c r="C2528" s="34"/>
      <c r="F2528" s="35"/>
      <c r="I2528" s="33"/>
      <c r="M2528" s="33"/>
      <c r="N2528" s="33"/>
    </row>
    <row r="2529" spans="2:14" ht="15.75" x14ac:dyDescent="0.25">
      <c r="B2529" s="33"/>
      <c r="C2529" s="34"/>
      <c r="F2529" s="35"/>
      <c r="I2529" s="33"/>
      <c r="M2529" s="33"/>
      <c r="N2529" s="33"/>
    </row>
    <row r="2530" spans="2:14" ht="15.75" x14ac:dyDescent="0.25">
      <c r="B2530" s="33"/>
      <c r="C2530" s="34"/>
      <c r="F2530" s="35"/>
      <c r="I2530" s="33"/>
      <c r="M2530" s="33"/>
      <c r="N2530" s="33"/>
    </row>
    <row r="2531" spans="2:14" ht="15.75" x14ac:dyDescent="0.25">
      <c r="B2531" s="33"/>
      <c r="C2531" s="34"/>
      <c r="F2531" s="35"/>
      <c r="I2531" s="33"/>
      <c r="M2531" s="33"/>
      <c r="N2531" s="33"/>
    </row>
    <row r="2532" spans="2:14" ht="15.75" x14ac:dyDescent="0.25">
      <c r="B2532" s="33"/>
      <c r="C2532" s="34"/>
      <c r="F2532" s="35"/>
      <c r="I2532" s="33"/>
      <c r="M2532" s="33"/>
      <c r="N2532" s="33"/>
    </row>
    <row r="2533" spans="2:14" ht="15.75" x14ac:dyDescent="0.25">
      <c r="B2533" s="33"/>
      <c r="C2533" s="34"/>
      <c r="F2533" s="35"/>
      <c r="I2533" s="33"/>
      <c r="M2533" s="33"/>
      <c r="N2533" s="33"/>
    </row>
    <row r="2534" spans="2:14" ht="15.75" x14ac:dyDescent="0.25">
      <c r="B2534" s="33"/>
      <c r="C2534" s="34"/>
      <c r="F2534" s="35"/>
      <c r="I2534" s="33"/>
      <c r="M2534" s="33"/>
      <c r="N2534" s="33"/>
    </row>
    <row r="2535" spans="2:14" ht="15.75" x14ac:dyDescent="0.25">
      <c r="B2535" s="33"/>
      <c r="C2535" s="34"/>
      <c r="F2535" s="35"/>
      <c r="I2535" s="33"/>
      <c r="M2535" s="33"/>
      <c r="N2535" s="33"/>
    </row>
    <row r="2536" spans="2:14" ht="15.75" x14ac:dyDescent="0.25">
      <c r="B2536" s="33"/>
      <c r="C2536" s="34"/>
      <c r="F2536" s="35"/>
      <c r="I2536" s="33"/>
      <c r="M2536" s="33"/>
      <c r="N2536" s="33"/>
    </row>
    <row r="2537" spans="2:14" ht="15.75" x14ac:dyDescent="0.25">
      <c r="B2537" s="33"/>
      <c r="C2537" s="34"/>
      <c r="F2537" s="35"/>
      <c r="I2537" s="33"/>
      <c r="M2537" s="33"/>
      <c r="N2537" s="33"/>
    </row>
    <row r="2538" spans="2:14" ht="15.75" x14ac:dyDescent="0.25">
      <c r="B2538" s="33"/>
      <c r="C2538" s="34"/>
      <c r="F2538" s="35"/>
      <c r="I2538" s="33"/>
      <c r="M2538" s="33"/>
      <c r="N2538" s="33"/>
    </row>
    <row r="2539" spans="2:14" ht="15.75" x14ac:dyDescent="0.25">
      <c r="B2539" s="33"/>
      <c r="C2539" s="34"/>
      <c r="F2539" s="35"/>
      <c r="I2539" s="33"/>
      <c r="M2539" s="33"/>
      <c r="N2539" s="33"/>
    </row>
    <row r="2540" spans="2:14" ht="15.75" x14ac:dyDescent="0.25">
      <c r="B2540" s="33"/>
      <c r="C2540" s="34"/>
      <c r="F2540" s="35"/>
      <c r="I2540" s="33"/>
      <c r="M2540" s="33"/>
      <c r="N2540" s="33"/>
    </row>
    <row r="2541" spans="2:14" ht="15.75" x14ac:dyDescent="0.25">
      <c r="B2541" s="33"/>
      <c r="C2541" s="34"/>
      <c r="F2541" s="35"/>
      <c r="I2541" s="33"/>
      <c r="M2541" s="33"/>
      <c r="N2541" s="33"/>
    </row>
    <row r="2542" spans="2:14" ht="15.75" x14ac:dyDescent="0.25">
      <c r="B2542" s="33"/>
      <c r="C2542" s="34"/>
      <c r="F2542" s="35"/>
      <c r="I2542" s="33"/>
      <c r="M2542" s="33"/>
      <c r="N2542" s="33"/>
    </row>
    <row r="2543" spans="2:14" ht="15.75" x14ac:dyDescent="0.25">
      <c r="B2543" s="33"/>
      <c r="C2543" s="34"/>
      <c r="F2543" s="35"/>
      <c r="I2543" s="33"/>
      <c r="M2543" s="33"/>
      <c r="N2543" s="33"/>
    </row>
    <row r="2544" spans="2:14" ht="15.75" x14ac:dyDescent="0.25">
      <c r="B2544" s="33"/>
      <c r="C2544" s="34"/>
      <c r="F2544" s="35"/>
      <c r="I2544" s="33"/>
      <c r="M2544" s="33"/>
      <c r="N2544" s="33"/>
    </row>
    <row r="2545" spans="2:14" ht="15.75" x14ac:dyDescent="0.25">
      <c r="B2545" s="33"/>
      <c r="C2545" s="34"/>
      <c r="F2545" s="35"/>
      <c r="I2545" s="33"/>
      <c r="M2545" s="33"/>
      <c r="N2545" s="33"/>
    </row>
    <row r="2546" spans="2:14" ht="15.75" x14ac:dyDescent="0.25">
      <c r="B2546" s="33"/>
      <c r="C2546" s="34"/>
      <c r="F2546" s="35"/>
      <c r="I2546" s="33"/>
      <c r="M2546" s="33"/>
      <c r="N2546" s="33"/>
    </row>
    <row r="2547" spans="2:14" ht="15.75" x14ac:dyDescent="0.25">
      <c r="B2547" s="33"/>
      <c r="C2547" s="34"/>
      <c r="F2547" s="35"/>
      <c r="I2547" s="33"/>
      <c r="M2547" s="33"/>
      <c r="N2547" s="33"/>
    </row>
    <row r="2548" spans="2:14" ht="15.75" x14ac:dyDescent="0.25">
      <c r="B2548" s="33"/>
      <c r="C2548" s="34"/>
      <c r="F2548" s="35"/>
      <c r="I2548" s="33"/>
      <c r="M2548" s="33"/>
      <c r="N2548" s="33"/>
    </row>
    <row r="2549" spans="2:14" ht="15.75" x14ac:dyDescent="0.25">
      <c r="B2549" s="33"/>
      <c r="C2549" s="34"/>
      <c r="F2549" s="35"/>
      <c r="I2549" s="33"/>
      <c r="M2549" s="33"/>
      <c r="N2549" s="33"/>
    </row>
    <row r="2550" spans="2:14" ht="15.75" x14ac:dyDescent="0.25">
      <c r="B2550" s="33"/>
      <c r="C2550" s="34"/>
      <c r="F2550" s="35"/>
      <c r="I2550" s="33"/>
      <c r="M2550" s="33"/>
      <c r="N2550" s="33"/>
    </row>
    <row r="2551" spans="2:14" ht="15.75" x14ac:dyDescent="0.25">
      <c r="B2551" s="33"/>
      <c r="C2551" s="34"/>
      <c r="F2551" s="35"/>
      <c r="I2551" s="33"/>
      <c r="M2551" s="33"/>
      <c r="N2551" s="33"/>
    </row>
    <row r="2552" spans="2:14" ht="15.75" x14ac:dyDescent="0.25">
      <c r="B2552" s="33"/>
      <c r="C2552" s="34"/>
      <c r="F2552" s="35"/>
      <c r="I2552" s="33"/>
      <c r="M2552" s="33"/>
      <c r="N2552" s="33"/>
    </row>
    <row r="2553" spans="2:14" ht="15.75" x14ac:dyDescent="0.25">
      <c r="B2553" s="33"/>
      <c r="C2553" s="34"/>
      <c r="F2553" s="35"/>
      <c r="I2553" s="33"/>
      <c r="M2553" s="33"/>
      <c r="N2553" s="33"/>
    </row>
    <row r="2554" spans="2:14" ht="15.75" x14ac:dyDescent="0.25">
      <c r="B2554" s="33"/>
      <c r="C2554" s="34"/>
      <c r="F2554" s="35"/>
      <c r="I2554" s="33"/>
      <c r="M2554" s="33"/>
      <c r="N2554" s="33"/>
    </row>
    <row r="2555" spans="2:14" ht="15.75" x14ac:dyDescent="0.25">
      <c r="B2555" s="33"/>
      <c r="C2555" s="34"/>
      <c r="F2555" s="35"/>
      <c r="I2555" s="33"/>
      <c r="M2555" s="33"/>
      <c r="N2555" s="33"/>
    </row>
    <row r="2556" spans="2:14" ht="15.75" x14ac:dyDescent="0.25">
      <c r="B2556" s="33"/>
      <c r="C2556" s="34"/>
      <c r="F2556" s="35"/>
      <c r="I2556" s="33"/>
      <c r="M2556" s="33"/>
      <c r="N2556" s="33"/>
    </row>
    <row r="2557" spans="2:14" ht="15.75" x14ac:dyDescent="0.25">
      <c r="B2557" s="33"/>
      <c r="C2557" s="34"/>
      <c r="F2557" s="35"/>
      <c r="I2557" s="33"/>
      <c r="M2557" s="33"/>
      <c r="N2557" s="33"/>
    </row>
    <row r="2558" spans="2:14" ht="15.75" x14ac:dyDescent="0.25">
      <c r="B2558" s="33"/>
      <c r="C2558" s="34"/>
      <c r="F2558" s="35"/>
      <c r="I2558" s="33"/>
      <c r="M2558" s="33"/>
      <c r="N2558" s="33"/>
    </row>
    <row r="2559" spans="2:14" ht="15.75" x14ac:dyDescent="0.25">
      <c r="B2559" s="33"/>
      <c r="C2559" s="34"/>
      <c r="F2559" s="35"/>
      <c r="I2559" s="33"/>
      <c r="M2559" s="33"/>
      <c r="N2559" s="33"/>
    </row>
    <row r="2560" spans="2:14" ht="15.75" x14ac:dyDescent="0.25">
      <c r="B2560" s="33"/>
      <c r="C2560" s="34"/>
      <c r="F2560" s="35"/>
      <c r="I2560" s="33"/>
      <c r="M2560" s="33"/>
      <c r="N2560" s="33"/>
    </row>
    <row r="2561" spans="2:14" ht="15.75" x14ac:dyDescent="0.25">
      <c r="B2561" s="33"/>
      <c r="C2561" s="34"/>
      <c r="F2561" s="35"/>
      <c r="I2561" s="33"/>
      <c r="M2561" s="33"/>
      <c r="N2561" s="33"/>
    </row>
    <row r="2562" spans="2:14" ht="15.75" x14ac:dyDescent="0.25">
      <c r="B2562" s="33"/>
      <c r="C2562" s="34"/>
      <c r="F2562" s="35"/>
      <c r="I2562" s="33"/>
      <c r="M2562" s="33"/>
      <c r="N2562" s="33"/>
    </row>
    <row r="2563" spans="2:14" ht="15.75" x14ac:dyDescent="0.25">
      <c r="B2563" s="33"/>
      <c r="C2563" s="34"/>
      <c r="F2563" s="35"/>
      <c r="I2563" s="33"/>
      <c r="M2563" s="33"/>
      <c r="N2563" s="33"/>
    </row>
    <row r="2564" spans="2:14" ht="15.75" x14ac:dyDescent="0.25">
      <c r="B2564" s="33"/>
      <c r="C2564" s="34"/>
      <c r="F2564" s="35"/>
      <c r="I2564" s="33"/>
      <c r="M2564" s="33"/>
      <c r="N2564" s="33"/>
    </row>
    <row r="2565" spans="2:14" ht="15.75" x14ac:dyDescent="0.25">
      <c r="B2565" s="33"/>
      <c r="C2565" s="34"/>
      <c r="F2565" s="35"/>
      <c r="I2565" s="33"/>
      <c r="M2565" s="33"/>
      <c r="N2565" s="33"/>
    </row>
    <row r="2566" spans="2:14" ht="15.75" x14ac:dyDescent="0.25">
      <c r="B2566" s="33"/>
      <c r="C2566" s="34"/>
      <c r="F2566" s="35"/>
      <c r="I2566" s="33"/>
      <c r="M2566" s="33"/>
      <c r="N2566" s="33"/>
    </row>
    <row r="2567" spans="2:14" ht="15.75" x14ac:dyDescent="0.25">
      <c r="B2567" s="33"/>
      <c r="C2567" s="34"/>
      <c r="F2567" s="35"/>
      <c r="I2567" s="33"/>
      <c r="M2567" s="33"/>
      <c r="N2567" s="33"/>
    </row>
    <row r="2568" spans="2:14" ht="15.75" x14ac:dyDescent="0.25">
      <c r="B2568" s="33"/>
      <c r="C2568" s="34"/>
      <c r="F2568" s="35"/>
      <c r="I2568" s="33"/>
      <c r="M2568" s="33"/>
      <c r="N2568" s="33"/>
    </row>
    <row r="2569" spans="2:14" ht="15.75" x14ac:dyDescent="0.25">
      <c r="B2569" s="33"/>
      <c r="C2569" s="34"/>
      <c r="F2569" s="35"/>
      <c r="I2569" s="33"/>
      <c r="M2569" s="33"/>
      <c r="N2569" s="33"/>
    </row>
    <row r="2570" spans="2:14" ht="15.75" x14ac:dyDescent="0.25">
      <c r="B2570" s="33"/>
      <c r="C2570" s="34"/>
      <c r="F2570" s="35"/>
      <c r="I2570" s="33"/>
      <c r="M2570" s="33"/>
      <c r="N2570" s="33"/>
    </row>
    <row r="2571" spans="2:14" ht="15.75" x14ac:dyDescent="0.25">
      <c r="B2571" s="33"/>
      <c r="C2571" s="34"/>
      <c r="F2571" s="35"/>
      <c r="I2571" s="33"/>
      <c r="M2571" s="33"/>
      <c r="N2571" s="33"/>
    </row>
    <row r="2572" spans="2:14" ht="15.75" x14ac:dyDescent="0.25">
      <c r="B2572" s="33"/>
      <c r="C2572" s="34"/>
      <c r="F2572" s="35"/>
      <c r="I2572" s="33"/>
      <c r="M2572" s="33"/>
      <c r="N2572" s="33"/>
    </row>
    <row r="2573" spans="2:14" ht="15.75" x14ac:dyDescent="0.25">
      <c r="B2573" s="33"/>
      <c r="C2573" s="34"/>
      <c r="F2573" s="35"/>
      <c r="I2573" s="33"/>
      <c r="M2573" s="33"/>
      <c r="N2573" s="33"/>
    </row>
    <row r="2574" spans="2:14" ht="15.75" x14ac:dyDescent="0.25">
      <c r="B2574" s="33"/>
      <c r="C2574" s="34"/>
      <c r="F2574" s="35"/>
      <c r="I2574" s="33"/>
      <c r="M2574" s="33"/>
      <c r="N2574" s="33"/>
    </row>
    <row r="2575" spans="2:14" ht="15.75" x14ac:dyDescent="0.25">
      <c r="B2575" s="33"/>
      <c r="C2575" s="34"/>
      <c r="F2575" s="35"/>
      <c r="I2575" s="33"/>
      <c r="M2575" s="33"/>
      <c r="N2575" s="33"/>
    </row>
    <row r="2576" spans="2:14" ht="15.75" x14ac:dyDescent="0.25">
      <c r="B2576" s="33"/>
      <c r="C2576" s="34"/>
      <c r="F2576" s="35"/>
      <c r="I2576" s="33"/>
      <c r="M2576" s="33"/>
      <c r="N2576" s="33"/>
    </row>
    <row r="2577" spans="2:14" ht="15.75" x14ac:dyDescent="0.25">
      <c r="B2577" s="33"/>
      <c r="C2577" s="34"/>
      <c r="F2577" s="35"/>
      <c r="I2577" s="33"/>
      <c r="M2577" s="33"/>
      <c r="N2577" s="33"/>
    </row>
    <row r="2578" spans="2:14" ht="15.75" x14ac:dyDescent="0.25">
      <c r="B2578" s="33"/>
      <c r="C2578" s="34"/>
      <c r="F2578" s="35"/>
      <c r="I2578" s="33"/>
      <c r="M2578" s="33"/>
      <c r="N2578" s="33"/>
    </row>
    <row r="2579" spans="2:14" ht="15.75" x14ac:dyDescent="0.25">
      <c r="B2579" s="33"/>
      <c r="C2579" s="34"/>
      <c r="F2579" s="35"/>
      <c r="I2579" s="33"/>
      <c r="M2579" s="33"/>
      <c r="N2579" s="33"/>
    </row>
    <row r="2580" spans="2:14" ht="15.75" x14ac:dyDescent="0.25">
      <c r="B2580" s="33"/>
      <c r="C2580" s="34"/>
      <c r="F2580" s="35"/>
      <c r="I2580" s="33"/>
      <c r="M2580" s="33"/>
      <c r="N2580" s="33"/>
    </row>
    <row r="2581" spans="2:14" ht="15.75" x14ac:dyDescent="0.25">
      <c r="B2581" s="33"/>
      <c r="C2581" s="34"/>
      <c r="F2581" s="35"/>
      <c r="I2581" s="33"/>
      <c r="M2581" s="33"/>
      <c r="N2581" s="33"/>
    </row>
    <row r="2582" spans="2:14" ht="15.75" x14ac:dyDescent="0.25">
      <c r="B2582" s="33"/>
      <c r="C2582" s="34"/>
      <c r="F2582" s="35"/>
      <c r="I2582" s="33"/>
      <c r="M2582" s="33"/>
      <c r="N2582" s="33"/>
    </row>
    <row r="2583" spans="2:14" ht="15.75" x14ac:dyDescent="0.25">
      <c r="B2583" s="33"/>
      <c r="C2583" s="34"/>
      <c r="F2583" s="35"/>
      <c r="I2583" s="33"/>
      <c r="M2583" s="33"/>
      <c r="N2583" s="33"/>
    </row>
    <row r="2584" spans="2:14" ht="15.75" x14ac:dyDescent="0.25">
      <c r="B2584" s="33"/>
      <c r="C2584" s="34"/>
      <c r="F2584" s="35"/>
      <c r="I2584" s="33"/>
      <c r="M2584" s="33"/>
      <c r="N2584" s="33"/>
    </row>
    <row r="2585" spans="2:14" ht="15.75" x14ac:dyDescent="0.25">
      <c r="B2585" s="33"/>
      <c r="C2585" s="34"/>
      <c r="F2585" s="35"/>
      <c r="I2585" s="33"/>
      <c r="M2585" s="33"/>
      <c r="N2585" s="33"/>
    </row>
    <row r="2586" spans="2:14" ht="15.75" x14ac:dyDescent="0.25">
      <c r="B2586" s="33"/>
      <c r="C2586" s="34"/>
      <c r="F2586" s="35"/>
      <c r="I2586" s="33"/>
      <c r="M2586" s="33"/>
      <c r="N2586" s="33"/>
    </row>
    <row r="2587" spans="2:14" ht="15.75" x14ac:dyDescent="0.25">
      <c r="B2587" s="33"/>
      <c r="C2587" s="34"/>
      <c r="F2587" s="35"/>
      <c r="I2587" s="33"/>
      <c r="M2587" s="33"/>
      <c r="N2587" s="33"/>
    </row>
    <row r="2588" spans="2:14" ht="15.75" x14ac:dyDescent="0.25">
      <c r="B2588" s="33"/>
      <c r="C2588" s="34"/>
      <c r="F2588" s="35"/>
      <c r="I2588" s="33"/>
      <c r="M2588" s="33"/>
      <c r="N2588" s="33"/>
    </row>
    <row r="2589" spans="2:14" ht="15.75" x14ac:dyDescent="0.25">
      <c r="B2589" s="33"/>
      <c r="C2589" s="34"/>
      <c r="F2589" s="35"/>
      <c r="I2589" s="33"/>
      <c r="M2589" s="33"/>
      <c r="N2589" s="33"/>
    </row>
    <row r="2590" spans="2:14" ht="15.75" x14ac:dyDescent="0.25">
      <c r="B2590" s="33"/>
      <c r="C2590" s="34"/>
      <c r="F2590" s="35"/>
      <c r="I2590" s="33"/>
      <c r="M2590" s="33"/>
      <c r="N2590" s="33"/>
    </row>
    <row r="2591" spans="2:14" ht="15.75" x14ac:dyDescent="0.25">
      <c r="B2591" s="33"/>
      <c r="C2591" s="34"/>
      <c r="F2591" s="35"/>
      <c r="I2591" s="33"/>
      <c r="M2591" s="33"/>
      <c r="N2591" s="33"/>
    </row>
    <row r="2592" spans="2:14" ht="15.75" x14ac:dyDescent="0.25">
      <c r="B2592" s="33"/>
      <c r="C2592" s="34"/>
      <c r="F2592" s="35"/>
      <c r="I2592" s="33"/>
      <c r="M2592" s="33"/>
      <c r="N2592" s="33"/>
    </row>
    <row r="2593" spans="2:14" ht="15.75" x14ac:dyDescent="0.25">
      <c r="B2593" s="33"/>
      <c r="C2593" s="34"/>
      <c r="F2593" s="35"/>
      <c r="I2593" s="33"/>
      <c r="M2593" s="33"/>
      <c r="N2593" s="33"/>
    </row>
    <row r="2594" spans="2:14" ht="15.75" x14ac:dyDescent="0.25">
      <c r="B2594" s="33"/>
      <c r="C2594" s="34"/>
      <c r="F2594" s="35"/>
      <c r="I2594" s="33"/>
      <c r="M2594" s="33"/>
      <c r="N2594" s="33"/>
    </row>
    <row r="2595" spans="2:14" ht="15.75" x14ac:dyDescent="0.25">
      <c r="B2595" s="33"/>
      <c r="C2595" s="34"/>
      <c r="F2595" s="35"/>
      <c r="I2595" s="33"/>
      <c r="M2595" s="33"/>
      <c r="N2595" s="33"/>
    </row>
    <row r="2596" spans="2:14" ht="15.75" x14ac:dyDescent="0.25">
      <c r="B2596" s="33"/>
      <c r="C2596" s="34"/>
      <c r="F2596" s="35"/>
      <c r="I2596" s="33"/>
      <c r="M2596" s="33"/>
      <c r="N2596" s="33"/>
    </row>
    <row r="2597" spans="2:14" ht="15.75" x14ac:dyDescent="0.25">
      <c r="B2597" s="33"/>
      <c r="C2597" s="34"/>
      <c r="F2597" s="35"/>
      <c r="I2597" s="33"/>
      <c r="M2597" s="33"/>
      <c r="N2597" s="33"/>
    </row>
    <row r="2598" spans="2:14" ht="15.75" x14ac:dyDescent="0.25">
      <c r="B2598" s="33"/>
      <c r="C2598" s="34"/>
      <c r="F2598" s="35"/>
      <c r="I2598" s="33"/>
      <c r="M2598" s="33"/>
      <c r="N2598" s="33"/>
    </row>
    <row r="2599" spans="2:14" ht="15.75" x14ac:dyDescent="0.25">
      <c r="B2599" s="33"/>
      <c r="C2599" s="34"/>
      <c r="F2599" s="35"/>
      <c r="I2599" s="33"/>
      <c r="M2599" s="33"/>
      <c r="N2599" s="33"/>
    </row>
    <row r="2600" spans="2:14" ht="15.75" x14ac:dyDescent="0.25">
      <c r="B2600" s="33"/>
      <c r="C2600" s="34"/>
      <c r="F2600" s="35"/>
      <c r="I2600" s="33"/>
      <c r="M2600" s="33"/>
      <c r="N2600" s="33"/>
    </row>
    <row r="2601" spans="2:14" ht="15.75" x14ac:dyDescent="0.25">
      <c r="B2601" s="33"/>
      <c r="C2601" s="34"/>
      <c r="F2601" s="35"/>
      <c r="I2601" s="33"/>
      <c r="M2601" s="33"/>
      <c r="N2601" s="33"/>
    </row>
    <row r="2602" spans="2:14" ht="15.75" x14ac:dyDescent="0.25">
      <c r="B2602" s="33"/>
      <c r="C2602" s="34"/>
      <c r="F2602" s="35"/>
      <c r="I2602" s="33"/>
      <c r="M2602" s="33"/>
      <c r="N2602" s="33"/>
    </row>
    <row r="2603" spans="2:14" ht="15.75" x14ac:dyDescent="0.25">
      <c r="B2603" s="33"/>
      <c r="C2603" s="34"/>
      <c r="F2603" s="35"/>
      <c r="I2603" s="33"/>
      <c r="M2603" s="33"/>
      <c r="N2603" s="33"/>
    </row>
    <row r="2604" spans="2:14" ht="15.75" x14ac:dyDescent="0.25">
      <c r="B2604" s="33"/>
      <c r="C2604" s="34"/>
      <c r="F2604" s="35"/>
      <c r="I2604" s="33"/>
      <c r="M2604" s="33"/>
      <c r="N2604" s="33"/>
    </row>
    <row r="2605" spans="2:14" ht="15.75" x14ac:dyDescent="0.25">
      <c r="B2605" s="33"/>
      <c r="C2605" s="34"/>
      <c r="F2605" s="35"/>
      <c r="I2605" s="33"/>
      <c r="M2605" s="33"/>
      <c r="N2605" s="33"/>
    </row>
    <row r="2606" spans="2:14" ht="15.75" x14ac:dyDescent="0.25">
      <c r="B2606" s="33"/>
      <c r="C2606" s="34"/>
      <c r="F2606" s="35"/>
      <c r="I2606" s="33"/>
      <c r="M2606" s="33"/>
      <c r="N2606" s="33"/>
    </row>
    <row r="2607" spans="2:14" ht="15.75" x14ac:dyDescent="0.25">
      <c r="B2607" s="33"/>
      <c r="C2607" s="34"/>
      <c r="F2607" s="35"/>
      <c r="I2607" s="33"/>
      <c r="M2607" s="33"/>
      <c r="N2607" s="33"/>
    </row>
    <row r="2608" spans="2:14" ht="15.75" x14ac:dyDescent="0.25">
      <c r="B2608" s="33"/>
      <c r="C2608" s="34"/>
      <c r="F2608" s="35"/>
      <c r="I2608" s="33"/>
      <c r="M2608" s="33"/>
      <c r="N2608" s="33"/>
    </row>
    <row r="2609" spans="2:14" ht="15.75" x14ac:dyDescent="0.25">
      <c r="B2609" s="33"/>
      <c r="C2609" s="34"/>
      <c r="F2609" s="35"/>
      <c r="I2609" s="33"/>
      <c r="M2609" s="33"/>
      <c r="N2609" s="33"/>
    </row>
    <row r="2610" spans="2:14" ht="15.75" x14ac:dyDescent="0.25">
      <c r="B2610" s="33"/>
      <c r="C2610" s="34"/>
      <c r="F2610" s="35"/>
      <c r="I2610" s="33"/>
      <c r="M2610" s="33"/>
      <c r="N2610" s="33"/>
    </row>
    <row r="2611" spans="2:14" ht="15.75" x14ac:dyDescent="0.25">
      <c r="B2611" s="33"/>
      <c r="C2611" s="34"/>
      <c r="F2611" s="35"/>
      <c r="I2611" s="33"/>
      <c r="M2611" s="33"/>
      <c r="N2611" s="33"/>
    </row>
    <row r="2612" spans="2:14" ht="15.75" x14ac:dyDescent="0.25">
      <c r="B2612" s="33"/>
      <c r="C2612" s="34"/>
      <c r="F2612" s="35"/>
      <c r="I2612" s="33"/>
      <c r="M2612" s="33"/>
      <c r="N2612" s="33"/>
    </row>
    <row r="2613" spans="2:14" ht="15.75" x14ac:dyDescent="0.25">
      <c r="B2613" s="33"/>
      <c r="C2613" s="34"/>
      <c r="F2613" s="35"/>
      <c r="I2613" s="33"/>
      <c r="M2613" s="33"/>
      <c r="N2613" s="33"/>
    </row>
    <row r="2614" spans="2:14" ht="15.75" x14ac:dyDescent="0.25">
      <c r="B2614" s="33"/>
      <c r="C2614" s="34"/>
      <c r="F2614" s="35"/>
      <c r="I2614" s="33"/>
      <c r="M2614" s="33"/>
      <c r="N2614" s="33"/>
    </row>
    <row r="2615" spans="2:14" ht="15.75" x14ac:dyDescent="0.25">
      <c r="B2615" s="33"/>
      <c r="C2615" s="34"/>
      <c r="F2615" s="35"/>
      <c r="I2615" s="33"/>
      <c r="M2615" s="33"/>
      <c r="N2615" s="33"/>
    </row>
    <row r="2616" spans="2:14" ht="15.75" x14ac:dyDescent="0.25">
      <c r="B2616" s="33"/>
      <c r="C2616" s="34"/>
      <c r="F2616" s="35"/>
      <c r="I2616" s="33"/>
      <c r="M2616" s="33"/>
      <c r="N2616" s="33"/>
    </row>
    <row r="2617" spans="2:14" ht="15.75" x14ac:dyDescent="0.25">
      <c r="B2617" s="33"/>
      <c r="C2617" s="34"/>
      <c r="F2617" s="35"/>
      <c r="I2617" s="33"/>
      <c r="M2617" s="33"/>
      <c r="N2617" s="33"/>
    </row>
    <row r="2618" spans="2:14" ht="15.75" x14ac:dyDescent="0.25">
      <c r="B2618" s="33"/>
      <c r="C2618" s="34"/>
      <c r="F2618" s="35"/>
      <c r="I2618" s="33"/>
      <c r="M2618" s="33"/>
      <c r="N2618" s="33"/>
    </row>
    <row r="2619" spans="2:14" ht="15.75" x14ac:dyDescent="0.25">
      <c r="B2619" s="33"/>
      <c r="C2619" s="34"/>
      <c r="F2619" s="35"/>
      <c r="I2619" s="33"/>
      <c r="M2619" s="33"/>
      <c r="N2619" s="33"/>
    </row>
    <row r="2620" spans="2:14" ht="15.75" x14ac:dyDescent="0.25">
      <c r="B2620" s="33"/>
      <c r="C2620" s="34"/>
      <c r="F2620" s="35"/>
      <c r="I2620" s="33"/>
      <c r="M2620" s="33"/>
      <c r="N2620" s="33"/>
    </row>
    <row r="2621" spans="2:14" ht="15.75" x14ac:dyDescent="0.25">
      <c r="B2621" s="33"/>
      <c r="C2621" s="34"/>
      <c r="F2621" s="35"/>
      <c r="I2621" s="33"/>
      <c r="M2621" s="33"/>
      <c r="N2621" s="33"/>
    </row>
    <row r="2622" spans="2:14" ht="15.75" x14ac:dyDescent="0.25">
      <c r="B2622" s="33"/>
      <c r="C2622" s="34"/>
      <c r="F2622" s="35"/>
      <c r="I2622" s="33"/>
      <c r="M2622" s="33"/>
      <c r="N2622" s="33"/>
    </row>
    <row r="2623" spans="2:14" ht="15.75" x14ac:dyDescent="0.25">
      <c r="B2623" s="33"/>
      <c r="C2623" s="34"/>
      <c r="F2623" s="35"/>
      <c r="I2623" s="33"/>
      <c r="M2623" s="33"/>
      <c r="N2623" s="33"/>
    </row>
    <row r="2624" spans="2:14" ht="15.75" x14ac:dyDescent="0.25">
      <c r="B2624" s="33"/>
      <c r="C2624" s="34"/>
      <c r="F2624" s="35"/>
      <c r="I2624" s="33"/>
      <c r="M2624" s="33"/>
      <c r="N2624" s="33"/>
    </row>
    <row r="2625" spans="2:14" ht="15.75" x14ac:dyDescent="0.25">
      <c r="B2625" s="33"/>
      <c r="C2625" s="34"/>
      <c r="F2625" s="35"/>
      <c r="I2625" s="33"/>
      <c r="M2625" s="33"/>
      <c r="N2625" s="33"/>
    </row>
    <row r="2626" spans="2:14" ht="15.75" x14ac:dyDescent="0.25">
      <c r="B2626" s="33"/>
      <c r="C2626" s="34"/>
      <c r="F2626" s="35"/>
      <c r="I2626" s="33"/>
      <c r="M2626" s="33"/>
      <c r="N2626" s="33"/>
    </row>
    <row r="2627" spans="2:14" ht="15.75" x14ac:dyDescent="0.25">
      <c r="B2627" s="33"/>
      <c r="C2627" s="34"/>
      <c r="F2627" s="35"/>
      <c r="I2627" s="33"/>
      <c r="M2627" s="33"/>
      <c r="N2627" s="33"/>
    </row>
    <row r="2628" spans="2:14" ht="15.75" x14ac:dyDescent="0.25">
      <c r="B2628" s="33"/>
      <c r="C2628" s="34"/>
      <c r="F2628" s="35"/>
      <c r="I2628" s="33"/>
      <c r="M2628" s="33"/>
      <c r="N2628" s="33"/>
    </row>
    <row r="2629" spans="2:14" ht="15.75" x14ac:dyDescent="0.25">
      <c r="B2629" s="33"/>
      <c r="C2629" s="34"/>
      <c r="F2629" s="35"/>
      <c r="I2629" s="33"/>
      <c r="M2629" s="33"/>
      <c r="N2629" s="33"/>
    </row>
    <row r="2630" spans="2:14" ht="15.75" x14ac:dyDescent="0.25">
      <c r="B2630" s="33"/>
      <c r="C2630" s="34"/>
      <c r="F2630" s="35"/>
      <c r="I2630" s="33"/>
      <c r="M2630" s="33"/>
      <c r="N2630" s="33"/>
    </row>
    <row r="2631" spans="2:14" ht="15.75" x14ac:dyDescent="0.25">
      <c r="B2631" s="33"/>
      <c r="C2631" s="34"/>
      <c r="F2631" s="35"/>
      <c r="I2631" s="33"/>
      <c r="M2631" s="33"/>
      <c r="N2631" s="33"/>
    </row>
    <row r="2632" spans="2:14" ht="15.75" x14ac:dyDescent="0.25">
      <c r="B2632" s="33"/>
      <c r="C2632" s="34"/>
      <c r="F2632" s="35"/>
      <c r="I2632" s="33"/>
      <c r="M2632" s="33"/>
      <c r="N2632" s="33"/>
    </row>
    <row r="2633" spans="2:14" ht="15.75" x14ac:dyDescent="0.25">
      <c r="B2633" s="33"/>
      <c r="C2633" s="34"/>
      <c r="F2633" s="35"/>
      <c r="I2633" s="33"/>
      <c r="M2633" s="33"/>
      <c r="N2633" s="33"/>
    </row>
    <row r="2634" spans="2:14" ht="15.75" x14ac:dyDescent="0.25">
      <c r="B2634" s="33"/>
      <c r="C2634" s="34"/>
      <c r="F2634" s="35"/>
      <c r="I2634" s="33"/>
      <c r="M2634" s="33"/>
      <c r="N2634" s="33"/>
    </row>
    <row r="2635" spans="2:14" ht="15.75" x14ac:dyDescent="0.25">
      <c r="B2635" s="33"/>
      <c r="C2635" s="34"/>
      <c r="F2635" s="35"/>
      <c r="I2635" s="33"/>
      <c r="M2635" s="33"/>
      <c r="N2635" s="33"/>
    </row>
    <row r="2636" spans="2:14" ht="15.75" x14ac:dyDescent="0.25">
      <c r="B2636" s="33"/>
      <c r="C2636" s="34"/>
      <c r="F2636" s="35"/>
      <c r="I2636" s="33"/>
      <c r="M2636" s="33"/>
      <c r="N2636" s="33"/>
    </row>
    <row r="2637" spans="2:14" ht="15.75" x14ac:dyDescent="0.25">
      <c r="B2637" s="33"/>
      <c r="C2637" s="34"/>
      <c r="F2637" s="35"/>
      <c r="I2637" s="33"/>
      <c r="M2637" s="33"/>
      <c r="N2637" s="33"/>
    </row>
    <row r="2638" spans="2:14" ht="15.75" x14ac:dyDescent="0.25">
      <c r="B2638" s="33"/>
      <c r="C2638" s="34"/>
      <c r="F2638" s="35"/>
      <c r="I2638" s="33"/>
      <c r="M2638" s="33"/>
      <c r="N2638" s="33"/>
    </row>
    <row r="2639" spans="2:14" ht="15.75" x14ac:dyDescent="0.25">
      <c r="B2639" s="33"/>
      <c r="C2639" s="34"/>
      <c r="F2639" s="35"/>
      <c r="I2639" s="33"/>
      <c r="M2639" s="33"/>
      <c r="N2639" s="33"/>
    </row>
    <row r="2640" spans="2:14" ht="15.75" x14ac:dyDescent="0.25">
      <c r="B2640" s="33"/>
      <c r="C2640" s="34"/>
      <c r="F2640" s="35"/>
      <c r="I2640" s="33"/>
      <c r="M2640" s="33"/>
      <c r="N2640" s="33"/>
    </row>
    <row r="2641" spans="2:14" ht="15.75" x14ac:dyDescent="0.25">
      <c r="B2641" s="33"/>
      <c r="C2641" s="34"/>
      <c r="F2641" s="35"/>
      <c r="I2641" s="33"/>
      <c r="M2641" s="33"/>
      <c r="N2641" s="33"/>
    </row>
    <row r="2642" spans="2:14" ht="15.75" x14ac:dyDescent="0.25">
      <c r="B2642" s="33"/>
      <c r="C2642" s="34"/>
      <c r="F2642" s="35"/>
      <c r="I2642" s="33"/>
      <c r="L2642" s="54">
        <f t="shared" ref="L2642:L2705" si="24">L2641+J2641-K2643</f>
        <v>0</v>
      </c>
      <c r="M2642" s="33"/>
      <c r="N2642" s="33"/>
    </row>
    <row r="2643" spans="2:14" ht="15.75" x14ac:dyDescent="0.25">
      <c r="B2643" s="33"/>
      <c r="C2643" s="34"/>
      <c r="F2643" s="35"/>
      <c r="I2643" s="33"/>
      <c r="L2643" s="54">
        <f t="shared" si="24"/>
        <v>0</v>
      </c>
      <c r="M2643" s="33"/>
      <c r="N2643" s="33"/>
    </row>
    <row r="2644" spans="2:14" ht="15.75" x14ac:dyDescent="0.25">
      <c r="B2644" s="33"/>
      <c r="C2644" s="34"/>
      <c r="F2644" s="35"/>
      <c r="I2644" s="33"/>
      <c r="L2644" s="54">
        <f t="shared" si="24"/>
        <v>0</v>
      </c>
      <c r="M2644" s="33"/>
      <c r="N2644" s="33"/>
    </row>
    <row r="2645" spans="2:14" ht="15.75" x14ac:dyDescent="0.25">
      <c r="B2645" s="33"/>
      <c r="C2645" s="34"/>
      <c r="F2645" s="35"/>
      <c r="I2645" s="33"/>
      <c r="L2645" s="54">
        <f t="shared" si="24"/>
        <v>0</v>
      </c>
      <c r="M2645" s="33"/>
      <c r="N2645" s="33"/>
    </row>
    <row r="2646" spans="2:14" ht="15.75" x14ac:dyDescent="0.25">
      <c r="B2646" s="33"/>
      <c r="C2646" s="34"/>
      <c r="F2646" s="35"/>
      <c r="I2646" s="33"/>
      <c r="L2646" s="54">
        <f t="shared" si="24"/>
        <v>0</v>
      </c>
      <c r="M2646" s="33"/>
      <c r="N2646" s="33"/>
    </row>
    <row r="2647" spans="2:14" ht="15.75" x14ac:dyDescent="0.25">
      <c r="B2647" s="33"/>
      <c r="C2647" s="34"/>
      <c r="F2647" s="35"/>
      <c r="I2647" s="33"/>
      <c r="L2647" s="54">
        <f t="shared" si="24"/>
        <v>0</v>
      </c>
      <c r="M2647" s="33"/>
      <c r="N2647" s="33"/>
    </row>
    <row r="2648" spans="2:14" ht="15.75" x14ac:dyDescent="0.25">
      <c r="B2648" s="33"/>
      <c r="C2648" s="34"/>
      <c r="F2648" s="35"/>
      <c r="I2648" s="33"/>
      <c r="L2648" s="54">
        <f t="shared" si="24"/>
        <v>0</v>
      </c>
      <c r="M2648" s="33"/>
      <c r="N2648" s="33"/>
    </row>
    <row r="2649" spans="2:14" ht="15.75" x14ac:dyDescent="0.25">
      <c r="B2649" s="33"/>
      <c r="C2649" s="34"/>
      <c r="F2649" s="35"/>
      <c r="I2649" s="33"/>
      <c r="L2649" s="54">
        <f t="shared" si="24"/>
        <v>0</v>
      </c>
      <c r="M2649" s="33"/>
      <c r="N2649" s="33"/>
    </row>
    <row r="2650" spans="2:14" ht="15.75" x14ac:dyDescent="0.25">
      <c r="B2650" s="33"/>
      <c r="C2650" s="34"/>
      <c r="F2650" s="35"/>
      <c r="I2650" s="33"/>
      <c r="L2650" s="54">
        <f t="shared" si="24"/>
        <v>0</v>
      </c>
      <c r="M2650" s="33"/>
      <c r="N2650" s="33"/>
    </row>
    <row r="2651" spans="2:14" ht="15.75" x14ac:dyDescent="0.25">
      <c r="B2651" s="33"/>
      <c r="C2651" s="34"/>
      <c r="F2651" s="35"/>
      <c r="I2651" s="33"/>
      <c r="L2651" s="54">
        <f t="shared" si="24"/>
        <v>0</v>
      </c>
      <c r="M2651" s="33"/>
      <c r="N2651" s="33"/>
    </row>
    <row r="2652" spans="2:14" ht="15.75" x14ac:dyDescent="0.25">
      <c r="B2652" s="33"/>
      <c r="C2652" s="34"/>
      <c r="F2652" s="35"/>
      <c r="I2652" s="33"/>
      <c r="L2652" s="54">
        <f t="shared" si="24"/>
        <v>0</v>
      </c>
      <c r="M2652" s="33"/>
      <c r="N2652" s="33"/>
    </row>
    <row r="2653" spans="2:14" ht="15.75" x14ac:dyDescent="0.25">
      <c r="B2653" s="33"/>
      <c r="C2653" s="34"/>
      <c r="F2653" s="35"/>
      <c r="I2653" s="33"/>
      <c r="L2653" s="54">
        <f t="shared" si="24"/>
        <v>0</v>
      </c>
      <c r="M2653" s="33"/>
      <c r="N2653" s="33"/>
    </row>
    <row r="2654" spans="2:14" ht="15.75" x14ac:dyDescent="0.25">
      <c r="B2654" s="33"/>
      <c r="C2654" s="34"/>
      <c r="F2654" s="35"/>
      <c r="I2654" s="33"/>
      <c r="L2654" s="54">
        <f t="shared" si="24"/>
        <v>0</v>
      </c>
      <c r="M2654" s="33"/>
      <c r="N2654" s="33"/>
    </row>
    <row r="2655" spans="2:14" ht="15.75" x14ac:dyDescent="0.25">
      <c r="B2655" s="33"/>
      <c r="C2655" s="34"/>
      <c r="F2655" s="35"/>
      <c r="I2655" s="33"/>
      <c r="L2655" s="54">
        <f t="shared" si="24"/>
        <v>0</v>
      </c>
      <c r="M2655" s="33"/>
      <c r="N2655" s="33"/>
    </row>
    <row r="2656" spans="2:14" ht="15.75" x14ac:dyDescent="0.25">
      <c r="B2656" s="33"/>
      <c r="C2656" s="34"/>
      <c r="F2656" s="35"/>
      <c r="I2656" s="33"/>
      <c r="L2656" s="54">
        <f t="shared" si="24"/>
        <v>0</v>
      </c>
      <c r="M2656" s="33"/>
      <c r="N2656" s="33"/>
    </row>
    <row r="2657" spans="2:14" ht="15.75" x14ac:dyDescent="0.25">
      <c r="B2657" s="33"/>
      <c r="C2657" s="34"/>
      <c r="F2657" s="35"/>
      <c r="I2657" s="33"/>
      <c r="L2657" s="54">
        <f t="shared" si="24"/>
        <v>0</v>
      </c>
      <c r="M2657" s="33"/>
      <c r="N2657" s="33"/>
    </row>
    <row r="2658" spans="2:14" ht="15.75" x14ac:dyDescent="0.25">
      <c r="B2658" s="33"/>
      <c r="C2658" s="34"/>
      <c r="F2658" s="35"/>
      <c r="I2658" s="33"/>
      <c r="L2658" s="54">
        <f t="shared" si="24"/>
        <v>0</v>
      </c>
      <c r="M2658" s="33"/>
      <c r="N2658" s="33"/>
    </row>
    <row r="2659" spans="2:14" ht="15.75" x14ac:dyDescent="0.25">
      <c r="B2659" s="33"/>
      <c r="C2659" s="34"/>
      <c r="F2659" s="35"/>
      <c r="I2659" s="33"/>
      <c r="L2659" s="54">
        <f t="shared" si="24"/>
        <v>0</v>
      </c>
      <c r="M2659" s="33"/>
      <c r="N2659" s="33"/>
    </row>
    <row r="2660" spans="2:14" ht="15.75" x14ac:dyDescent="0.25">
      <c r="B2660" s="33"/>
      <c r="C2660" s="34"/>
      <c r="F2660" s="35"/>
      <c r="I2660" s="33"/>
      <c r="L2660" s="54">
        <f t="shared" si="24"/>
        <v>0</v>
      </c>
      <c r="M2660" s="33"/>
      <c r="N2660" s="33"/>
    </row>
    <row r="2661" spans="2:14" ht="15.75" x14ac:dyDescent="0.25">
      <c r="B2661" s="33"/>
      <c r="C2661" s="34"/>
      <c r="F2661" s="35"/>
      <c r="I2661" s="33"/>
      <c r="L2661" s="54">
        <f t="shared" si="24"/>
        <v>0</v>
      </c>
      <c r="M2661" s="33"/>
      <c r="N2661" s="33"/>
    </row>
    <row r="2662" spans="2:14" ht="15.75" x14ac:dyDescent="0.25">
      <c r="B2662" s="33"/>
      <c r="C2662" s="34"/>
      <c r="F2662" s="35"/>
      <c r="I2662" s="33"/>
      <c r="L2662" s="54">
        <f t="shared" si="24"/>
        <v>0</v>
      </c>
      <c r="M2662" s="33"/>
      <c r="N2662" s="33"/>
    </row>
    <row r="2663" spans="2:14" ht="15.75" x14ac:dyDescent="0.25">
      <c r="B2663" s="33"/>
      <c r="C2663" s="34"/>
      <c r="F2663" s="35"/>
      <c r="I2663" s="33"/>
      <c r="L2663" s="54">
        <f t="shared" si="24"/>
        <v>0</v>
      </c>
      <c r="M2663" s="33"/>
      <c r="N2663" s="33"/>
    </row>
    <row r="2664" spans="2:14" ht="15.75" x14ac:dyDescent="0.25">
      <c r="B2664" s="33"/>
      <c r="C2664" s="34"/>
      <c r="F2664" s="35"/>
      <c r="I2664" s="33"/>
      <c r="L2664" s="54">
        <f t="shared" si="24"/>
        <v>0</v>
      </c>
      <c r="M2664" s="33"/>
      <c r="N2664" s="33"/>
    </row>
    <row r="2665" spans="2:14" ht="15.75" x14ac:dyDescent="0.25">
      <c r="B2665" s="33"/>
      <c r="C2665" s="34"/>
      <c r="F2665" s="35"/>
      <c r="I2665" s="33"/>
      <c r="L2665" s="54">
        <f t="shared" si="24"/>
        <v>0</v>
      </c>
      <c r="M2665" s="33"/>
      <c r="N2665" s="33"/>
    </row>
    <row r="2666" spans="2:14" ht="15.75" x14ac:dyDescent="0.25">
      <c r="B2666" s="33"/>
      <c r="C2666" s="34"/>
      <c r="F2666" s="35"/>
      <c r="I2666" s="33"/>
      <c r="L2666" s="54">
        <f t="shared" si="24"/>
        <v>0</v>
      </c>
      <c r="M2666" s="33"/>
      <c r="N2666" s="33"/>
    </row>
    <row r="2667" spans="2:14" ht="15.75" x14ac:dyDescent="0.25">
      <c r="B2667" s="33"/>
      <c r="C2667" s="34"/>
      <c r="F2667" s="35"/>
      <c r="I2667" s="33"/>
      <c r="L2667" s="54">
        <f t="shared" si="24"/>
        <v>0</v>
      </c>
      <c r="M2667" s="33"/>
      <c r="N2667" s="33"/>
    </row>
    <row r="2668" spans="2:14" ht="15.75" x14ac:dyDescent="0.25">
      <c r="B2668" s="33"/>
      <c r="C2668" s="34"/>
      <c r="F2668" s="35"/>
      <c r="I2668" s="33"/>
      <c r="L2668" s="54">
        <f t="shared" si="24"/>
        <v>0</v>
      </c>
      <c r="M2668" s="33"/>
      <c r="N2668" s="33"/>
    </row>
    <row r="2669" spans="2:14" ht="15.75" x14ac:dyDescent="0.25">
      <c r="B2669" s="33"/>
      <c r="C2669" s="34"/>
      <c r="F2669" s="35"/>
      <c r="I2669" s="33"/>
      <c r="L2669" s="54">
        <f t="shared" si="24"/>
        <v>0</v>
      </c>
      <c r="M2669" s="33"/>
      <c r="N2669" s="33"/>
    </row>
    <row r="2670" spans="2:14" ht="15.75" x14ac:dyDescent="0.25">
      <c r="B2670" s="33"/>
      <c r="C2670" s="34"/>
      <c r="F2670" s="35"/>
      <c r="I2670" s="33"/>
      <c r="L2670" s="54">
        <f t="shared" si="24"/>
        <v>0</v>
      </c>
      <c r="M2670" s="33"/>
      <c r="N2670" s="33"/>
    </row>
    <row r="2671" spans="2:14" ht="15.75" x14ac:dyDescent="0.25">
      <c r="B2671" s="33"/>
      <c r="C2671" s="34"/>
      <c r="F2671" s="35"/>
      <c r="I2671" s="33"/>
      <c r="L2671" s="54">
        <f t="shared" si="24"/>
        <v>0</v>
      </c>
      <c r="M2671" s="33"/>
      <c r="N2671" s="33"/>
    </row>
    <row r="2672" spans="2:14" ht="15.75" x14ac:dyDescent="0.25">
      <c r="B2672" s="33"/>
      <c r="C2672" s="34"/>
      <c r="F2672" s="35"/>
      <c r="I2672" s="33"/>
      <c r="L2672" s="54">
        <f t="shared" si="24"/>
        <v>0</v>
      </c>
      <c r="M2672" s="33"/>
      <c r="N2672" s="33"/>
    </row>
    <row r="2673" spans="2:14" ht="15.75" x14ac:dyDescent="0.25">
      <c r="B2673" s="33"/>
      <c r="C2673" s="34"/>
      <c r="F2673" s="35"/>
      <c r="I2673" s="33"/>
      <c r="L2673" s="54">
        <f t="shared" si="24"/>
        <v>0</v>
      </c>
      <c r="M2673" s="33"/>
      <c r="N2673" s="33"/>
    </row>
    <row r="2674" spans="2:14" ht="15.75" x14ac:dyDescent="0.25">
      <c r="B2674" s="33"/>
      <c r="C2674" s="34"/>
      <c r="F2674" s="35"/>
      <c r="I2674" s="33"/>
      <c r="L2674" s="54">
        <f t="shared" si="24"/>
        <v>0</v>
      </c>
      <c r="M2674" s="33"/>
      <c r="N2674" s="33"/>
    </row>
    <row r="2675" spans="2:14" ht="15.75" x14ac:dyDescent="0.25">
      <c r="B2675" s="33"/>
      <c r="C2675" s="34"/>
      <c r="F2675" s="35"/>
      <c r="I2675" s="33"/>
      <c r="L2675" s="54">
        <f t="shared" si="24"/>
        <v>0</v>
      </c>
      <c r="M2675" s="33"/>
      <c r="N2675" s="33"/>
    </row>
    <row r="2676" spans="2:14" ht="15.75" x14ac:dyDescent="0.25">
      <c r="B2676" s="33"/>
      <c r="C2676" s="34"/>
      <c r="F2676" s="35"/>
      <c r="I2676" s="33"/>
      <c r="L2676" s="54">
        <f t="shared" si="24"/>
        <v>0</v>
      </c>
      <c r="M2676" s="33"/>
      <c r="N2676" s="33"/>
    </row>
    <row r="2677" spans="2:14" ht="15.75" x14ac:dyDescent="0.25">
      <c r="B2677" s="33"/>
      <c r="C2677" s="34"/>
      <c r="F2677" s="35"/>
      <c r="I2677" s="33"/>
      <c r="L2677" s="54">
        <f t="shared" si="24"/>
        <v>0</v>
      </c>
      <c r="M2677" s="33"/>
      <c r="N2677" s="33"/>
    </row>
    <row r="2678" spans="2:14" ht="15.75" x14ac:dyDescent="0.25">
      <c r="B2678" s="33"/>
      <c r="C2678" s="34"/>
      <c r="F2678" s="35"/>
      <c r="I2678" s="33"/>
      <c r="L2678" s="54">
        <f t="shared" si="24"/>
        <v>0</v>
      </c>
      <c r="M2678" s="33"/>
      <c r="N2678" s="33"/>
    </row>
    <row r="2679" spans="2:14" ht="15.75" x14ac:dyDescent="0.25">
      <c r="B2679" s="33"/>
      <c r="C2679" s="34"/>
      <c r="F2679" s="35"/>
      <c r="I2679" s="33"/>
      <c r="L2679" s="54">
        <f t="shared" si="24"/>
        <v>0</v>
      </c>
      <c r="M2679" s="33"/>
      <c r="N2679" s="33"/>
    </row>
    <row r="2680" spans="2:14" ht="15.75" x14ac:dyDescent="0.25">
      <c r="B2680" s="33"/>
      <c r="C2680" s="34"/>
      <c r="F2680" s="35"/>
      <c r="I2680" s="33"/>
      <c r="L2680" s="54">
        <f t="shared" si="24"/>
        <v>0</v>
      </c>
      <c r="M2680" s="33"/>
      <c r="N2680" s="33"/>
    </row>
    <row r="2681" spans="2:14" ht="15.75" x14ac:dyDescent="0.25">
      <c r="B2681" s="33"/>
      <c r="C2681" s="34"/>
      <c r="F2681" s="35"/>
      <c r="I2681" s="33"/>
      <c r="L2681" s="54">
        <f t="shared" si="24"/>
        <v>0</v>
      </c>
      <c r="M2681" s="33"/>
      <c r="N2681" s="33"/>
    </row>
    <row r="2682" spans="2:14" ht="15.75" x14ac:dyDescent="0.25">
      <c r="B2682" s="33"/>
      <c r="C2682" s="34"/>
      <c r="F2682" s="35"/>
      <c r="I2682" s="33"/>
      <c r="L2682" s="54">
        <f t="shared" si="24"/>
        <v>0</v>
      </c>
      <c r="M2682" s="33"/>
      <c r="N2682" s="33"/>
    </row>
    <row r="2683" spans="2:14" ht="15.75" x14ac:dyDescent="0.25">
      <c r="B2683" s="33"/>
      <c r="C2683" s="34"/>
      <c r="F2683" s="35"/>
      <c r="I2683" s="33"/>
      <c r="L2683" s="54">
        <f t="shared" si="24"/>
        <v>0</v>
      </c>
      <c r="M2683" s="33"/>
      <c r="N2683" s="33"/>
    </row>
    <row r="2684" spans="2:14" ht="15.75" x14ac:dyDescent="0.25">
      <c r="B2684" s="33"/>
      <c r="C2684" s="34"/>
      <c r="F2684" s="35"/>
      <c r="I2684" s="33"/>
      <c r="L2684" s="54">
        <f t="shared" si="24"/>
        <v>0</v>
      </c>
      <c r="M2684" s="33"/>
      <c r="N2684" s="33"/>
    </row>
    <row r="2685" spans="2:14" ht="15.75" x14ac:dyDescent="0.25">
      <c r="B2685" s="33"/>
      <c r="C2685" s="34"/>
      <c r="F2685" s="35"/>
      <c r="I2685" s="33"/>
      <c r="L2685" s="54">
        <f t="shared" si="24"/>
        <v>0</v>
      </c>
      <c r="M2685" s="33"/>
      <c r="N2685" s="33"/>
    </row>
    <row r="2686" spans="2:14" ht="15.75" x14ac:dyDescent="0.25">
      <c r="B2686" s="33"/>
      <c r="C2686" s="34"/>
      <c r="F2686" s="35"/>
      <c r="I2686" s="33"/>
      <c r="L2686" s="54">
        <f t="shared" si="24"/>
        <v>0</v>
      </c>
      <c r="M2686" s="33"/>
      <c r="N2686" s="33"/>
    </row>
    <row r="2687" spans="2:14" ht="15.75" x14ac:dyDescent="0.25">
      <c r="B2687" s="33"/>
      <c r="C2687" s="34"/>
      <c r="F2687" s="35"/>
      <c r="I2687" s="33"/>
      <c r="L2687" s="54">
        <f t="shared" si="24"/>
        <v>0</v>
      </c>
      <c r="M2687" s="33"/>
      <c r="N2687" s="33"/>
    </row>
    <row r="2688" spans="2:14" ht="15.75" x14ac:dyDescent="0.25">
      <c r="B2688" s="33"/>
      <c r="C2688" s="34"/>
      <c r="F2688" s="35"/>
      <c r="I2688" s="33"/>
      <c r="L2688" s="54">
        <f t="shared" si="24"/>
        <v>0</v>
      </c>
      <c r="M2688" s="33"/>
      <c r="N2688" s="33"/>
    </row>
    <row r="2689" spans="2:14" ht="15.75" x14ac:dyDescent="0.25">
      <c r="B2689" s="33"/>
      <c r="C2689" s="34"/>
      <c r="F2689" s="35"/>
      <c r="I2689" s="33"/>
      <c r="L2689" s="54">
        <f t="shared" si="24"/>
        <v>0</v>
      </c>
      <c r="M2689" s="33"/>
      <c r="N2689" s="33"/>
    </row>
    <row r="2690" spans="2:14" ht="15.75" x14ac:dyDescent="0.25">
      <c r="B2690" s="33"/>
      <c r="C2690" s="34"/>
      <c r="F2690" s="35"/>
      <c r="I2690" s="33"/>
      <c r="L2690" s="54">
        <f t="shared" si="24"/>
        <v>0</v>
      </c>
      <c r="M2690" s="33"/>
      <c r="N2690" s="33"/>
    </row>
    <row r="2691" spans="2:14" ht="15.75" x14ac:dyDescent="0.25">
      <c r="B2691" s="33"/>
      <c r="C2691" s="34"/>
      <c r="F2691" s="35"/>
      <c r="I2691" s="33"/>
      <c r="L2691" s="54">
        <f t="shared" si="24"/>
        <v>0</v>
      </c>
      <c r="M2691" s="33"/>
      <c r="N2691" s="33"/>
    </row>
    <row r="2692" spans="2:14" ht="15.75" x14ac:dyDescent="0.25">
      <c r="B2692" s="33"/>
      <c r="C2692" s="34"/>
      <c r="F2692" s="35"/>
      <c r="I2692" s="33"/>
      <c r="L2692" s="54">
        <f t="shared" si="24"/>
        <v>0</v>
      </c>
      <c r="M2692" s="33"/>
      <c r="N2692" s="33"/>
    </row>
    <row r="2693" spans="2:14" ht="15.75" x14ac:dyDescent="0.25">
      <c r="B2693" s="33"/>
      <c r="C2693" s="34"/>
      <c r="F2693" s="35"/>
      <c r="I2693" s="33"/>
      <c r="L2693" s="54">
        <f t="shared" si="24"/>
        <v>0</v>
      </c>
      <c r="M2693" s="33"/>
      <c r="N2693" s="33"/>
    </row>
    <row r="2694" spans="2:14" ht="15.75" x14ac:dyDescent="0.25">
      <c r="B2694" s="33"/>
      <c r="C2694" s="34"/>
      <c r="F2694" s="35"/>
      <c r="I2694" s="33"/>
      <c r="L2694" s="54">
        <f t="shared" si="24"/>
        <v>0</v>
      </c>
      <c r="M2694" s="33"/>
      <c r="N2694" s="33"/>
    </row>
    <row r="2695" spans="2:14" ht="15.75" x14ac:dyDescent="0.25">
      <c r="B2695" s="33"/>
      <c r="C2695" s="34"/>
      <c r="F2695" s="35"/>
      <c r="I2695" s="33"/>
      <c r="L2695" s="54">
        <f t="shared" si="24"/>
        <v>0</v>
      </c>
      <c r="M2695" s="33"/>
      <c r="N2695" s="33"/>
    </row>
    <row r="2696" spans="2:14" ht="15.75" x14ac:dyDescent="0.25">
      <c r="B2696" s="33"/>
      <c r="C2696" s="34"/>
      <c r="F2696" s="35"/>
      <c r="I2696" s="33"/>
      <c r="L2696" s="54">
        <f t="shared" si="24"/>
        <v>0</v>
      </c>
      <c r="M2696" s="33"/>
      <c r="N2696" s="33"/>
    </row>
    <row r="2697" spans="2:14" ht="15.75" x14ac:dyDescent="0.25">
      <c r="B2697" s="33"/>
      <c r="C2697" s="34"/>
      <c r="F2697" s="35"/>
      <c r="I2697" s="33"/>
      <c r="L2697" s="54">
        <f t="shared" si="24"/>
        <v>0</v>
      </c>
      <c r="M2697" s="33"/>
      <c r="N2697" s="33"/>
    </row>
    <row r="2698" spans="2:14" ht="15.75" x14ac:dyDescent="0.25">
      <c r="B2698" s="33"/>
      <c r="C2698" s="34"/>
      <c r="F2698" s="35"/>
      <c r="I2698" s="33"/>
      <c r="L2698" s="54">
        <f t="shared" si="24"/>
        <v>0</v>
      </c>
      <c r="M2698" s="33"/>
      <c r="N2698" s="33"/>
    </row>
    <row r="2699" spans="2:14" ht="15.75" x14ac:dyDescent="0.25">
      <c r="B2699" s="33"/>
      <c r="C2699" s="34"/>
      <c r="F2699" s="35"/>
      <c r="I2699" s="33"/>
      <c r="L2699" s="54">
        <f t="shared" si="24"/>
        <v>0</v>
      </c>
      <c r="M2699" s="33"/>
      <c r="N2699" s="33"/>
    </row>
    <row r="2700" spans="2:14" ht="15.75" x14ac:dyDescent="0.25">
      <c r="B2700" s="33"/>
      <c r="C2700" s="34"/>
      <c r="F2700" s="35"/>
      <c r="I2700" s="33"/>
      <c r="L2700" s="54">
        <f t="shared" si="24"/>
        <v>0</v>
      </c>
      <c r="M2700" s="33"/>
      <c r="N2700" s="33"/>
    </row>
    <row r="2701" spans="2:14" ht="15.75" x14ac:dyDescent="0.25">
      <c r="B2701" s="33"/>
      <c r="C2701" s="34"/>
      <c r="F2701" s="35"/>
      <c r="I2701" s="33"/>
      <c r="L2701" s="54">
        <f t="shared" si="24"/>
        <v>0</v>
      </c>
      <c r="M2701" s="33"/>
      <c r="N2701" s="33"/>
    </row>
    <row r="2702" spans="2:14" ht="15.75" x14ac:dyDescent="0.25">
      <c r="B2702" s="33"/>
      <c r="C2702" s="34"/>
      <c r="F2702" s="35"/>
      <c r="I2702" s="33"/>
      <c r="L2702" s="54">
        <f t="shared" si="24"/>
        <v>0</v>
      </c>
      <c r="M2702" s="33"/>
      <c r="N2702" s="33"/>
    </row>
    <row r="2703" spans="2:14" ht="15.75" x14ac:dyDescent="0.25">
      <c r="B2703" s="33"/>
      <c r="C2703" s="34"/>
      <c r="F2703" s="35"/>
      <c r="I2703" s="33"/>
      <c r="L2703" s="54">
        <f t="shared" si="24"/>
        <v>0</v>
      </c>
      <c r="M2703" s="33"/>
      <c r="N2703" s="33"/>
    </row>
    <row r="2704" spans="2:14" ht="15.75" x14ac:dyDescent="0.25">
      <c r="B2704" s="33"/>
      <c r="C2704" s="34"/>
      <c r="F2704" s="35"/>
      <c r="I2704" s="33"/>
      <c r="L2704" s="54">
        <f t="shared" si="24"/>
        <v>0</v>
      </c>
      <c r="M2704" s="33"/>
      <c r="N2704" s="33"/>
    </row>
    <row r="2705" spans="2:14" ht="15.75" x14ac:dyDescent="0.25">
      <c r="B2705" s="33"/>
      <c r="C2705" s="34"/>
      <c r="F2705" s="35"/>
      <c r="I2705" s="33"/>
      <c r="L2705" s="54">
        <f t="shared" si="24"/>
        <v>0</v>
      </c>
      <c r="M2705" s="33"/>
      <c r="N2705" s="33"/>
    </row>
    <row r="2706" spans="2:14" ht="15.75" x14ac:dyDescent="0.25">
      <c r="B2706" s="33"/>
      <c r="C2706" s="34"/>
      <c r="F2706" s="35"/>
      <c r="I2706" s="33"/>
      <c r="L2706" s="54">
        <f t="shared" ref="L2706:L2769" si="25">L2705+J2705-K2707</f>
        <v>0</v>
      </c>
      <c r="M2706" s="33"/>
      <c r="N2706" s="33"/>
    </row>
    <row r="2707" spans="2:14" ht="15.75" x14ac:dyDescent="0.25">
      <c r="B2707" s="33"/>
      <c r="C2707" s="34"/>
      <c r="F2707" s="35"/>
      <c r="I2707" s="33"/>
      <c r="L2707" s="54">
        <f t="shared" si="25"/>
        <v>0</v>
      </c>
      <c r="M2707" s="33"/>
      <c r="N2707" s="33"/>
    </row>
    <row r="2708" spans="2:14" ht="15.75" x14ac:dyDescent="0.25">
      <c r="B2708" s="33"/>
      <c r="C2708" s="34"/>
      <c r="F2708" s="35"/>
      <c r="I2708" s="33"/>
      <c r="L2708" s="54">
        <f t="shared" si="25"/>
        <v>0</v>
      </c>
      <c r="M2708" s="33"/>
      <c r="N2708" s="33"/>
    </row>
    <row r="2709" spans="2:14" ht="15.75" x14ac:dyDescent="0.25">
      <c r="B2709" s="33"/>
      <c r="C2709" s="34"/>
      <c r="F2709" s="35"/>
      <c r="I2709" s="33"/>
      <c r="L2709" s="54">
        <f t="shared" si="25"/>
        <v>0</v>
      </c>
      <c r="M2709" s="33"/>
      <c r="N2709" s="33"/>
    </row>
    <row r="2710" spans="2:14" ht="15.75" x14ac:dyDescent="0.25">
      <c r="B2710" s="33"/>
      <c r="C2710" s="34"/>
      <c r="F2710" s="35"/>
      <c r="I2710" s="33"/>
      <c r="L2710" s="54">
        <f t="shared" si="25"/>
        <v>0</v>
      </c>
      <c r="M2710" s="33"/>
      <c r="N2710" s="33"/>
    </row>
    <row r="2711" spans="2:14" ht="15.75" x14ac:dyDescent="0.25">
      <c r="B2711" s="33"/>
      <c r="C2711" s="34"/>
      <c r="F2711" s="35"/>
      <c r="I2711" s="33"/>
      <c r="L2711" s="54">
        <f t="shared" si="25"/>
        <v>0</v>
      </c>
      <c r="M2711" s="33"/>
      <c r="N2711" s="33"/>
    </row>
    <row r="2712" spans="2:14" ht="15.75" x14ac:dyDescent="0.25">
      <c r="B2712" s="33"/>
      <c r="C2712" s="34"/>
      <c r="F2712" s="35"/>
      <c r="I2712" s="33"/>
      <c r="L2712" s="54">
        <f t="shared" si="25"/>
        <v>0</v>
      </c>
      <c r="M2712" s="33"/>
      <c r="N2712" s="33"/>
    </row>
    <row r="2713" spans="2:14" ht="15.75" x14ac:dyDescent="0.25">
      <c r="B2713" s="33"/>
      <c r="C2713" s="34"/>
      <c r="F2713" s="35"/>
      <c r="I2713" s="33"/>
      <c r="L2713" s="54">
        <f t="shared" si="25"/>
        <v>0</v>
      </c>
      <c r="M2713" s="33"/>
      <c r="N2713" s="33"/>
    </row>
    <row r="2714" spans="2:14" ht="15.75" x14ac:dyDescent="0.25">
      <c r="B2714" s="33"/>
      <c r="C2714" s="34"/>
      <c r="F2714" s="35"/>
      <c r="I2714" s="33"/>
      <c r="L2714" s="54">
        <f t="shared" si="25"/>
        <v>0</v>
      </c>
      <c r="M2714" s="33"/>
      <c r="N2714" s="33"/>
    </row>
    <row r="2715" spans="2:14" ht="15.75" x14ac:dyDescent="0.25">
      <c r="B2715" s="33"/>
      <c r="C2715" s="34"/>
      <c r="F2715" s="35"/>
      <c r="I2715" s="33"/>
      <c r="L2715" s="54">
        <f t="shared" si="25"/>
        <v>0</v>
      </c>
      <c r="M2715" s="33"/>
      <c r="N2715" s="33"/>
    </row>
    <row r="2716" spans="2:14" ht="15.75" x14ac:dyDescent="0.25">
      <c r="B2716" s="33"/>
      <c r="C2716" s="34"/>
      <c r="F2716" s="35"/>
      <c r="I2716" s="33"/>
      <c r="L2716" s="54">
        <f t="shared" si="25"/>
        <v>0</v>
      </c>
      <c r="M2716" s="33"/>
      <c r="N2716" s="33"/>
    </row>
    <row r="2717" spans="2:14" ht="15.75" x14ac:dyDescent="0.25">
      <c r="B2717" s="33"/>
      <c r="C2717" s="34"/>
      <c r="F2717" s="35"/>
      <c r="I2717" s="33"/>
      <c r="L2717" s="54">
        <f t="shared" si="25"/>
        <v>0</v>
      </c>
      <c r="M2717" s="33"/>
      <c r="N2717" s="33"/>
    </row>
    <row r="2718" spans="2:14" ht="15.75" x14ac:dyDescent="0.25">
      <c r="B2718" s="33"/>
      <c r="C2718" s="34"/>
      <c r="F2718" s="35"/>
      <c r="I2718" s="33"/>
      <c r="L2718" s="54">
        <f t="shared" si="25"/>
        <v>0</v>
      </c>
      <c r="M2718" s="33"/>
      <c r="N2718" s="33"/>
    </row>
    <row r="2719" spans="2:14" ht="15.75" x14ac:dyDescent="0.25">
      <c r="B2719" s="33"/>
      <c r="C2719" s="34"/>
      <c r="F2719" s="35"/>
      <c r="I2719" s="33"/>
      <c r="L2719" s="54">
        <f t="shared" si="25"/>
        <v>0</v>
      </c>
      <c r="M2719" s="33"/>
      <c r="N2719" s="33"/>
    </row>
    <row r="2720" spans="2:14" ht="15.75" x14ac:dyDescent="0.25">
      <c r="B2720" s="33"/>
      <c r="C2720" s="34"/>
      <c r="F2720" s="35"/>
      <c r="I2720" s="33"/>
      <c r="L2720" s="54">
        <f t="shared" si="25"/>
        <v>0</v>
      </c>
      <c r="M2720" s="33"/>
      <c r="N2720" s="33"/>
    </row>
    <row r="2721" spans="2:14" ht="15.75" x14ac:dyDescent="0.25">
      <c r="B2721" s="33"/>
      <c r="C2721" s="34"/>
      <c r="F2721" s="35"/>
      <c r="I2721" s="33"/>
      <c r="L2721" s="54">
        <f t="shared" si="25"/>
        <v>0</v>
      </c>
      <c r="M2721" s="33"/>
      <c r="N2721" s="33"/>
    </row>
    <row r="2722" spans="2:14" ht="15.75" x14ac:dyDescent="0.25">
      <c r="B2722" s="33"/>
      <c r="C2722" s="34"/>
      <c r="F2722" s="35"/>
      <c r="I2722" s="33"/>
      <c r="L2722" s="54">
        <f t="shared" si="25"/>
        <v>0</v>
      </c>
      <c r="M2722" s="33"/>
      <c r="N2722" s="33"/>
    </row>
    <row r="2723" spans="2:14" ht="15.75" x14ac:dyDescent="0.25">
      <c r="B2723" s="33"/>
      <c r="C2723" s="34"/>
      <c r="F2723" s="35"/>
      <c r="I2723" s="33"/>
      <c r="L2723" s="54">
        <f t="shared" si="25"/>
        <v>0</v>
      </c>
      <c r="M2723" s="33"/>
      <c r="N2723" s="33"/>
    </row>
    <row r="2724" spans="2:14" ht="15.75" x14ac:dyDescent="0.25">
      <c r="B2724" s="33"/>
      <c r="C2724" s="34"/>
      <c r="F2724" s="35"/>
      <c r="I2724" s="33"/>
      <c r="L2724" s="54">
        <f t="shared" si="25"/>
        <v>0</v>
      </c>
      <c r="M2724" s="33"/>
      <c r="N2724" s="33"/>
    </row>
    <row r="2725" spans="2:14" ht="15.75" x14ac:dyDescent="0.25">
      <c r="B2725" s="33"/>
      <c r="C2725" s="34"/>
      <c r="F2725" s="35"/>
      <c r="I2725" s="33"/>
      <c r="L2725" s="54">
        <f t="shared" si="25"/>
        <v>0</v>
      </c>
      <c r="M2725" s="33"/>
      <c r="N2725" s="33"/>
    </row>
    <row r="2726" spans="2:14" ht="15.75" x14ac:dyDescent="0.25">
      <c r="B2726" s="33"/>
      <c r="C2726" s="34"/>
      <c r="F2726" s="35"/>
      <c r="I2726" s="33"/>
      <c r="L2726" s="54">
        <f t="shared" si="25"/>
        <v>0</v>
      </c>
      <c r="M2726" s="33"/>
      <c r="N2726" s="33"/>
    </row>
    <row r="2727" spans="2:14" ht="15.75" x14ac:dyDescent="0.25">
      <c r="B2727" s="33"/>
      <c r="C2727" s="34"/>
      <c r="F2727" s="35"/>
      <c r="I2727" s="33"/>
      <c r="L2727" s="54">
        <f t="shared" si="25"/>
        <v>0</v>
      </c>
      <c r="M2727" s="33"/>
      <c r="N2727" s="33"/>
    </row>
    <row r="2728" spans="2:14" ht="15.75" x14ac:dyDescent="0.25">
      <c r="B2728" s="33"/>
      <c r="C2728" s="34"/>
      <c r="F2728" s="35"/>
      <c r="I2728" s="33"/>
      <c r="L2728" s="54">
        <f t="shared" si="25"/>
        <v>0</v>
      </c>
      <c r="M2728" s="33"/>
      <c r="N2728" s="33"/>
    </row>
    <row r="2729" spans="2:14" ht="15.75" x14ac:dyDescent="0.25">
      <c r="B2729" s="33"/>
      <c r="C2729" s="34"/>
      <c r="F2729" s="35"/>
      <c r="I2729" s="33"/>
      <c r="L2729" s="54">
        <f t="shared" si="25"/>
        <v>0</v>
      </c>
      <c r="M2729" s="33"/>
      <c r="N2729" s="33"/>
    </row>
    <row r="2730" spans="2:14" ht="15.75" x14ac:dyDescent="0.25">
      <c r="B2730" s="33"/>
      <c r="C2730" s="34"/>
      <c r="F2730" s="35"/>
      <c r="I2730" s="33"/>
      <c r="L2730" s="54">
        <f t="shared" si="25"/>
        <v>0</v>
      </c>
      <c r="M2730" s="33"/>
      <c r="N2730" s="33"/>
    </row>
    <row r="2731" spans="2:14" ht="15.75" x14ac:dyDescent="0.25">
      <c r="B2731" s="33"/>
      <c r="C2731" s="34"/>
      <c r="F2731" s="35"/>
      <c r="I2731" s="33"/>
      <c r="L2731" s="54">
        <f t="shared" si="25"/>
        <v>0</v>
      </c>
      <c r="M2731" s="33"/>
      <c r="N2731" s="33"/>
    </row>
    <row r="2732" spans="2:14" ht="15.75" x14ac:dyDescent="0.25">
      <c r="B2732" s="33"/>
      <c r="C2732" s="34"/>
      <c r="F2732" s="35"/>
      <c r="I2732" s="33"/>
      <c r="L2732" s="54">
        <f t="shared" si="25"/>
        <v>0</v>
      </c>
      <c r="M2732" s="33"/>
      <c r="N2732" s="33"/>
    </row>
    <row r="2733" spans="2:14" ht="15.75" x14ac:dyDescent="0.25">
      <c r="B2733" s="33"/>
      <c r="C2733" s="34"/>
      <c r="F2733" s="35"/>
      <c r="I2733" s="33"/>
      <c r="L2733" s="54">
        <f t="shared" si="25"/>
        <v>0</v>
      </c>
      <c r="M2733" s="33"/>
      <c r="N2733" s="33"/>
    </row>
    <row r="2734" spans="2:14" ht="15.75" x14ac:dyDescent="0.25">
      <c r="B2734" s="33"/>
      <c r="C2734" s="34"/>
      <c r="F2734" s="35"/>
      <c r="I2734" s="33"/>
      <c r="L2734" s="54">
        <f t="shared" si="25"/>
        <v>0</v>
      </c>
      <c r="M2734" s="33"/>
      <c r="N2734" s="33"/>
    </row>
    <row r="2735" spans="2:14" ht="15.75" x14ac:dyDescent="0.25">
      <c r="B2735" s="33"/>
      <c r="C2735" s="34"/>
      <c r="F2735" s="35"/>
      <c r="I2735" s="33"/>
      <c r="L2735" s="54">
        <f t="shared" si="25"/>
        <v>0</v>
      </c>
      <c r="M2735" s="33"/>
      <c r="N2735" s="33"/>
    </row>
    <row r="2736" spans="2:14" ht="15.75" x14ac:dyDescent="0.25">
      <c r="B2736" s="33"/>
      <c r="C2736" s="34"/>
      <c r="F2736" s="35"/>
      <c r="I2736" s="33"/>
      <c r="L2736" s="54">
        <f t="shared" si="25"/>
        <v>0</v>
      </c>
      <c r="M2736" s="33"/>
      <c r="N2736" s="33"/>
    </row>
    <row r="2737" spans="2:14" ht="15.75" x14ac:dyDescent="0.25">
      <c r="B2737" s="33"/>
      <c r="C2737" s="34"/>
      <c r="F2737" s="35"/>
      <c r="I2737" s="33"/>
      <c r="L2737" s="54">
        <f t="shared" si="25"/>
        <v>0</v>
      </c>
      <c r="M2737" s="33"/>
      <c r="N2737" s="33"/>
    </row>
    <row r="2738" spans="2:14" ht="15.75" x14ac:dyDescent="0.25">
      <c r="B2738" s="33"/>
      <c r="C2738" s="34"/>
      <c r="F2738" s="35"/>
      <c r="I2738" s="33"/>
      <c r="L2738" s="54">
        <f t="shared" si="25"/>
        <v>0</v>
      </c>
      <c r="M2738" s="33"/>
      <c r="N2738" s="33"/>
    </row>
    <row r="2739" spans="2:14" ht="15.75" x14ac:dyDescent="0.25">
      <c r="B2739" s="33"/>
      <c r="C2739" s="34"/>
      <c r="F2739" s="35"/>
      <c r="I2739" s="33"/>
      <c r="L2739" s="54">
        <f t="shared" si="25"/>
        <v>0</v>
      </c>
      <c r="M2739" s="33"/>
      <c r="N2739" s="33"/>
    </row>
    <row r="2740" spans="2:14" ht="15.75" x14ac:dyDescent="0.25">
      <c r="B2740" s="33"/>
      <c r="C2740" s="34"/>
      <c r="F2740" s="35"/>
      <c r="I2740" s="33"/>
      <c r="L2740" s="54">
        <f t="shared" si="25"/>
        <v>0</v>
      </c>
      <c r="M2740" s="33"/>
      <c r="N2740" s="33"/>
    </row>
    <row r="2741" spans="2:14" ht="15.75" x14ac:dyDescent="0.25">
      <c r="B2741" s="33"/>
      <c r="C2741" s="34"/>
      <c r="F2741" s="35"/>
      <c r="I2741" s="33"/>
      <c r="L2741" s="54">
        <f t="shared" si="25"/>
        <v>0</v>
      </c>
      <c r="M2741" s="33"/>
      <c r="N2741" s="33"/>
    </row>
    <row r="2742" spans="2:14" ht="15.75" x14ac:dyDescent="0.25">
      <c r="B2742" s="33"/>
      <c r="C2742" s="34"/>
      <c r="F2742" s="35"/>
      <c r="I2742" s="33"/>
      <c r="L2742" s="54">
        <f t="shared" si="25"/>
        <v>0</v>
      </c>
      <c r="M2742" s="33"/>
      <c r="N2742" s="33"/>
    </row>
    <row r="2743" spans="2:14" ht="15.75" x14ac:dyDescent="0.25">
      <c r="B2743" s="33"/>
      <c r="C2743" s="34"/>
      <c r="F2743" s="35"/>
      <c r="I2743" s="33"/>
      <c r="L2743" s="54">
        <f t="shared" si="25"/>
        <v>0</v>
      </c>
      <c r="M2743" s="33"/>
      <c r="N2743" s="33"/>
    </row>
    <row r="2744" spans="2:14" ht="15.75" x14ac:dyDescent="0.25">
      <c r="B2744" s="33"/>
      <c r="C2744" s="34"/>
      <c r="F2744" s="35"/>
      <c r="I2744" s="33"/>
      <c r="L2744" s="54">
        <f t="shared" si="25"/>
        <v>0</v>
      </c>
      <c r="M2744" s="33"/>
      <c r="N2744" s="33"/>
    </row>
    <row r="2745" spans="2:14" ht="15.75" x14ac:dyDescent="0.25">
      <c r="B2745" s="33"/>
      <c r="C2745" s="34"/>
      <c r="F2745" s="35"/>
      <c r="I2745" s="33"/>
      <c r="L2745" s="54">
        <f t="shared" si="25"/>
        <v>0</v>
      </c>
      <c r="M2745" s="33"/>
      <c r="N2745" s="33"/>
    </row>
    <row r="2746" spans="2:14" ht="15.75" x14ac:dyDescent="0.25">
      <c r="B2746" s="33"/>
      <c r="C2746" s="34"/>
      <c r="F2746" s="35"/>
      <c r="I2746" s="33"/>
      <c r="L2746" s="54">
        <f t="shared" si="25"/>
        <v>0</v>
      </c>
      <c r="M2746" s="33"/>
      <c r="N2746" s="33"/>
    </row>
    <row r="2747" spans="2:14" ht="15.75" x14ac:dyDescent="0.25">
      <c r="B2747" s="33"/>
      <c r="C2747" s="34"/>
      <c r="F2747" s="35"/>
      <c r="I2747" s="33"/>
      <c r="L2747" s="54">
        <f t="shared" si="25"/>
        <v>0</v>
      </c>
      <c r="M2747" s="33"/>
      <c r="N2747" s="33"/>
    </row>
    <row r="2748" spans="2:14" ht="15.75" x14ac:dyDescent="0.25">
      <c r="B2748" s="33"/>
      <c r="C2748" s="34"/>
      <c r="F2748" s="35"/>
      <c r="I2748" s="33"/>
      <c r="L2748" s="54">
        <f t="shared" si="25"/>
        <v>0</v>
      </c>
      <c r="M2748" s="33"/>
      <c r="N2748" s="33"/>
    </row>
    <row r="2749" spans="2:14" ht="15.75" x14ac:dyDescent="0.25">
      <c r="B2749" s="33"/>
      <c r="C2749" s="34"/>
      <c r="F2749" s="35"/>
      <c r="I2749" s="33"/>
      <c r="L2749" s="54">
        <f t="shared" si="25"/>
        <v>0</v>
      </c>
      <c r="M2749" s="33"/>
      <c r="N2749" s="33"/>
    </row>
    <row r="2750" spans="2:14" ht="15.75" x14ac:dyDescent="0.25">
      <c r="B2750" s="33"/>
      <c r="C2750" s="34"/>
      <c r="F2750" s="35"/>
      <c r="I2750" s="33"/>
      <c r="L2750" s="54">
        <f t="shared" si="25"/>
        <v>0</v>
      </c>
      <c r="M2750" s="33"/>
      <c r="N2750" s="33"/>
    </row>
    <row r="2751" spans="2:14" ht="15.75" x14ac:dyDescent="0.25">
      <c r="B2751" s="33"/>
      <c r="C2751" s="34"/>
      <c r="F2751" s="35"/>
      <c r="I2751" s="33"/>
      <c r="L2751" s="54">
        <f t="shared" si="25"/>
        <v>0</v>
      </c>
      <c r="M2751" s="33"/>
      <c r="N2751" s="33"/>
    </row>
    <row r="2752" spans="2:14" ht="15.75" x14ac:dyDescent="0.25">
      <c r="B2752" s="33"/>
      <c r="C2752" s="34"/>
      <c r="F2752" s="35"/>
      <c r="I2752" s="33"/>
      <c r="L2752" s="54">
        <f t="shared" si="25"/>
        <v>0</v>
      </c>
      <c r="M2752" s="33"/>
      <c r="N2752" s="33"/>
    </row>
    <row r="2753" spans="2:14" ht="15.75" x14ac:dyDescent="0.25">
      <c r="B2753" s="33"/>
      <c r="C2753" s="34"/>
      <c r="F2753" s="35"/>
      <c r="I2753" s="33"/>
      <c r="L2753" s="54">
        <f t="shared" si="25"/>
        <v>0</v>
      </c>
      <c r="M2753" s="33"/>
      <c r="N2753" s="33"/>
    </row>
    <row r="2754" spans="2:14" ht="15.75" x14ac:dyDescent="0.25">
      <c r="B2754" s="33"/>
      <c r="C2754" s="34"/>
      <c r="F2754" s="35"/>
      <c r="I2754" s="33"/>
      <c r="L2754" s="54">
        <f t="shared" si="25"/>
        <v>0</v>
      </c>
      <c r="M2754" s="33"/>
      <c r="N2754" s="33"/>
    </row>
    <row r="2755" spans="2:14" ht="15.75" x14ac:dyDescent="0.25">
      <c r="B2755" s="33"/>
      <c r="C2755" s="34"/>
      <c r="F2755" s="35"/>
      <c r="I2755" s="33"/>
      <c r="L2755" s="54">
        <f t="shared" si="25"/>
        <v>0</v>
      </c>
      <c r="M2755" s="33"/>
      <c r="N2755" s="33"/>
    </row>
    <row r="2756" spans="2:14" ht="15.75" x14ac:dyDescent="0.25">
      <c r="B2756" s="33"/>
      <c r="C2756" s="34"/>
      <c r="F2756" s="35"/>
      <c r="I2756" s="33"/>
      <c r="L2756" s="54">
        <f t="shared" si="25"/>
        <v>0</v>
      </c>
      <c r="M2756" s="33"/>
      <c r="N2756" s="33"/>
    </row>
    <row r="2757" spans="2:14" ht="15.75" x14ac:dyDescent="0.25">
      <c r="B2757" s="33"/>
      <c r="C2757" s="34"/>
      <c r="F2757" s="35"/>
      <c r="I2757" s="33"/>
      <c r="L2757" s="54">
        <f t="shared" si="25"/>
        <v>0</v>
      </c>
      <c r="M2757" s="33"/>
      <c r="N2757" s="33"/>
    </row>
    <row r="2758" spans="2:14" ht="15.75" x14ac:dyDescent="0.25">
      <c r="B2758" s="33"/>
      <c r="C2758" s="34"/>
      <c r="F2758" s="35"/>
      <c r="I2758" s="33"/>
      <c r="L2758" s="54">
        <f t="shared" si="25"/>
        <v>0</v>
      </c>
      <c r="M2758" s="33"/>
      <c r="N2758" s="33"/>
    </row>
    <row r="2759" spans="2:14" ht="15.75" x14ac:dyDescent="0.25">
      <c r="B2759" s="33"/>
      <c r="C2759" s="34"/>
      <c r="F2759" s="35"/>
      <c r="I2759" s="33"/>
      <c r="L2759" s="54">
        <f t="shared" si="25"/>
        <v>0</v>
      </c>
      <c r="M2759" s="33"/>
      <c r="N2759" s="33"/>
    </row>
    <row r="2760" spans="2:14" ht="15.75" x14ac:dyDescent="0.25">
      <c r="B2760" s="33"/>
      <c r="C2760" s="34"/>
      <c r="F2760" s="35"/>
      <c r="I2760" s="33"/>
      <c r="L2760" s="54">
        <f t="shared" si="25"/>
        <v>0</v>
      </c>
      <c r="M2760" s="33"/>
      <c r="N2760" s="33"/>
    </row>
    <row r="2761" spans="2:14" ht="15.75" x14ac:dyDescent="0.25">
      <c r="B2761" s="33"/>
      <c r="C2761" s="34"/>
      <c r="F2761" s="35"/>
      <c r="I2761" s="33"/>
      <c r="L2761" s="54">
        <f t="shared" si="25"/>
        <v>0</v>
      </c>
      <c r="M2761" s="33"/>
      <c r="N2761" s="33"/>
    </row>
    <row r="2762" spans="2:14" ht="15.75" x14ac:dyDescent="0.25">
      <c r="B2762" s="33"/>
      <c r="C2762" s="34"/>
      <c r="F2762" s="35"/>
      <c r="I2762" s="33"/>
      <c r="L2762" s="54">
        <f t="shared" si="25"/>
        <v>0</v>
      </c>
      <c r="M2762" s="33"/>
      <c r="N2762" s="33"/>
    </row>
    <row r="2763" spans="2:14" ht="15.75" x14ac:dyDescent="0.25">
      <c r="B2763" s="33"/>
      <c r="C2763" s="34"/>
      <c r="F2763" s="35"/>
      <c r="I2763" s="33"/>
      <c r="L2763" s="54">
        <f t="shared" si="25"/>
        <v>0</v>
      </c>
      <c r="M2763" s="33"/>
      <c r="N2763" s="33"/>
    </row>
    <row r="2764" spans="2:14" ht="15.75" x14ac:dyDescent="0.25">
      <c r="B2764" s="33"/>
      <c r="C2764" s="34"/>
      <c r="F2764" s="35"/>
      <c r="I2764" s="33"/>
      <c r="L2764" s="54">
        <f t="shared" si="25"/>
        <v>0</v>
      </c>
      <c r="M2764" s="33"/>
      <c r="N2764" s="33"/>
    </row>
    <row r="2765" spans="2:14" ht="15.75" x14ac:dyDescent="0.25">
      <c r="B2765" s="33"/>
      <c r="C2765" s="34"/>
      <c r="F2765" s="35"/>
      <c r="I2765" s="33"/>
      <c r="L2765" s="54">
        <f t="shared" si="25"/>
        <v>0</v>
      </c>
      <c r="M2765" s="33"/>
      <c r="N2765" s="33"/>
    </row>
    <row r="2766" spans="2:14" ht="15.75" x14ac:dyDescent="0.25">
      <c r="B2766" s="33"/>
      <c r="C2766" s="34"/>
      <c r="F2766" s="35"/>
      <c r="I2766" s="33"/>
      <c r="L2766" s="54">
        <f t="shared" si="25"/>
        <v>0</v>
      </c>
      <c r="M2766" s="33"/>
      <c r="N2766" s="33"/>
    </row>
    <row r="2767" spans="2:14" ht="15.75" x14ac:dyDescent="0.25">
      <c r="B2767" s="33"/>
      <c r="C2767" s="34"/>
      <c r="F2767" s="35"/>
      <c r="I2767" s="33"/>
      <c r="L2767" s="54">
        <f t="shared" si="25"/>
        <v>0</v>
      </c>
      <c r="M2767" s="33"/>
      <c r="N2767" s="33"/>
    </row>
    <row r="2768" spans="2:14" ht="15.75" x14ac:dyDescent="0.25">
      <c r="B2768" s="33"/>
      <c r="C2768" s="34"/>
      <c r="F2768" s="35"/>
      <c r="I2768" s="33"/>
      <c r="L2768" s="54">
        <f t="shared" si="25"/>
        <v>0</v>
      </c>
      <c r="M2768" s="33"/>
      <c r="N2768" s="33"/>
    </row>
    <row r="2769" spans="2:14" ht="15.75" x14ac:dyDescent="0.25">
      <c r="B2769" s="33"/>
      <c r="C2769" s="34"/>
      <c r="F2769" s="35"/>
      <c r="I2769" s="33"/>
      <c r="L2769" s="54">
        <f t="shared" si="25"/>
        <v>0</v>
      </c>
      <c r="M2769" s="33"/>
      <c r="N2769" s="33"/>
    </row>
    <row r="2770" spans="2:14" ht="15.75" x14ac:dyDescent="0.25">
      <c r="B2770" s="33"/>
      <c r="C2770" s="34"/>
      <c r="F2770" s="35"/>
      <c r="I2770" s="33"/>
      <c r="L2770" s="54">
        <f t="shared" ref="L2770:L2833" si="26">L2769+J2769-K2771</f>
        <v>0</v>
      </c>
      <c r="M2770" s="33"/>
      <c r="N2770" s="33"/>
    </row>
    <row r="2771" spans="2:14" ht="15.75" x14ac:dyDescent="0.25">
      <c r="B2771" s="33"/>
      <c r="C2771" s="34"/>
      <c r="F2771" s="35"/>
      <c r="I2771" s="33"/>
      <c r="L2771" s="54">
        <f t="shared" si="26"/>
        <v>0</v>
      </c>
      <c r="M2771" s="33"/>
      <c r="N2771" s="33"/>
    </row>
    <row r="2772" spans="2:14" ht="15.75" x14ac:dyDescent="0.25">
      <c r="B2772" s="33"/>
      <c r="C2772" s="34"/>
      <c r="F2772" s="35"/>
      <c r="I2772" s="33"/>
      <c r="L2772" s="54">
        <f t="shared" si="26"/>
        <v>0</v>
      </c>
      <c r="M2772" s="33"/>
      <c r="N2772" s="33"/>
    </row>
    <row r="2773" spans="2:14" ht="15.75" x14ac:dyDescent="0.25">
      <c r="B2773" s="33"/>
      <c r="C2773" s="34"/>
      <c r="F2773" s="35"/>
      <c r="I2773" s="33"/>
      <c r="L2773" s="54">
        <f t="shared" si="26"/>
        <v>0</v>
      </c>
      <c r="M2773" s="33"/>
      <c r="N2773" s="33"/>
    </row>
    <row r="2774" spans="2:14" ht="15.75" x14ac:dyDescent="0.25">
      <c r="B2774" s="33"/>
      <c r="C2774" s="34"/>
      <c r="F2774" s="35"/>
      <c r="I2774" s="33"/>
      <c r="L2774" s="54">
        <f t="shared" si="26"/>
        <v>0</v>
      </c>
      <c r="M2774" s="33"/>
      <c r="N2774" s="33"/>
    </row>
    <row r="2775" spans="2:14" ht="15.75" x14ac:dyDescent="0.25">
      <c r="B2775" s="33"/>
      <c r="C2775" s="34"/>
      <c r="F2775" s="35"/>
      <c r="I2775" s="33"/>
      <c r="L2775" s="54">
        <f t="shared" si="26"/>
        <v>0</v>
      </c>
      <c r="M2775" s="33"/>
      <c r="N2775" s="33"/>
    </row>
    <row r="2776" spans="2:14" ht="15.75" x14ac:dyDescent="0.25">
      <c r="B2776" s="33"/>
      <c r="C2776" s="34"/>
      <c r="F2776" s="35"/>
      <c r="I2776" s="33"/>
      <c r="L2776" s="54">
        <f t="shared" si="26"/>
        <v>0</v>
      </c>
      <c r="M2776" s="33"/>
      <c r="N2776" s="33"/>
    </row>
    <row r="2777" spans="2:14" ht="15.75" x14ac:dyDescent="0.25">
      <c r="B2777" s="33"/>
      <c r="C2777" s="34"/>
      <c r="F2777" s="35"/>
      <c r="I2777" s="33"/>
      <c r="L2777" s="54">
        <f t="shared" si="26"/>
        <v>0</v>
      </c>
      <c r="M2777" s="33"/>
      <c r="N2777" s="33"/>
    </row>
    <row r="2778" spans="2:14" ht="15.75" x14ac:dyDescent="0.25">
      <c r="B2778" s="33"/>
      <c r="C2778" s="34"/>
      <c r="F2778" s="35"/>
      <c r="I2778" s="33"/>
      <c r="L2778" s="54">
        <f t="shared" si="26"/>
        <v>0</v>
      </c>
      <c r="M2778" s="33"/>
      <c r="N2778" s="33"/>
    </row>
    <row r="2779" spans="2:14" ht="15.75" x14ac:dyDescent="0.25">
      <c r="B2779" s="33"/>
      <c r="C2779" s="34"/>
      <c r="F2779" s="35"/>
      <c r="I2779" s="33"/>
      <c r="L2779" s="54">
        <f t="shared" si="26"/>
        <v>0</v>
      </c>
      <c r="M2779" s="33"/>
      <c r="N2779" s="33"/>
    </row>
    <row r="2780" spans="2:14" ht="15.75" x14ac:dyDescent="0.25">
      <c r="B2780" s="33"/>
      <c r="C2780" s="34"/>
      <c r="F2780" s="35"/>
      <c r="I2780" s="33"/>
      <c r="L2780" s="54">
        <f t="shared" si="26"/>
        <v>0</v>
      </c>
      <c r="M2780" s="33"/>
      <c r="N2780" s="33"/>
    </row>
    <row r="2781" spans="2:14" ht="15.75" x14ac:dyDescent="0.25">
      <c r="B2781" s="33"/>
      <c r="C2781" s="34"/>
      <c r="F2781" s="35"/>
      <c r="I2781" s="33"/>
      <c r="L2781" s="54">
        <f t="shared" si="26"/>
        <v>0</v>
      </c>
      <c r="M2781" s="33"/>
      <c r="N2781" s="33"/>
    </row>
    <row r="2782" spans="2:14" ht="15.75" x14ac:dyDescent="0.25">
      <c r="B2782" s="33"/>
      <c r="C2782" s="34"/>
      <c r="F2782" s="35"/>
      <c r="I2782" s="33"/>
      <c r="L2782" s="54">
        <f t="shared" si="26"/>
        <v>0</v>
      </c>
      <c r="M2782" s="33"/>
      <c r="N2782" s="33"/>
    </row>
    <row r="2783" spans="2:14" ht="15.75" x14ac:dyDescent="0.25">
      <c r="B2783" s="33"/>
      <c r="C2783" s="34"/>
      <c r="F2783" s="35"/>
      <c r="I2783" s="33"/>
      <c r="L2783" s="54">
        <f t="shared" si="26"/>
        <v>0</v>
      </c>
      <c r="M2783" s="33"/>
      <c r="N2783" s="33"/>
    </row>
    <row r="2784" spans="2:14" ht="15.75" x14ac:dyDescent="0.25">
      <c r="B2784" s="33"/>
      <c r="C2784" s="34"/>
      <c r="F2784" s="35"/>
      <c r="I2784" s="33"/>
      <c r="L2784" s="54">
        <f t="shared" si="26"/>
        <v>0</v>
      </c>
      <c r="M2784" s="33"/>
      <c r="N2784" s="33"/>
    </row>
    <row r="2785" spans="2:14" ht="15.75" x14ac:dyDescent="0.25">
      <c r="B2785" s="33"/>
      <c r="C2785" s="34"/>
      <c r="F2785" s="35"/>
      <c r="I2785" s="33"/>
      <c r="L2785" s="54">
        <f t="shared" si="26"/>
        <v>0</v>
      </c>
      <c r="M2785" s="33"/>
      <c r="N2785" s="33"/>
    </row>
    <row r="2786" spans="2:14" ht="15.75" x14ac:dyDescent="0.25">
      <c r="B2786" s="33"/>
      <c r="C2786" s="34"/>
      <c r="F2786" s="35"/>
      <c r="I2786" s="33"/>
      <c r="L2786" s="54">
        <f t="shared" si="26"/>
        <v>0</v>
      </c>
      <c r="M2786" s="33"/>
      <c r="N2786" s="33"/>
    </row>
    <row r="2787" spans="2:14" ht="15.75" x14ac:dyDescent="0.25">
      <c r="B2787" s="33"/>
      <c r="C2787" s="34"/>
      <c r="F2787" s="35"/>
      <c r="I2787" s="33"/>
      <c r="L2787" s="54">
        <f t="shared" si="26"/>
        <v>0</v>
      </c>
      <c r="M2787" s="33"/>
      <c r="N2787" s="33"/>
    </row>
    <row r="2788" spans="2:14" ht="15.75" x14ac:dyDescent="0.25">
      <c r="B2788" s="33"/>
      <c r="C2788" s="34"/>
      <c r="F2788" s="35"/>
      <c r="I2788" s="33"/>
      <c r="L2788" s="54">
        <f t="shared" si="26"/>
        <v>0</v>
      </c>
      <c r="M2788" s="33"/>
      <c r="N2788" s="33"/>
    </row>
    <row r="2789" spans="2:14" ht="15.75" x14ac:dyDescent="0.25">
      <c r="B2789" s="33"/>
      <c r="C2789" s="34"/>
      <c r="F2789" s="35"/>
      <c r="I2789" s="33"/>
      <c r="L2789" s="54">
        <f t="shared" si="26"/>
        <v>0</v>
      </c>
      <c r="M2789" s="33"/>
      <c r="N2789" s="33"/>
    </row>
    <row r="2790" spans="2:14" ht="15.75" x14ac:dyDescent="0.25">
      <c r="B2790" s="33"/>
      <c r="C2790" s="34"/>
      <c r="F2790" s="35"/>
      <c r="I2790" s="33"/>
      <c r="L2790" s="54">
        <f t="shared" si="26"/>
        <v>0</v>
      </c>
      <c r="M2790" s="33"/>
      <c r="N2790" s="33"/>
    </row>
    <row r="2791" spans="2:14" ht="15.75" x14ac:dyDescent="0.25">
      <c r="B2791" s="33"/>
      <c r="C2791" s="34"/>
      <c r="F2791" s="35"/>
      <c r="I2791" s="33"/>
      <c r="L2791" s="54">
        <f t="shared" si="26"/>
        <v>0</v>
      </c>
      <c r="M2791" s="33"/>
      <c r="N2791" s="33"/>
    </row>
    <row r="2792" spans="2:14" ht="15.75" x14ac:dyDescent="0.25">
      <c r="B2792" s="33"/>
      <c r="C2792" s="34"/>
      <c r="F2792" s="35"/>
      <c r="I2792" s="33"/>
      <c r="L2792" s="54">
        <f t="shared" si="26"/>
        <v>0</v>
      </c>
      <c r="M2792" s="33"/>
      <c r="N2792" s="33"/>
    </row>
    <row r="2793" spans="2:14" ht="15.75" x14ac:dyDescent="0.25">
      <c r="B2793" s="33"/>
      <c r="C2793" s="34"/>
      <c r="F2793" s="35"/>
      <c r="I2793" s="33"/>
      <c r="L2793" s="54">
        <f t="shared" si="26"/>
        <v>0</v>
      </c>
      <c r="M2793" s="33"/>
      <c r="N2793" s="33"/>
    </row>
    <row r="2794" spans="2:14" ht="15.75" x14ac:dyDescent="0.25">
      <c r="B2794" s="33"/>
      <c r="C2794" s="34"/>
      <c r="F2794" s="35"/>
      <c r="I2794" s="33"/>
      <c r="L2794" s="54">
        <f t="shared" si="26"/>
        <v>0</v>
      </c>
      <c r="M2794" s="33"/>
      <c r="N2794" s="33"/>
    </row>
    <row r="2795" spans="2:14" ht="15.75" x14ac:dyDescent="0.25">
      <c r="B2795" s="33"/>
      <c r="C2795" s="34"/>
      <c r="F2795" s="35"/>
      <c r="I2795" s="33"/>
      <c r="L2795" s="54">
        <f t="shared" si="26"/>
        <v>0</v>
      </c>
      <c r="M2795" s="33"/>
      <c r="N2795" s="33"/>
    </row>
    <row r="2796" spans="2:14" ht="15.75" x14ac:dyDescent="0.25">
      <c r="B2796" s="33"/>
      <c r="C2796" s="34"/>
      <c r="F2796" s="35"/>
      <c r="I2796" s="33"/>
      <c r="L2796" s="54">
        <f t="shared" si="26"/>
        <v>0</v>
      </c>
      <c r="M2796" s="33"/>
      <c r="N2796" s="33"/>
    </row>
    <row r="2797" spans="2:14" ht="15.75" x14ac:dyDescent="0.25">
      <c r="B2797" s="33"/>
      <c r="C2797" s="34"/>
      <c r="F2797" s="35"/>
      <c r="I2797" s="33"/>
      <c r="L2797" s="54">
        <f t="shared" si="26"/>
        <v>0</v>
      </c>
      <c r="M2797" s="33"/>
      <c r="N2797" s="33"/>
    </row>
    <row r="2798" spans="2:14" ht="15.75" x14ac:dyDescent="0.25">
      <c r="B2798" s="33"/>
      <c r="C2798" s="34"/>
      <c r="F2798" s="35"/>
      <c r="I2798" s="33"/>
      <c r="L2798" s="54">
        <f t="shared" si="26"/>
        <v>0</v>
      </c>
      <c r="M2798" s="33"/>
      <c r="N2798" s="33"/>
    </row>
    <row r="2799" spans="2:14" ht="15.75" x14ac:dyDescent="0.25">
      <c r="B2799" s="33"/>
      <c r="C2799" s="34"/>
      <c r="F2799" s="35"/>
      <c r="I2799" s="33"/>
      <c r="L2799" s="54">
        <f t="shared" si="26"/>
        <v>0</v>
      </c>
      <c r="M2799" s="33"/>
      <c r="N2799" s="33"/>
    </row>
    <row r="2800" spans="2:14" ht="15.75" x14ac:dyDescent="0.25">
      <c r="B2800" s="33"/>
      <c r="C2800" s="34"/>
      <c r="F2800" s="35"/>
      <c r="I2800" s="33"/>
      <c r="L2800" s="54">
        <f t="shared" si="26"/>
        <v>0</v>
      </c>
      <c r="M2800" s="33"/>
      <c r="N2800" s="33"/>
    </row>
    <row r="2801" spans="2:14" ht="15.75" x14ac:dyDescent="0.25">
      <c r="B2801" s="33"/>
      <c r="C2801" s="34"/>
      <c r="F2801" s="35"/>
      <c r="I2801" s="33"/>
      <c r="L2801" s="54">
        <f t="shared" si="26"/>
        <v>0</v>
      </c>
      <c r="M2801" s="33"/>
      <c r="N2801" s="33"/>
    </row>
    <row r="2802" spans="2:14" ht="15.75" x14ac:dyDescent="0.25">
      <c r="B2802" s="33"/>
      <c r="C2802" s="34"/>
      <c r="F2802" s="35"/>
      <c r="I2802" s="33"/>
      <c r="L2802" s="54">
        <f t="shared" si="26"/>
        <v>0</v>
      </c>
      <c r="M2802" s="33"/>
      <c r="N2802" s="33"/>
    </row>
    <row r="2803" spans="2:14" ht="15.75" x14ac:dyDescent="0.25">
      <c r="B2803" s="33"/>
      <c r="C2803" s="34"/>
      <c r="F2803" s="35"/>
      <c r="I2803" s="33"/>
      <c r="L2803" s="54">
        <f t="shared" si="26"/>
        <v>0</v>
      </c>
      <c r="M2803" s="33"/>
      <c r="N2803" s="33"/>
    </row>
    <row r="2804" spans="2:14" ht="15.75" x14ac:dyDescent="0.25">
      <c r="B2804" s="33"/>
      <c r="C2804" s="34"/>
      <c r="F2804" s="35"/>
      <c r="I2804" s="33"/>
      <c r="L2804" s="54">
        <f t="shared" si="26"/>
        <v>0</v>
      </c>
      <c r="M2804" s="33"/>
      <c r="N2804" s="33"/>
    </row>
    <row r="2805" spans="2:14" ht="15.75" x14ac:dyDescent="0.25">
      <c r="B2805" s="33"/>
      <c r="C2805" s="34"/>
      <c r="F2805" s="35"/>
      <c r="I2805" s="33"/>
      <c r="L2805" s="54">
        <f t="shared" si="26"/>
        <v>0</v>
      </c>
      <c r="M2805" s="33"/>
      <c r="N2805" s="33"/>
    </row>
    <row r="2806" spans="2:14" ht="15.75" x14ac:dyDescent="0.25">
      <c r="B2806" s="33"/>
      <c r="C2806" s="34"/>
      <c r="F2806" s="35"/>
      <c r="I2806" s="33"/>
      <c r="L2806" s="54">
        <f t="shared" si="26"/>
        <v>0</v>
      </c>
      <c r="M2806" s="33"/>
      <c r="N2806" s="33"/>
    </row>
    <row r="2807" spans="2:14" ht="15.75" x14ac:dyDescent="0.25">
      <c r="B2807" s="33"/>
      <c r="C2807" s="34"/>
      <c r="F2807" s="35"/>
      <c r="I2807" s="33"/>
      <c r="L2807" s="54">
        <f t="shared" si="26"/>
        <v>0</v>
      </c>
      <c r="M2807" s="33"/>
      <c r="N2807" s="33"/>
    </row>
    <row r="2808" spans="2:14" ht="15.75" x14ac:dyDescent="0.25">
      <c r="B2808" s="33"/>
      <c r="C2808" s="34"/>
      <c r="F2808" s="35"/>
      <c r="I2808" s="33"/>
      <c r="L2808" s="54">
        <f t="shared" si="26"/>
        <v>0</v>
      </c>
      <c r="M2808" s="33"/>
      <c r="N2808" s="33"/>
    </row>
    <row r="2809" spans="2:14" ht="15.75" x14ac:dyDescent="0.25">
      <c r="B2809" s="33"/>
      <c r="C2809" s="34"/>
      <c r="F2809" s="35"/>
      <c r="I2809" s="33"/>
      <c r="L2809" s="54">
        <f t="shared" si="26"/>
        <v>0</v>
      </c>
      <c r="M2809" s="33"/>
      <c r="N2809" s="33"/>
    </row>
    <row r="2810" spans="2:14" ht="15.75" x14ac:dyDescent="0.25">
      <c r="B2810" s="33"/>
      <c r="C2810" s="34"/>
      <c r="F2810" s="35"/>
      <c r="I2810" s="33"/>
      <c r="L2810" s="54">
        <f t="shared" si="26"/>
        <v>0</v>
      </c>
      <c r="M2810" s="33"/>
      <c r="N2810" s="33"/>
    </row>
    <row r="2811" spans="2:14" ht="15.75" x14ac:dyDescent="0.25">
      <c r="B2811" s="33"/>
      <c r="C2811" s="34"/>
      <c r="F2811" s="35"/>
      <c r="I2811" s="33"/>
      <c r="L2811" s="54">
        <f t="shared" si="26"/>
        <v>0</v>
      </c>
      <c r="M2811" s="33"/>
      <c r="N2811" s="33"/>
    </row>
    <row r="2812" spans="2:14" ht="15.75" x14ac:dyDescent="0.25">
      <c r="B2812" s="33"/>
      <c r="C2812" s="34"/>
      <c r="F2812" s="35"/>
      <c r="I2812" s="33"/>
      <c r="L2812" s="54">
        <f t="shared" si="26"/>
        <v>0</v>
      </c>
      <c r="M2812" s="33"/>
      <c r="N2812" s="33"/>
    </row>
    <row r="2813" spans="2:14" ht="15.75" x14ac:dyDescent="0.25">
      <c r="B2813" s="33"/>
      <c r="C2813" s="34"/>
      <c r="F2813" s="35"/>
      <c r="I2813" s="33"/>
      <c r="L2813" s="54">
        <f t="shared" si="26"/>
        <v>0</v>
      </c>
      <c r="M2813" s="33"/>
      <c r="N2813" s="33"/>
    </row>
    <row r="2814" spans="2:14" ht="15.75" x14ac:dyDescent="0.25">
      <c r="B2814" s="33"/>
      <c r="C2814" s="34"/>
      <c r="F2814" s="35"/>
      <c r="I2814" s="33"/>
      <c r="L2814" s="54">
        <f t="shared" si="26"/>
        <v>0</v>
      </c>
      <c r="M2814" s="33"/>
      <c r="N2814" s="33"/>
    </row>
    <row r="2815" spans="2:14" ht="15.75" x14ac:dyDescent="0.25">
      <c r="B2815" s="33"/>
      <c r="C2815" s="34"/>
      <c r="F2815" s="35"/>
      <c r="I2815" s="33"/>
      <c r="L2815" s="54">
        <f t="shared" si="26"/>
        <v>0</v>
      </c>
      <c r="M2815" s="33"/>
      <c r="N2815" s="33"/>
    </row>
    <row r="2816" spans="2:14" ht="15.75" x14ac:dyDescent="0.25">
      <c r="B2816" s="33"/>
      <c r="C2816" s="34"/>
      <c r="F2816" s="35"/>
      <c r="I2816" s="33"/>
      <c r="L2816" s="54">
        <f t="shared" si="26"/>
        <v>0</v>
      </c>
      <c r="M2816" s="33"/>
      <c r="N2816" s="33"/>
    </row>
    <row r="2817" spans="2:14" ht="15.75" x14ac:dyDescent="0.25">
      <c r="B2817" s="33"/>
      <c r="C2817" s="34"/>
      <c r="F2817" s="35"/>
      <c r="I2817" s="33"/>
      <c r="L2817" s="54">
        <f t="shared" si="26"/>
        <v>0</v>
      </c>
      <c r="M2817" s="33"/>
      <c r="N2817" s="33"/>
    </row>
    <row r="2818" spans="2:14" ht="15.75" x14ac:dyDescent="0.25">
      <c r="B2818" s="33"/>
      <c r="C2818" s="34"/>
      <c r="F2818" s="35"/>
      <c r="I2818" s="33"/>
      <c r="L2818" s="54">
        <f t="shared" si="26"/>
        <v>0</v>
      </c>
      <c r="M2818" s="33"/>
      <c r="N2818" s="33"/>
    </row>
    <row r="2819" spans="2:14" ht="15.75" x14ac:dyDescent="0.25">
      <c r="B2819" s="33"/>
      <c r="C2819" s="34"/>
      <c r="F2819" s="35"/>
      <c r="I2819" s="33"/>
      <c r="L2819" s="54">
        <f t="shared" si="26"/>
        <v>0</v>
      </c>
      <c r="M2819" s="33"/>
      <c r="N2819" s="33"/>
    </row>
    <row r="2820" spans="2:14" ht="15.75" x14ac:dyDescent="0.25">
      <c r="B2820" s="33"/>
      <c r="C2820" s="34"/>
      <c r="F2820" s="35"/>
      <c r="I2820" s="33"/>
      <c r="L2820" s="54">
        <f t="shared" si="26"/>
        <v>0</v>
      </c>
      <c r="M2820" s="33"/>
      <c r="N2820" s="33"/>
    </row>
    <row r="2821" spans="2:14" ht="15.75" x14ac:dyDescent="0.25">
      <c r="B2821" s="33"/>
      <c r="C2821" s="34"/>
      <c r="F2821" s="35"/>
      <c r="I2821" s="33"/>
      <c r="L2821" s="54">
        <f t="shared" si="26"/>
        <v>0</v>
      </c>
      <c r="M2821" s="33"/>
      <c r="N2821" s="33"/>
    </row>
    <row r="2822" spans="2:14" ht="15.75" x14ac:dyDescent="0.25">
      <c r="B2822" s="33"/>
      <c r="C2822" s="34"/>
      <c r="F2822" s="35"/>
      <c r="I2822" s="33"/>
      <c r="L2822" s="54">
        <f t="shared" si="26"/>
        <v>0</v>
      </c>
      <c r="M2822" s="33"/>
      <c r="N2822" s="33"/>
    </row>
    <row r="2823" spans="2:14" ht="15.75" x14ac:dyDescent="0.25">
      <c r="B2823" s="33"/>
      <c r="C2823" s="34"/>
      <c r="F2823" s="35"/>
      <c r="I2823" s="33"/>
      <c r="L2823" s="54">
        <f t="shared" si="26"/>
        <v>0</v>
      </c>
      <c r="M2823" s="33"/>
      <c r="N2823" s="33"/>
    </row>
    <row r="2824" spans="2:14" ht="15.75" x14ac:dyDescent="0.25">
      <c r="B2824" s="33"/>
      <c r="C2824" s="34"/>
      <c r="F2824" s="35"/>
      <c r="I2824" s="33"/>
      <c r="L2824" s="54">
        <f t="shared" si="26"/>
        <v>0</v>
      </c>
      <c r="M2824" s="33"/>
      <c r="N2824" s="33"/>
    </row>
    <row r="2825" spans="2:14" ht="15.75" x14ac:dyDescent="0.25">
      <c r="B2825" s="33"/>
      <c r="C2825" s="34"/>
      <c r="F2825" s="35"/>
      <c r="I2825" s="33"/>
      <c r="L2825" s="54">
        <f t="shared" si="26"/>
        <v>0</v>
      </c>
      <c r="M2825" s="33"/>
      <c r="N2825" s="33"/>
    </row>
    <row r="2826" spans="2:14" ht="15.75" x14ac:dyDescent="0.25">
      <c r="B2826" s="33"/>
      <c r="C2826" s="34"/>
      <c r="F2826" s="35"/>
      <c r="I2826" s="33"/>
      <c r="L2826" s="54">
        <f t="shared" si="26"/>
        <v>0</v>
      </c>
      <c r="M2826" s="33"/>
      <c r="N2826" s="33"/>
    </row>
    <row r="2827" spans="2:14" ht="15.75" x14ac:dyDescent="0.25">
      <c r="B2827" s="33"/>
      <c r="C2827" s="34"/>
      <c r="F2827" s="35"/>
      <c r="I2827" s="33"/>
      <c r="L2827" s="54">
        <f t="shared" si="26"/>
        <v>0</v>
      </c>
      <c r="M2827" s="33"/>
      <c r="N2827" s="33"/>
    </row>
    <row r="2828" spans="2:14" ht="15.75" x14ac:dyDescent="0.25">
      <c r="B2828" s="33"/>
      <c r="C2828" s="34"/>
      <c r="F2828" s="35"/>
      <c r="I2828" s="33"/>
      <c r="L2828" s="54">
        <f t="shared" si="26"/>
        <v>0</v>
      </c>
      <c r="M2828" s="33"/>
      <c r="N2828" s="33"/>
    </row>
    <row r="2829" spans="2:14" ht="15.75" x14ac:dyDescent="0.25">
      <c r="B2829" s="33"/>
      <c r="C2829" s="34"/>
      <c r="F2829" s="35"/>
      <c r="I2829" s="33"/>
      <c r="L2829" s="54">
        <f t="shared" si="26"/>
        <v>0</v>
      </c>
      <c r="M2829" s="33"/>
      <c r="N2829" s="33"/>
    </row>
    <row r="2830" spans="2:14" ht="15.75" x14ac:dyDescent="0.25">
      <c r="B2830" s="33"/>
      <c r="C2830" s="34"/>
      <c r="F2830" s="35"/>
      <c r="I2830" s="33"/>
      <c r="L2830" s="54">
        <f t="shared" si="26"/>
        <v>0</v>
      </c>
      <c r="M2830" s="33"/>
      <c r="N2830" s="33"/>
    </row>
    <row r="2831" spans="2:14" ht="15.75" x14ac:dyDescent="0.25">
      <c r="B2831" s="33"/>
      <c r="C2831" s="34"/>
      <c r="F2831" s="35"/>
      <c r="I2831" s="33"/>
      <c r="L2831" s="54">
        <f t="shared" si="26"/>
        <v>0</v>
      </c>
      <c r="M2831" s="33"/>
      <c r="N2831" s="33"/>
    </row>
    <row r="2832" spans="2:14" ht="15.75" x14ac:dyDescent="0.25">
      <c r="B2832" s="33"/>
      <c r="C2832" s="34"/>
      <c r="F2832" s="35"/>
      <c r="I2832" s="33"/>
      <c r="L2832" s="54">
        <f t="shared" si="26"/>
        <v>0</v>
      </c>
      <c r="M2832" s="33"/>
      <c r="N2832" s="33"/>
    </row>
    <row r="2833" spans="2:14" ht="15.75" x14ac:dyDescent="0.25">
      <c r="B2833" s="33"/>
      <c r="C2833" s="34"/>
      <c r="F2833" s="35"/>
      <c r="I2833" s="33"/>
      <c r="L2833" s="54">
        <f t="shared" si="26"/>
        <v>0</v>
      </c>
      <c r="M2833" s="33"/>
      <c r="N2833" s="33"/>
    </row>
    <row r="2834" spans="2:14" ht="15.75" x14ac:dyDescent="0.25">
      <c r="B2834" s="33"/>
      <c r="C2834" s="34"/>
      <c r="F2834" s="35"/>
      <c r="I2834" s="33"/>
      <c r="L2834" s="54">
        <f t="shared" ref="L2834:L2897" si="27">L2833+J2833-K2835</f>
        <v>0</v>
      </c>
      <c r="M2834" s="33"/>
      <c r="N2834" s="33"/>
    </row>
    <row r="2835" spans="2:14" ht="15.75" x14ac:dyDescent="0.25">
      <c r="B2835" s="33"/>
      <c r="C2835" s="34"/>
      <c r="F2835" s="35"/>
      <c r="I2835" s="33"/>
      <c r="L2835" s="54">
        <f t="shared" si="27"/>
        <v>0</v>
      </c>
      <c r="M2835" s="33"/>
      <c r="N2835" s="33"/>
    </row>
    <row r="2836" spans="2:14" ht="15.75" x14ac:dyDescent="0.25">
      <c r="B2836" s="33"/>
      <c r="C2836" s="34"/>
      <c r="F2836" s="35"/>
      <c r="I2836" s="33"/>
      <c r="L2836" s="54">
        <f t="shared" si="27"/>
        <v>0</v>
      </c>
      <c r="M2836" s="33"/>
      <c r="N2836" s="33"/>
    </row>
    <row r="2837" spans="2:14" ht="15.75" x14ac:dyDescent="0.25">
      <c r="B2837" s="33"/>
      <c r="C2837" s="34"/>
      <c r="F2837" s="35"/>
      <c r="I2837" s="33"/>
      <c r="L2837" s="54">
        <f t="shared" si="27"/>
        <v>0</v>
      </c>
      <c r="M2837" s="33"/>
      <c r="N2837" s="33"/>
    </row>
    <row r="2838" spans="2:14" ht="15.75" x14ac:dyDescent="0.25">
      <c r="B2838" s="33"/>
      <c r="C2838" s="34"/>
      <c r="F2838" s="35"/>
      <c r="I2838" s="33"/>
      <c r="L2838" s="54">
        <f t="shared" si="27"/>
        <v>0</v>
      </c>
      <c r="M2838" s="33"/>
      <c r="N2838" s="33"/>
    </row>
    <row r="2839" spans="2:14" ht="15.75" x14ac:dyDescent="0.25">
      <c r="B2839" s="33"/>
      <c r="C2839" s="34"/>
      <c r="F2839" s="35"/>
      <c r="I2839" s="33"/>
      <c r="L2839" s="54">
        <f t="shared" si="27"/>
        <v>0</v>
      </c>
      <c r="M2839" s="33"/>
      <c r="N2839" s="33"/>
    </row>
    <row r="2840" spans="2:14" ht="15.75" x14ac:dyDescent="0.25">
      <c r="B2840" s="33"/>
      <c r="C2840" s="34"/>
      <c r="F2840" s="35"/>
      <c r="I2840" s="33"/>
      <c r="L2840" s="54">
        <f t="shared" si="27"/>
        <v>0</v>
      </c>
      <c r="M2840" s="33"/>
      <c r="N2840" s="33"/>
    </row>
    <row r="2841" spans="2:14" ht="15.75" x14ac:dyDescent="0.25">
      <c r="B2841" s="33"/>
      <c r="C2841" s="34"/>
      <c r="F2841" s="35"/>
      <c r="I2841" s="33"/>
      <c r="L2841" s="54">
        <f t="shared" si="27"/>
        <v>0</v>
      </c>
      <c r="M2841" s="33"/>
      <c r="N2841" s="33"/>
    </row>
    <row r="2842" spans="2:14" ht="15.75" x14ac:dyDescent="0.25">
      <c r="B2842" s="33"/>
      <c r="C2842" s="34"/>
      <c r="F2842" s="35"/>
      <c r="I2842" s="33"/>
      <c r="L2842" s="54">
        <f t="shared" si="27"/>
        <v>0</v>
      </c>
      <c r="M2842" s="33"/>
      <c r="N2842" s="33"/>
    </row>
    <row r="2843" spans="2:14" ht="15.75" x14ac:dyDescent="0.25">
      <c r="B2843" s="33"/>
      <c r="C2843" s="34"/>
      <c r="F2843" s="35"/>
      <c r="I2843" s="33"/>
      <c r="L2843" s="54">
        <f t="shared" si="27"/>
        <v>0</v>
      </c>
      <c r="M2843" s="33"/>
      <c r="N2843" s="33"/>
    </row>
    <row r="2844" spans="2:14" ht="15.75" x14ac:dyDescent="0.25">
      <c r="B2844" s="33"/>
      <c r="C2844" s="34"/>
      <c r="F2844" s="35"/>
      <c r="I2844" s="33"/>
      <c r="L2844" s="54">
        <f t="shared" si="27"/>
        <v>0</v>
      </c>
      <c r="M2844" s="33"/>
      <c r="N2844" s="33"/>
    </row>
    <row r="2845" spans="2:14" ht="15.75" x14ac:dyDescent="0.25">
      <c r="B2845" s="33"/>
      <c r="C2845" s="34"/>
      <c r="F2845" s="35"/>
      <c r="I2845" s="33"/>
      <c r="L2845" s="54">
        <f t="shared" si="27"/>
        <v>0</v>
      </c>
      <c r="M2845" s="33"/>
      <c r="N2845" s="33"/>
    </row>
    <row r="2846" spans="2:14" ht="15.75" x14ac:dyDescent="0.25">
      <c r="B2846" s="33"/>
      <c r="C2846" s="34"/>
      <c r="F2846" s="35"/>
      <c r="I2846" s="33"/>
      <c r="L2846" s="54">
        <f t="shared" si="27"/>
        <v>0</v>
      </c>
      <c r="M2846" s="33"/>
      <c r="N2846" s="33"/>
    </row>
    <row r="2847" spans="2:14" ht="15.75" x14ac:dyDescent="0.25">
      <c r="B2847" s="33"/>
      <c r="C2847" s="34"/>
      <c r="F2847" s="35"/>
      <c r="I2847" s="33"/>
      <c r="L2847" s="54">
        <f t="shared" si="27"/>
        <v>0</v>
      </c>
      <c r="M2847" s="33"/>
      <c r="N2847" s="33"/>
    </row>
    <row r="2848" spans="2:14" ht="15.75" x14ac:dyDescent="0.25">
      <c r="B2848" s="33"/>
      <c r="C2848" s="34"/>
      <c r="F2848" s="35"/>
      <c r="I2848" s="33"/>
      <c r="L2848" s="54">
        <f t="shared" si="27"/>
        <v>0</v>
      </c>
      <c r="M2848" s="33"/>
      <c r="N2848" s="33"/>
    </row>
    <row r="2849" spans="2:14" ht="15.75" x14ac:dyDescent="0.25">
      <c r="B2849" s="33"/>
      <c r="C2849" s="34"/>
      <c r="F2849" s="35"/>
      <c r="I2849" s="33"/>
      <c r="L2849" s="54">
        <f t="shared" si="27"/>
        <v>0</v>
      </c>
      <c r="M2849" s="33"/>
      <c r="N2849" s="33"/>
    </row>
    <row r="2850" spans="2:14" ht="15.75" x14ac:dyDescent="0.25">
      <c r="B2850" s="33"/>
      <c r="C2850" s="34"/>
      <c r="F2850" s="35"/>
      <c r="I2850" s="33"/>
      <c r="L2850" s="54">
        <f t="shared" si="27"/>
        <v>0</v>
      </c>
      <c r="M2850" s="33"/>
      <c r="N2850" s="33"/>
    </row>
    <row r="2851" spans="2:14" ht="15.75" x14ac:dyDescent="0.25">
      <c r="B2851" s="33"/>
      <c r="C2851" s="34"/>
      <c r="F2851" s="35"/>
      <c r="I2851" s="33"/>
      <c r="L2851" s="54">
        <f t="shared" si="27"/>
        <v>0</v>
      </c>
      <c r="M2851" s="33"/>
      <c r="N2851" s="33"/>
    </row>
    <row r="2852" spans="2:14" ht="15.75" x14ac:dyDescent="0.25">
      <c r="B2852" s="33"/>
      <c r="C2852" s="34"/>
      <c r="F2852" s="35"/>
      <c r="I2852" s="33"/>
      <c r="L2852" s="54">
        <f t="shared" si="27"/>
        <v>0</v>
      </c>
      <c r="M2852" s="33"/>
      <c r="N2852" s="33"/>
    </row>
    <row r="2853" spans="2:14" ht="15.75" x14ac:dyDescent="0.25">
      <c r="B2853" s="33"/>
      <c r="C2853" s="34"/>
      <c r="F2853" s="35"/>
      <c r="I2853" s="33"/>
      <c r="L2853" s="54">
        <f t="shared" si="27"/>
        <v>0</v>
      </c>
      <c r="M2853" s="33"/>
      <c r="N2853" s="33"/>
    </row>
    <row r="2854" spans="2:14" ht="15.75" x14ac:dyDescent="0.25">
      <c r="B2854" s="33"/>
      <c r="C2854" s="34"/>
      <c r="F2854" s="35"/>
      <c r="I2854" s="33"/>
      <c r="L2854" s="54">
        <f t="shared" si="27"/>
        <v>0</v>
      </c>
      <c r="M2854" s="33"/>
      <c r="N2854" s="33"/>
    </row>
    <row r="2855" spans="2:14" ht="15.75" x14ac:dyDescent="0.25">
      <c r="B2855" s="33"/>
      <c r="C2855" s="34"/>
      <c r="F2855" s="35"/>
      <c r="I2855" s="33"/>
      <c r="L2855" s="54">
        <f t="shared" si="27"/>
        <v>0</v>
      </c>
      <c r="M2855" s="33"/>
      <c r="N2855" s="33"/>
    </row>
    <row r="2856" spans="2:14" ht="15.75" x14ac:dyDescent="0.25">
      <c r="B2856" s="33"/>
      <c r="C2856" s="34"/>
      <c r="F2856" s="35"/>
      <c r="I2856" s="33"/>
      <c r="L2856" s="54">
        <f t="shared" si="27"/>
        <v>0</v>
      </c>
      <c r="M2856" s="33"/>
      <c r="N2856" s="33"/>
    </row>
    <row r="2857" spans="2:14" ht="15.75" x14ac:dyDescent="0.25">
      <c r="B2857" s="33"/>
      <c r="C2857" s="34"/>
      <c r="F2857" s="35"/>
      <c r="I2857" s="33"/>
      <c r="L2857" s="54">
        <f t="shared" si="27"/>
        <v>0</v>
      </c>
      <c r="M2857" s="33"/>
      <c r="N2857" s="33"/>
    </row>
    <row r="2858" spans="2:14" ht="15.75" x14ac:dyDescent="0.25">
      <c r="B2858" s="33"/>
      <c r="C2858" s="34"/>
      <c r="F2858" s="35"/>
      <c r="I2858" s="33"/>
      <c r="L2858" s="54">
        <f t="shared" si="27"/>
        <v>0</v>
      </c>
      <c r="M2858" s="33"/>
      <c r="N2858" s="33"/>
    </row>
    <row r="2859" spans="2:14" ht="15.75" x14ac:dyDescent="0.25">
      <c r="B2859" s="33"/>
      <c r="C2859" s="34"/>
      <c r="F2859" s="35"/>
      <c r="I2859" s="33"/>
      <c r="L2859" s="54">
        <f t="shared" si="27"/>
        <v>0</v>
      </c>
      <c r="M2859" s="33"/>
      <c r="N2859" s="33"/>
    </row>
    <row r="2860" spans="2:14" ht="15.75" x14ac:dyDescent="0.25">
      <c r="B2860" s="33"/>
      <c r="C2860" s="34"/>
      <c r="F2860" s="35"/>
      <c r="I2860" s="33"/>
      <c r="L2860" s="54">
        <f t="shared" si="27"/>
        <v>0</v>
      </c>
      <c r="M2860" s="33"/>
      <c r="N2860" s="33"/>
    </row>
    <row r="2861" spans="2:14" ht="15.75" x14ac:dyDescent="0.25">
      <c r="B2861" s="33"/>
      <c r="C2861" s="34"/>
      <c r="F2861" s="35"/>
      <c r="I2861" s="33"/>
      <c r="L2861" s="54">
        <f t="shared" si="27"/>
        <v>0</v>
      </c>
      <c r="M2861" s="33"/>
      <c r="N2861" s="33"/>
    </row>
    <row r="2862" spans="2:14" ht="15.75" x14ac:dyDescent="0.25">
      <c r="B2862" s="33"/>
      <c r="C2862" s="34"/>
      <c r="F2862" s="35"/>
      <c r="I2862" s="33"/>
      <c r="L2862" s="54">
        <f t="shared" si="27"/>
        <v>0</v>
      </c>
      <c r="M2862" s="33"/>
      <c r="N2862" s="33"/>
    </row>
    <row r="2863" spans="2:14" ht="15.75" x14ac:dyDescent="0.25">
      <c r="B2863" s="33"/>
      <c r="C2863" s="34"/>
      <c r="F2863" s="35"/>
      <c r="I2863" s="33"/>
      <c r="L2863" s="54">
        <f t="shared" si="27"/>
        <v>0</v>
      </c>
      <c r="M2863" s="33"/>
      <c r="N2863" s="33"/>
    </row>
    <row r="2864" spans="2:14" ht="15.75" x14ac:dyDescent="0.25">
      <c r="B2864" s="33"/>
      <c r="C2864" s="34"/>
      <c r="F2864" s="35"/>
      <c r="I2864" s="33"/>
      <c r="L2864" s="54">
        <f t="shared" si="27"/>
        <v>0</v>
      </c>
      <c r="M2864" s="33"/>
      <c r="N2864" s="33"/>
    </row>
    <row r="2865" spans="2:14" ht="15.75" x14ac:dyDescent="0.25">
      <c r="B2865" s="33"/>
      <c r="C2865" s="34"/>
      <c r="F2865" s="35"/>
      <c r="I2865" s="33"/>
      <c r="L2865" s="54">
        <f t="shared" si="27"/>
        <v>0</v>
      </c>
      <c r="M2865" s="33"/>
      <c r="N2865" s="33"/>
    </row>
    <row r="2866" spans="2:14" ht="15.75" x14ac:dyDescent="0.25">
      <c r="B2866" s="33"/>
      <c r="C2866" s="34"/>
      <c r="F2866" s="35"/>
      <c r="I2866" s="33"/>
      <c r="L2866" s="54">
        <f t="shared" si="27"/>
        <v>0</v>
      </c>
      <c r="M2866" s="33"/>
      <c r="N2866" s="33"/>
    </row>
    <row r="2867" spans="2:14" ht="15.75" x14ac:dyDescent="0.25">
      <c r="B2867" s="33"/>
      <c r="C2867" s="34"/>
      <c r="F2867" s="35"/>
      <c r="I2867" s="33"/>
      <c r="L2867" s="54">
        <f t="shared" si="27"/>
        <v>0</v>
      </c>
      <c r="M2867" s="33"/>
      <c r="N2867" s="33"/>
    </row>
    <row r="2868" spans="2:14" ht="15.75" x14ac:dyDescent="0.25">
      <c r="B2868" s="33"/>
      <c r="C2868" s="34"/>
      <c r="F2868" s="35"/>
      <c r="I2868" s="33"/>
      <c r="L2868" s="54">
        <f t="shared" si="27"/>
        <v>0</v>
      </c>
      <c r="M2868" s="33"/>
      <c r="N2868" s="33"/>
    </row>
    <row r="2869" spans="2:14" ht="15.75" x14ac:dyDescent="0.25">
      <c r="B2869" s="33"/>
      <c r="C2869" s="34"/>
      <c r="F2869" s="35"/>
      <c r="I2869" s="33"/>
      <c r="L2869" s="54">
        <f t="shared" si="27"/>
        <v>0</v>
      </c>
      <c r="M2869" s="33"/>
      <c r="N2869" s="33"/>
    </row>
    <row r="2870" spans="2:14" ht="15.75" x14ac:dyDescent="0.25">
      <c r="B2870" s="33"/>
      <c r="C2870" s="34"/>
      <c r="F2870" s="35"/>
      <c r="I2870" s="33"/>
      <c r="L2870" s="54">
        <f t="shared" si="27"/>
        <v>0</v>
      </c>
      <c r="M2870" s="33"/>
      <c r="N2870" s="33"/>
    </row>
    <row r="2871" spans="2:14" ht="15.75" x14ac:dyDescent="0.25">
      <c r="B2871" s="33"/>
      <c r="C2871" s="34"/>
      <c r="F2871" s="35"/>
      <c r="I2871" s="33"/>
      <c r="L2871" s="54">
        <f t="shared" si="27"/>
        <v>0</v>
      </c>
      <c r="M2871" s="33"/>
      <c r="N2871" s="33"/>
    </row>
    <row r="2872" spans="2:14" ht="15.75" x14ac:dyDescent="0.25">
      <c r="B2872" s="33"/>
      <c r="C2872" s="34"/>
      <c r="F2872" s="35"/>
      <c r="I2872" s="33"/>
      <c r="L2872" s="54">
        <f t="shared" si="27"/>
        <v>0</v>
      </c>
      <c r="M2872" s="33"/>
      <c r="N2872" s="33"/>
    </row>
    <row r="2873" spans="2:14" ht="15.75" x14ac:dyDescent="0.25">
      <c r="B2873" s="33"/>
      <c r="C2873" s="34"/>
      <c r="F2873" s="35"/>
      <c r="I2873" s="33"/>
      <c r="L2873" s="54">
        <f t="shared" si="27"/>
        <v>0</v>
      </c>
      <c r="M2873" s="33"/>
      <c r="N2873" s="33"/>
    </row>
    <row r="2874" spans="2:14" ht="15.75" x14ac:dyDescent="0.25">
      <c r="B2874" s="33"/>
      <c r="C2874" s="34"/>
      <c r="F2874" s="35"/>
      <c r="I2874" s="33"/>
      <c r="L2874" s="54">
        <f t="shared" si="27"/>
        <v>0</v>
      </c>
      <c r="M2874" s="33"/>
      <c r="N2874" s="33"/>
    </row>
    <row r="2875" spans="2:14" ht="15.75" x14ac:dyDescent="0.25">
      <c r="B2875" s="33"/>
      <c r="C2875" s="34"/>
      <c r="F2875" s="35"/>
      <c r="I2875" s="33"/>
      <c r="L2875" s="54">
        <f t="shared" si="27"/>
        <v>0</v>
      </c>
      <c r="M2875" s="33"/>
      <c r="N2875" s="33"/>
    </row>
    <row r="2876" spans="2:14" ht="15.75" x14ac:dyDescent="0.25">
      <c r="B2876" s="33"/>
      <c r="C2876" s="34"/>
      <c r="F2876" s="35"/>
      <c r="I2876" s="33"/>
      <c r="L2876" s="54">
        <f t="shared" si="27"/>
        <v>0</v>
      </c>
      <c r="M2876" s="33"/>
      <c r="N2876" s="33"/>
    </row>
    <row r="2877" spans="2:14" ht="15.75" x14ac:dyDescent="0.25">
      <c r="B2877" s="33"/>
      <c r="C2877" s="34"/>
      <c r="F2877" s="35"/>
      <c r="I2877" s="33"/>
      <c r="L2877" s="54">
        <f t="shared" si="27"/>
        <v>0</v>
      </c>
      <c r="M2877" s="33"/>
      <c r="N2877" s="33"/>
    </row>
    <row r="2878" spans="2:14" ht="15.75" x14ac:dyDescent="0.25">
      <c r="B2878" s="33"/>
      <c r="C2878" s="34"/>
      <c r="F2878" s="35"/>
      <c r="I2878" s="33"/>
      <c r="L2878" s="54">
        <f t="shared" si="27"/>
        <v>0</v>
      </c>
      <c r="M2878" s="33"/>
      <c r="N2878" s="33"/>
    </row>
    <row r="2879" spans="2:14" ht="15.75" x14ac:dyDescent="0.25">
      <c r="B2879" s="33"/>
      <c r="C2879" s="34"/>
      <c r="F2879" s="35"/>
      <c r="I2879" s="33"/>
      <c r="L2879" s="54">
        <f t="shared" si="27"/>
        <v>0</v>
      </c>
      <c r="M2879" s="33"/>
      <c r="N2879" s="33"/>
    </row>
    <row r="2880" spans="2:14" ht="15.75" x14ac:dyDescent="0.25">
      <c r="B2880" s="33"/>
      <c r="C2880" s="34"/>
      <c r="F2880" s="35"/>
      <c r="I2880" s="33"/>
      <c r="L2880" s="54">
        <f t="shared" si="27"/>
        <v>0</v>
      </c>
      <c r="M2880" s="33"/>
      <c r="N2880" s="33"/>
    </row>
    <row r="2881" spans="2:14" ht="15.75" x14ac:dyDescent="0.25">
      <c r="B2881" s="33"/>
      <c r="C2881" s="34"/>
      <c r="F2881" s="35"/>
      <c r="I2881" s="33"/>
      <c r="L2881" s="54">
        <f t="shared" si="27"/>
        <v>0</v>
      </c>
      <c r="M2881" s="33"/>
      <c r="N2881" s="33"/>
    </row>
    <row r="2882" spans="2:14" ht="15.75" x14ac:dyDescent="0.25">
      <c r="B2882" s="33"/>
      <c r="C2882" s="34"/>
      <c r="F2882" s="35"/>
      <c r="I2882" s="33"/>
      <c r="L2882" s="54">
        <f t="shared" si="27"/>
        <v>0</v>
      </c>
      <c r="M2882" s="33"/>
      <c r="N2882" s="33"/>
    </row>
    <row r="2883" spans="2:14" ht="15.75" x14ac:dyDescent="0.25">
      <c r="B2883" s="33"/>
      <c r="C2883" s="34"/>
      <c r="F2883" s="35"/>
      <c r="I2883" s="33"/>
      <c r="L2883" s="54">
        <f t="shared" si="27"/>
        <v>0</v>
      </c>
      <c r="M2883" s="33"/>
      <c r="N2883" s="33"/>
    </row>
    <row r="2884" spans="2:14" ht="15.75" x14ac:dyDescent="0.25">
      <c r="B2884" s="33"/>
      <c r="C2884" s="34"/>
      <c r="F2884" s="35"/>
      <c r="I2884" s="33"/>
      <c r="L2884" s="54">
        <f t="shared" si="27"/>
        <v>0</v>
      </c>
      <c r="M2884" s="33"/>
      <c r="N2884" s="33"/>
    </row>
    <row r="2885" spans="2:14" ht="15.75" x14ac:dyDescent="0.25">
      <c r="B2885" s="33"/>
      <c r="C2885" s="34"/>
      <c r="F2885" s="35"/>
      <c r="I2885" s="33"/>
      <c r="L2885" s="54">
        <f t="shared" si="27"/>
        <v>0</v>
      </c>
      <c r="M2885" s="33"/>
      <c r="N2885" s="33"/>
    </row>
    <row r="2886" spans="2:14" ht="15.75" x14ac:dyDescent="0.25">
      <c r="B2886" s="33"/>
      <c r="C2886" s="34"/>
      <c r="F2886" s="35"/>
      <c r="I2886" s="33"/>
      <c r="L2886" s="54">
        <f t="shared" si="27"/>
        <v>0</v>
      </c>
      <c r="M2886" s="33"/>
      <c r="N2886" s="33"/>
    </row>
    <row r="2887" spans="2:14" ht="15.75" x14ac:dyDescent="0.25">
      <c r="B2887" s="33"/>
      <c r="C2887" s="34"/>
      <c r="F2887" s="35"/>
      <c r="I2887" s="33"/>
      <c r="L2887" s="54">
        <f t="shared" si="27"/>
        <v>0</v>
      </c>
      <c r="M2887" s="33"/>
      <c r="N2887" s="33"/>
    </row>
    <row r="2888" spans="2:14" ht="15.75" x14ac:dyDescent="0.25">
      <c r="B2888" s="33"/>
      <c r="C2888" s="34"/>
      <c r="F2888" s="35"/>
      <c r="I2888" s="33"/>
      <c r="L2888" s="54">
        <f t="shared" si="27"/>
        <v>0</v>
      </c>
      <c r="M2888" s="33"/>
      <c r="N2888" s="33"/>
    </row>
    <row r="2889" spans="2:14" ht="15.75" x14ac:dyDescent="0.25">
      <c r="B2889" s="33"/>
      <c r="C2889" s="34"/>
      <c r="F2889" s="35"/>
      <c r="I2889" s="33"/>
      <c r="L2889" s="54">
        <f t="shared" si="27"/>
        <v>0</v>
      </c>
      <c r="M2889" s="33"/>
      <c r="N2889" s="33"/>
    </row>
    <row r="2890" spans="2:14" ht="15.75" x14ac:dyDescent="0.25">
      <c r="B2890" s="33"/>
      <c r="C2890" s="34"/>
      <c r="F2890" s="35"/>
      <c r="I2890" s="33"/>
      <c r="L2890" s="54">
        <f t="shared" si="27"/>
        <v>0</v>
      </c>
      <c r="M2890" s="33"/>
      <c r="N2890" s="33"/>
    </row>
    <row r="2891" spans="2:14" ht="15.75" x14ac:dyDescent="0.25">
      <c r="B2891" s="33"/>
      <c r="C2891" s="34"/>
      <c r="F2891" s="35"/>
      <c r="I2891" s="33"/>
      <c r="L2891" s="54">
        <f t="shared" si="27"/>
        <v>0</v>
      </c>
      <c r="M2891" s="33"/>
      <c r="N2891" s="33"/>
    </row>
    <row r="2892" spans="2:14" ht="15.75" x14ac:dyDescent="0.25">
      <c r="B2892" s="33"/>
      <c r="C2892" s="34"/>
      <c r="F2892" s="35"/>
      <c r="I2892" s="33"/>
      <c r="L2892" s="54">
        <f t="shared" si="27"/>
        <v>0</v>
      </c>
      <c r="M2892" s="33"/>
      <c r="N2892" s="33"/>
    </row>
    <row r="2893" spans="2:14" ht="15.75" x14ac:dyDescent="0.25">
      <c r="B2893" s="33"/>
      <c r="C2893" s="34"/>
      <c r="F2893" s="35"/>
      <c r="I2893" s="33"/>
      <c r="L2893" s="54">
        <f t="shared" si="27"/>
        <v>0</v>
      </c>
      <c r="M2893" s="33"/>
      <c r="N2893" s="33"/>
    </row>
    <row r="2894" spans="2:14" ht="15.75" x14ac:dyDescent="0.25">
      <c r="B2894" s="33"/>
      <c r="C2894" s="34"/>
      <c r="F2894" s="35"/>
      <c r="I2894" s="33"/>
      <c r="L2894" s="54">
        <f t="shared" si="27"/>
        <v>0</v>
      </c>
      <c r="M2894" s="33"/>
      <c r="N2894" s="33"/>
    </row>
    <row r="2895" spans="2:14" ht="15.75" x14ac:dyDescent="0.25">
      <c r="B2895" s="33"/>
      <c r="C2895" s="34"/>
      <c r="F2895" s="35"/>
      <c r="I2895" s="33"/>
      <c r="L2895" s="54">
        <f t="shared" si="27"/>
        <v>0</v>
      </c>
      <c r="M2895" s="33"/>
      <c r="N2895" s="33"/>
    </row>
    <row r="2896" spans="2:14" ht="15.75" x14ac:dyDescent="0.25">
      <c r="B2896" s="33"/>
      <c r="C2896" s="34"/>
      <c r="F2896" s="35"/>
      <c r="I2896" s="33"/>
      <c r="L2896" s="54">
        <f t="shared" si="27"/>
        <v>0</v>
      </c>
      <c r="M2896" s="33"/>
      <c r="N2896" s="33"/>
    </row>
    <row r="2897" spans="2:14" ht="15.75" x14ac:dyDescent="0.25">
      <c r="B2897" s="33"/>
      <c r="C2897" s="34"/>
      <c r="F2897" s="35"/>
      <c r="I2897" s="33"/>
      <c r="L2897" s="54">
        <f t="shared" si="27"/>
        <v>0</v>
      </c>
      <c r="M2897" s="33"/>
      <c r="N2897" s="33"/>
    </row>
    <row r="2898" spans="2:14" ht="15.75" x14ac:dyDescent="0.25">
      <c r="B2898" s="33"/>
      <c r="C2898" s="34"/>
      <c r="F2898" s="35"/>
      <c r="I2898" s="33"/>
      <c r="L2898" s="54">
        <f t="shared" ref="L2898:L2961" si="28">L2897+J2897-K2899</f>
        <v>0</v>
      </c>
      <c r="M2898" s="33"/>
      <c r="N2898" s="33"/>
    </row>
    <row r="2899" spans="2:14" ht="15.75" x14ac:dyDescent="0.25">
      <c r="B2899" s="33"/>
      <c r="C2899" s="34"/>
      <c r="F2899" s="35"/>
      <c r="I2899" s="33"/>
      <c r="L2899" s="54">
        <f t="shared" si="28"/>
        <v>0</v>
      </c>
      <c r="M2899" s="33"/>
      <c r="N2899" s="33"/>
    </row>
    <row r="2900" spans="2:14" ht="15.75" x14ac:dyDescent="0.25">
      <c r="B2900" s="33"/>
      <c r="C2900" s="34"/>
      <c r="F2900" s="35"/>
      <c r="I2900" s="33"/>
      <c r="L2900" s="54">
        <f t="shared" si="28"/>
        <v>0</v>
      </c>
      <c r="M2900" s="33"/>
      <c r="N2900" s="33"/>
    </row>
    <row r="2901" spans="2:14" ht="15.75" x14ac:dyDescent="0.25">
      <c r="B2901" s="33"/>
      <c r="C2901" s="34"/>
      <c r="F2901" s="35"/>
      <c r="I2901" s="33"/>
      <c r="L2901" s="54">
        <f t="shared" si="28"/>
        <v>0</v>
      </c>
      <c r="M2901" s="33"/>
      <c r="N2901" s="33"/>
    </row>
    <row r="2902" spans="2:14" ht="15.75" x14ac:dyDescent="0.25">
      <c r="B2902" s="33"/>
      <c r="C2902" s="34"/>
      <c r="F2902" s="35"/>
      <c r="I2902" s="33"/>
      <c r="L2902" s="54">
        <f t="shared" si="28"/>
        <v>0</v>
      </c>
      <c r="M2902" s="33"/>
      <c r="N2902" s="33"/>
    </row>
    <row r="2903" spans="2:14" ht="15.75" x14ac:dyDescent="0.25">
      <c r="B2903" s="33"/>
      <c r="C2903" s="34"/>
      <c r="F2903" s="35"/>
      <c r="I2903" s="33"/>
      <c r="L2903" s="54">
        <f t="shared" si="28"/>
        <v>0</v>
      </c>
      <c r="M2903" s="33"/>
      <c r="N2903" s="33"/>
    </row>
    <row r="2904" spans="2:14" ht="15.75" x14ac:dyDescent="0.25">
      <c r="B2904" s="33"/>
      <c r="C2904" s="34"/>
      <c r="F2904" s="35"/>
      <c r="I2904" s="33"/>
      <c r="L2904" s="54">
        <f t="shared" si="28"/>
        <v>0</v>
      </c>
      <c r="M2904" s="33"/>
      <c r="N2904" s="33"/>
    </row>
    <row r="2905" spans="2:14" ht="15.75" x14ac:dyDescent="0.25">
      <c r="B2905" s="33"/>
      <c r="C2905" s="34"/>
      <c r="F2905" s="35"/>
      <c r="I2905" s="33"/>
      <c r="L2905" s="54">
        <f t="shared" si="28"/>
        <v>0</v>
      </c>
      <c r="M2905" s="33"/>
      <c r="N2905" s="33"/>
    </row>
    <row r="2906" spans="2:14" ht="15.75" x14ac:dyDescent="0.25">
      <c r="B2906" s="33"/>
      <c r="C2906" s="34"/>
      <c r="F2906" s="35"/>
      <c r="I2906" s="33"/>
      <c r="L2906" s="54">
        <f t="shared" si="28"/>
        <v>0</v>
      </c>
      <c r="M2906" s="33"/>
      <c r="N2906" s="33"/>
    </row>
    <row r="2907" spans="2:14" ht="15.75" x14ac:dyDescent="0.25">
      <c r="B2907" s="33"/>
      <c r="C2907" s="34"/>
      <c r="F2907" s="35"/>
      <c r="I2907" s="33"/>
      <c r="L2907" s="54">
        <f t="shared" si="28"/>
        <v>0</v>
      </c>
      <c r="M2907" s="33"/>
      <c r="N2907" s="33"/>
    </row>
    <row r="2908" spans="2:14" ht="15.75" x14ac:dyDescent="0.25">
      <c r="B2908" s="33"/>
      <c r="C2908" s="34"/>
      <c r="F2908" s="35"/>
      <c r="I2908" s="33"/>
      <c r="L2908" s="54">
        <f t="shared" si="28"/>
        <v>0</v>
      </c>
      <c r="M2908" s="33"/>
      <c r="N2908" s="33"/>
    </row>
    <row r="2909" spans="2:14" ht="15.75" x14ac:dyDescent="0.25">
      <c r="B2909" s="33"/>
      <c r="C2909" s="34"/>
      <c r="F2909" s="35"/>
      <c r="I2909" s="33"/>
      <c r="L2909" s="54">
        <f t="shared" si="28"/>
        <v>0</v>
      </c>
      <c r="M2909" s="33"/>
      <c r="N2909" s="33"/>
    </row>
    <row r="2910" spans="2:14" ht="15.75" x14ac:dyDescent="0.25">
      <c r="B2910" s="33"/>
      <c r="C2910" s="34"/>
      <c r="F2910" s="35"/>
      <c r="I2910" s="33"/>
      <c r="L2910" s="54">
        <f t="shared" si="28"/>
        <v>0</v>
      </c>
      <c r="M2910" s="33"/>
      <c r="N2910" s="33"/>
    </row>
    <row r="2911" spans="2:14" ht="15.75" x14ac:dyDescent="0.25">
      <c r="B2911" s="33"/>
      <c r="C2911" s="34"/>
      <c r="F2911" s="35"/>
      <c r="I2911" s="33"/>
      <c r="L2911" s="54">
        <f t="shared" si="28"/>
        <v>0</v>
      </c>
      <c r="M2911" s="33"/>
      <c r="N2911" s="33"/>
    </row>
    <row r="2912" spans="2:14" ht="15.75" x14ac:dyDescent="0.25">
      <c r="B2912" s="33"/>
      <c r="C2912" s="34"/>
      <c r="F2912" s="35"/>
      <c r="I2912" s="33"/>
      <c r="L2912" s="54">
        <f t="shared" si="28"/>
        <v>0</v>
      </c>
      <c r="M2912" s="33"/>
      <c r="N2912" s="33"/>
    </row>
    <row r="2913" spans="2:14" ht="15.75" x14ac:dyDescent="0.25">
      <c r="B2913" s="33"/>
      <c r="C2913" s="34"/>
      <c r="F2913" s="35"/>
      <c r="I2913" s="33"/>
      <c r="L2913" s="54">
        <f t="shared" si="28"/>
        <v>0</v>
      </c>
      <c r="M2913" s="33"/>
      <c r="N2913" s="33"/>
    </row>
    <row r="2914" spans="2:14" ht="15.75" x14ac:dyDescent="0.25">
      <c r="B2914" s="33"/>
      <c r="C2914" s="34"/>
      <c r="F2914" s="35"/>
      <c r="I2914" s="33"/>
      <c r="L2914" s="54">
        <f t="shared" si="28"/>
        <v>0</v>
      </c>
      <c r="M2914" s="33"/>
      <c r="N2914" s="33"/>
    </row>
    <row r="2915" spans="2:14" ht="15.75" x14ac:dyDescent="0.25">
      <c r="B2915" s="33"/>
      <c r="C2915" s="34"/>
      <c r="F2915" s="35"/>
      <c r="I2915" s="33"/>
      <c r="L2915" s="54">
        <f t="shared" si="28"/>
        <v>0</v>
      </c>
      <c r="M2915" s="33"/>
      <c r="N2915" s="33"/>
    </row>
    <row r="2916" spans="2:14" ht="15.75" x14ac:dyDescent="0.25">
      <c r="B2916" s="33"/>
      <c r="C2916" s="34"/>
      <c r="F2916" s="35"/>
      <c r="I2916" s="33"/>
      <c r="L2916" s="54">
        <f t="shared" si="28"/>
        <v>0</v>
      </c>
      <c r="M2916" s="33"/>
      <c r="N2916" s="33"/>
    </row>
    <row r="2917" spans="2:14" ht="15.75" x14ac:dyDescent="0.25">
      <c r="B2917" s="33"/>
      <c r="C2917" s="34"/>
      <c r="F2917" s="35"/>
      <c r="I2917" s="33"/>
      <c r="L2917" s="54">
        <f t="shared" si="28"/>
        <v>0</v>
      </c>
      <c r="M2917" s="33"/>
      <c r="N2917" s="33"/>
    </row>
    <row r="2918" spans="2:14" ht="15.75" x14ac:dyDescent="0.25">
      <c r="B2918" s="33"/>
      <c r="C2918" s="34"/>
      <c r="F2918" s="35"/>
      <c r="I2918" s="33"/>
      <c r="L2918" s="54">
        <f t="shared" si="28"/>
        <v>0</v>
      </c>
      <c r="M2918" s="33"/>
      <c r="N2918" s="33"/>
    </row>
    <row r="2919" spans="2:14" ht="15.75" x14ac:dyDescent="0.25">
      <c r="B2919" s="33"/>
      <c r="C2919" s="34"/>
      <c r="F2919" s="35"/>
      <c r="I2919" s="33"/>
      <c r="L2919" s="54">
        <f t="shared" si="28"/>
        <v>0</v>
      </c>
      <c r="M2919" s="33"/>
      <c r="N2919" s="33"/>
    </row>
    <row r="2920" spans="2:14" ht="15.75" x14ac:dyDescent="0.25">
      <c r="B2920" s="33"/>
      <c r="C2920" s="34"/>
      <c r="F2920" s="35"/>
      <c r="I2920" s="33"/>
      <c r="L2920" s="54">
        <f t="shared" si="28"/>
        <v>0</v>
      </c>
      <c r="M2920" s="33"/>
      <c r="N2920" s="33"/>
    </row>
    <row r="2921" spans="2:14" ht="15.75" x14ac:dyDescent="0.25">
      <c r="B2921" s="33"/>
      <c r="C2921" s="34"/>
      <c r="F2921" s="35"/>
      <c r="I2921" s="33"/>
      <c r="L2921" s="54">
        <f t="shared" si="28"/>
        <v>0</v>
      </c>
      <c r="M2921" s="33"/>
      <c r="N2921" s="33"/>
    </row>
    <row r="2922" spans="2:14" ht="15.75" x14ac:dyDescent="0.25">
      <c r="B2922" s="33"/>
      <c r="C2922" s="34"/>
      <c r="F2922" s="35"/>
      <c r="I2922" s="33"/>
      <c r="L2922" s="54">
        <f t="shared" si="28"/>
        <v>0</v>
      </c>
      <c r="M2922" s="33"/>
      <c r="N2922" s="33"/>
    </row>
    <row r="2923" spans="2:14" ht="15.75" x14ac:dyDescent="0.25">
      <c r="B2923" s="33"/>
      <c r="C2923" s="34"/>
      <c r="F2923" s="35"/>
      <c r="I2923" s="33"/>
      <c r="L2923" s="54">
        <f t="shared" si="28"/>
        <v>0</v>
      </c>
      <c r="M2923" s="33"/>
      <c r="N2923" s="33"/>
    </row>
    <row r="2924" spans="2:14" ht="15.75" x14ac:dyDescent="0.25">
      <c r="B2924" s="33"/>
      <c r="C2924" s="34"/>
      <c r="F2924" s="35"/>
      <c r="I2924" s="33"/>
      <c r="L2924" s="54">
        <f t="shared" si="28"/>
        <v>0</v>
      </c>
      <c r="M2924" s="33"/>
      <c r="N2924" s="33"/>
    </row>
    <row r="2925" spans="2:14" ht="15.75" x14ac:dyDescent="0.25">
      <c r="B2925" s="33"/>
      <c r="C2925" s="34"/>
      <c r="F2925" s="35"/>
      <c r="I2925" s="33"/>
      <c r="L2925" s="54">
        <f t="shared" si="28"/>
        <v>0</v>
      </c>
      <c r="M2925" s="33"/>
      <c r="N2925" s="33"/>
    </row>
    <row r="2926" spans="2:14" ht="15.75" x14ac:dyDescent="0.25">
      <c r="B2926" s="33"/>
      <c r="C2926" s="34"/>
      <c r="F2926" s="35"/>
      <c r="I2926" s="33"/>
      <c r="L2926" s="54">
        <f t="shared" si="28"/>
        <v>0</v>
      </c>
      <c r="M2926" s="33"/>
      <c r="N2926" s="33"/>
    </row>
    <row r="2927" spans="2:14" ht="15.75" x14ac:dyDescent="0.25">
      <c r="B2927" s="33"/>
      <c r="C2927" s="34"/>
      <c r="F2927" s="35"/>
      <c r="I2927" s="33"/>
      <c r="L2927" s="54">
        <f t="shared" si="28"/>
        <v>0</v>
      </c>
      <c r="M2927" s="33"/>
      <c r="N2927" s="33"/>
    </row>
    <row r="2928" spans="2:14" ht="15.75" x14ac:dyDescent="0.25">
      <c r="B2928" s="33"/>
      <c r="C2928" s="34"/>
      <c r="F2928" s="35"/>
      <c r="I2928" s="33"/>
      <c r="L2928" s="54">
        <f t="shared" si="28"/>
        <v>0</v>
      </c>
      <c r="M2928" s="33"/>
      <c r="N2928" s="33"/>
    </row>
    <row r="2929" spans="2:14" ht="15.75" x14ac:dyDescent="0.25">
      <c r="B2929" s="33"/>
      <c r="C2929" s="34"/>
      <c r="F2929" s="35"/>
      <c r="I2929" s="33"/>
      <c r="L2929" s="54">
        <f t="shared" si="28"/>
        <v>0</v>
      </c>
      <c r="M2929" s="33"/>
      <c r="N2929" s="33"/>
    </row>
    <row r="2930" spans="2:14" ht="15.75" x14ac:dyDescent="0.25">
      <c r="B2930" s="33"/>
      <c r="C2930" s="34"/>
      <c r="F2930" s="35"/>
      <c r="I2930" s="33"/>
      <c r="L2930" s="54">
        <f t="shared" si="28"/>
        <v>0</v>
      </c>
      <c r="M2930" s="33"/>
      <c r="N2930" s="33"/>
    </row>
    <row r="2931" spans="2:14" ht="15.75" x14ac:dyDescent="0.25">
      <c r="B2931" s="33"/>
      <c r="C2931" s="34"/>
      <c r="F2931" s="35"/>
      <c r="I2931" s="33"/>
      <c r="L2931" s="54">
        <f t="shared" si="28"/>
        <v>0</v>
      </c>
      <c r="M2931" s="33"/>
      <c r="N2931" s="33"/>
    </row>
    <row r="2932" spans="2:14" ht="15.75" x14ac:dyDescent="0.25">
      <c r="B2932" s="33"/>
      <c r="C2932" s="34"/>
      <c r="F2932" s="35"/>
      <c r="I2932" s="33"/>
      <c r="L2932" s="54">
        <f t="shared" si="28"/>
        <v>0</v>
      </c>
      <c r="M2932" s="33"/>
      <c r="N2932" s="33"/>
    </row>
    <row r="2933" spans="2:14" ht="15.75" x14ac:dyDescent="0.25">
      <c r="B2933" s="33"/>
      <c r="C2933" s="34"/>
      <c r="F2933" s="35"/>
      <c r="I2933" s="33"/>
      <c r="L2933" s="54">
        <f t="shared" si="28"/>
        <v>0</v>
      </c>
      <c r="M2933" s="33"/>
      <c r="N2933" s="33"/>
    </row>
    <row r="2934" spans="2:14" ht="15.75" x14ac:dyDescent="0.25">
      <c r="B2934" s="33"/>
      <c r="C2934" s="34"/>
      <c r="F2934" s="35"/>
      <c r="I2934" s="33"/>
      <c r="L2934" s="54">
        <f t="shared" si="28"/>
        <v>0</v>
      </c>
      <c r="M2934" s="33"/>
      <c r="N2934" s="33"/>
    </row>
    <row r="2935" spans="2:14" ht="15.75" x14ac:dyDescent="0.25">
      <c r="B2935" s="33"/>
      <c r="C2935" s="34"/>
      <c r="F2935" s="35"/>
      <c r="I2935" s="33"/>
      <c r="L2935" s="54">
        <f t="shared" si="28"/>
        <v>0</v>
      </c>
      <c r="M2935" s="33"/>
      <c r="N2935" s="33"/>
    </row>
    <row r="2936" spans="2:14" ht="15.75" x14ac:dyDescent="0.25">
      <c r="B2936" s="33"/>
      <c r="C2936" s="34"/>
      <c r="F2936" s="35"/>
      <c r="I2936" s="33"/>
      <c r="L2936" s="54">
        <f t="shared" si="28"/>
        <v>0</v>
      </c>
      <c r="M2936" s="33"/>
      <c r="N2936" s="33"/>
    </row>
    <row r="2937" spans="2:14" ht="15.75" x14ac:dyDescent="0.25">
      <c r="B2937" s="33"/>
      <c r="C2937" s="34"/>
      <c r="F2937" s="35"/>
      <c r="I2937" s="33"/>
      <c r="L2937" s="54">
        <f t="shared" si="28"/>
        <v>0</v>
      </c>
      <c r="M2937" s="33"/>
      <c r="N2937" s="33"/>
    </row>
    <row r="2938" spans="2:14" ht="15.75" x14ac:dyDescent="0.25">
      <c r="B2938" s="33"/>
      <c r="C2938" s="34"/>
      <c r="F2938" s="35"/>
      <c r="I2938" s="33"/>
      <c r="L2938" s="54">
        <f t="shared" si="28"/>
        <v>0</v>
      </c>
      <c r="M2938" s="33"/>
      <c r="N2938" s="33"/>
    </row>
    <row r="2939" spans="2:14" ht="15.75" x14ac:dyDescent="0.25">
      <c r="B2939" s="33"/>
      <c r="C2939" s="34"/>
      <c r="F2939" s="35"/>
      <c r="I2939" s="33"/>
      <c r="L2939" s="54">
        <f t="shared" si="28"/>
        <v>0</v>
      </c>
      <c r="M2939" s="33"/>
      <c r="N2939" s="33"/>
    </row>
    <row r="2940" spans="2:14" ht="15.75" x14ac:dyDescent="0.25">
      <c r="B2940" s="33"/>
      <c r="C2940" s="34"/>
      <c r="F2940" s="35"/>
      <c r="I2940" s="33"/>
      <c r="L2940" s="54">
        <f t="shared" si="28"/>
        <v>0</v>
      </c>
      <c r="M2940" s="33"/>
      <c r="N2940" s="33"/>
    </row>
    <row r="2941" spans="2:14" ht="15.75" x14ac:dyDescent="0.25">
      <c r="B2941" s="33"/>
      <c r="C2941" s="34"/>
      <c r="F2941" s="35"/>
      <c r="I2941" s="33"/>
      <c r="L2941" s="54">
        <f t="shared" si="28"/>
        <v>0</v>
      </c>
      <c r="M2941" s="33"/>
      <c r="N2941" s="33"/>
    </row>
    <row r="2942" spans="2:14" ht="15.75" x14ac:dyDescent="0.25">
      <c r="B2942" s="33"/>
      <c r="C2942" s="34"/>
      <c r="F2942" s="35"/>
      <c r="I2942" s="33"/>
      <c r="L2942" s="54">
        <f t="shared" si="28"/>
        <v>0</v>
      </c>
      <c r="M2942" s="33"/>
      <c r="N2942" s="33"/>
    </row>
    <row r="2943" spans="2:14" ht="15.75" x14ac:dyDescent="0.25">
      <c r="B2943" s="33"/>
      <c r="C2943" s="34"/>
      <c r="F2943" s="35"/>
      <c r="I2943" s="33"/>
      <c r="L2943" s="54">
        <f t="shared" si="28"/>
        <v>0</v>
      </c>
      <c r="M2943" s="33"/>
      <c r="N2943" s="33"/>
    </row>
    <row r="2944" spans="2:14" ht="15.75" x14ac:dyDescent="0.25">
      <c r="B2944" s="33"/>
      <c r="C2944" s="34"/>
      <c r="F2944" s="35"/>
      <c r="I2944" s="33"/>
      <c r="L2944" s="54">
        <f t="shared" si="28"/>
        <v>0</v>
      </c>
      <c r="M2944" s="33"/>
      <c r="N2944" s="33"/>
    </row>
    <row r="2945" spans="2:14" ht="15.75" x14ac:dyDescent="0.25">
      <c r="B2945" s="33"/>
      <c r="C2945" s="34"/>
      <c r="F2945" s="35"/>
      <c r="I2945" s="33"/>
      <c r="L2945" s="54">
        <f t="shared" si="28"/>
        <v>0</v>
      </c>
      <c r="M2945" s="33"/>
      <c r="N2945" s="33"/>
    </row>
    <row r="2946" spans="2:14" ht="15.75" x14ac:dyDescent="0.25">
      <c r="B2946" s="33"/>
      <c r="C2946" s="34"/>
      <c r="F2946" s="35"/>
      <c r="I2946" s="33"/>
      <c r="L2946" s="54">
        <f t="shared" si="28"/>
        <v>0</v>
      </c>
      <c r="M2946" s="33"/>
      <c r="N2946" s="33"/>
    </row>
    <row r="2947" spans="2:14" ht="15.75" x14ac:dyDescent="0.25">
      <c r="B2947" s="33"/>
      <c r="C2947" s="34"/>
      <c r="F2947" s="35"/>
      <c r="I2947" s="33"/>
      <c r="L2947" s="54">
        <f t="shared" si="28"/>
        <v>0</v>
      </c>
      <c r="M2947" s="33"/>
      <c r="N2947" s="33"/>
    </row>
    <row r="2948" spans="2:14" ht="15.75" x14ac:dyDescent="0.25">
      <c r="B2948" s="33"/>
      <c r="C2948" s="34"/>
      <c r="F2948" s="35"/>
      <c r="I2948" s="33"/>
      <c r="L2948" s="54">
        <f t="shared" si="28"/>
        <v>0</v>
      </c>
      <c r="M2948" s="33"/>
      <c r="N2948" s="33"/>
    </row>
    <row r="2949" spans="2:14" ht="15.75" x14ac:dyDescent="0.25">
      <c r="B2949" s="33"/>
      <c r="C2949" s="34"/>
      <c r="F2949" s="35"/>
      <c r="I2949" s="33"/>
      <c r="L2949" s="54">
        <f t="shared" si="28"/>
        <v>0</v>
      </c>
      <c r="M2949" s="33"/>
      <c r="N2949" s="33"/>
    </row>
    <row r="2950" spans="2:14" ht="15.75" x14ac:dyDescent="0.25">
      <c r="B2950" s="33"/>
      <c r="C2950" s="34"/>
      <c r="F2950" s="35"/>
      <c r="I2950" s="33"/>
      <c r="L2950" s="54">
        <f t="shared" si="28"/>
        <v>0</v>
      </c>
      <c r="M2950" s="33"/>
      <c r="N2950" s="33"/>
    </row>
    <row r="2951" spans="2:14" ht="15.75" x14ac:dyDescent="0.25">
      <c r="B2951" s="33"/>
      <c r="C2951" s="34"/>
      <c r="F2951" s="35"/>
      <c r="I2951" s="33"/>
      <c r="L2951" s="54">
        <f t="shared" si="28"/>
        <v>0</v>
      </c>
      <c r="M2951" s="33"/>
      <c r="N2951" s="33"/>
    </row>
    <row r="2952" spans="2:14" ht="15.75" x14ac:dyDescent="0.25">
      <c r="B2952" s="33"/>
      <c r="C2952" s="34"/>
      <c r="F2952" s="35"/>
      <c r="I2952" s="33"/>
      <c r="L2952" s="54">
        <f t="shared" si="28"/>
        <v>0</v>
      </c>
      <c r="M2952" s="33"/>
      <c r="N2952" s="33"/>
    </row>
    <row r="2953" spans="2:14" ht="15.75" x14ac:dyDescent="0.25">
      <c r="B2953" s="33"/>
      <c r="C2953" s="34"/>
      <c r="F2953" s="35"/>
      <c r="I2953" s="33"/>
      <c r="L2953" s="54">
        <f t="shared" si="28"/>
        <v>0</v>
      </c>
      <c r="M2953" s="33"/>
      <c r="N2953" s="33"/>
    </row>
    <row r="2954" spans="2:14" ht="15.75" x14ac:dyDescent="0.25">
      <c r="B2954" s="33"/>
      <c r="C2954" s="34"/>
      <c r="F2954" s="35"/>
      <c r="I2954" s="33"/>
      <c r="L2954" s="54">
        <f t="shared" si="28"/>
        <v>0</v>
      </c>
      <c r="M2954" s="33"/>
      <c r="N2954" s="33"/>
    </row>
    <row r="2955" spans="2:14" ht="15.75" x14ac:dyDescent="0.25">
      <c r="B2955" s="33"/>
      <c r="C2955" s="34"/>
      <c r="F2955" s="35"/>
      <c r="I2955" s="33"/>
      <c r="L2955" s="54">
        <f t="shared" si="28"/>
        <v>0</v>
      </c>
      <c r="M2955" s="33"/>
      <c r="N2955" s="33"/>
    </row>
    <row r="2956" spans="2:14" ht="15.75" x14ac:dyDescent="0.25">
      <c r="B2956" s="33"/>
      <c r="C2956" s="34"/>
      <c r="F2956" s="35"/>
      <c r="I2956" s="33"/>
      <c r="L2956" s="54">
        <f t="shared" si="28"/>
        <v>0</v>
      </c>
      <c r="M2956" s="33"/>
      <c r="N2956" s="33"/>
    </row>
    <row r="2957" spans="2:14" ht="15.75" x14ac:dyDescent="0.25">
      <c r="B2957" s="33"/>
      <c r="C2957" s="34"/>
      <c r="F2957" s="35"/>
      <c r="I2957" s="33"/>
      <c r="L2957" s="54">
        <f t="shared" si="28"/>
        <v>0</v>
      </c>
      <c r="M2957" s="33"/>
      <c r="N2957" s="33"/>
    </row>
    <row r="2958" spans="2:14" ht="15.75" x14ac:dyDescent="0.25">
      <c r="B2958" s="33"/>
      <c r="C2958" s="34"/>
      <c r="F2958" s="35"/>
      <c r="I2958" s="33"/>
      <c r="L2958" s="54">
        <f t="shared" si="28"/>
        <v>0</v>
      </c>
      <c r="M2958" s="33"/>
      <c r="N2958" s="33"/>
    </row>
    <row r="2959" spans="2:14" ht="15.75" x14ac:dyDescent="0.25">
      <c r="B2959" s="33"/>
      <c r="C2959" s="34"/>
      <c r="F2959" s="35"/>
      <c r="I2959" s="33"/>
      <c r="L2959" s="54">
        <f t="shared" si="28"/>
        <v>0</v>
      </c>
      <c r="M2959" s="33"/>
      <c r="N2959" s="33"/>
    </row>
    <row r="2960" spans="2:14" ht="15.75" x14ac:dyDescent="0.25">
      <c r="B2960" s="33"/>
      <c r="C2960" s="34"/>
      <c r="F2960" s="35"/>
      <c r="I2960" s="33"/>
      <c r="L2960" s="54">
        <f t="shared" si="28"/>
        <v>0</v>
      </c>
      <c r="M2960" s="33"/>
      <c r="N2960" s="33"/>
    </row>
    <row r="2961" spans="2:14" ht="15.75" x14ac:dyDescent="0.25">
      <c r="B2961" s="33"/>
      <c r="C2961" s="34"/>
      <c r="F2961" s="35"/>
      <c r="I2961" s="33"/>
      <c r="L2961" s="54">
        <f t="shared" si="28"/>
        <v>0</v>
      </c>
      <c r="M2961" s="33"/>
      <c r="N2961" s="33"/>
    </row>
    <row r="2962" spans="2:14" ht="15.75" x14ac:dyDescent="0.25">
      <c r="B2962" s="33"/>
      <c r="C2962" s="34"/>
      <c r="F2962" s="35"/>
      <c r="I2962" s="33"/>
      <c r="L2962" s="54">
        <f t="shared" ref="L2962:L3025" si="29">L2961+J2961-K2963</f>
        <v>0</v>
      </c>
      <c r="M2962" s="33"/>
      <c r="N2962" s="33"/>
    </row>
    <row r="2963" spans="2:14" ht="15.75" x14ac:dyDescent="0.25">
      <c r="B2963" s="33"/>
      <c r="C2963" s="34"/>
      <c r="F2963" s="35"/>
      <c r="I2963" s="33"/>
      <c r="L2963" s="54">
        <f t="shared" si="29"/>
        <v>0</v>
      </c>
      <c r="M2963" s="33"/>
      <c r="N2963" s="33"/>
    </row>
    <row r="2964" spans="2:14" ht="15.75" x14ac:dyDescent="0.25">
      <c r="B2964" s="33"/>
      <c r="C2964" s="34"/>
      <c r="F2964" s="35"/>
      <c r="I2964" s="33"/>
      <c r="L2964" s="54">
        <f t="shared" si="29"/>
        <v>0</v>
      </c>
      <c r="M2964" s="33"/>
      <c r="N2964" s="33"/>
    </row>
    <row r="2965" spans="2:14" ht="15.75" x14ac:dyDescent="0.25">
      <c r="B2965" s="33"/>
      <c r="C2965" s="34"/>
      <c r="F2965" s="35"/>
      <c r="I2965" s="33"/>
      <c r="L2965" s="54">
        <f t="shared" si="29"/>
        <v>0</v>
      </c>
      <c r="M2965" s="33"/>
      <c r="N2965" s="33"/>
    </row>
    <row r="2966" spans="2:14" ht="15.75" x14ac:dyDescent="0.25">
      <c r="B2966" s="33"/>
      <c r="C2966" s="34"/>
      <c r="F2966" s="35"/>
      <c r="I2966" s="33"/>
      <c r="L2966" s="54">
        <f t="shared" si="29"/>
        <v>0</v>
      </c>
      <c r="M2966" s="33"/>
      <c r="N2966" s="33"/>
    </row>
    <row r="2967" spans="2:14" ht="15.75" x14ac:dyDescent="0.25">
      <c r="B2967" s="33"/>
      <c r="C2967" s="34"/>
      <c r="F2967" s="35"/>
      <c r="I2967" s="33"/>
      <c r="L2967" s="54">
        <f t="shared" si="29"/>
        <v>0</v>
      </c>
      <c r="M2967" s="33"/>
      <c r="N2967" s="33"/>
    </row>
    <row r="2968" spans="2:14" ht="15.75" x14ac:dyDescent="0.25">
      <c r="B2968" s="33"/>
      <c r="C2968" s="34"/>
      <c r="F2968" s="35"/>
      <c r="I2968" s="33"/>
      <c r="L2968" s="54">
        <f t="shared" si="29"/>
        <v>0</v>
      </c>
      <c r="M2968" s="33"/>
      <c r="N2968" s="33"/>
    </row>
    <row r="2969" spans="2:14" ht="15.75" x14ac:dyDescent="0.25">
      <c r="B2969" s="33"/>
      <c r="C2969" s="34"/>
      <c r="F2969" s="35"/>
      <c r="I2969" s="33"/>
      <c r="L2969" s="54">
        <f t="shared" si="29"/>
        <v>0</v>
      </c>
      <c r="M2969" s="33"/>
      <c r="N2969" s="33"/>
    </row>
    <row r="2970" spans="2:14" ht="15.75" x14ac:dyDescent="0.25">
      <c r="B2970" s="33"/>
      <c r="C2970" s="34"/>
      <c r="F2970" s="35"/>
      <c r="I2970" s="33"/>
      <c r="L2970" s="54">
        <f t="shared" si="29"/>
        <v>0</v>
      </c>
      <c r="M2970" s="33"/>
      <c r="N2970" s="33"/>
    </row>
    <row r="2971" spans="2:14" ht="15.75" x14ac:dyDescent="0.25">
      <c r="B2971" s="33"/>
      <c r="C2971" s="34"/>
      <c r="F2971" s="35"/>
      <c r="I2971" s="33"/>
      <c r="L2971" s="54">
        <f t="shared" si="29"/>
        <v>0</v>
      </c>
      <c r="M2971" s="33"/>
      <c r="N2971" s="33"/>
    </row>
    <row r="2972" spans="2:14" ht="15.75" x14ac:dyDescent="0.25">
      <c r="B2972" s="33"/>
      <c r="C2972" s="34"/>
      <c r="F2972" s="35"/>
      <c r="I2972" s="33"/>
      <c r="L2972" s="54">
        <f t="shared" si="29"/>
        <v>0</v>
      </c>
      <c r="M2972" s="33"/>
      <c r="N2972" s="33"/>
    </row>
    <row r="2973" spans="2:14" ht="15.75" x14ac:dyDescent="0.25">
      <c r="B2973" s="33"/>
      <c r="C2973" s="34"/>
      <c r="F2973" s="35"/>
      <c r="I2973" s="33"/>
      <c r="L2973" s="54">
        <f t="shared" si="29"/>
        <v>0</v>
      </c>
      <c r="M2973" s="33"/>
      <c r="N2973" s="33"/>
    </row>
    <row r="2974" spans="2:14" ht="15.75" x14ac:dyDescent="0.25">
      <c r="B2974" s="33"/>
      <c r="C2974" s="34"/>
      <c r="F2974" s="35"/>
      <c r="I2974" s="33"/>
      <c r="L2974" s="54">
        <f t="shared" si="29"/>
        <v>0</v>
      </c>
      <c r="M2974" s="33"/>
      <c r="N2974" s="33"/>
    </row>
    <row r="2975" spans="2:14" ht="15.75" x14ac:dyDescent="0.25">
      <c r="B2975" s="33"/>
      <c r="C2975" s="34"/>
      <c r="F2975" s="35"/>
      <c r="I2975" s="33"/>
      <c r="L2975" s="54">
        <f t="shared" si="29"/>
        <v>0</v>
      </c>
      <c r="M2975" s="33"/>
      <c r="N2975" s="33"/>
    </row>
    <row r="2976" spans="2:14" ht="15.75" x14ac:dyDescent="0.25">
      <c r="B2976" s="33"/>
      <c r="C2976" s="34"/>
      <c r="F2976" s="35"/>
      <c r="I2976" s="33"/>
      <c r="L2976" s="54">
        <f t="shared" si="29"/>
        <v>0</v>
      </c>
      <c r="M2976" s="33"/>
      <c r="N2976" s="33"/>
    </row>
    <row r="2977" spans="2:14" ht="15.75" x14ac:dyDescent="0.25">
      <c r="B2977" s="33"/>
      <c r="C2977" s="34"/>
      <c r="F2977" s="35"/>
      <c r="I2977" s="33"/>
      <c r="L2977" s="54">
        <f t="shared" si="29"/>
        <v>0</v>
      </c>
      <c r="M2977" s="33"/>
      <c r="N2977" s="33"/>
    </row>
    <row r="2978" spans="2:14" ht="15.75" x14ac:dyDescent="0.25">
      <c r="B2978" s="33"/>
      <c r="C2978" s="34"/>
      <c r="F2978" s="35"/>
      <c r="I2978" s="33"/>
      <c r="L2978" s="54">
        <f t="shared" si="29"/>
        <v>0</v>
      </c>
      <c r="M2978" s="33"/>
      <c r="N2978" s="33"/>
    </row>
    <row r="2979" spans="2:14" ht="15.75" x14ac:dyDescent="0.25">
      <c r="B2979" s="33"/>
      <c r="C2979" s="34"/>
      <c r="F2979" s="35"/>
      <c r="I2979" s="33"/>
      <c r="L2979" s="54">
        <f t="shared" si="29"/>
        <v>0</v>
      </c>
      <c r="M2979" s="33"/>
      <c r="N2979" s="33"/>
    </row>
    <row r="2980" spans="2:14" ht="15.75" x14ac:dyDescent="0.25">
      <c r="B2980" s="33"/>
      <c r="C2980" s="34"/>
      <c r="F2980" s="35"/>
      <c r="I2980" s="33"/>
      <c r="L2980" s="54">
        <f t="shared" si="29"/>
        <v>0</v>
      </c>
      <c r="M2980" s="33"/>
      <c r="N2980" s="33"/>
    </row>
    <row r="2981" spans="2:14" ht="15.75" x14ac:dyDescent="0.25">
      <c r="B2981" s="33"/>
      <c r="C2981" s="34"/>
      <c r="F2981" s="35"/>
      <c r="I2981" s="33"/>
      <c r="L2981" s="54">
        <f t="shared" si="29"/>
        <v>0</v>
      </c>
      <c r="M2981" s="33"/>
      <c r="N2981" s="33"/>
    </row>
    <row r="2982" spans="2:14" ht="15.75" x14ac:dyDescent="0.25">
      <c r="B2982" s="33"/>
      <c r="C2982" s="34"/>
      <c r="F2982" s="35"/>
      <c r="I2982" s="33"/>
      <c r="L2982" s="54">
        <f t="shared" si="29"/>
        <v>0</v>
      </c>
      <c r="M2982" s="33"/>
      <c r="N2982" s="33"/>
    </row>
    <row r="2983" spans="2:14" ht="15.75" x14ac:dyDescent="0.25">
      <c r="B2983" s="33"/>
      <c r="C2983" s="34"/>
      <c r="F2983" s="35"/>
      <c r="I2983" s="33"/>
      <c r="L2983" s="54">
        <f t="shared" si="29"/>
        <v>0</v>
      </c>
      <c r="M2983" s="33"/>
      <c r="N2983" s="33"/>
    </row>
    <row r="2984" spans="2:14" ht="15.75" x14ac:dyDescent="0.25">
      <c r="B2984" s="33"/>
      <c r="C2984" s="34"/>
      <c r="F2984" s="35"/>
      <c r="I2984" s="33"/>
      <c r="L2984" s="54">
        <f t="shared" si="29"/>
        <v>0</v>
      </c>
      <c r="M2984" s="33"/>
      <c r="N2984" s="33"/>
    </row>
    <row r="2985" spans="2:14" ht="15.75" x14ac:dyDescent="0.25">
      <c r="B2985" s="33"/>
      <c r="C2985" s="34"/>
      <c r="F2985" s="35"/>
      <c r="I2985" s="33"/>
      <c r="L2985" s="54">
        <f t="shared" si="29"/>
        <v>0</v>
      </c>
      <c r="M2985" s="33"/>
      <c r="N2985" s="33"/>
    </row>
    <row r="2986" spans="2:14" ht="15.75" x14ac:dyDescent="0.25">
      <c r="B2986" s="33"/>
      <c r="C2986" s="34"/>
      <c r="F2986" s="35"/>
      <c r="I2986" s="33"/>
      <c r="L2986" s="54">
        <f t="shared" si="29"/>
        <v>0</v>
      </c>
      <c r="M2986" s="33"/>
      <c r="N2986" s="33"/>
    </row>
    <row r="2987" spans="2:14" ht="15.75" x14ac:dyDescent="0.25">
      <c r="B2987" s="33"/>
      <c r="C2987" s="34"/>
      <c r="F2987" s="35"/>
      <c r="I2987" s="33"/>
      <c r="L2987" s="54">
        <f t="shared" si="29"/>
        <v>0</v>
      </c>
      <c r="M2987" s="33"/>
      <c r="N2987" s="33"/>
    </row>
    <row r="2988" spans="2:14" ht="15.75" x14ac:dyDescent="0.25">
      <c r="B2988" s="33"/>
      <c r="C2988" s="34"/>
      <c r="F2988" s="35"/>
      <c r="I2988" s="33"/>
      <c r="L2988" s="54">
        <f t="shared" si="29"/>
        <v>0</v>
      </c>
      <c r="M2988" s="33"/>
      <c r="N2988" s="33"/>
    </row>
    <row r="2989" spans="2:14" ht="15.75" x14ac:dyDescent="0.25">
      <c r="B2989" s="33"/>
      <c r="C2989" s="34"/>
      <c r="F2989" s="35"/>
      <c r="I2989" s="33"/>
      <c r="L2989" s="54">
        <f t="shared" si="29"/>
        <v>0</v>
      </c>
      <c r="M2989" s="33"/>
      <c r="N2989" s="33"/>
    </row>
    <row r="2990" spans="2:14" ht="15.75" x14ac:dyDescent="0.25">
      <c r="B2990" s="33"/>
      <c r="C2990" s="34"/>
      <c r="F2990" s="35"/>
      <c r="I2990" s="33"/>
      <c r="L2990" s="54">
        <f t="shared" si="29"/>
        <v>0</v>
      </c>
      <c r="M2990" s="33"/>
      <c r="N2990" s="33"/>
    </row>
    <row r="2991" spans="2:14" ht="15.75" x14ac:dyDescent="0.25">
      <c r="B2991" s="33"/>
      <c r="C2991" s="34"/>
      <c r="F2991" s="35"/>
      <c r="I2991" s="33"/>
      <c r="L2991" s="54">
        <f t="shared" si="29"/>
        <v>0</v>
      </c>
      <c r="M2991" s="33"/>
      <c r="N2991" s="33"/>
    </row>
    <row r="2992" spans="2:14" ht="15.75" x14ac:dyDescent="0.25">
      <c r="B2992" s="33"/>
      <c r="C2992" s="34"/>
      <c r="F2992" s="35"/>
      <c r="I2992" s="33"/>
      <c r="L2992" s="54">
        <f t="shared" si="29"/>
        <v>0</v>
      </c>
      <c r="M2992" s="33"/>
      <c r="N2992" s="33"/>
    </row>
    <row r="2993" spans="2:14" ht="15.75" x14ac:dyDescent="0.25">
      <c r="B2993" s="33"/>
      <c r="C2993" s="34"/>
      <c r="F2993" s="35"/>
      <c r="I2993" s="33"/>
      <c r="L2993" s="54">
        <f t="shared" si="29"/>
        <v>0</v>
      </c>
      <c r="M2993" s="33"/>
      <c r="N2993" s="33"/>
    </row>
    <row r="2994" spans="2:14" ht="15.75" x14ac:dyDescent="0.25">
      <c r="B2994" s="33"/>
      <c r="C2994" s="34"/>
      <c r="F2994" s="35"/>
      <c r="I2994" s="33"/>
      <c r="L2994" s="54">
        <f t="shared" si="29"/>
        <v>0</v>
      </c>
      <c r="M2994" s="33"/>
      <c r="N2994" s="33"/>
    </row>
    <row r="2995" spans="2:14" ht="15.75" x14ac:dyDescent="0.25">
      <c r="B2995" s="33"/>
      <c r="C2995" s="34"/>
      <c r="F2995" s="35"/>
      <c r="I2995" s="33"/>
      <c r="L2995" s="54">
        <f t="shared" si="29"/>
        <v>0</v>
      </c>
      <c r="M2995" s="33"/>
      <c r="N2995" s="33"/>
    </row>
    <row r="2996" spans="2:14" ht="15.75" x14ac:dyDescent="0.25">
      <c r="B2996" s="33"/>
      <c r="C2996" s="34"/>
      <c r="F2996" s="35"/>
      <c r="I2996" s="33"/>
      <c r="L2996" s="54">
        <f t="shared" si="29"/>
        <v>0</v>
      </c>
      <c r="M2996" s="33"/>
      <c r="N2996" s="33"/>
    </row>
    <row r="2997" spans="2:14" ht="15.75" x14ac:dyDescent="0.25">
      <c r="B2997" s="33"/>
      <c r="C2997" s="34"/>
      <c r="F2997" s="35"/>
      <c r="I2997" s="33"/>
      <c r="L2997" s="54">
        <f t="shared" si="29"/>
        <v>0</v>
      </c>
      <c r="M2997" s="33"/>
      <c r="N2997" s="33"/>
    </row>
    <row r="2998" spans="2:14" ht="15.75" x14ac:dyDescent="0.25">
      <c r="B2998" s="33"/>
      <c r="C2998" s="34"/>
      <c r="F2998" s="35"/>
      <c r="I2998" s="33"/>
      <c r="L2998" s="54">
        <f t="shared" si="29"/>
        <v>0</v>
      </c>
      <c r="M2998" s="33"/>
      <c r="N2998" s="33"/>
    </row>
    <row r="2999" spans="2:14" ht="15.75" x14ac:dyDescent="0.25">
      <c r="B2999" s="33"/>
      <c r="C2999" s="34"/>
      <c r="F2999" s="35"/>
      <c r="I2999" s="33"/>
      <c r="L2999" s="54">
        <f t="shared" si="29"/>
        <v>0</v>
      </c>
      <c r="M2999" s="33"/>
      <c r="N2999" s="33"/>
    </row>
    <row r="3000" spans="2:14" ht="15.75" x14ac:dyDescent="0.25">
      <c r="B3000" s="33"/>
      <c r="C3000" s="34"/>
      <c r="F3000" s="35"/>
      <c r="I3000" s="33"/>
      <c r="L3000" s="54">
        <f t="shared" si="29"/>
        <v>0</v>
      </c>
      <c r="M3000" s="33"/>
      <c r="N3000" s="33"/>
    </row>
    <row r="3001" spans="2:14" ht="15.75" x14ac:dyDescent="0.25">
      <c r="B3001" s="33"/>
      <c r="C3001" s="34"/>
      <c r="F3001" s="35"/>
      <c r="I3001" s="33"/>
      <c r="L3001" s="54">
        <f t="shared" si="29"/>
        <v>0</v>
      </c>
      <c r="M3001" s="33"/>
      <c r="N3001" s="33"/>
    </row>
    <row r="3002" spans="2:14" ht="15.75" x14ac:dyDescent="0.25">
      <c r="B3002" s="33"/>
      <c r="C3002" s="34"/>
      <c r="F3002" s="35"/>
      <c r="I3002" s="33"/>
      <c r="L3002" s="54">
        <f t="shared" si="29"/>
        <v>0</v>
      </c>
      <c r="M3002" s="33"/>
      <c r="N3002" s="33"/>
    </row>
    <row r="3003" spans="2:14" ht="15.75" x14ac:dyDescent="0.25">
      <c r="B3003" s="33"/>
      <c r="C3003" s="34"/>
      <c r="F3003" s="35"/>
      <c r="I3003" s="33"/>
      <c r="L3003" s="54">
        <f t="shared" si="29"/>
        <v>0</v>
      </c>
      <c r="M3003" s="33"/>
      <c r="N3003" s="33"/>
    </row>
    <row r="3004" spans="2:14" ht="15.75" x14ac:dyDescent="0.25">
      <c r="B3004" s="33"/>
      <c r="C3004" s="34"/>
      <c r="F3004" s="35"/>
      <c r="I3004" s="33"/>
      <c r="L3004" s="54">
        <f t="shared" si="29"/>
        <v>0</v>
      </c>
      <c r="M3004" s="33"/>
      <c r="N3004" s="33"/>
    </row>
    <row r="3005" spans="2:14" ht="15.75" x14ac:dyDescent="0.25">
      <c r="B3005" s="33"/>
      <c r="C3005" s="34"/>
      <c r="F3005" s="35"/>
      <c r="I3005" s="33"/>
      <c r="L3005" s="54">
        <f t="shared" si="29"/>
        <v>0</v>
      </c>
      <c r="M3005" s="33"/>
      <c r="N3005" s="33"/>
    </row>
    <row r="3006" spans="2:14" ht="15.75" x14ac:dyDescent="0.25">
      <c r="B3006" s="33"/>
      <c r="C3006" s="34"/>
      <c r="F3006" s="35"/>
      <c r="I3006" s="33"/>
      <c r="L3006" s="54">
        <f t="shared" si="29"/>
        <v>0</v>
      </c>
      <c r="M3006" s="33"/>
      <c r="N3006" s="33"/>
    </row>
    <row r="3007" spans="2:14" ht="15.75" x14ac:dyDescent="0.25">
      <c r="B3007" s="33"/>
      <c r="C3007" s="34"/>
      <c r="F3007" s="35"/>
      <c r="I3007" s="33"/>
      <c r="L3007" s="54">
        <f t="shared" si="29"/>
        <v>0</v>
      </c>
      <c r="M3007" s="33"/>
      <c r="N3007" s="33"/>
    </row>
    <row r="3008" spans="2:14" ht="15.75" x14ac:dyDescent="0.25">
      <c r="B3008" s="33"/>
      <c r="C3008" s="34"/>
      <c r="F3008" s="35"/>
      <c r="I3008" s="33"/>
      <c r="L3008" s="54">
        <f t="shared" si="29"/>
        <v>0</v>
      </c>
      <c r="M3008" s="33"/>
      <c r="N3008" s="33"/>
    </row>
    <row r="3009" spans="2:14" ht="15.75" x14ac:dyDescent="0.25">
      <c r="B3009" s="33"/>
      <c r="C3009" s="34"/>
      <c r="F3009" s="35"/>
      <c r="I3009" s="33"/>
      <c r="L3009" s="54">
        <f t="shared" si="29"/>
        <v>0</v>
      </c>
      <c r="M3009" s="33"/>
      <c r="N3009" s="33"/>
    </row>
    <row r="3010" spans="2:14" ht="15.75" x14ac:dyDescent="0.25">
      <c r="B3010" s="33"/>
      <c r="C3010" s="34"/>
      <c r="F3010" s="35"/>
      <c r="I3010" s="33"/>
      <c r="L3010" s="54">
        <f t="shared" si="29"/>
        <v>0</v>
      </c>
      <c r="M3010" s="33"/>
      <c r="N3010" s="33"/>
    </row>
    <row r="3011" spans="2:14" ht="15.75" x14ac:dyDescent="0.25">
      <c r="B3011" s="33"/>
      <c r="C3011" s="34"/>
      <c r="F3011" s="35"/>
      <c r="I3011" s="33"/>
      <c r="L3011" s="54">
        <f t="shared" si="29"/>
        <v>0</v>
      </c>
      <c r="M3011" s="33"/>
      <c r="N3011" s="33"/>
    </row>
    <row r="3012" spans="2:14" ht="15.75" x14ac:dyDescent="0.25">
      <c r="B3012" s="33"/>
      <c r="C3012" s="34"/>
      <c r="F3012" s="35"/>
      <c r="I3012" s="33"/>
      <c r="L3012" s="54">
        <f t="shared" si="29"/>
        <v>0</v>
      </c>
      <c r="M3012" s="33"/>
      <c r="N3012" s="33"/>
    </row>
    <row r="3013" spans="2:14" ht="15.75" x14ac:dyDescent="0.25">
      <c r="B3013" s="33"/>
      <c r="C3013" s="34"/>
      <c r="F3013" s="35"/>
      <c r="I3013" s="33"/>
      <c r="L3013" s="54">
        <f t="shared" si="29"/>
        <v>0</v>
      </c>
      <c r="M3013" s="33"/>
      <c r="N3013" s="33"/>
    </row>
    <row r="3014" spans="2:14" ht="15.75" x14ac:dyDescent="0.25">
      <c r="B3014" s="33"/>
      <c r="C3014" s="34"/>
      <c r="F3014" s="35"/>
      <c r="I3014" s="33"/>
      <c r="L3014" s="54">
        <f t="shared" si="29"/>
        <v>0</v>
      </c>
      <c r="M3014" s="33"/>
      <c r="N3014" s="33"/>
    </row>
    <row r="3015" spans="2:14" ht="15.75" x14ac:dyDescent="0.25">
      <c r="B3015" s="33"/>
      <c r="C3015" s="34"/>
      <c r="F3015" s="35"/>
      <c r="I3015" s="33"/>
      <c r="L3015" s="54">
        <f t="shared" si="29"/>
        <v>0</v>
      </c>
      <c r="M3015" s="33"/>
      <c r="N3015" s="33"/>
    </row>
    <row r="3016" spans="2:14" ht="15.75" x14ac:dyDescent="0.25">
      <c r="B3016" s="33"/>
      <c r="C3016" s="34"/>
      <c r="F3016" s="35"/>
      <c r="I3016" s="33"/>
      <c r="L3016" s="54">
        <f t="shared" si="29"/>
        <v>0</v>
      </c>
      <c r="M3016" s="33"/>
      <c r="N3016" s="33"/>
    </row>
    <row r="3017" spans="2:14" ht="15.75" x14ac:dyDescent="0.25">
      <c r="B3017" s="33"/>
      <c r="C3017" s="34"/>
      <c r="F3017" s="35"/>
      <c r="I3017" s="33"/>
      <c r="L3017" s="54">
        <f t="shared" si="29"/>
        <v>0</v>
      </c>
      <c r="M3017" s="33"/>
      <c r="N3017" s="33"/>
    </row>
    <row r="3018" spans="2:14" ht="15.75" x14ac:dyDescent="0.25">
      <c r="B3018" s="33"/>
      <c r="C3018" s="34"/>
      <c r="F3018" s="35"/>
      <c r="I3018" s="33"/>
      <c r="L3018" s="54">
        <f t="shared" si="29"/>
        <v>0</v>
      </c>
      <c r="M3018" s="33"/>
      <c r="N3018" s="33"/>
    </row>
    <row r="3019" spans="2:14" ht="15.75" x14ac:dyDescent="0.25">
      <c r="B3019" s="33"/>
      <c r="C3019" s="34"/>
      <c r="F3019" s="35"/>
      <c r="I3019" s="33"/>
      <c r="L3019" s="54">
        <f t="shared" si="29"/>
        <v>0</v>
      </c>
      <c r="M3019" s="33"/>
      <c r="N3019" s="33"/>
    </row>
    <row r="3020" spans="2:14" ht="15.75" x14ac:dyDescent="0.25">
      <c r="B3020" s="33"/>
      <c r="C3020" s="34"/>
      <c r="F3020" s="35"/>
      <c r="I3020" s="33"/>
      <c r="L3020" s="54">
        <f t="shared" si="29"/>
        <v>0</v>
      </c>
      <c r="M3020" s="33"/>
      <c r="N3020" s="33"/>
    </row>
    <row r="3021" spans="2:14" ht="15.75" x14ac:dyDescent="0.25">
      <c r="B3021" s="33"/>
      <c r="C3021" s="34"/>
      <c r="F3021" s="35"/>
      <c r="I3021" s="33"/>
      <c r="L3021" s="54">
        <f t="shared" si="29"/>
        <v>0</v>
      </c>
      <c r="M3021" s="33"/>
      <c r="N3021" s="33"/>
    </row>
    <row r="3022" spans="2:14" ht="15.75" x14ac:dyDescent="0.25">
      <c r="B3022" s="33"/>
      <c r="C3022" s="34"/>
      <c r="F3022" s="35"/>
      <c r="I3022" s="33"/>
      <c r="L3022" s="54">
        <f t="shared" si="29"/>
        <v>0</v>
      </c>
      <c r="M3022" s="33"/>
      <c r="N3022" s="33"/>
    </row>
    <row r="3023" spans="2:14" ht="15.75" x14ac:dyDescent="0.25">
      <c r="B3023" s="33"/>
      <c r="C3023" s="34"/>
      <c r="F3023" s="35"/>
      <c r="I3023" s="33"/>
      <c r="L3023" s="54">
        <f t="shared" si="29"/>
        <v>0</v>
      </c>
      <c r="M3023" s="33"/>
      <c r="N3023" s="33"/>
    </row>
    <row r="3024" spans="2:14" ht="15.75" x14ac:dyDescent="0.25">
      <c r="B3024" s="33"/>
      <c r="C3024" s="34"/>
      <c r="F3024" s="35"/>
      <c r="I3024" s="33"/>
      <c r="L3024" s="54">
        <f t="shared" si="29"/>
        <v>0</v>
      </c>
      <c r="M3024" s="33"/>
      <c r="N3024" s="33"/>
    </row>
    <row r="3025" spans="2:14" ht="15.75" x14ac:dyDescent="0.25">
      <c r="B3025" s="33"/>
      <c r="C3025" s="34"/>
      <c r="F3025" s="35"/>
      <c r="I3025" s="33"/>
      <c r="L3025" s="54">
        <f t="shared" si="29"/>
        <v>0</v>
      </c>
      <c r="M3025" s="33"/>
      <c r="N3025" s="33"/>
    </row>
    <row r="3026" spans="2:14" ht="15.75" x14ac:dyDescent="0.25">
      <c r="B3026" s="33"/>
      <c r="C3026" s="34"/>
      <c r="F3026" s="35"/>
      <c r="I3026" s="33"/>
      <c r="L3026" s="54">
        <f t="shared" ref="L3026:L3089" si="30">L3025+J3025-K3027</f>
        <v>0</v>
      </c>
      <c r="M3026" s="33"/>
      <c r="N3026" s="33"/>
    </row>
    <row r="3027" spans="2:14" ht="15.75" x14ac:dyDescent="0.25">
      <c r="B3027" s="33"/>
      <c r="C3027" s="34"/>
      <c r="F3027" s="35"/>
      <c r="I3027" s="33"/>
      <c r="L3027" s="54">
        <f t="shared" si="30"/>
        <v>0</v>
      </c>
      <c r="M3027" s="33"/>
      <c r="N3027" s="33"/>
    </row>
    <row r="3028" spans="2:14" ht="15.75" x14ac:dyDescent="0.25">
      <c r="B3028" s="33"/>
      <c r="C3028" s="34"/>
      <c r="F3028" s="35"/>
      <c r="I3028" s="33"/>
      <c r="L3028" s="54">
        <f t="shared" si="30"/>
        <v>0</v>
      </c>
      <c r="M3028" s="33"/>
      <c r="N3028" s="33"/>
    </row>
    <row r="3029" spans="2:14" ht="15.75" x14ac:dyDescent="0.25">
      <c r="B3029" s="33"/>
      <c r="C3029" s="34"/>
      <c r="F3029" s="35"/>
      <c r="I3029" s="33"/>
      <c r="L3029" s="54">
        <f t="shared" si="30"/>
        <v>0</v>
      </c>
      <c r="M3029" s="33"/>
      <c r="N3029" s="33"/>
    </row>
    <row r="3030" spans="2:14" ht="15.75" x14ac:dyDescent="0.25">
      <c r="B3030" s="33"/>
      <c r="C3030" s="34"/>
      <c r="F3030" s="35"/>
      <c r="I3030" s="33"/>
      <c r="L3030" s="54">
        <f t="shared" si="30"/>
        <v>0</v>
      </c>
      <c r="M3030" s="33"/>
      <c r="N3030" s="33"/>
    </row>
    <row r="3031" spans="2:14" ht="15.75" x14ac:dyDescent="0.25">
      <c r="B3031" s="33"/>
      <c r="C3031" s="34"/>
      <c r="F3031" s="35"/>
      <c r="I3031" s="33"/>
      <c r="L3031" s="54">
        <f t="shared" si="30"/>
        <v>0</v>
      </c>
      <c r="M3031" s="33"/>
      <c r="N3031" s="33"/>
    </row>
    <row r="3032" spans="2:14" ht="15.75" x14ac:dyDescent="0.25">
      <c r="B3032" s="33"/>
      <c r="C3032" s="34"/>
      <c r="F3032" s="35"/>
      <c r="I3032" s="33"/>
      <c r="L3032" s="54">
        <f t="shared" si="30"/>
        <v>0</v>
      </c>
      <c r="M3032" s="33"/>
      <c r="N3032" s="33"/>
    </row>
    <row r="3033" spans="2:14" ht="15.75" x14ac:dyDescent="0.25">
      <c r="B3033" s="33"/>
      <c r="C3033" s="34"/>
      <c r="F3033" s="35"/>
      <c r="I3033" s="33"/>
      <c r="L3033" s="54">
        <f t="shared" si="30"/>
        <v>0</v>
      </c>
      <c r="M3033" s="33"/>
      <c r="N3033" s="33"/>
    </row>
    <row r="3034" spans="2:14" ht="15.75" x14ac:dyDescent="0.25">
      <c r="B3034" s="33"/>
      <c r="C3034" s="34"/>
      <c r="F3034" s="35"/>
      <c r="I3034" s="33"/>
      <c r="L3034" s="54">
        <f t="shared" si="30"/>
        <v>0</v>
      </c>
      <c r="M3034" s="33"/>
      <c r="N3034" s="33"/>
    </row>
    <row r="3035" spans="2:14" ht="15.75" x14ac:dyDescent="0.25">
      <c r="B3035" s="33"/>
      <c r="C3035" s="34"/>
      <c r="F3035" s="35"/>
      <c r="I3035" s="33"/>
      <c r="L3035" s="54">
        <f t="shared" si="30"/>
        <v>0</v>
      </c>
      <c r="M3035" s="33"/>
      <c r="N3035" s="33"/>
    </row>
    <row r="3036" spans="2:14" ht="15.75" x14ac:dyDescent="0.25">
      <c r="B3036" s="33"/>
      <c r="C3036" s="34"/>
      <c r="F3036" s="35"/>
      <c r="I3036" s="33"/>
      <c r="L3036" s="54">
        <f t="shared" si="30"/>
        <v>0</v>
      </c>
      <c r="M3036" s="33"/>
      <c r="N3036" s="33"/>
    </row>
    <row r="3037" spans="2:14" ht="15.75" x14ac:dyDescent="0.25">
      <c r="B3037" s="33"/>
      <c r="C3037" s="34"/>
      <c r="F3037" s="35"/>
      <c r="I3037" s="33"/>
      <c r="L3037" s="54">
        <f t="shared" si="30"/>
        <v>0</v>
      </c>
      <c r="M3037" s="33"/>
      <c r="N3037" s="33"/>
    </row>
    <row r="3038" spans="2:14" ht="15.75" x14ac:dyDescent="0.25">
      <c r="B3038" s="33"/>
      <c r="C3038" s="34"/>
      <c r="F3038" s="35"/>
      <c r="I3038" s="33"/>
      <c r="L3038" s="54">
        <f t="shared" si="30"/>
        <v>0</v>
      </c>
      <c r="M3038" s="33"/>
      <c r="N3038" s="33"/>
    </row>
    <row r="3039" spans="2:14" ht="15.75" x14ac:dyDescent="0.25">
      <c r="B3039" s="33"/>
      <c r="C3039" s="34"/>
      <c r="F3039" s="35"/>
      <c r="I3039" s="33"/>
      <c r="L3039" s="54">
        <f t="shared" si="30"/>
        <v>0</v>
      </c>
      <c r="M3039" s="33"/>
      <c r="N3039" s="33"/>
    </row>
    <row r="3040" spans="2:14" ht="15.75" x14ac:dyDescent="0.25">
      <c r="B3040" s="33"/>
      <c r="C3040" s="34"/>
      <c r="F3040" s="35"/>
      <c r="I3040" s="33"/>
      <c r="L3040" s="54">
        <f t="shared" si="30"/>
        <v>0</v>
      </c>
      <c r="M3040" s="33"/>
      <c r="N3040" s="33"/>
    </row>
    <row r="3041" spans="2:14" ht="15.75" x14ac:dyDescent="0.25">
      <c r="B3041" s="33"/>
      <c r="C3041" s="34"/>
      <c r="F3041" s="35"/>
      <c r="I3041" s="33"/>
      <c r="L3041" s="54">
        <f t="shared" si="30"/>
        <v>0</v>
      </c>
      <c r="M3041" s="33"/>
      <c r="N3041" s="33"/>
    </row>
    <row r="3042" spans="2:14" ht="15.75" x14ac:dyDescent="0.25">
      <c r="B3042" s="33"/>
      <c r="C3042" s="34"/>
      <c r="F3042" s="35"/>
      <c r="I3042" s="33"/>
      <c r="L3042" s="54">
        <f t="shared" si="30"/>
        <v>0</v>
      </c>
      <c r="M3042" s="33"/>
      <c r="N3042" s="33"/>
    </row>
    <row r="3043" spans="2:14" ht="15.75" x14ac:dyDescent="0.25">
      <c r="B3043" s="33"/>
      <c r="C3043" s="34"/>
      <c r="F3043" s="35"/>
      <c r="I3043" s="33"/>
      <c r="L3043" s="54">
        <f t="shared" si="30"/>
        <v>0</v>
      </c>
      <c r="M3043" s="33"/>
      <c r="N3043" s="33"/>
    </row>
    <row r="3044" spans="2:14" ht="15.75" x14ac:dyDescent="0.25">
      <c r="B3044" s="33"/>
      <c r="C3044" s="34"/>
      <c r="F3044" s="35"/>
      <c r="I3044" s="33"/>
      <c r="L3044" s="54">
        <f t="shared" si="30"/>
        <v>0</v>
      </c>
      <c r="M3044" s="33"/>
      <c r="N3044" s="33"/>
    </row>
    <row r="3045" spans="2:14" ht="15.75" x14ac:dyDescent="0.25">
      <c r="B3045" s="33"/>
      <c r="C3045" s="34"/>
      <c r="F3045" s="35"/>
      <c r="I3045" s="33"/>
      <c r="L3045" s="54">
        <f t="shared" si="30"/>
        <v>0</v>
      </c>
      <c r="M3045" s="33"/>
      <c r="N3045" s="33"/>
    </row>
    <row r="3046" spans="2:14" ht="15.75" x14ac:dyDescent="0.25">
      <c r="B3046" s="33"/>
      <c r="C3046" s="34"/>
      <c r="F3046" s="35"/>
      <c r="I3046" s="33"/>
      <c r="L3046" s="54">
        <f t="shared" si="30"/>
        <v>0</v>
      </c>
      <c r="M3046" s="33"/>
      <c r="N3046" s="33"/>
    </row>
    <row r="3047" spans="2:14" ht="15.75" x14ac:dyDescent="0.25">
      <c r="B3047" s="33"/>
      <c r="C3047" s="34"/>
      <c r="F3047" s="35"/>
      <c r="I3047" s="33"/>
      <c r="L3047" s="54">
        <f t="shared" si="30"/>
        <v>0</v>
      </c>
      <c r="M3047" s="33"/>
      <c r="N3047" s="33"/>
    </row>
    <row r="3048" spans="2:14" ht="15.75" x14ac:dyDescent="0.25">
      <c r="B3048" s="33"/>
      <c r="C3048" s="34"/>
      <c r="F3048" s="35"/>
      <c r="I3048" s="33"/>
      <c r="L3048" s="54">
        <f t="shared" si="30"/>
        <v>0</v>
      </c>
      <c r="M3048" s="33"/>
      <c r="N3048" s="33"/>
    </row>
    <row r="3049" spans="2:14" ht="15.75" x14ac:dyDescent="0.25">
      <c r="B3049" s="33"/>
      <c r="C3049" s="34"/>
      <c r="F3049" s="35"/>
      <c r="I3049" s="33"/>
      <c r="L3049" s="54">
        <f t="shared" si="30"/>
        <v>0</v>
      </c>
      <c r="M3049" s="33"/>
      <c r="N3049" s="33"/>
    </row>
    <row r="3050" spans="2:14" ht="15.75" x14ac:dyDescent="0.25">
      <c r="B3050" s="33"/>
      <c r="C3050" s="34"/>
      <c r="F3050" s="35"/>
      <c r="I3050" s="33"/>
      <c r="L3050" s="54">
        <f t="shared" si="30"/>
        <v>0</v>
      </c>
      <c r="M3050" s="33"/>
      <c r="N3050" s="33"/>
    </row>
    <row r="3051" spans="2:14" ht="15.75" x14ac:dyDescent="0.25">
      <c r="B3051" s="33"/>
      <c r="C3051" s="34"/>
      <c r="F3051" s="35"/>
      <c r="I3051" s="33"/>
      <c r="L3051" s="54">
        <f t="shared" si="30"/>
        <v>0</v>
      </c>
      <c r="M3051" s="33"/>
      <c r="N3051" s="33"/>
    </row>
    <row r="3052" spans="2:14" ht="15.75" x14ac:dyDescent="0.25">
      <c r="B3052" s="33"/>
      <c r="C3052" s="34"/>
      <c r="F3052" s="35"/>
      <c r="I3052" s="33"/>
      <c r="L3052" s="54">
        <f t="shared" si="30"/>
        <v>0</v>
      </c>
      <c r="M3052" s="33"/>
      <c r="N3052" s="33"/>
    </row>
    <row r="3053" spans="2:14" ht="15.75" x14ac:dyDescent="0.25">
      <c r="B3053" s="33"/>
      <c r="C3053" s="34"/>
      <c r="F3053" s="35"/>
      <c r="I3053" s="33"/>
      <c r="L3053" s="54">
        <f t="shared" si="30"/>
        <v>0</v>
      </c>
      <c r="M3053" s="33"/>
      <c r="N3053" s="33"/>
    </row>
    <row r="3054" spans="2:14" ht="15.75" x14ac:dyDescent="0.25">
      <c r="B3054" s="33"/>
      <c r="C3054" s="34"/>
      <c r="F3054" s="35"/>
      <c r="I3054" s="33"/>
      <c r="L3054" s="54">
        <f t="shared" si="30"/>
        <v>0</v>
      </c>
      <c r="M3054" s="33"/>
      <c r="N3054" s="33"/>
    </row>
    <row r="3055" spans="2:14" ht="15.75" x14ac:dyDescent="0.25">
      <c r="B3055" s="33"/>
      <c r="C3055" s="34"/>
      <c r="F3055" s="35"/>
      <c r="I3055" s="33"/>
      <c r="L3055" s="54">
        <f t="shared" si="30"/>
        <v>0</v>
      </c>
      <c r="M3055" s="33"/>
      <c r="N3055" s="33"/>
    </row>
    <row r="3056" spans="2:14" ht="15.75" x14ac:dyDescent="0.25">
      <c r="B3056" s="33"/>
      <c r="C3056" s="34"/>
      <c r="F3056" s="35"/>
      <c r="I3056" s="33"/>
      <c r="L3056" s="54">
        <f t="shared" si="30"/>
        <v>0</v>
      </c>
      <c r="M3056" s="33"/>
      <c r="N3056" s="33"/>
    </row>
    <row r="3057" spans="2:14" ht="15.75" x14ac:dyDescent="0.25">
      <c r="B3057" s="33"/>
      <c r="C3057" s="34"/>
      <c r="F3057" s="35"/>
      <c r="I3057" s="33"/>
      <c r="L3057" s="54">
        <f t="shared" si="30"/>
        <v>0</v>
      </c>
      <c r="M3057" s="33"/>
      <c r="N3057" s="33"/>
    </row>
    <row r="3058" spans="2:14" ht="15.75" x14ac:dyDescent="0.25">
      <c r="B3058" s="33"/>
      <c r="C3058" s="34"/>
      <c r="F3058" s="35"/>
      <c r="I3058" s="33"/>
      <c r="L3058" s="54">
        <f t="shared" si="30"/>
        <v>0</v>
      </c>
      <c r="M3058" s="33"/>
      <c r="N3058" s="33"/>
    </row>
    <row r="3059" spans="2:14" ht="15.75" x14ac:dyDescent="0.25">
      <c r="B3059" s="33"/>
      <c r="C3059" s="34"/>
      <c r="F3059" s="35"/>
      <c r="I3059" s="33"/>
      <c r="L3059" s="54">
        <f t="shared" si="30"/>
        <v>0</v>
      </c>
      <c r="M3059" s="33"/>
      <c r="N3059" s="33"/>
    </row>
    <row r="3060" spans="2:14" ht="15.75" x14ac:dyDescent="0.25">
      <c r="B3060" s="33"/>
      <c r="C3060" s="34"/>
      <c r="F3060" s="35"/>
      <c r="I3060" s="33"/>
      <c r="L3060" s="54">
        <f t="shared" si="30"/>
        <v>0</v>
      </c>
      <c r="M3060" s="33"/>
      <c r="N3060" s="33"/>
    </row>
    <row r="3061" spans="2:14" ht="15.75" x14ac:dyDescent="0.25">
      <c r="B3061" s="33"/>
      <c r="C3061" s="34"/>
      <c r="F3061" s="35"/>
      <c r="I3061" s="33"/>
      <c r="L3061" s="54">
        <f t="shared" si="30"/>
        <v>0</v>
      </c>
      <c r="M3061" s="33"/>
      <c r="N3061" s="33"/>
    </row>
    <row r="3062" spans="2:14" ht="15.75" x14ac:dyDescent="0.25">
      <c r="B3062" s="33"/>
      <c r="C3062" s="34"/>
      <c r="F3062" s="35"/>
      <c r="I3062" s="33"/>
      <c r="L3062" s="54">
        <f t="shared" si="30"/>
        <v>0</v>
      </c>
      <c r="M3062" s="33"/>
      <c r="N3062" s="33"/>
    </row>
    <row r="3063" spans="2:14" ht="15.75" x14ac:dyDescent="0.25">
      <c r="B3063" s="33"/>
      <c r="C3063" s="34"/>
      <c r="F3063" s="35"/>
      <c r="I3063" s="33"/>
      <c r="L3063" s="54">
        <f t="shared" si="30"/>
        <v>0</v>
      </c>
      <c r="M3063" s="33"/>
      <c r="N3063" s="33"/>
    </row>
    <row r="3064" spans="2:14" ht="15.75" x14ac:dyDescent="0.25">
      <c r="B3064" s="33"/>
      <c r="C3064" s="34"/>
      <c r="F3064" s="35"/>
      <c r="I3064" s="33"/>
      <c r="L3064" s="54">
        <f t="shared" si="30"/>
        <v>0</v>
      </c>
      <c r="M3064" s="33"/>
      <c r="N3064" s="33"/>
    </row>
    <row r="3065" spans="2:14" ht="15.75" x14ac:dyDescent="0.25">
      <c r="B3065" s="33"/>
      <c r="C3065" s="34"/>
      <c r="F3065" s="35"/>
      <c r="I3065" s="33"/>
      <c r="L3065" s="54">
        <f t="shared" si="30"/>
        <v>0</v>
      </c>
      <c r="M3065" s="33"/>
      <c r="N3065" s="33"/>
    </row>
    <row r="3066" spans="2:14" ht="15.75" x14ac:dyDescent="0.25">
      <c r="B3066" s="33"/>
      <c r="C3066" s="34"/>
      <c r="F3066" s="35"/>
      <c r="I3066" s="33"/>
      <c r="L3066" s="54">
        <f t="shared" si="30"/>
        <v>0</v>
      </c>
      <c r="M3066" s="33"/>
      <c r="N3066" s="33"/>
    </row>
    <row r="3067" spans="2:14" ht="15.75" x14ac:dyDescent="0.25">
      <c r="B3067" s="33"/>
      <c r="C3067" s="34"/>
      <c r="F3067" s="35"/>
      <c r="I3067" s="33"/>
      <c r="L3067" s="54">
        <f t="shared" si="30"/>
        <v>0</v>
      </c>
      <c r="M3067" s="33"/>
      <c r="N3067" s="33"/>
    </row>
    <row r="3068" spans="2:14" ht="15.75" x14ac:dyDescent="0.25">
      <c r="B3068" s="33"/>
      <c r="C3068" s="34"/>
      <c r="F3068" s="35"/>
      <c r="I3068" s="33"/>
      <c r="L3068" s="54">
        <f t="shared" si="30"/>
        <v>0</v>
      </c>
      <c r="M3068" s="33"/>
      <c r="N3068" s="33"/>
    </row>
    <row r="3069" spans="2:14" ht="15.75" x14ac:dyDescent="0.25">
      <c r="B3069" s="33"/>
      <c r="C3069" s="34"/>
      <c r="F3069" s="35"/>
      <c r="I3069" s="33"/>
      <c r="L3069" s="54">
        <f t="shared" si="30"/>
        <v>0</v>
      </c>
      <c r="M3069" s="33"/>
      <c r="N3069" s="33"/>
    </row>
    <row r="3070" spans="2:14" ht="15.75" x14ac:dyDescent="0.25">
      <c r="B3070" s="33"/>
      <c r="C3070" s="34"/>
      <c r="F3070" s="35"/>
      <c r="I3070" s="33"/>
      <c r="L3070" s="54">
        <f t="shared" si="30"/>
        <v>0</v>
      </c>
      <c r="M3070" s="33"/>
      <c r="N3070" s="33"/>
    </row>
    <row r="3071" spans="2:14" ht="15.75" x14ac:dyDescent="0.25">
      <c r="B3071" s="33"/>
      <c r="C3071" s="34"/>
      <c r="F3071" s="35"/>
      <c r="I3071" s="33"/>
      <c r="L3071" s="54">
        <f t="shared" si="30"/>
        <v>0</v>
      </c>
      <c r="M3071" s="33"/>
      <c r="N3071" s="33"/>
    </row>
    <row r="3072" spans="2:14" ht="15.75" x14ac:dyDescent="0.25">
      <c r="B3072" s="33"/>
      <c r="C3072" s="34"/>
      <c r="F3072" s="35"/>
      <c r="I3072" s="33"/>
      <c r="L3072" s="54">
        <f t="shared" si="30"/>
        <v>0</v>
      </c>
      <c r="M3072" s="33"/>
      <c r="N3072" s="33"/>
    </row>
    <row r="3073" spans="2:14" ht="15.75" x14ac:dyDescent="0.25">
      <c r="B3073" s="33"/>
      <c r="C3073" s="34"/>
      <c r="F3073" s="35"/>
      <c r="I3073" s="33"/>
      <c r="L3073" s="54">
        <f t="shared" si="30"/>
        <v>0</v>
      </c>
      <c r="M3073" s="33"/>
      <c r="N3073" s="33"/>
    </row>
    <row r="3074" spans="2:14" ht="15.75" x14ac:dyDescent="0.25">
      <c r="B3074" s="33"/>
      <c r="C3074" s="34"/>
      <c r="F3074" s="35"/>
      <c r="I3074" s="33"/>
      <c r="L3074" s="54">
        <f t="shared" si="30"/>
        <v>0</v>
      </c>
      <c r="M3074" s="33"/>
      <c r="N3074" s="33"/>
    </row>
    <row r="3075" spans="2:14" ht="15.75" x14ac:dyDescent="0.25">
      <c r="B3075" s="33"/>
      <c r="C3075" s="34"/>
      <c r="F3075" s="35"/>
      <c r="I3075" s="33"/>
      <c r="L3075" s="54">
        <f t="shared" si="30"/>
        <v>0</v>
      </c>
      <c r="M3075" s="33"/>
      <c r="N3075" s="33"/>
    </row>
    <row r="3076" spans="2:14" ht="15.75" x14ac:dyDescent="0.25">
      <c r="B3076" s="33"/>
      <c r="C3076" s="34"/>
      <c r="F3076" s="35"/>
      <c r="I3076" s="33"/>
      <c r="L3076" s="54">
        <f t="shared" si="30"/>
        <v>0</v>
      </c>
      <c r="M3076" s="33"/>
      <c r="N3076" s="33"/>
    </row>
    <row r="3077" spans="2:14" ht="15.75" x14ac:dyDescent="0.25">
      <c r="B3077" s="33"/>
      <c r="C3077" s="34"/>
      <c r="F3077" s="35"/>
      <c r="I3077" s="33"/>
      <c r="L3077" s="54">
        <f t="shared" si="30"/>
        <v>0</v>
      </c>
      <c r="M3077" s="33"/>
      <c r="N3077" s="33"/>
    </row>
    <row r="3078" spans="2:14" ht="15.75" x14ac:dyDescent="0.25">
      <c r="B3078" s="33"/>
      <c r="C3078" s="34"/>
      <c r="F3078" s="35"/>
      <c r="I3078" s="33"/>
      <c r="L3078" s="54">
        <f t="shared" si="30"/>
        <v>0</v>
      </c>
      <c r="M3078" s="33"/>
      <c r="N3078" s="33"/>
    </row>
    <row r="3079" spans="2:14" ht="15.75" x14ac:dyDescent="0.25">
      <c r="B3079" s="33"/>
      <c r="C3079" s="34"/>
      <c r="F3079" s="35"/>
      <c r="I3079" s="33"/>
      <c r="L3079" s="54">
        <f t="shared" si="30"/>
        <v>0</v>
      </c>
      <c r="M3079" s="33"/>
      <c r="N3079" s="33"/>
    </row>
    <row r="3080" spans="2:14" ht="15.75" x14ac:dyDescent="0.25">
      <c r="B3080" s="33"/>
      <c r="C3080" s="34"/>
      <c r="F3080" s="35"/>
      <c r="I3080" s="33"/>
      <c r="L3080" s="54">
        <f t="shared" si="30"/>
        <v>0</v>
      </c>
      <c r="M3080" s="33"/>
      <c r="N3080" s="33"/>
    </row>
    <row r="3081" spans="2:14" ht="15.75" x14ac:dyDescent="0.25">
      <c r="B3081" s="33"/>
      <c r="C3081" s="34"/>
      <c r="F3081" s="35"/>
      <c r="I3081" s="33"/>
      <c r="L3081" s="54">
        <f t="shared" si="30"/>
        <v>0</v>
      </c>
      <c r="M3081" s="33"/>
      <c r="N3081" s="33"/>
    </row>
    <row r="3082" spans="2:14" ht="15.75" x14ac:dyDescent="0.25">
      <c r="B3082" s="33"/>
      <c r="C3082" s="34"/>
      <c r="F3082" s="35"/>
      <c r="I3082" s="33"/>
      <c r="L3082" s="54">
        <f t="shared" si="30"/>
        <v>0</v>
      </c>
      <c r="M3082" s="33"/>
      <c r="N3082" s="33"/>
    </row>
    <row r="3083" spans="2:14" ht="15.75" x14ac:dyDescent="0.25">
      <c r="B3083" s="33"/>
      <c r="C3083" s="34"/>
      <c r="F3083" s="35"/>
      <c r="I3083" s="33"/>
      <c r="L3083" s="54">
        <f t="shared" si="30"/>
        <v>0</v>
      </c>
      <c r="M3083" s="33"/>
      <c r="N3083" s="33"/>
    </row>
    <row r="3084" spans="2:14" ht="15.75" x14ac:dyDescent="0.25">
      <c r="B3084" s="33"/>
      <c r="C3084" s="34"/>
      <c r="F3084" s="35"/>
      <c r="I3084" s="33"/>
      <c r="L3084" s="54">
        <f t="shared" si="30"/>
        <v>0</v>
      </c>
      <c r="M3084" s="33"/>
      <c r="N3084" s="33"/>
    </row>
    <row r="3085" spans="2:14" ht="15.75" x14ac:dyDescent="0.25">
      <c r="B3085" s="33"/>
      <c r="C3085" s="34"/>
      <c r="F3085" s="35"/>
      <c r="I3085" s="33"/>
      <c r="L3085" s="54">
        <f t="shared" si="30"/>
        <v>0</v>
      </c>
      <c r="M3085" s="33"/>
      <c r="N3085" s="33"/>
    </row>
    <row r="3086" spans="2:14" ht="15.75" x14ac:dyDescent="0.25">
      <c r="B3086" s="33"/>
      <c r="C3086" s="34"/>
      <c r="F3086" s="35"/>
      <c r="I3086" s="33"/>
      <c r="L3086" s="54">
        <f t="shared" si="30"/>
        <v>0</v>
      </c>
      <c r="M3086" s="33"/>
      <c r="N3086" s="33"/>
    </row>
    <row r="3087" spans="2:14" ht="15.75" x14ac:dyDescent="0.25">
      <c r="B3087" s="33"/>
      <c r="C3087" s="34"/>
      <c r="F3087" s="35"/>
      <c r="I3087" s="33"/>
      <c r="L3087" s="54">
        <f t="shared" si="30"/>
        <v>0</v>
      </c>
      <c r="M3087" s="33"/>
      <c r="N3087" s="33"/>
    </row>
    <row r="3088" spans="2:14" ht="15.75" x14ac:dyDescent="0.25">
      <c r="B3088" s="33"/>
      <c r="C3088" s="34"/>
      <c r="F3088" s="35"/>
      <c r="I3088" s="33"/>
      <c r="L3088" s="54">
        <f t="shared" si="30"/>
        <v>0</v>
      </c>
      <c r="M3088" s="33"/>
      <c r="N3088" s="33"/>
    </row>
    <row r="3089" spans="2:14" ht="15.75" x14ac:dyDescent="0.25">
      <c r="B3089" s="33"/>
      <c r="C3089" s="34"/>
      <c r="F3089" s="35"/>
      <c r="I3089" s="33"/>
      <c r="L3089" s="54">
        <f t="shared" si="30"/>
        <v>0</v>
      </c>
      <c r="M3089" s="33"/>
      <c r="N3089" s="33"/>
    </row>
    <row r="3090" spans="2:14" ht="15.75" x14ac:dyDescent="0.25">
      <c r="B3090" s="33"/>
      <c r="C3090" s="34"/>
      <c r="F3090" s="35"/>
      <c r="I3090" s="33"/>
      <c r="L3090" s="54">
        <f t="shared" ref="L3090:L3153" si="31">L3089+J3089-K3091</f>
        <v>0</v>
      </c>
      <c r="M3090" s="33"/>
      <c r="N3090" s="33"/>
    </row>
    <row r="3091" spans="2:14" ht="15.75" x14ac:dyDescent="0.25">
      <c r="B3091" s="33"/>
      <c r="C3091" s="34"/>
      <c r="F3091" s="35"/>
      <c r="I3091" s="33"/>
      <c r="L3091" s="54">
        <f t="shared" si="31"/>
        <v>0</v>
      </c>
      <c r="M3091" s="33"/>
      <c r="N3091" s="33"/>
    </row>
    <row r="3092" spans="2:14" ht="15.75" x14ac:dyDescent="0.25">
      <c r="B3092" s="33"/>
      <c r="C3092" s="34"/>
      <c r="F3092" s="35"/>
      <c r="I3092" s="33"/>
      <c r="L3092" s="54">
        <f t="shared" si="31"/>
        <v>0</v>
      </c>
      <c r="M3092" s="33"/>
      <c r="N3092" s="33"/>
    </row>
    <row r="3093" spans="2:14" ht="15.75" x14ac:dyDescent="0.25">
      <c r="B3093" s="33"/>
      <c r="C3093" s="34"/>
      <c r="F3093" s="35"/>
      <c r="I3093" s="33"/>
      <c r="L3093" s="54">
        <f t="shared" si="31"/>
        <v>0</v>
      </c>
      <c r="M3093" s="33"/>
      <c r="N3093" s="33"/>
    </row>
    <row r="3094" spans="2:14" ht="15.75" x14ac:dyDescent="0.25">
      <c r="B3094" s="33"/>
      <c r="C3094" s="34"/>
      <c r="F3094" s="35"/>
      <c r="I3094" s="33"/>
      <c r="L3094" s="54">
        <f t="shared" si="31"/>
        <v>0</v>
      </c>
      <c r="M3094" s="33"/>
      <c r="N3094" s="33"/>
    </row>
    <row r="3095" spans="2:14" ht="15.75" x14ac:dyDescent="0.25">
      <c r="B3095" s="33"/>
      <c r="C3095" s="34"/>
      <c r="F3095" s="35"/>
      <c r="I3095" s="33"/>
      <c r="L3095" s="54">
        <f t="shared" si="31"/>
        <v>0</v>
      </c>
      <c r="M3095" s="33"/>
      <c r="N3095" s="33"/>
    </row>
    <row r="3096" spans="2:14" ht="15.75" x14ac:dyDescent="0.25">
      <c r="B3096" s="33"/>
      <c r="C3096" s="34"/>
      <c r="F3096" s="35"/>
      <c r="I3096" s="33"/>
      <c r="L3096" s="54">
        <f t="shared" si="31"/>
        <v>0</v>
      </c>
      <c r="M3096" s="33"/>
      <c r="N3096" s="33"/>
    </row>
    <row r="3097" spans="2:14" ht="15.75" x14ac:dyDescent="0.25">
      <c r="B3097" s="33"/>
      <c r="C3097" s="34"/>
      <c r="F3097" s="35"/>
      <c r="I3097" s="33"/>
      <c r="L3097" s="54">
        <f t="shared" si="31"/>
        <v>0</v>
      </c>
      <c r="M3097" s="33"/>
      <c r="N3097" s="33"/>
    </row>
    <row r="3098" spans="2:14" ht="15.75" x14ac:dyDescent="0.25">
      <c r="B3098" s="33"/>
      <c r="C3098" s="34"/>
      <c r="F3098" s="35"/>
      <c r="I3098" s="33"/>
      <c r="L3098" s="54">
        <f t="shared" si="31"/>
        <v>0</v>
      </c>
      <c r="M3098" s="33"/>
      <c r="N3098" s="33"/>
    </row>
    <row r="3099" spans="2:14" ht="15.75" x14ac:dyDescent="0.25">
      <c r="B3099" s="33"/>
      <c r="C3099" s="34"/>
      <c r="F3099" s="35"/>
      <c r="I3099" s="33"/>
      <c r="L3099" s="54">
        <f t="shared" si="31"/>
        <v>0</v>
      </c>
      <c r="M3099" s="33"/>
      <c r="N3099" s="33"/>
    </row>
    <row r="3100" spans="2:14" ht="15.75" x14ac:dyDescent="0.25">
      <c r="B3100" s="33"/>
      <c r="C3100" s="34"/>
      <c r="F3100" s="35"/>
      <c r="I3100" s="33"/>
      <c r="L3100" s="54">
        <f t="shared" si="31"/>
        <v>0</v>
      </c>
      <c r="M3100" s="33"/>
      <c r="N3100" s="33"/>
    </row>
    <row r="3101" spans="2:14" ht="15.75" x14ac:dyDescent="0.25">
      <c r="B3101" s="33"/>
      <c r="C3101" s="34"/>
      <c r="F3101" s="35"/>
      <c r="I3101" s="33"/>
      <c r="L3101" s="54">
        <f t="shared" si="31"/>
        <v>0</v>
      </c>
      <c r="M3101" s="33"/>
      <c r="N3101" s="33"/>
    </row>
    <row r="3102" spans="2:14" ht="15.75" x14ac:dyDescent="0.25">
      <c r="B3102" s="33"/>
      <c r="C3102" s="34"/>
      <c r="F3102" s="35"/>
      <c r="I3102" s="33"/>
      <c r="L3102" s="54">
        <f t="shared" si="31"/>
        <v>0</v>
      </c>
      <c r="M3102" s="33"/>
      <c r="N3102" s="33"/>
    </row>
    <row r="3103" spans="2:14" ht="15.75" x14ac:dyDescent="0.25">
      <c r="B3103" s="33"/>
      <c r="C3103" s="34"/>
      <c r="F3103" s="35"/>
      <c r="I3103" s="33"/>
      <c r="L3103" s="54">
        <f t="shared" si="31"/>
        <v>0</v>
      </c>
      <c r="M3103" s="33"/>
      <c r="N3103" s="33"/>
    </row>
    <row r="3104" spans="2:14" ht="15.75" x14ac:dyDescent="0.25">
      <c r="B3104" s="33"/>
      <c r="C3104" s="34"/>
      <c r="F3104" s="35"/>
      <c r="I3104" s="33"/>
      <c r="L3104" s="54">
        <f t="shared" si="31"/>
        <v>0</v>
      </c>
      <c r="M3104" s="33"/>
      <c r="N3104" s="33"/>
    </row>
    <row r="3105" spans="2:14" ht="15.75" x14ac:dyDescent="0.25">
      <c r="B3105" s="33"/>
      <c r="C3105" s="34"/>
      <c r="F3105" s="35"/>
      <c r="I3105" s="33"/>
      <c r="L3105" s="54">
        <f t="shared" si="31"/>
        <v>0</v>
      </c>
      <c r="M3105" s="33"/>
      <c r="N3105" s="33"/>
    </row>
    <row r="3106" spans="2:14" ht="15.75" x14ac:dyDescent="0.25">
      <c r="B3106" s="33"/>
      <c r="C3106" s="34"/>
      <c r="F3106" s="35"/>
      <c r="I3106" s="33"/>
      <c r="L3106" s="54">
        <f t="shared" si="31"/>
        <v>0</v>
      </c>
      <c r="M3106" s="33"/>
      <c r="N3106" s="33"/>
    </row>
    <row r="3107" spans="2:14" ht="15.75" x14ac:dyDescent="0.25">
      <c r="B3107" s="33"/>
      <c r="C3107" s="34"/>
      <c r="F3107" s="35"/>
      <c r="I3107" s="33"/>
      <c r="L3107" s="54">
        <f t="shared" si="31"/>
        <v>0</v>
      </c>
      <c r="M3107" s="33"/>
      <c r="N3107" s="33"/>
    </row>
    <row r="3108" spans="2:14" ht="15.75" x14ac:dyDescent="0.25">
      <c r="B3108" s="33"/>
      <c r="C3108" s="34"/>
      <c r="F3108" s="35"/>
      <c r="I3108" s="33"/>
      <c r="L3108" s="54">
        <f t="shared" si="31"/>
        <v>0</v>
      </c>
      <c r="M3108" s="33"/>
      <c r="N3108" s="33"/>
    </row>
    <row r="3109" spans="2:14" ht="15.75" x14ac:dyDescent="0.25">
      <c r="B3109" s="33"/>
      <c r="C3109" s="34"/>
      <c r="F3109" s="35"/>
      <c r="I3109" s="33"/>
      <c r="L3109" s="54">
        <f t="shared" si="31"/>
        <v>0</v>
      </c>
      <c r="M3109" s="33"/>
      <c r="N3109" s="33"/>
    </row>
    <row r="3110" spans="2:14" ht="15.75" x14ac:dyDescent="0.25">
      <c r="B3110" s="33"/>
      <c r="C3110" s="34"/>
      <c r="F3110" s="35"/>
      <c r="I3110" s="33"/>
      <c r="L3110" s="54">
        <f t="shared" si="31"/>
        <v>0</v>
      </c>
      <c r="M3110" s="33"/>
      <c r="N3110" s="33"/>
    </row>
    <row r="3111" spans="2:14" ht="15.75" x14ac:dyDescent="0.25">
      <c r="B3111" s="33"/>
      <c r="C3111" s="34"/>
      <c r="F3111" s="35"/>
      <c r="I3111" s="33"/>
      <c r="L3111" s="54">
        <f t="shared" si="31"/>
        <v>0</v>
      </c>
      <c r="M3111" s="33"/>
      <c r="N3111" s="33"/>
    </row>
    <row r="3112" spans="2:14" ht="15.75" x14ac:dyDescent="0.25">
      <c r="B3112" s="33"/>
      <c r="C3112" s="34"/>
      <c r="F3112" s="35"/>
      <c r="I3112" s="33"/>
      <c r="L3112" s="54">
        <f t="shared" si="31"/>
        <v>0</v>
      </c>
      <c r="M3112" s="33"/>
      <c r="N3112" s="33"/>
    </row>
    <row r="3113" spans="2:14" ht="15.75" x14ac:dyDescent="0.25">
      <c r="B3113" s="33"/>
      <c r="C3113" s="34"/>
      <c r="F3113" s="35"/>
      <c r="I3113" s="33"/>
      <c r="L3113" s="54">
        <f t="shared" si="31"/>
        <v>0</v>
      </c>
      <c r="M3113" s="33"/>
      <c r="N3113" s="33"/>
    </row>
    <row r="3114" spans="2:14" ht="15.75" x14ac:dyDescent="0.25">
      <c r="B3114" s="33"/>
      <c r="C3114" s="34"/>
      <c r="F3114" s="35"/>
      <c r="I3114" s="33"/>
      <c r="L3114" s="54">
        <f t="shared" si="31"/>
        <v>0</v>
      </c>
      <c r="M3114" s="33"/>
      <c r="N3114" s="33"/>
    </row>
    <row r="3115" spans="2:14" ht="15.75" x14ac:dyDescent="0.25">
      <c r="B3115" s="33"/>
      <c r="C3115" s="34"/>
      <c r="F3115" s="35"/>
      <c r="I3115" s="33"/>
      <c r="L3115" s="54">
        <f t="shared" si="31"/>
        <v>0</v>
      </c>
      <c r="M3115" s="33"/>
      <c r="N3115" s="33"/>
    </row>
    <row r="3116" spans="2:14" ht="15.75" x14ac:dyDescent="0.25">
      <c r="B3116" s="33"/>
      <c r="C3116" s="34"/>
      <c r="F3116" s="35"/>
      <c r="I3116" s="33"/>
      <c r="L3116" s="54">
        <f t="shared" si="31"/>
        <v>0</v>
      </c>
      <c r="M3116" s="33"/>
      <c r="N3116" s="33"/>
    </row>
    <row r="3117" spans="2:14" ht="15.75" x14ac:dyDescent="0.25">
      <c r="B3117" s="33"/>
      <c r="C3117" s="34"/>
      <c r="F3117" s="35"/>
      <c r="I3117" s="33"/>
      <c r="L3117" s="54">
        <f t="shared" si="31"/>
        <v>0</v>
      </c>
      <c r="M3117" s="33"/>
      <c r="N3117" s="33"/>
    </row>
    <row r="3118" spans="2:14" ht="15.75" x14ac:dyDescent="0.25">
      <c r="B3118" s="33"/>
      <c r="C3118" s="34"/>
      <c r="F3118" s="35"/>
      <c r="I3118" s="33"/>
      <c r="L3118" s="54">
        <f t="shared" si="31"/>
        <v>0</v>
      </c>
      <c r="M3118" s="33"/>
      <c r="N3118" s="33"/>
    </row>
    <row r="3119" spans="2:14" ht="15.75" x14ac:dyDescent="0.25">
      <c r="B3119" s="33"/>
      <c r="C3119" s="34"/>
      <c r="F3119" s="35"/>
      <c r="I3119" s="33"/>
      <c r="L3119" s="54">
        <f t="shared" si="31"/>
        <v>0</v>
      </c>
      <c r="M3119" s="33"/>
      <c r="N3119" s="33"/>
    </row>
    <row r="3120" spans="2:14" ht="15.75" x14ac:dyDescent="0.25">
      <c r="B3120" s="33"/>
      <c r="C3120" s="34"/>
      <c r="F3120" s="35"/>
      <c r="I3120" s="33"/>
      <c r="L3120" s="54">
        <f t="shared" si="31"/>
        <v>0</v>
      </c>
      <c r="M3120" s="33"/>
      <c r="N3120" s="33"/>
    </row>
    <row r="3121" spans="2:14" ht="15.75" x14ac:dyDescent="0.25">
      <c r="B3121" s="33"/>
      <c r="C3121" s="34"/>
      <c r="F3121" s="35"/>
      <c r="I3121" s="33"/>
      <c r="L3121" s="54">
        <f t="shared" si="31"/>
        <v>0</v>
      </c>
      <c r="M3121" s="33"/>
      <c r="N3121" s="33"/>
    </row>
    <row r="3122" spans="2:14" ht="15.75" x14ac:dyDescent="0.25">
      <c r="B3122" s="33"/>
      <c r="C3122" s="34"/>
      <c r="F3122" s="35"/>
      <c r="I3122" s="33"/>
      <c r="L3122" s="54">
        <f t="shared" si="31"/>
        <v>0</v>
      </c>
      <c r="M3122" s="33"/>
      <c r="N3122" s="33"/>
    </row>
    <row r="3123" spans="2:14" ht="15.75" x14ac:dyDescent="0.25">
      <c r="B3123" s="33"/>
      <c r="C3123" s="34"/>
      <c r="F3123" s="35"/>
      <c r="I3123" s="33"/>
      <c r="L3123" s="54">
        <f t="shared" si="31"/>
        <v>0</v>
      </c>
      <c r="M3123" s="33"/>
      <c r="N3123" s="33"/>
    </row>
    <row r="3124" spans="2:14" ht="15.75" x14ac:dyDescent="0.25">
      <c r="B3124" s="33"/>
      <c r="C3124" s="34"/>
      <c r="F3124" s="35"/>
      <c r="I3124" s="33"/>
      <c r="L3124" s="54">
        <f t="shared" si="31"/>
        <v>0</v>
      </c>
      <c r="M3124" s="33"/>
      <c r="N3124" s="33"/>
    </row>
    <row r="3125" spans="2:14" ht="15.75" x14ac:dyDescent="0.25">
      <c r="B3125" s="33"/>
      <c r="C3125" s="34"/>
      <c r="F3125" s="35"/>
      <c r="I3125" s="33"/>
      <c r="L3125" s="54">
        <f t="shared" si="31"/>
        <v>0</v>
      </c>
      <c r="M3125" s="33"/>
      <c r="N3125" s="33"/>
    </row>
    <row r="3126" spans="2:14" ht="15.75" x14ac:dyDescent="0.25">
      <c r="B3126" s="33"/>
      <c r="C3126" s="34"/>
      <c r="F3126" s="35"/>
      <c r="I3126" s="33"/>
      <c r="L3126" s="54">
        <f t="shared" si="31"/>
        <v>0</v>
      </c>
      <c r="M3126" s="33"/>
      <c r="N3126" s="33"/>
    </row>
    <row r="3127" spans="2:14" ht="15.75" x14ac:dyDescent="0.25">
      <c r="B3127" s="33"/>
      <c r="C3127" s="34"/>
      <c r="F3127" s="35"/>
      <c r="I3127" s="33"/>
      <c r="L3127" s="54">
        <f t="shared" si="31"/>
        <v>0</v>
      </c>
      <c r="M3127" s="33"/>
      <c r="N3127" s="33"/>
    </row>
    <row r="3128" spans="2:14" ht="15.75" x14ac:dyDescent="0.25">
      <c r="B3128" s="33"/>
      <c r="C3128" s="34"/>
      <c r="F3128" s="35"/>
      <c r="I3128" s="33"/>
      <c r="L3128" s="54">
        <f t="shared" si="31"/>
        <v>0</v>
      </c>
      <c r="M3128" s="33"/>
      <c r="N3128" s="33"/>
    </row>
    <row r="3129" spans="2:14" ht="15.75" x14ac:dyDescent="0.25">
      <c r="B3129" s="33"/>
      <c r="C3129" s="34"/>
      <c r="F3129" s="35"/>
      <c r="I3129" s="33"/>
      <c r="L3129" s="54">
        <f t="shared" si="31"/>
        <v>0</v>
      </c>
      <c r="M3129" s="33"/>
      <c r="N3129" s="33"/>
    </row>
    <row r="3130" spans="2:14" ht="15.75" x14ac:dyDescent="0.25">
      <c r="B3130" s="33"/>
      <c r="C3130" s="34"/>
      <c r="F3130" s="35"/>
      <c r="I3130" s="33"/>
      <c r="L3130" s="54">
        <f t="shared" si="31"/>
        <v>0</v>
      </c>
      <c r="M3130" s="33"/>
      <c r="N3130" s="33"/>
    </row>
    <row r="3131" spans="2:14" ht="15.75" x14ac:dyDescent="0.25">
      <c r="B3131" s="33"/>
      <c r="C3131" s="34"/>
      <c r="F3131" s="35"/>
      <c r="I3131" s="33"/>
      <c r="L3131" s="54">
        <f t="shared" si="31"/>
        <v>0</v>
      </c>
      <c r="M3131" s="33"/>
      <c r="N3131" s="33"/>
    </row>
    <row r="3132" spans="2:14" ht="15.75" x14ac:dyDescent="0.25">
      <c r="B3132" s="33"/>
      <c r="C3132" s="34"/>
      <c r="F3132" s="35"/>
      <c r="I3132" s="33"/>
      <c r="L3132" s="54">
        <f t="shared" si="31"/>
        <v>0</v>
      </c>
      <c r="M3132" s="33"/>
      <c r="N3132" s="33"/>
    </row>
    <row r="3133" spans="2:14" ht="15.75" x14ac:dyDescent="0.25">
      <c r="B3133" s="33"/>
      <c r="C3133" s="34"/>
      <c r="F3133" s="35"/>
      <c r="I3133" s="33"/>
      <c r="L3133" s="54">
        <f t="shared" si="31"/>
        <v>0</v>
      </c>
      <c r="M3133" s="33"/>
      <c r="N3133" s="33"/>
    </row>
    <row r="3134" spans="2:14" ht="15.75" x14ac:dyDescent="0.25">
      <c r="B3134" s="33"/>
      <c r="C3134" s="34"/>
      <c r="F3134" s="35"/>
      <c r="I3134" s="33"/>
      <c r="L3134" s="54">
        <f t="shared" si="31"/>
        <v>0</v>
      </c>
      <c r="M3134" s="33"/>
      <c r="N3134" s="33"/>
    </row>
    <row r="3135" spans="2:14" ht="15.75" x14ac:dyDescent="0.25">
      <c r="B3135" s="33"/>
      <c r="C3135" s="34"/>
      <c r="F3135" s="35"/>
      <c r="I3135" s="33"/>
      <c r="L3135" s="54">
        <f t="shared" si="31"/>
        <v>0</v>
      </c>
      <c r="M3135" s="33"/>
      <c r="N3135" s="33"/>
    </row>
    <row r="3136" spans="2:14" ht="15.75" x14ac:dyDescent="0.25">
      <c r="B3136" s="33"/>
      <c r="C3136" s="34"/>
      <c r="F3136" s="35"/>
      <c r="I3136" s="33"/>
      <c r="L3136" s="54">
        <f t="shared" si="31"/>
        <v>0</v>
      </c>
      <c r="M3136" s="33"/>
      <c r="N3136" s="33"/>
    </row>
    <row r="3137" spans="2:14" ht="15.75" x14ac:dyDescent="0.25">
      <c r="B3137" s="33"/>
      <c r="C3137" s="34"/>
      <c r="F3137" s="35"/>
      <c r="I3137" s="33"/>
      <c r="L3137" s="54">
        <f t="shared" si="31"/>
        <v>0</v>
      </c>
      <c r="M3137" s="33"/>
      <c r="N3137" s="33"/>
    </row>
    <row r="3138" spans="2:14" ht="15.75" x14ac:dyDescent="0.25">
      <c r="B3138" s="33"/>
      <c r="C3138" s="34"/>
      <c r="F3138" s="35"/>
      <c r="I3138" s="33"/>
      <c r="L3138" s="54">
        <f t="shared" si="31"/>
        <v>0</v>
      </c>
      <c r="M3138" s="33"/>
      <c r="N3138" s="33"/>
    </row>
    <row r="3139" spans="2:14" ht="15.75" x14ac:dyDescent="0.25">
      <c r="B3139" s="33"/>
      <c r="C3139" s="34"/>
      <c r="F3139" s="35"/>
      <c r="I3139" s="33"/>
      <c r="L3139" s="54">
        <f t="shared" si="31"/>
        <v>0</v>
      </c>
      <c r="M3139" s="33"/>
      <c r="N3139" s="33"/>
    </row>
    <row r="3140" spans="2:14" ht="15.75" x14ac:dyDescent="0.25">
      <c r="B3140" s="33"/>
      <c r="C3140" s="34"/>
      <c r="F3140" s="35"/>
      <c r="I3140" s="33"/>
      <c r="L3140" s="54">
        <f t="shared" si="31"/>
        <v>0</v>
      </c>
      <c r="M3140" s="33"/>
      <c r="N3140" s="33"/>
    </row>
    <row r="3141" spans="2:14" ht="15.75" x14ac:dyDescent="0.25">
      <c r="B3141" s="33"/>
      <c r="C3141" s="34"/>
      <c r="F3141" s="35"/>
      <c r="I3141" s="33"/>
      <c r="L3141" s="54">
        <f t="shared" si="31"/>
        <v>0</v>
      </c>
      <c r="M3141" s="33"/>
      <c r="N3141" s="33"/>
    </row>
    <row r="3142" spans="2:14" ht="15.75" x14ac:dyDescent="0.25">
      <c r="B3142" s="33"/>
      <c r="C3142" s="34"/>
      <c r="F3142" s="35"/>
      <c r="I3142" s="33"/>
      <c r="L3142" s="54">
        <f t="shared" si="31"/>
        <v>0</v>
      </c>
      <c r="M3142" s="33"/>
      <c r="N3142" s="33"/>
    </row>
    <row r="3143" spans="2:14" ht="15.75" x14ac:dyDescent="0.25">
      <c r="B3143" s="33"/>
      <c r="C3143" s="34"/>
      <c r="F3143" s="35"/>
      <c r="I3143" s="33"/>
      <c r="L3143" s="54">
        <f t="shared" si="31"/>
        <v>0</v>
      </c>
      <c r="M3143" s="33"/>
      <c r="N3143" s="33"/>
    </row>
    <row r="3144" spans="2:14" ht="15.75" x14ac:dyDescent="0.25">
      <c r="B3144" s="33"/>
      <c r="C3144" s="34"/>
      <c r="F3144" s="35"/>
      <c r="I3144" s="33"/>
      <c r="L3144" s="54">
        <f t="shared" si="31"/>
        <v>0</v>
      </c>
      <c r="M3144" s="33"/>
      <c r="N3144" s="33"/>
    </row>
    <row r="3145" spans="2:14" ht="15.75" x14ac:dyDescent="0.25">
      <c r="B3145" s="33"/>
      <c r="C3145" s="34"/>
      <c r="F3145" s="35"/>
      <c r="I3145" s="33"/>
      <c r="L3145" s="54">
        <f t="shared" si="31"/>
        <v>0</v>
      </c>
      <c r="M3145" s="33"/>
      <c r="N3145" s="33"/>
    </row>
    <row r="3146" spans="2:14" ht="15.75" x14ac:dyDescent="0.25">
      <c r="B3146" s="33"/>
      <c r="C3146" s="34"/>
      <c r="F3146" s="35"/>
      <c r="I3146" s="33"/>
      <c r="L3146" s="54">
        <f t="shared" si="31"/>
        <v>0</v>
      </c>
      <c r="M3146" s="33"/>
      <c r="N3146" s="33"/>
    </row>
    <row r="3147" spans="2:14" ht="15.75" x14ac:dyDescent="0.25">
      <c r="B3147" s="33"/>
      <c r="C3147" s="34"/>
      <c r="F3147" s="35"/>
      <c r="I3147" s="33"/>
      <c r="L3147" s="54">
        <f t="shared" si="31"/>
        <v>0</v>
      </c>
      <c r="M3147" s="33"/>
      <c r="N3147" s="33"/>
    </row>
    <row r="3148" spans="2:14" ht="15.75" x14ac:dyDescent="0.25">
      <c r="B3148" s="33"/>
      <c r="C3148" s="34"/>
      <c r="F3148" s="35"/>
      <c r="I3148" s="33"/>
      <c r="L3148" s="54">
        <f t="shared" si="31"/>
        <v>0</v>
      </c>
      <c r="M3148" s="33"/>
      <c r="N3148" s="33"/>
    </row>
    <row r="3149" spans="2:14" ht="15.75" x14ac:dyDescent="0.25">
      <c r="B3149" s="33"/>
      <c r="C3149" s="34"/>
      <c r="F3149" s="35"/>
      <c r="I3149" s="33"/>
      <c r="L3149" s="54">
        <f t="shared" si="31"/>
        <v>0</v>
      </c>
      <c r="M3149" s="33"/>
      <c r="N3149" s="33"/>
    </row>
    <row r="3150" spans="2:14" ht="15.75" x14ac:dyDescent="0.25">
      <c r="B3150" s="33"/>
      <c r="C3150" s="34"/>
      <c r="F3150" s="35"/>
      <c r="I3150" s="33"/>
      <c r="L3150" s="54">
        <f t="shared" si="31"/>
        <v>0</v>
      </c>
      <c r="M3150" s="33"/>
      <c r="N3150" s="33"/>
    </row>
    <row r="3151" spans="2:14" ht="15.75" x14ac:dyDescent="0.25">
      <c r="B3151" s="33"/>
      <c r="C3151" s="34"/>
      <c r="F3151" s="35"/>
      <c r="I3151" s="33"/>
      <c r="L3151" s="54">
        <f t="shared" si="31"/>
        <v>0</v>
      </c>
      <c r="M3151" s="33"/>
      <c r="N3151" s="33"/>
    </row>
    <row r="3152" spans="2:14" ht="15.75" x14ac:dyDescent="0.25">
      <c r="B3152" s="33"/>
      <c r="C3152" s="34"/>
      <c r="F3152" s="35"/>
      <c r="I3152" s="33"/>
      <c r="L3152" s="54">
        <f t="shared" si="31"/>
        <v>0</v>
      </c>
      <c r="M3152" s="33"/>
      <c r="N3152" s="33"/>
    </row>
    <row r="3153" spans="2:14" ht="15.75" x14ac:dyDescent="0.25">
      <c r="B3153" s="33"/>
      <c r="C3153" s="34"/>
      <c r="F3153" s="35"/>
      <c r="I3153" s="33"/>
      <c r="L3153" s="54">
        <f t="shared" si="31"/>
        <v>0</v>
      </c>
      <c r="M3153" s="33"/>
      <c r="N3153" s="33"/>
    </row>
    <row r="3154" spans="2:14" ht="15.75" x14ac:dyDescent="0.25">
      <c r="B3154" s="33"/>
      <c r="C3154" s="34"/>
      <c r="F3154" s="35"/>
      <c r="I3154" s="33"/>
      <c r="L3154" s="54">
        <f t="shared" ref="L3154:L3217" si="32">L3153+J3153-K3155</f>
        <v>0</v>
      </c>
      <c r="M3154" s="33"/>
      <c r="N3154" s="33"/>
    </row>
    <row r="3155" spans="2:14" ht="15.75" x14ac:dyDescent="0.25">
      <c r="B3155" s="33"/>
      <c r="C3155" s="34"/>
      <c r="F3155" s="35"/>
      <c r="I3155" s="33"/>
      <c r="L3155" s="54">
        <f t="shared" si="32"/>
        <v>0</v>
      </c>
      <c r="M3155" s="33"/>
      <c r="N3155" s="33"/>
    </row>
    <row r="3156" spans="2:14" ht="15.75" x14ac:dyDescent="0.25">
      <c r="B3156" s="33"/>
      <c r="C3156" s="34"/>
      <c r="F3156" s="35"/>
      <c r="I3156" s="33"/>
      <c r="L3156" s="54">
        <f t="shared" si="32"/>
        <v>0</v>
      </c>
      <c r="M3156" s="33"/>
      <c r="N3156" s="33"/>
    </row>
    <row r="3157" spans="2:14" ht="15.75" x14ac:dyDescent="0.25">
      <c r="B3157" s="33"/>
      <c r="C3157" s="34"/>
      <c r="F3157" s="35"/>
      <c r="I3157" s="33"/>
      <c r="L3157" s="54">
        <f t="shared" si="32"/>
        <v>0</v>
      </c>
      <c r="M3157" s="33"/>
      <c r="N3157" s="33"/>
    </row>
    <row r="3158" spans="2:14" ht="15.75" x14ac:dyDescent="0.25">
      <c r="B3158" s="33"/>
      <c r="C3158" s="34"/>
      <c r="F3158" s="35"/>
      <c r="I3158" s="33"/>
      <c r="L3158" s="54">
        <f t="shared" si="32"/>
        <v>0</v>
      </c>
      <c r="M3158" s="33"/>
      <c r="N3158" s="33"/>
    </row>
    <row r="3159" spans="2:14" ht="15.75" x14ac:dyDescent="0.25">
      <c r="B3159" s="33"/>
      <c r="C3159" s="34"/>
      <c r="F3159" s="35"/>
      <c r="I3159" s="33"/>
      <c r="L3159" s="54">
        <f t="shared" si="32"/>
        <v>0</v>
      </c>
      <c r="M3159" s="33"/>
      <c r="N3159" s="33"/>
    </row>
    <row r="3160" spans="2:14" ht="15.75" x14ac:dyDescent="0.25">
      <c r="B3160" s="33"/>
      <c r="C3160" s="34"/>
      <c r="F3160" s="35"/>
      <c r="I3160" s="33"/>
      <c r="L3160" s="54">
        <f t="shared" si="32"/>
        <v>0</v>
      </c>
      <c r="M3160" s="33"/>
      <c r="N3160" s="33"/>
    </row>
    <row r="3161" spans="2:14" ht="15.75" x14ac:dyDescent="0.25">
      <c r="B3161" s="33"/>
      <c r="C3161" s="34"/>
      <c r="F3161" s="35"/>
      <c r="I3161" s="33"/>
      <c r="L3161" s="54">
        <f t="shared" si="32"/>
        <v>0</v>
      </c>
      <c r="M3161" s="33"/>
      <c r="N3161" s="33"/>
    </row>
    <row r="3162" spans="2:14" ht="15.75" x14ac:dyDescent="0.25">
      <c r="B3162" s="33"/>
      <c r="C3162" s="34"/>
      <c r="F3162" s="35"/>
      <c r="I3162" s="33"/>
      <c r="L3162" s="54">
        <f t="shared" si="32"/>
        <v>0</v>
      </c>
      <c r="M3162" s="33"/>
      <c r="N3162" s="33"/>
    </row>
    <row r="3163" spans="2:14" ht="15.75" x14ac:dyDescent="0.25">
      <c r="B3163" s="33"/>
      <c r="C3163" s="34"/>
      <c r="F3163" s="35"/>
      <c r="I3163" s="33"/>
      <c r="L3163" s="54">
        <f t="shared" si="32"/>
        <v>0</v>
      </c>
      <c r="M3163" s="33"/>
      <c r="N3163" s="33"/>
    </row>
    <row r="3164" spans="2:14" ht="15.75" x14ac:dyDescent="0.25">
      <c r="B3164" s="33"/>
      <c r="C3164" s="34"/>
      <c r="F3164" s="35"/>
      <c r="I3164" s="33"/>
      <c r="L3164" s="54">
        <f t="shared" si="32"/>
        <v>0</v>
      </c>
      <c r="M3164" s="33"/>
      <c r="N3164" s="33"/>
    </row>
    <row r="3165" spans="2:14" ht="15.75" x14ac:dyDescent="0.25">
      <c r="B3165" s="33"/>
      <c r="C3165" s="34"/>
      <c r="F3165" s="35"/>
      <c r="I3165" s="33"/>
      <c r="L3165" s="54">
        <f t="shared" si="32"/>
        <v>0</v>
      </c>
      <c r="M3165" s="33"/>
      <c r="N3165" s="33"/>
    </row>
    <row r="3166" spans="2:14" ht="15.75" x14ac:dyDescent="0.25">
      <c r="B3166" s="33"/>
      <c r="C3166" s="34"/>
      <c r="F3166" s="35"/>
      <c r="I3166" s="33"/>
      <c r="L3166" s="54">
        <f t="shared" si="32"/>
        <v>0</v>
      </c>
      <c r="M3166" s="33"/>
      <c r="N3166" s="33"/>
    </row>
    <row r="3167" spans="2:14" ht="15.75" x14ac:dyDescent="0.25">
      <c r="B3167" s="33"/>
      <c r="C3167" s="34"/>
      <c r="F3167" s="35"/>
      <c r="I3167" s="33"/>
      <c r="L3167" s="54">
        <f t="shared" si="32"/>
        <v>0</v>
      </c>
      <c r="M3167" s="33"/>
      <c r="N3167" s="33"/>
    </row>
    <row r="3168" spans="2:14" ht="15.75" x14ac:dyDescent="0.25">
      <c r="B3168" s="33"/>
      <c r="C3168" s="34"/>
      <c r="F3168" s="35"/>
      <c r="I3168" s="33"/>
      <c r="L3168" s="54">
        <f t="shared" si="32"/>
        <v>0</v>
      </c>
      <c r="M3168" s="33"/>
      <c r="N3168" s="33"/>
    </row>
    <row r="3169" spans="2:14" ht="15.75" x14ac:dyDescent="0.25">
      <c r="B3169" s="33"/>
      <c r="C3169" s="34"/>
      <c r="F3169" s="35"/>
      <c r="I3169" s="33"/>
      <c r="L3169" s="54">
        <f t="shared" si="32"/>
        <v>0</v>
      </c>
      <c r="M3169" s="33"/>
      <c r="N3169" s="33"/>
    </row>
    <row r="3170" spans="2:14" ht="15.75" x14ac:dyDescent="0.25">
      <c r="B3170" s="33"/>
      <c r="C3170" s="34"/>
      <c r="F3170" s="35"/>
      <c r="I3170" s="33"/>
      <c r="L3170" s="54">
        <f t="shared" si="32"/>
        <v>0</v>
      </c>
      <c r="M3170" s="33"/>
      <c r="N3170" s="33"/>
    </row>
    <row r="3171" spans="2:14" ht="15.75" x14ac:dyDescent="0.25">
      <c r="B3171" s="33"/>
      <c r="C3171" s="34"/>
      <c r="F3171" s="35"/>
      <c r="I3171" s="33"/>
      <c r="L3171" s="54">
        <f t="shared" si="32"/>
        <v>0</v>
      </c>
      <c r="M3171" s="33"/>
      <c r="N3171" s="33"/>
    </row>
    <row r="3172" spans="2:14" ht="15.75" x14ac:dyDescent="0.25">
      <c r="B3172" s="33"/>
      <c r="C3172" s="34"/>
      <c r="F3172" s="35"/>
      <c r="I3172" s="33"/>
      <c r="L3172" s="54">
        <f t="shared" si="32"/>
        <v>0</v>
      </c>
      <c r="M3172" s="33"/>
      <c r="N3172" s="33"/>
    </row>
    <row r="3173" spans="2:14" ht="15.75" x14ac:dyDescent="0.25">
      <c r="B3173" s="33"/>
      <c r="C3173" s="34"/>
      <c r="F3173" s="35"/>
      <c r="I3173" s="33"/>
      <c r="L3173" s="54">
        <f t="shared" si="32"/>
        <v>0</v>
      </c>
      <c r="M3173" s="33"/>
      <c r="N3173" s="33"/>
    </row>
    <row r="3174" spans="2:14" ht="15.75" x14ac:dyDescent="0.25">
      <c r="B3174" s="33"/>
      <c r="C3174" s="34"/>
      <c r="F3174" s="35"/>
      <c r="I3174" s="33"/>
      <c r="L3174" s="54">
        <f t="shared" si="32"/>
        <v>0</v>
      </c>
      <c r="M3174" s="33"/>
      <c r="N3174" s="33"/>
    </row>
    <row r="3175" spans="2:14" ht="15.75" x14ac:dyDescent="0.25">
      <c r="B3175" s="33"/>
      <c r="C3175" s="34"/>
      <c r="F3175" s="35"/>
      <c r="I3175" s="33"/>
      <c r="L3175" s="54">
        <f t="shared" si="32"/>
        <v>0</v>
      </c>
      <c r="M3175" s="33"/>
      <c r="N3175" s="33"/>
    </row>
    <row r="3176" spans="2:14" ht="15.75" x14ac:dyDescent="0.25">
      <c r="B3176" s="33"/>
      <c r="C3176" s="34"/>
      <c r="F3176" s="35"/>
      <c r="I3176" s="33"/>
      <c r="L3176" s="54">
        <f t="shared" si="32"/>
        <v>0</v>
      </c>
      <c r="M3176" s="33"/>
      <c r="N3176" s="33"/>
    </row>
    <row r="3177" spans="2:14" ht="15.75" x14ac:dyDescent="0.25">
      <c r="B3177" s="33"/>
      <c r="C3177" s="34"/>
      <c r="F3177" s="35"/>
      <c r="I3177" s="33"/>
      <c r="L3177" s="54">
        <f t="shared" si="32"/>
        <v>0</v>
      </c>
      <c r="M3177" s="33"/>
      <c r="N3177" s="33"/>
    </row>
    <row r="3178" spans="2:14" ht="15.75" x14ac:dyDescent="0.25">
      <c r="B3178" s="33"/>
      <c r="C3178" s="34"/>
      <c r="F3178" s="35"/>
      <c r="I3178" s="33"/>
      <c r="L3178" s="54">
        <f t="shared" si="32"/>
        <v>0</v>
      </c>
      <c r="M3178" s="33"/>
      <c r="N3178" s="33"/>
    </row>
    <row r="3179" spans="2:14" ht="15.75" x14ac:dyDescent="0.25">
      <c r="B3179" s="33"/>
      <c r="C3179" s="34"/>
      <c r="F3179" s="35"/>
      <c r="I3179" s="33"/>
      <c r="L3179" s="54">
        <f t="shared" si="32"/>
        <v>0</v>
      </c>
      <c r="M3179" s="33"/>
      <c r="N3179" s="33"/>
    </row>
    <row r="3180" spans="2:14" ht="15.75" x14ac:dyDescent="0.25">
      <c r="B3180" s="33"/>
      <c r="C3180" s="34"/>
      <c r="F3180" s="35"/>
      <c r="I3180" s="33"/>
      <c r="L3180" s="54">
        <f t="shared" si="32"/>
        <v>0</v>
      </c>
      <c r="M3180" s="33"/>
      <c r="N3180" s="33"/>
    </row>
    <row r="3181" spans="2:14" ht="15.75" x14ac:dyDescent="0.25">
      <c r="B3181" s="33"/>
      <c r="C3181" s="34"/>
      <c r="F3181" s="35"/>
      <c r="I3181" s="33"/>
      <c r="L3181" s="54">
        <f t="shared" si="32"/>
        <v>0</v>
      </c>
      <c r="M3181" s="33"/>
      <c r="N3181" s="33"/>
    </row>
    <row r="3182" spans="2:14" ht="15.75" x14ac:dyDescent="0.25">
      <c r="B3182" s="33"/>
      <c r="C3182" s="34"/>
      <c r="F3182" s="35"/>
      <c r="I3182" s="33"/>
      <c r="L3182" s="54">
        <f t="shared" si="32"/>
        <v>0</v>
      </c>
      <c r="M3182" s="33"/>
      <c r="N3182" s="33"/>
    </row>
    <row r="3183" spans="2:14" ht="15.75" x14ac:dyDescent="0.25">
      <c r="B3183" s="33"/>
      <c r="C3183" s="34"/>
      <c r="F3183" s="35"/>
      <c r="I3183" s="33"/>
      <c r="L3183" s="54">
        <f t="shared" si="32"/>
        <v>0</v>
      </c>
      <c r="M3183" s="33"/>
      <c r="N3183" s="33"/>
    </row>
    <row r="3184" spans="2:14" ht="15.75" x14ac:dyDescent="0.25">
      <c r="B3184" s="33"/>
      <c r="C3184" s="34"/>
      <c r="F3184" s="35"/>
      <c r="I3184" s="33"/>
      <c r="L3184" s="54">
        <f t="shared" si="32"/>
        <v>0</v>
      </c>
      <c r="M3184" s="33"/>
      <c r="N3184" s="33"/>
    </row>
    <row r="3185" spans="2:14" ht="15.75" x14ac:dyDescent="0.25">
      <c r="B3185" s="33"/>
      <c r="C3185" s="34"/>
      <c r="F3185" s="35"/>
      <c r="I3185" s="33"/>
      <c r="L3185" s="54">
        <f t="shared" si="32"/>
        <v>0</v>
      </c>
      <c r="M3185" s="33"/>
      <c r="N3185" s="33"/>
    </row>
    <row r="3186" spans="2:14" ht="15.75" x14ac:dyDescent="0.25">
      <c r="B3186" s="33"/>
      <c r="C3186" s="34"/>
      <c r="F3186" s="35"/>
      <c r="I3186" s="33"/>
      <c r="L3186" s="54">
        <f t="shared" si="32"/>
        <v>0</v>
      </c>
      <c r="M3186" s="33"/>
      <c r="N3186" s="33"/>
    </row>
    <row r="3187" spans="2:14" ht="15.75" x14ac:dyDescent="0.25">
      <c r="B3187" s="33"/>
      <c r="C3187" s="34"/>
      <c r="F3187" s="35"/>
      <c r="I3187" s="33"/>
      <c r="L3187" s="54">
        <f t="shared" si="32"/>
        <v>0</v>
      </c>
      <c r="M3187" s="33"/>
      <c r="N3187" s="33"/>
    </row>
    <row r="3188" spans="2:14" ht="15.75" x14ac:dyDescent="0.25">
      <c r="B3188" s="33"/>
      <c r="C3188" s="34"/>
      <c r="F3188" s="35"/>
      <c r="I3188" s="33"/>
      <c r="L3188" s="54">
        <f t="shared" si="32"/>
        <v>0</v>
      </c>
      <c r="M3188" s="33"/>
      <c r="N3188" s="33"/>
    </row>
    <row r="3189" spans="2:14" ht="15.75" x14ac:dyDescent="0.25">
      <c r="B3189" s="33"/>
      <c r="C3189" s="34"/>
      <c r="F3189" s="35"/>
      <c r="I3189" s="33"/>
      <c r="L3189" s="54">
        <f t="shared" si="32"/>
        <v>0</v>
      </c>
      <c r="M3189" s="33"/>
      <c r="N3189" s="33"/>
    </row>
    <row r="3190" spans="2:14" ht="15.75" x14ac:dyDescent="0.25">
      <c r="B3190" s="33"/>
      <c r="C3190" s="34"/>
      <c r="F3190" s="35"/>
      <c r="I3190" s="33"/>
      <c r="L3190" s="54">
        <f t="shared" si="32"/>
        <v>0</v>
      </c>
      <c r="M3190" s="33"/>
      <c r="N3190" s="33"/>
    </row>
    <row r="3191" spans="2:14" ht="15.75" x14ac:dyDescent="0.25">
      <c r="B3191" s="33"/>
      <c r="C3191" s="34"/>
      <c r="F3191" s="35"/>
      <c r="I3191" s="33"/>
      <c r="L3191" s="54">
        <f t="shared" si="32"/>
        <v>0</v>
      </c>
      <c r="M3191" s="33"/>
      <c r="N3191" s="33"/>
    </row>
    <row r="3192" spans="2:14" ht="15.75" x14ac:dyDescent="0.25">
      <c r="B3192" s="33"/>
      <c r="C3192" s="34"/>
      <c r="F3192" s="35"/>
      <c r="I3192" s="33"/>
      <c r="L3192" s="54">
        <f t="shared" si="32"/>
        <v>0</v>
      </c>
      <c r="M3192" s="33"/>
      <c r="N3192" s="33"/>
    </row>
    <row r="3193" spans="2:14" ht="15.75" x14ac:dyDescent="0.25">
      <c r="B3193" s="33"/>
      <c r="C3193" s="34"/>
      <c r="F3193" s="35"/>
      <c r="I3193" s="33"/>
      <c r="L3193" s="54">
        <f t="shared" si="32"/>
        <v>0</v>
      </c>
      <c r="M3193" s="33"/>
      <c r="N3193" s="33"/>
    </row>
    <row r="3194" spans="2:14" ht="15.75" x14ac:dyDescent="0.25">
      <c r="B3194" s="33"/>
      <c r="C3194" s="34"/>
      <c r="F3194" s="35"/>
      <c r="I3194" s="33"/>
      <c r="L3194" s="54">
        <f t="shared" si="32"/>
        <v>0</v>
      </c>
      <c r="M3194" s="33"/>
      <c r="N3194" s="33"/>
    </row>
    <row r="3195" spans="2:14" ht="15.75" x14ac:dyDescent="0.25">
      <c r="B3195" s="33"/>
      <c r="C3195" s="34"/>
      <c r="F3195" s="35"/>
      <c r="I3195" s="33"/>
      <c r="L3195" s="54">
        <f t="shared" si="32"/>
        <v>0</v>
      </c>
      <c r="M3195" s="33"/>
      <c r="N3195" s="33"/>
    </row>
    <row r="3196" spans="2:14" ht="15.75" x14ac:dyDescent="0.25">
      <c r="B3196" s="33"/>
      <c r="C3196" s="34"/>
      <c r="F3196" s="35"/>
      <c r="I3196" s="33"/>
      <c r="L3196" s="54">
        <f t="shared" si="32"/>
        <v>0</v>
      </c>
      <c r="M3196" s="33"/>
      <c r="N3196" s="33"/>
    </row>
    <row r="3197" spans="2:14" ht="15.75" x14ac:dyDescent="0.25">
      <c r="B3197" s="33"/>
      <c r="C3197" s="34"/>
      <c r="F3197" s="35"/>
      <c r="I3197" s="33"/>
      <c r="L3197" s="54">
        <f t="shared" si="32"/>
        <v>0</v>
      </c>
      <c r="M3197" s="33"/>
      <c r="N3197" s="33"/>
    </row>
    <row r="3198" spans="2:14" ht="15.75" x14ac:dyDescent="0.25">
      <c r="B3198" s="33"/>
      <c r="C3198" s="34"/>
      <c r="F3198" s="35"/>
      <c r="I3198" s="33"/>
      <c r="L3198" s="54">
        <f t="shared" si="32"/>
        <v>0</v>
      </c>
      <c r="M3198" s="33"/>
      <c r="N3198" s="33"/>
    </row>
    <row r="3199" spans="2:14" ht="15.75" x14ac:dyDescent="0.25">
      <c r="B3199" s="33"/>
      <c r="C3199" s="34"/>
      <c r="F3199" s="35"/>
      <c r="I3199" s="33"/>
      <c r="L3199" s="54">
        <f t="shared" si="32"/>
        <v>0</v>
      </c>
      <c r="M3199" s="33"/>
      <c r="N3199" s="33"/>
    </row>
    <row r="3200" spans="2:14" ht="15.75" x14ac:dyDescent="0.25">
      <c r="B3200" s="33"/>
      <c r="C3200" s="34"/>
      <c r="F3200" s="35"/>
      <c r="I3200" s="33"/>
      <c r="L3200" s="54">
        <f t="shared" si="32"/>
        <v>0</v>
      </c>
      <c r="M3200" s="33"/>
      <c r="N3200" s="33"/>
    </row>
    <row r="3201" spans="2:14" ht="15.75" x14ac:dyDescent="0.25">
      <c r="B3201" s="33"/>
      <c r="C3201" s="34"/>
      <c r="F3201" s="35"/>
      <c r="I3201" s="33"/>
      <c r="L3201" s="54">
        <f t="shared" si="32"/>
        <v>0</v>
      </c>
      <c r="M3201" s="33"/>
      <c r="N3201" s="33"/>
    </row>
    <row r="3202" spans="2:14" ht="15.75" x14ac:dyDescent="0.25">
      <c r="B3202" s="33"/>
      <c r="C3202" s="34"/>
      <c r="F3202" s="35"/>
      <c r="I3202" s="33"/>
      <c r="L3202" s="54">
        <f t="shared" si="32"/>
        <v>0</v>
      </c>
      <c r="M3202" s="33"/>
      <c r="N3202" s="33"/>
    </row>
    <row r="3203" spans="2:14" ht="15.75" x14ac:dyDescent="0.25">
      <c r="B3203" s="33"/>
      <c r="C3203" s="34"/>
      <c r="F3203" s="35"/>
      <c r="I3203" s="33"/>
      <c r="L3203" s="54">
        <f t="shared" si="32"/>
        <v>0</v>
      </c>
      <c r="M3203" s="33"/>
      <c r="N3203" s="33"/>
    </row>
    <row r="3204" spans="2:14" ht="15.75" x14ac:dyDescent="0.25">
      <c r="B3204" s="33"/>
      <c r="C3204" s="34"/>
      <c r="F3204" s="35"/>
      <c r="I3204" s="33"/>
      <c r="L3204" s="54">
        <f t="shared" si="32"/>
        <v>0</v>
      </c>
      <c r="M3204" s="33"/>
      <c r="N3204" s="33"/>
    </row>
    <row r="3205" spans="2:14" ht="15.75" x14ac:dyDescent="0.25">
      <c r="B3205" s="33"/>
      <c r="C3205" s="34"/>
      <c r="F3205" s="35"/>
      <c r="I3205" s="33"/>
      <c r="L3205" s="54">
        <f t="shared" si="32"/>
        <v>0</v>
      </c>
      <c r="M3205" s="33"/>
      <c r="N3205" s="33"/>
    </row>
    <row r="3206" spans="2:14" ht="15.75" x14ac:dyDescent="0.25">
      <c r="B3206" s="33"/>
      <c r="C3206" s="34"/>
      <c r="F3206" s="35"/>
      <c r="I3206" s="33"/>
      <c r="L3206" s="54">
        <f t="shared" si="32"/>
        <v>0</v>
      </c>
      <c r="M3206" s="33"/>
      <c r="N3206" s="33"/>
    </row>
    <row r="3207" spans="2:14" ht="15.75" x14ac:dyDescent="0.25">
      <c r="B3207" s="33"/>
      <c r="C3207" s="34"/>
      <c r="F3207" s="35"/>
      <c r="I3207" s="33"/>
      <c r="L3207" s="54">
        <f t="shared" si="32"/>
        <v>0</v>
      </c>
      <c r="M3207" s="33"/>
      <c r="N3207" s="33"/>
    </row>
    <row r="3208" spans="2:14" ht="15.75" x14ac:dyDescent="0.25">
      <c r="B3208" s="33"/>
      <c r="C3208" s="34"/>
      <c r="F3208" s="35"/>
      <c r="I3208" s="33"/>
      <c r="L3208" s="54">
        <f t="shared" si="32"/>
        <v>0</v>
      </c>
      <c r="M3208" s="33"/>
      <c r="N3208" s="33"/>
    </row>
    <row r="3209" spans="2:14" ht="15.75" x14ac:dyDescent="0.25">
      <c r="B3209" s="33"/>
      <c r="C3209" s="34"/>
      <c r="F3209" s="35"/>
      <c r="I3209" s="33"/>
      <c r="L3209" s="54">
        <f t="shared" si="32"/>
        <v>0</v>
      </c>
      <c r="M3209" s="33"/>
      <c r="N3209" s="33"/>
    </row>
    <row r="3210" spans="2:14" ht="15.75" x14ac:dyDescent="0.25">
      <c r="B3210" s="33"/>
      <c r="C3210" s="34"/>
      <c r="F3210" s="35"/>
      <c r="I3210" s="33"/>
      <c r="L3210" s="54">
        <f t="shared" si="32"/>
        <v>0</v>
      </c>
      <c r="M3210" s="33"/>
      <c r="N3210" s="33"/>
    </row>
    <row r="3211" spans="2:14" ht="15.75" x14ac:dyDescent="0.25">
      <c r="B3211" s="33"/>
      <c r="C3211" s="34"/>
      <c r="F3211" s="35"/>
      <c r="I3211" s="33"/>
      <c r="L3211" s="54">
        <f t="shared" si="32"/>
        <v>0</v>
      </c>
      <c r="M3211" s="33"/>
      <c r="N3211" s="33"/>
    </row>
    <row r="3212" spans="2:14" ht="15.75" x14ac:dyDescent="0.25">
      <c r="B3212" s="33"/>
      <c r="C3212" s="34"/>
      <c r="F3212" s="35"/>
      <c r="I3212" s="33"/>
      <c r="L3212" s="54">
        <f t="shared" si="32"/>
        <v>0</v>
      </c>
      <c r="M3212" s="33"/>
      <c r="N3212" s="33"/>
    </row>
    <row r="3213" spans="2:14" ht="15.75" x14ac:dyDescent="0.25">
      <c r="B3213" s="33"/>
      <c r="C3213" s="34"/>
      <c r="F3213" s="35"/>
      <c r="I3213" s="33"/>
      <c r="L3213" s="54">
        <f t="shared" si="32"/>
        <v>0</v>
      </c>
      <c r="M3213" s="33"/>
      <c r="N3213" s="33"/>
    </row>
    <row r="3214" spans="2:14" ht="15.75" x14ac:dyDescent="0.25">
      <c r="B3214" s="33"/>
      <c r="C3214" s="34"/>
      <c r="F3214" s="35"/>
      <c r="I3214" s="33"/>
      <c r="L3214" s="54">
        <f t="shared" si="32"/>
        <v>0</v>
      </c>
      <c r="M3214" s="33"/>
      <c r="N3214" s="33"/>
    </row>
    <row r="3215" spans="2:14" ht="15.75" x14ac:dyDescent="0.25">
      <c r="B3215" s="33"/>
      <c r="C3215" s="34"/>
      <c r="F3215" s="35"/>
      <c r="I3215" s="33"/>
      <c r="L3215" s="54">
        <f t="shared" si="32"/>
        <v>0</v>
      </c>
      <c r="M3215" s="33"/>
      <c r="N3215" s="33"/>
    </row>
    <row r="3216" spans="2:14" ht="15.75" x14ac:dyDescent="0.25">
      <c r="B3216" s="33"/>
      <c r="C3216" s="34"/>
      <c r="F3216" s="35"/>
      <c r="I3216" s="33"/>
      <c r="L3216" s="54">
        <f t="shared" si="32"/>
        <v>0</v>
      </c>
      <c r="M3216" s="33"/>
      <c r="N3216" s="33"/>
    </row>
    <row r="3217" spans="2:14" ht="15.75" x14ac:dyDescent="0.25">
      <c r="B3217" s="33"/>
      <c r="C3217" s="34"/>
      <c r="F3217" s="35"/>
      <c r="I3217" s="33"/>
      <c r="L3217" s="54">
        <f t="shared" si="32"/>
        <v>0</v>
      </c>
      <c r="M3217" s="33"/>
      <c r="N3217" s="33"/>
    </row>
    <row r="3218" spans="2:14" ht="15.75" x14ac:dyDescent="0.25">
      <c r="B3218" s="33"/>
      <c r="C3218" s="34"/>
      <c r="F3218" s="35"/>
      <c r="I3218" s="33"/>
      <c r="L3218" s="54">
        <f t="shared" ref="L3218:L3281" si="33">L3217+J3217-K3219</f>
        <v>0</v>
      </c>
      <c r="M3218" s="33"/>
      <c r="N3218" s="33"/>
    </row>
    <row r="3219" spans="2:14" ht="15.75" x14ac:dyDescent="0.25">
      <c r="B3219" s="33"/>
      <c r="C3219" s="34"/>
      <c r="F3219" s="35"/>
      <c r="I3219" s="33"/>
      <c r="L3219" s="54">
        <f t="shared" si="33"/>
        <v>0</v>
      </c>
      <c r="M3219" s="33"/>
      <c r="N3219" s="33"/>
    </row>
    <row r="3220" spans="2:14" ht="15.75" x14ac:dyDescent="0.25">
      <c r="B3220" s="33"/>
      <c r="C3220" s="34"/>
      <c r="F3220" s="35"/>
      <c r="I3220" s="33"/>
      <c r="L3220" s="54">
        <f t="shared" si="33"/>
        <v>0</v>
      </c>
      <c r="M3220" s="33"/>
      <c r="N3220" s="33"/>
    </row>
    <row r="3221" spans="2:14" ht="15.75" x14ac:dyDescent="0.25">
      <c r="B3221" s="33"/>
      <c r="C3221" s="34"/>
      <c r="F3221" s="35"/>
      <c r="I3221" s="33"/>
      <c r="L3221" s="54">
        <f t="shared" si="33"/>
        <v>0</v>
      </c>
      <c r="M3221" s="33"/>
      <c r="N3221" s="33"/>
    </row>
    <row r="3222" spans="2:14" ht="15.75" x14ac:dyDescent="0.25">
      <c r="B3222" s="33"/>
      <c r="C3222" s="34"/>
      <c r="F3222" s="35"/>
      <c r="I3222" s="33"/>
      <c r="L3222" s="54">
        <f t="shared" si="33"/>
        <v>0</v>
      </c>
      <c r="M3222" s="33"/>
      <c r="N3222" s="33"/>
    </row>
    <row r="3223" spans="2:14" ht="15.75" x14ac:dyDescent="0.25">
      <c r="B3223" s="33"/>
      <c r="C3223" s="34"/>
      <c r="F3223" s="35"/>
      <c r="I3223" s="33"/>
      <c r="L3223" s="54">
        <f t="shared" si="33"/>
        <v>0</v>
      </c>
      <c r="M3223" s="33"/>
      <c r="N3223" s="33"/>
    </row>
    <row r="3224" spans="2:14" ht="15.75" x14ac:dyDescent="0.25">
      <c r="B3224" s="33"/>
      <c r="C3224" s="34"/>
      <c r="F3224" s="35"/>
      <c r="I3224" s="33"/>
      <c r="L3224" s="54">
        <f t="shared" si="33"/>
        <v>0</v>
      </c>
      <c r="M3224" s="33"/>
      <c r="N3224" s="33"/>
    </row>
    <row r="3225" spans="2:14" ht="15.75" x14ac:dyDescent="0.25">
      <c r="B3225" s="33"/>
      <c r="C3225" s="34"/>
      <c r="F3225" s="35"/>
      <c r="I3225" s="33"/>
      <c r="L3225" s="54">
        <f t="shared" si="33"/>
        <v>0</v>
      </c>
      <c r="M3225" s="33"/>
      <c r="N3225" s="33"/>
    </row>
    <row r="3226" spans="2:14" ht="15.75" x14ac:dyDescent="0.25">
      <c r="B3226" s="33"/>
      <c r="C3226" s="34"/>
      <c r="F3226" s="35"/>
      <c r="I3226" s="33"/>
      <c r="L3226" s="54">
        <f t="shared" si="33"/>
        <v>0</v>
      </c>
      <c r="M3226" s="33"/>
      <c r="N3226" s="33"/>
    </row>
    <row r="3227" spans="2:14" ht="15.75" x14ac:dyDescent="0.25">
      <c r="B3227" s="33"/>
      <c r="C3227" s="34"/>
      <c r="F3227" s="35"/>
      <c r="I3227" s="33"/>
      <c r="L3227" s="54">
        <f t="shared" si="33"/>
        <v>0</v>
      </c>
      <c r="M3227" s="33"/>
      <c r="N3227" s="33"/>
    </row>
    <row r="3228" spans="2:14" ht="15.75" x14ac:dyDescent="0.25">
      <c r="B3228" s="33"/>
      <c r="C3228" s="34"/>
      <c r="F3228" s="35"/>
      <c r="I3228" s="33"/>
      <c r="L3228" s="54">
        <f t="shared" si="33"/>
        <v>0</v>
      </c>
      <c r="M3228" s="33"/>
      <c r="N3228" s="33"/>
    </row>
    <row r="3229" spans="2:14" ht="15.75" x14ac:dyDescent="0.25">
      <c r="B3229" s="33"/>
      <c r="C3229" s="34"/>
      <c r="F3229" s="35"/>
      <c r="I3229" s="33"/>
      <c r="L3229" s="54">
        <f t="shared" si="33"/>
        <v>0</v>
      </c>
      <c r="M3229" s="33"/>
      <c r="N3229" s="33"/>
    </row>
    <row r="3230" spans="2:14" ht="15.75" x14ac:dyDescent="0.25">
      <c r="B3230" s="33"/>
      <c r="C3230" s="34"/>
      <c r="F3230" s="35"/>
      <c r="I3230" s="33"/>
      <c r="L3230" s="54">
        <f t="shared" si="33"/>
        <v>0</v>
      </c>
      <c r="M3230" s="33"/>
      <c r="N3230" s="33"/>
    </row>
    <row r="3231" spans="2:14" ht="15.75" x14ac:dyDescent="0.25">
      <c r="B3231" s="33"/>
      <c r="C3231" s="34"/>
      <c r="F3231" s="35"/>
      <c r="I3231" s="33"/>
      <c r="L3231" s="54">
        <f t="shared" si="33"/>
        <v>0</v>
      </c>
      <c r="M3231" s="33"/>
      <c r="N3231" s="33"/>
    </row>
    <row r="3232" spans="2:14" ht="15.75" x14ac:dyDescent="0.25">
      <c r="B3232" s="33"/>
      <c r="C3232" s="34"/>
      <c r="F3232" s="35"/>
      <c r="I3232" s="33"/>
      <c r="L3232" s="54">
        <f t="shared" si="33"/>
        <v>0</v>
      </c>
      <c r="M3232" s="33"/>
      <c r="N3232" s="33"/>
    </row>
    <row r="3233" spans="2:14" ht="15.75" x14ac:dyDescent="0.25">
      <c r="B3233" s="33"/>
      <c r="C3233" s="34"/>
      <c r="F3233" s="35"/>
      <c r="I3233" s="33"/>
      <c r="L3233" s="54">
        <f t="shared" si="33"/>
        <v>0</v>
      </c>
      <c r="M3233" s="33"/>
      <c r="N3233" s="33"/>
    </row>
    <row r="3234" spans="2:14" ht="15.75" x14ac:dyDescent="0.25">
      <c r="B3234" s="33"/>
      <c r="C3234" s="34"/>
      <c r="F3234" s="35"/>
      <c r="I3234" s="33"/>
      <c r="L3234" s="54">
        <f t="shared" si="33"/>
        <v>0</v>
      </c>
      <c r="M3234" s="33"/>
      <c r="N3234" s="33"/>
    </row>
    <row r="3235" spans="2:14" ht="15.75" x14ac:dyDescent="0.25">
      <c r="B3235" s="33"/>
      <c r="C3235" s="34"/>
      <c r="F3235" s="35"/>
      <c r="I3235" s="33"/>
      <c r="L3235" s="54">
        <f t="shared" si="33"/>
        <v>0</v>
      </c>
      <c r="M3235" s="33"/>
      <c r="N3235" s="33"/>
    </row>
    <row r="3236" spans="2:14" ht="15.75" x14ac:dyDescent="0.25">
      <c r="B3236" s="33"/>
      <c r="C3236" s="34"/>
      <c r="F3236" s="35"/>
      <c r="I3236" s="33"/>
      <c r="L3236" s="54">
        <f t="shared" si="33"/>
        <v>0</v>
      </c>
      <c r="M3236" s="33"/>
      <c r="N3236" s="33"/>
    </row>
    <row r="3237" spans="2:14" ht="15.75" x14ac:dyDescent="0.25">
      <c r="B3237" s="33"/>
      <c r="C3237" s="34"/>
      <c r="F3237" s="35"/>
      <c r="I3237" s="33"/>
      <c r="L3237" s="54">
        <f t="shared" si="33"/>
        <v>0</v>
      </c>
      <c r="M3237" s="33"/>
      <c r="N3237" s="33"/>
    </row>
    <row r="3238" spans="2:14" ht="15.75" x14ac:dyDescent="0.25">
      <c r="B3238" s="33"/>
      <c r="C3238" s="34"/>
      <c r="F3238" s="35"/>
      <c r="I3238" s="33"/>
      <c r="L3238" s="54">
        <f t="shared" si="33"/>
        <v>0</v>
      </c>
      <c r="M3238" s="33"/>
      <c r="N3238" s="33"/>
    </row>
    <row r="3239" spans="2:14" ht="15.75" x14ac:dyDescent="0.25">
      <c r="B3239" s="33"/>
      <c r="C3239" s="34"/>
      <c r="F3239" s="35"/>
      <c r="I3239" s="33"/>
      <c r="L3239" s="54">
        <f t="shared" si="33"/>
        <v>0</v>
      </c>
      <c r="M3239" s="33"/>
      <c r="N3239" s="33"/>
    </row>
    <row r="3240" spans="2:14" ht="15.75" x14ac:dyDescent="0.25">
      <c r="B3240" s="33"/>
      <c r="C3240" s="34"/>
      <c r="F3240" s="35"/>
      <c r="I3240" s="33"/>
      <c r="L3240" s="54">
        <f t="shared" si="33"/>
        <v>0</v>
      </c>
      <c r="M3240" s="33"/>
      <c r="N3240" s="33"/>
    </row>
    <row r="3241" spans="2:14" ht="15.75" x14ac:dyDescent="0.25">
      <c r="B3241" s="33"/>
      <c r="C3241" s="34"/>
      <c r="F3241" s="35"/>
      <c r="I3241" s="33"/>
      <c r="L3241" s="54">
        <f t="shared" si="33"/>
        <v>0</v>
      </c>
      <c r="M3241" s="33"/>
      <c r="N3241" s="33"/>
    </row>
    <row r="3242" spans="2:14" ht="15.75" x14ac:dyDescent="0.25">
      <c r="B3242" s="33"/>
      <c r="C3242" s="34"/>
      <c r="F3242" s="35"/>
      <c r="I3242" s="33"/>
      <c r="L3242" s="54">
        <f t="shared" si="33"/>
        <v>0</v>
      </c>
      <c r="M3242" s="33"/>
      <c r="N3242" s="33"/>
    </row>
    <row r="3243" spans="2:14" ht="15.75" x14ac:dyDescent="0.25">
      <c r="B3243" s="33"/>
      <c r="C3243" s="34"/>
      <c r="F3243" s="35"/>
      <c r="I3243" s="33"/>
      <c r="L3243" s="54">
        <f t="shared" si="33"/>
        <v>0</v>
      </c>
      <c r="M3243" s="33"/>
      <c r="N3243" s="33"/>
    </row>
    <row r="3244" spans="2:14" ht="15.75" x14ac:dyDescent="0.25">
      <c r="B3244" s="33"/>
      <c r="C3244" s="34"/>
      <c r="F3244" s="35"/>
      <c r="I3244" s="33"/>
      <c r="L3244" s="54">
        <f t="shared" si="33"/>
        <v>0</v>
      </c>
      <c r="M3244" s="33"/>
      <c r="N3244" s="33"/>
    </row>
    <row r="3245" spans="2:14" ht="15.75" x14ac:dyDescent="0.25">
      <c r="B3245" s="33"/>
      <c r="C3245" s="34"/>
      <c r="F3245" s="35"/>
      <c r="I3245" s="33"/>
      <c r="L3245" s="54">
        <f t="shared" si="33"/>
        <v>0</v>
      </c>
      <c r="M3245" s="33"/>
      <c r="N3245" s="33"/>
    </row>
    <row r="3246" spans="2:14" ht="15.75" x14ac:dyDescent="0.25">
      <c r="B3246" s="33"/>
      <c r="C3246" s="34"/>
      <c r="F3246" s="35"/>
      <c r="I3246" s="33"/>
      <c r="L3246" s="54">
        <f t="shared" si="33"/>
        <v>0</v>
      </c>
      <c r="M3246" s="33"/>
      <c r="N3246" s="33"/>
    </row>
    <row r="3247" spans="2:14" ht="15.75" x14ac:dyDescent="0.25">
      <c r="B3247" s="33"/>
      <c r="C3247" s="34"/>
      <c r="F3247" s="35"/>
      <c r="I3247" s="33"/>
      <c r="L3247" s="54">
        <f t="shared" si="33"/>
        <v>0</v>
      </c>
      <c r="M3247" s="33"/>
      <c r="N3247" s="33"/>
    </row>
    <row r="3248" spans="2:14" ht="15.75" x14ac:dyDescent="0.25">
      <c r="B3248" s="33"/>
      <c r="C3248" s="34"/>
      <c r="F3248" s="35"/>
      <c r="I3248" s="33"/>
      <c r="L3248" s="54">
        <f t="shared" si="33"/>
        <v>0</v>
      </c>
      <c r="M3248" s="33"/>
      <c r="N3248" s="33"/>
    </row>
    <row r="3249" spans="2:14" ht="15.75" x14ac:dyDescent="0.25">
      <c r="B3249" s="33"/>
      <c r="C3249" s="34"/>
      <c r="F3249" s="35"/>
      <c r="I3249" s="33"/>
      <c r="L3249" s="54">
        <f t="shared" si="33"/>
        <v>0</v>
      </c>
      <c r="M3249" s="33"/>
      <c r="N3249" s="33"/>
    </row>
    <row r="3250" spans="2:14" ht="15.75" x14ac:dyDescent="0.25">
      <c r="B3250" s="33"/>
      <c r="C3250" s="34"/>
      <c r="F3250" s="35"/>
      <c r="I3250" s="33"/>
      <c r="L3250" s="54">
        <f t="shared" si="33"/>
        <v>0</v>
      </c>
      <c r="M3250" s="33"/>
      <c r="N3250" s="33"/>
    </row>
    <row r="3251" spans="2:14" ht="15.75" x14ac:dyDescent="0.25">
      <c r="B3251" s="33"/>
      <c r="C3251" s="34"/>
      <c r="F3251" s="35"/>
      <c r="I3251" s="33"/>
      <c r="L3251" s="54">
        <f t="shared" si="33"/>
        <v>0</v>
      </c>
      <c r="M3251" s="33"/>
      <c r="N3251" s="33"/>
    </row>
    <row r="3252" spans="2:14" ht="15.75" x14ac:dyDescent="0.25">
      <c r="B3252" s="33"/>
      <c r="C3252" s="34"/>
      <c r="F3252" s="35"/>
      <c r="I3252" s="33"/>
      <c r="L3252" s="54">
        <f t="shared" si="33"/>
        <v>0</v>
      </c>
      <c r="M3252" s="33"/>
      <c r="N3252" s="33"/>
    </row>
    <row r="3253" spans="2:14" ht="15.75" x14ac:dyDescent="0.25">
      <c r="B3253" s="33"/>
      <c r="C3253" s="34"/>
      <c r="F3253" s="35"/>
      <c r="I3253" s="33"/>
      <c r="L3253" s="54">
        <f t="shared" si="33"/>
        <v>0</v>
      </c>
      <c r="M3253" s="33"/>
      <c r="N3253" s="33"/>
    </row>
    <row r="3254" spans="2:14" ht="15.75" x14ac:dyDescent="0.25">
      <c r="B3254" s="33"/>
      <c r="C3254" s="34"/>
      <c r="F3254" s="35"/>
      <c r="I3254" s="33"/>
      <c r="L3254" s="54">
        <f t="shared" si="33"/>
        <v>0</v>
      </c>
      <c r="M3254" s="33"/>
      <c r="N3254" s="33"/>
    </row>
    <row r="3255" spans="2:14" ht="15.75" x14ac:dyDescent="0.25">
      <c r="B3255" s="33"/>
      <c r="C3255" s="34"/>
      <c r="F3255" s="35"/>
      <c r="I3255" s="33"/>
      <c r="L3255" s="54">
        <f t="shared" si="33"/>
        <v>0</v>
      </c>
      <c r="M3255" s="33"/>
      <c r="N3255" s="33"/>
    </row>
    <row r="3256" spans="2:14" ht="15.75" x14ac:dyDescent="0.25">
      <c r="B3256" s="33"/>
      <c r="C3256" s="34"/>
      <c r="F3256" s="35"/>
      <c r="I3256" s="33"/>
      <c r="L3256" s="54">
        <f t="shared" si="33"/>
        <v>0</v>
      </c>
      <c r="M3256" s="33"/>
      <c r="N3256" s="33"/>
    </row>
    <row r="3257" spans="2:14" ht="15.75" x14ac:dyDescent="0.25">
      <c r="B3257" s="33"/>
      <c r="C3257" s="34"/>
      <c r="F3257" s="35"/>
      <c r="I3257" s="33"/>
      <c r="L3257" s="54">
        <f t="shared" si="33"/>
        <v>0</v>
      </c>
      <c r="M3257" s="33"/>
      <c r="N3257" s="33"/>
    </row>
    <row r="3258" spans="2:14" ht="15.75" x14ac:dyDescent="0.25">
      <c r="B3258" s="33"/>
      <c r="C3258" s="34"/>
      <c r="F3258" s="35"/>
      <c r="I3258" s="33"/>
      <c r="L3258" s="54">
        <f t="shared" si="33"/>
        <v>0</v>
      </c>
      <c r="M3258" s="33"/>
      <c r="N3258" s="33"/>
    </row>
    <row r="3259" spans="2:14" ht="15.75" x14ac:dyDescent="0.25">
      <c r="B3259" s="33"/>
      <c r="C3259" s="34"/>
      <c r="F3259" s="35"/>
      <c r="I3259" s="33"/>
      <c r="L3259" s="54">
        <f t="shared" si="33"/>
        <v>0</v>
      </c>
      <c r="M3259" s="33"/>
      <c r="N3259" s="33"/>
    </row>
    <row r="3260" spans="2:14" ht="15.75" x14ac:dyDescent="0.25">
      <c r="B3260" s="33"/>
      <c r="C3260" s="34"/>
      <c r="F3260" s="35"/>
      <c r="I3260" s="33"/>
      <c r="L3260" s="54">
        <f t="shared" si="33"/>
        <v>0</v>
      </c>
      <c r="M3260" s="33"/>
      <c r="N3260" s="33"/>
    </row>
    <row r="3261" spans="2:14" ht="15.75" x14ac:dyDescent="0.25">
      <c r="B3261" s="33"/>
      <c r="C3261" s="34"/>
      <c r="F3261" s="35"/>
      <c r="I3261" s="33"/>
      <c r="L3261" s="54">
        <f t="shared" si="33"/>
        <v>0</v>
      </c>
      <c r="M3261" s="33"/>
      <c r="N3261" s="33"/>
    </row>
    <row r="3262" spans="2:14" ht="15.75" x14ac:dyDescent="0.25">
      <c r="B3262" s="33"/>
      <c r="C3262" s="34"/>
      <c r="F3262" s="35"/>
      <c r="I3262" s="33"/>
      <c r="L3262" s="54">
        <f t="shared" si="33"/>
        <v>0</v>
      </c>
      <c r="M3262" s="33"/>
      <c r="N3262" s="33"/>
    </row>
    <row r="3263" spans="2:14" ht="15.75" x14ac:dyDescent="0.25">
      <c r="B3263" s="33"/>
      <c r="C3263" s="34"/>
      <c r="F3263" s="35"/>
      <c r="I3263" s="33"/>
      <c r="L3263" s="54">
        <f t="shared" si="33"/>
        <v>0</v>
      </c>
      <c r="M3263" s="33"/>
      <c r="N3263" s="33"/>
    </row>
    <row r="3264" spans="2:14" ht="15.75" x14ac:dyDescent="0.25">
      <c r="B3264" s="33"/>
      <c r="C3264" s="34"/>
      <c r="F3264" s="35"/>
      <c r="I3264" s="33"/>
      <c r="L3264" s="54">
        <f t="shared" si="33"/>
        <v>0</v>
      </c>
      <c r="M3264" s="33"/>
      <c r="N3264" s="33"/>
    </row>
    <row r="3265" spans="2:14" ht="15.75" x14ac:dyDescent="0.25">
      <c r="B3265" s="33"/>
      <c r="C3265" s="34"/>
      <c r="F3265" s="35"/>
      <c r="I3265" s="33"/>
      <c r="L3265" s="54">
        <f t="shared" si="33"/>
        <v>0</v>
      </c>
      <c r="M3265" s="33"/>
      <c r="N3265" s="33"/>
    </row>
    <row r="3266" spans="2:14" ht="15.75" x14ac:dyDescent="0.25">
      <c r="B3266" s="33"/>
      <c r="C3266" s="34"/>
      <c r="F3266" s="35"/>
      <c r="I3266" s="33"/>
      <c r="L3266" s="54">
        <f t="shared" si="33"/>
        <v>0</v>
      </c>
      <c r="M3266" s="33"/>
      <c r="N3266" s="33"/>
    </row>
    <row r="3267" spans="2:14" ht="15.75" x14ac:dyDescent="0.25">
      <c r="B3267" s="33"/>
      <c r="C3267" s="34"/>
      <c r="F3267" s="35"/>
      <c r="I3267" s="33"/>
      <c r="L3267" s="54">
        <f t="shared" si="33"/>
        <v>0</v>
      </c>
      <c r="M3267" s="33"/>
      <c r="N3267" s="33"/>
    </row>
    <row r="3268" spans="2:14" ht="15.75" x14ac:dyDescent="0.25">
      <c r="B3268" s="33"/>
      <c r="C3268" s="34"/>
      <c r="F3268" s="35"/>
      <c r="I3268" s="33"/>
      <c r="L3268" s="54">
        <f t="shared" si="33"/>
        <v>0</v>
      </c>
      <c r="M3268" s="33"/>
      <c r="N3268" s="33"/>
    </row>
    <row r="3269" spans="2:14" ht="15.75" x14ac:dyDescent="0.25">
      <c r="B3269" s="33"/>
      <c r="C3269" s="34"/>
      <c r="F3269" s="35"/>
      <c r="I3269" s="33"/>
      <c r="L3269" s="54">
        <f t="shared" si="33"/>
        <v>0</v>
      </c>
      <c r="M3269" s="33"/>
      <c r="N3269" s="33"/>
    </row>
    <row r="3270" spans="2:14" ht="15.75" x14ac:dyDescent="0.25">
      <c r="B3270" s="33"/>
      <c r="C3270" s="34"/>
      <c r="F3270" s="35"/>
      <c r="I3270" s="33"/>
      <c r="L3270" s="54">
        <f t="shared" si="33"/>
        <v>0</v>
      </c>
      <c r="M3270" s="33"/>
      <c r="N3270" s="33"/>
    </row>
    <row r="3271" spans="2:14" ht="15.75" x14ac:dyDescent="0.25">
      <c r="B3271" s="33"/>
      <c r="C3271" s="34"/>
      <c r="F3271" s="35"/>
      <c r="I3271" s="33"/>
      <c r="L3271" s="54">
        <f t="shared" si="33"/>
        <v>0</v>
      </c>
      <c r="M3271" s="33"/>
      <c r="N3271" s="33"/>
    </row>
    <row r="3272" spans="2:14" ht="15.75" x14ac:dyDescent="0.25">
      <c r="B3272" s="33"/>
      <c r="C3272" s="34"/>
      <c r="F3272" s="35"/>
      <c r="I3272" s="33"/>
      <c r="L3272" s="54">
        <f t="shared" si="33"/>
        <v>0</v>
      </c>
      <c r="M3272" s="33"/>
      <c r="N3272" s="33"/>
    </row>
    <row r="3273" spans="2:14" ht="15.75" x14ac:dyDescent="0.25">
      <c r="B3273" s="33"/>
      <c r="C3273" s="34"/>
      <c r="F3273" s="35"/>
      <c r="I3273" s="33"/>
      <c r="L3273" s="54">
        <f t="shared" si="33"/>
        <v>0</v>
      </c>
      <c r="M3273" s="33"/>
      <c r="N3273" s="33"/>
    </row>
    <row r="3274" spans="2:14" ht="15.75" x14ac:dyDescent="0.25">
      <c r="B3274" s="33"/>
      <c r="C3274" s="34"/>
      <c r="F3274" s="35"/>
      <c r="I3274" s="33"/>
      <c r="L3274" s="54">
        <f t="shared" si="33"/>
        <v>0</v>
      </c>
      <c r="M3274" s="33"/>
      <c r="N3274" s="33"/>
    </row>
    <row r="3275" spans="2:14" ht="15.75" x14ac:dyDescent="0.25">
      <c r="B3275" s="33"/>
      <c r="C3275" s="34"/>
      <c r="F3275" s="35"/>
      <c r="I3275" s="33"/>
      <c r="L3275" s="54">
        <f t="shared" si="33"/>
        <v>0</v>
      </c>
      <c r="M3275" s="33"/>
      <c r="N3275" s="33"/>
    </row>
    <row r="3276" spans="2:14" ht="15.75" x14ac:dyDescent="0.25">
      <c r="B3276" s="33"/>
      <c r="C3276" s="34"/>
      <c r="F3276" s="35"/>
      <c r="I3276" s="33"/>
      <c r="L3276" s="54">
        <f t="shared" si="33"/>
        <v>0</v>
      </c>
      <c r="M3276" s="33"/>
      <c r="N3276" s="33"/>
    </row>
    <row r="3277" spans="2:14" ht="15.75" x14ac:dyDescent="0.25">
      <c r="B3277" s="33"/>
      <c r="C3277" s="34"/>
      <c r="F3277" s="35"/>
      <c r="I3277" s="33"/>
      <c r="L3277" s="54">
        <f t="shared" si="33"/>
        <v>0</v>
      </c>
      <c r="M3277" s="33"/>
      <c r="N3277" s="33"/>
    </row>
    <row r="3278" spans="2:14" ht="15.75" x14ac:dyDescent="0.25">
      <c r="B3278" s="33"/>
      <c r="C3278" s="34"/>
      <c r="F3278" s="35"/>
      <c r="I3278" s="33"/>
      <c r="L3278" s="54">
        <f t="shared" si="33"/>
        <v>0</v>
      </c>
      <c r="M3278" s="33"/>
      <c r="N3278" s="33"/>
    </row>
    <row r="3279" spans="2:14" ht="15.75" x14ac:dyDescent="0.25">
      <c r="B3279" s="33"/>
      <c r="C3279" s="34"/>
      <c r="F3279" s="35"/>
      <c r="I3279" s="33"/>
      <c r="L3279" s="54">
        <f t="shared" si="33"/>
        <v>0</v>
      </c>
      <c r="M3279" s="33"/>
      <c r="N3279" s="33"/>
    </row>
    <row r="3280" spans="2:14" ht="15.75" x14ac:dyDescent="0.25">
      <c r="B3280" s="33"/>
      <c r="C3280" s="34"/>
      <c r="F3280" s="35"/>
      <c r="I3280" s="33"/>
      <c r="L3280" s="54">
        <f t="shared" si="33"/>
        <v>0</v>
      </c>
      <c r="M3280" s="33"/>
      <c r="N3280" s="33"/>
    </row>
    <row r="3281" spans="2:14" ht="15.75" x14ac:dyDescent="0.25">
      <c r="B3281" s="33"/>
      <c r="C3281" s="34"/>
      <c r="F3281" s="35"/>
      <c r="I3281" s="33"/>
      <c r="L3281" s="54">
        <f t="shared" si="33"/>
        <v>0</v>
      </c>
      <c r="M3281" s="33"/>
      <c r="N3281" s="33"/>
    </row>
    <row r="3282" spans="2:14" ht="15.75" x14ac:dyDescent="0.25">
      <c r="B3282" s="33"/>
      <c r="C3282" s="34"/>
      <c r="F3282" s="35"/>
      <c r="I3282" s="33"/>
      <c r="L3282" s="54" t="e">
        <f>L3281+J3281-#REF!</f>
        <v>#REF!</v>
      </c>
      <c r="M3282" s="33"/>
      <c r="N3282" s="33"/>
    </row>
  </sheetData>
  <mergeCells count="8">
    <mergeCell ref="A396:B396"/>
    <mergeCell ref="A390:B390"/>
    <mergeCell ref="A391:B391"/>
    <mergeCell ref="H5:I5"/>
    <mergeCell ref="F1:L1"/>
    <mergeCell ref="F2:L2"/>
    <mergeCell ref="F3:L3"/>
    <mergeCell ref="H171:J173"/>
  </mergeCells>
  <phoneticPr fontId="3" type="noConversion"/>
  <pageMargins left="0.19685039370078741" right="0.11811023622047245" top="0.74803149606299213" bottom="0.74803149606299213" header="0.31496062992125984" footer="0.31496062992125984"/>
  <pageSetup scale="65" orientation="portrait" horizontalDpi="4294967293"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9302A-0FC5-4943-A57F-7AEF495A9A47}">
  <dimension ref="A1:H39"/>
  <sheetViews>
    <sheetView topLeftCell="A10" workbookViewId="0">
      <selection activeCell="I18" sqref="I18"/>
    </sheetView>
  </sheetViews>
  <sheetFormatPr baseColWidth="10" defaultRowHeight="15" x14ac:dyDescent="0.25"/>
  <cols>
    <col min="3" max="3" width="16.140625" customWidth="1"/>
    <col min="6" max="6" width="6" customWidth="1"/>
    <col min="8" max="8" width="9.7109375" customWidth="1"/>
  </cols>
  <sheetData>
    <row r="1" spans="1:8" ht="15.75" x14ac:dyDescent="0.25">
      <c r="A1" s="77"/>
      <c r="B1" s="85" t="s">
        <v>39</v>
      </c>
      <c r="C1" s="86" t="s">
        <v>40</v>
      </c>
      <c r="D1" s="87" t="s">
        <v>41</v>
      </c>
      <c r="E1" s="85" t="s">
        <v>42</v>
      </c>
      <c r="F1" s="85"/>
      <c r="G1" s="88" t="s">
        <v>43</v>
      </c>
      <c r="H1" s="77"/>
    </row>
    <row r="2" spans="1:8" ht="15.75" x14ac:dyDescent="0.25">
      <c r="A2" s="77"/>
      <c r="B2" s="77"/>
      <c r="C2" s="89">
        <v>0</v>
      </c>
      <c r="D2" s="77" t="s">
        <v>44</v>
      </c>
      <c r="E2" s="77">
        <v>200</v>
      </c>
      <c r="F2" s="77"/>
      <c r="G2" s="82"/>
      <c r="H2" s="77"/>
    </row>
    <row r="3" spans="1:8" ht="15.75" x14ac:dyDescent="0.25">
      <c r="A3" s="77"/>
      <c r="B3" s="84"/>
      <c r="C3" s="90">
        <v>2</v>
      </c>
      <c r="D3" s="77" t="s">
        <v>45</v>
      </c>
      <c r="E3" s="77">
        <v>100</v>
      </c>
      <c r="F3" s="77"/>
      <c r="G3" s="82">
        <f t="shared" ref="G3:G15" si="0">+E3*C3</f>
        <v>200</v>
      </c>
      <c r="H3" s="77"/>
    </row>
    <row r="4" spans="1:8" ht="15.75" x14ac:dyDescent="0.25">
      <c r="A4" s="77"/>
      <c r="B4" s="84"/>
      <c r="C4" s="90">
        <v>0</v>
      </c>
      <c r="D4" s="77" t="s">
        <v>46</v>
      </c>
      <c r="E4" s="77">
        <v>50</v>
      </c>
      <c r="F4" s="77"/>
      <c r="G4" s="82">
        <f t="shared" si="0"/>
        <v>0</v>
      </c>
      <c r="H4" s="77"/>
    </row>
    <row r="5" spans="1:8" ht="15.75" x14ac:dyDescent="0.25">
      <c r="A5" s="77"/>
      <c r="B5" s="84"/>
      <c r="C5" s="90">
        <v>6</v>
      </c>
      <c r="D5" s="77" t="s">
        <v>47</v>
      </c>
      <c r="E5" s="77">
        <v>20</v>
      </c>
      <c r="F5" s="77"/>
      <c r="G5" s="82">
        <f t="shared" si="0"/>
        <v>120</v>
      </c>
      <c r="H5" s="77"/>
    </row>
    <row r="6" spans="1:8" ht="15.75" x14ac:dyDescent="0.25">
      <c r="A6" s="77"/>
      <c r="B6" s="84"/>
      <c r="C6" s="90">
        <v>1</v>
      </c>
      <c r="D6" s="77" t="s">
        <v>48</v>
      </c>
      <c r="E6" s="77">
        <v>10</v>
      </c>
      <c r="F6" s="77"/>
      <c r="G6" s="82">
        <f t="shared" si="0"/>
        <v>10</v>
      </c>
      <c r="H6" s="77"/>
    </row>
    <row r="7" spans="1:8" ht="15.75" x14ac:dyDescent="0.25">
      <c r="A7" s="77"/>
      <c r="B7" s="84"/>
      <c r="C7" s="90">
        <v>1</v>
      </c>
      <c r="D7" s="77" t="s">
        <v>49</v>
      </c>
      <c r="E7" s="77">
        <v>5</v>
      </c>
      <c r="F7" s="77"/>
      <c r="G7" s="82">
        <f t="shared" si="0"/>
        <v>5</v>
      </c>
      <c r="H7" s="77"/>
    </row>
    <row r="8" spans="1:8" ht="15.75" x14ac:dyDescent="0.25">
      <c r="A8" s="77"/>
      <c r="B8" s="84"/>
      <c r="C8" s="90">
        <v>0</v>
      </c>
      <c r="D8" s="77" t="s">
        <v>50</v>
      </c>
      <c r="E8" s="77">
        <v>1</v>
      </c>
      <c r="F8" s="77"/>
      <c r="G8" s="82">
        <f t="shared" si="0"/>
        <v>0</v>
      </c>
      <c r="H8" s="77"/>
    </row>
    <row r="9" spans="1:8" ht="15.75" x14ac:dyDescent="0.25">
      <c r="A9" s="77"/>
      <c r="B9" s="84"/>
      <c r="C9" s="80"/>
      <c r="D9" s="87" t="s">
        <v>51</v>
      </c>
      <c r="E9" s="77"/>
      <c r="F9" s="77"/>
      <c r="G9" s="82">
        <f t="shared" si="0"/>
        <v>0</v>
      </c>
      <c r="H9" s="77"/>
    </row>
    <row r="10" spans="1:8" ht="15.75" x14ac:dyDescent="0.25">
      <c r="A10" s="77"/>
      <c r="B10" s="84"/>
      <c r="C10" s="89">
        <v>0</v>
      </c>
      <c r="D10" s="77" t="s">
        <v>50</v>
      </c>
      <c r="E10" s="77">
        <v>1</v>
      </c>
      <c r="F10" s="77"/>
      <c r="G10" s="82">
        <f t="shared" si="0"/>
        <v>0</v>
      </c>
      <c r="H10" s="77"/>
    </row>
    <row r="11" spans="1:8" ht="15.75" x14ac:dyDescent="0.25">
      <c r="A11" s="77"/>
      <c r="B11" s="84"/>
      <c r="C11" s="89">
        <v>0</v>
      </c>
      <c r="D11" s="77" t="s">
        <v>52</v>
      </c>
      <c r="E11" s="77">
        <v>0.5</v>
      </c>
      <c r="F11" s="77"/>
      <c r="G11" s="82">
        <f t="shared" si="0"/>
        <v>0</v>
      </c>
      <c r="H11" s="77"/>
    </row>
    <row r="12" spans="1:8" ht="15.75" x14ac:dyDescent="0.25">
      <c r="A12" s="77"/>
      <c r="B12" s="84"/>
      <c r="C12" s="89">
        <v>0</v>
      </c>
      <c r="D12" s="77" t="s">
        <v>53</v>
      </c>
      <c r="E12" s="77">
        <v>0.25</v>
      </c>
      <c r="F12" s="77"/>
      <c r="G12" s="82">
        <f t="shared" si="0"/>
        <v>0</v>
      </c>
      <c r="H12" s="77"/>
    </row>
    <row r="13" spans="1:8" ht="15.75" x14ac:dyDescent="0.25">
      <c r="A13" s="77"/>
      <c r="B13" s="84"/>
      <c r="C13" s="89">
        <v>0</v>
      </c>
      <c r="D13" s="77" t="s">
        <v>54</v>
      </c>
      <c r="E13" s="77">
        <v>0.1</v>
      </c>
      <c r="F13" s="77"/>
      <c r="G13" s="82">
        <f t="shared" si="0"/>
        <v>0</v>
      </c>
      <c r="H13" s="77"/>
    </row>
    <row r="14" spans="1:8" ht="15.75" x14ac:dyDescent="0.25">
      <c r="A14" s="85"/>
      <c r="B14" s="84"/>
      <c r="C14" s="89">
        <v>0</v>
      </c>
      <c r="D14" s="77" t="s">
        <v>55</v>
      </c>
      <c r="E14" s="77">
        <v>0.05</v>
      </c>
      <c r="F14" s="77"/>
      <c r="G14" s="82">
        <f>+E14*C14</f>
        <v>0</v>
      </c>
      <c r="H14" s="77"/>
    </row>
    <row r="15" spans="1:8" ht="15.75" x14ac:dyDescent="0.25">
      <c r="A15" s="85"/>
      <c r="B15" s="77"/>
      <c r="C15" s="89">
        <v>0</v>
      </c>
      <c r="D15" s="77" t="s">
        <v>56</v>
      </c>
      <c r="E15" s="77">
        <v>0.01</v>
      </c>
      <c r="F15" s="77"/>
      <c r="G15" s="82">
        <f t="shared" si="0"/>
        <v>0</v>
      </c>
      <c r="H15" s="77"/>
    </row>
    <row r="16" spans="1:8" ht="15.75" x14ac:dyDescent="0.25">
      <c r="A16" s="85"/>
      <c r="B16" s="85"/>
      <c r="C16" s="86"/>
      <c r="D16" s="85"/>
      <c r="E16" s="85" t="s">
        <v>57</v>
      </c>
      <c r="F16" s="85"/>
      <c r="G16" s="88"/>
      <c r="H16" s="91">
        <f>SUM(G2:G15)</f>
        <v>335</v>
      </c>
    </row>
    <row r="17" spans="1:8" ht="15.75" x14ac:dyDescent="0.25">
      <c r="A17" s="77"/>
      <c r="B17" s="77"/>
      <c r="C17" s="78"/>
      <c r="D17" s="77"/>
      <c r="E17" s="77"/>
      <c r="F17" s="77"/>
      <c r="G17" s="82"/>
      <c r="H17" s="77"/>
    </row>
    <row r="18" spans="1:8" ht="16.5" thickBot="1" x14ac:dyDescent="0.3">
      <c r="A18" s="77"/>
      <c r="B18" s="77"/>
      <c r="C18" s="78"/>
      <c r="D18" s="77"/>
      <c r="E18" s="77" t="s">
        <v>58</v>
      </c>
      <c r="F18" s="77"/>
      <c r="G18" s="82"/>
      <c r="H18" s="83">
        <v>0</v>
      </c>
    </row>
    <row r="19" spans="1:8" ht="16.5" thickTop="1" x14ac:dyDescent="0.25">
      <c r="A19" s="77" t="s">
        <v>362</v>
      </c>
      <c r="B19" s="77"/>
      <c r="C19" s="78"/>
      <c r="D19" s="77"/>
      <c r="E19" s="77"/>
      <c r="F19" s="77"/>
      <c r="G19" s="82"/>
      <c r="H19" s="77"/>
    </row>
    <row r="20" spans="1:8" ht="15.75" x14ac:dyDescent="0.25">
      <c r="A20" s="77" t="s">
        <v>363</v>
      </c>
      <c r="B20" s="77"/>
      <c r="C20" s="78"/>
      <c r="D20" s="77"/>
      <c r="E20" s="77"/>
      <c r="F20" s="77"/>
      <c r="G20" s="82"/>
      <c r="H20" s="77"/>
    </row>
    <row r="21" spans="1:8" ht="15.75" x14ac:dyDescent="0.25">
      <c r="A21" s="84" t="s">
        <v>359</v>
      </c>
      <c r="B21" s="77"/>
      <c r="C21" s="78"/>
      <c r="D21" s="77"/>
      <c r="E21" s="77"/>
      <c r="F21" s="77"/>
      <c r="G21" s="82"/>
      <c r="H21" s="77"/>
    </row>
    <row r="22" spans="1:8" ht="15.75" x14ac:dyDescent="0.25">
      <c r="A22" s="77" t="s">
        <v>61</v>
      </c>
      <c r="B22" s="77"/>
      <c r="C22" s="78"/>
      <c r="D22" s="77"/>
      <c r="E22" s="77"/>
      <c r="F22" s="77"/>
      <c r="G22" s="82"/>
      <c r="H22" s="77"/>
    </row>
    <row r="23" spans="1:8" ht="15.75" x14ac:dyDescent="0.25">
      <c r="A23" s="77" t="s">
        <v>360</v>
      </c>
      <c r="B23" s="77"/>
      <c r="C23" s="78"/>
      <c r="D23" s="77"/>
      <c r="E23" s="77"/>
      <c r="F23" s="77"/>
      <c r="G23" s="82"/>
      <c r="H23" s="77"/>
    </row>
    <row r="24" spans="1:8" ht="15.75" x14ac:dyDescent="0.25">
      <c r="A24" s="77" t="s">
        <v>361</v>
      </c>
      <c r="B24" s="77"/>
      <c r="C24" s="78"/>
      <c r="D24" s="77"/>
      <c r="E24" s="77"/>
      <c r="F24" s="77"/>
      <c r="G24" s="82"/>
      <c r="H24" s="77"/>
    </row>
    <row r="25" spans="1:8" ht="15.75" x14ac:dyDescent="0.25">
      <c r="A25" s="77" t="s">
        <v>62</v>
      </c>
      <c r="B25" s="77"/>
      <c r="C25" s="78"/>
      <c r="D25" s="77"/>
      <c r="E25" s="77"/>
      <c r="F25" s="77"/>
      <c r="G25" s="82"/>
      <c r="H25" s="77"/>
    </row>
    <row r="26" spans="1:8" ht="15.75" x14ac:dyDescent="0.25">
      <c r="A26" s="77" t="s">
        <v>63</v>
      </c>
      <c r="B26" s="77"/>
      <c r="C26" s="78"/>
      <c r="D26" s="77"/>
      <c r="E26" s="77"/>
      <c r="F26" s="77"/>
      <c r="G26" s="82"/>
      <c r="H26" s="77"/>
    </row>
    <row r="27" spans="1:8" ht="15.75" x14ac:dyDescent="0.25">
      <c r="A27" s="77"/>
      <c r="B27" s="77"/>
      <c r="C27" s="78"/>
      <c r="D27" s="77"/>
      <c r="E27" s="77"/>
      <c r="F27" s="77"/>
      <c r="G27" s="82"/>
      <c r="H27" s="77"/>
    </row>
    <row r="28" spans="1:8" ht="15.75" x14ac:dyDescent="0.25">
      <c r="A28" s="77" t="s">
        <v>64</v>
      </c>
      <c r="B28" s="77"/>
      <c r="C28" s="78"/>
      <c r="D28" s="77"/>
      <c r="E28" s="77"/>
      <c r="F28" s="77"/>
      <c r="G28" s="82"/>
      <c r="H28" s="77"/>
    </row>
    <row r="29" spans="1:8" ht="15.75" x14ac:dyDescent="0.25">
      <c r="A29" s="77"/>
      <c r="B29" s="77"/>
      <c r="C29" s="78"/>
      <c r="D29" s="77"/>
      <c r="E29" s="77"/>
      <c r="F29" s="77"/>
      <c r="G29" s="82"/>
      <c r="H29" s="77"/>
    </row>
    <row r="30" spans="1:8" ht="15.75" x14ac:dyDescent="0.25">
      <c r="A30" s="77"/>
      <c r="B30" s="77"/>
      <c r="C30" s="78"/>
      <c r="D30" s="77"/>
      <c r="E30" s="77"/>
      <c r="F30" s="77"/>
      <c r="G30" s="82"/>
      <c r="H30" s="77"/>
    </row>
    <row r="31" spans="1:8" ht="15.75" x14ac:dyDescent="0.25">
      <c r="A31" s="77"/>
      <c r="B31" s="79"/>
      <c r="C31" s="80"/>
      <c r="D31" s="77"/>
      <c r="E31" s="77"/>
      <c r="F31" s="77"/>
      <c r="G31" s="82"/>
      <c r="H31" s="77"/>
    </row>
    <row r="32" spans="1:8" ht="15.75" x14ac:dyDescent="0.25">
      <c r="A32" s="104" t="s">
        <v>356</v>
      </c>
      <c r="B32" s="104"/>
      <c r="C32" s="78"/>
      <c r="D32" s="81" t="s">
        <v>357</v>
      </c>
      <c r="E32" s="81"/>
      <c r="F32" s="77"/>
      <c r="G32" s="82"/>
      <c r="H32" s="77"/>
    </row>
    <row r="33" spans="1:8" ht="15.75" x14ac:dyDescent="0.25">
      <c r="A33" s="104" t="s">
        <v>67</v>
      </c>
      <c r="B33" s="104"/>
      <c r="C33" s="78"/>
      <c r="D33" s="81" t="s">
        <v>358</v>
      </c>
      <c r="E33" s="81"/>
      <c r="F33" s="77"/>
      <c r="G33" s="82"/>
      <c r="H33" s="77"/>
    </row>
    <row r="34" spans="1:8" ht="15.75" x14ac:dyDescent="0.25">
      <c r="A34" s="77"/>
      <c r="B34" s="77"/>
      <c r="C34" s="78"/>
      <c r="D34" s="77"/>
      <c r="E34" s="77"/>
      <c r="F34" s="77"/>
      <c r="G34" s="82"/>
      <c r="H34" s="77"/>
    </row>
    <row r="35" spans="1:8" ht="15.75" x14ac:dyDescent="0.25">
      <c r="A35" s="77"/>
      <c r="B35" s="77"/>
      <c r="C35" s="78"/>
      <c r="D35" s="77"/>
      <c r="E35" s="77"/>
      <c r="F35" s="77"/>
      <c r="G35" s="82"/>
      <c r="H35" s="77"/>
    </row>
    <row r="36" spans="1:8" ht="15.75" x14ac:dyDescent="0.25">
      <c r="A36" s="77"/>
      <c r="B36" s="77"/>
      <c r="C36" s="78"/>
      <c r="D36" s="77"/>
      <c r="E36" s="77"/>
      <c r="F36" s="77"/>
      <c r="G36" s="82"/>
      <c r="H36" s="77"/>
    </row>
    <row r="37" spans="1:8" ht="15.75" x14ac:dyDescent="0.25">
      <c r="A37" s="77" t="s">
        <v>365</v>
      </c>
      <c r="B37" s="77"/>
      <c r="C37" s="78"/>
      <c r="D37" s="79" t="s">
        <v>70</v>
      </c>
      <c r="E37" s="79"/>
      <c r="F37" s="77"/>
      <c r="G37" s="82"/>
      <c r="H37" s="77"/>
    </row>
    <row r="38" spans="1:8" ht="15.75" x14ac:dyDescent="0.25">
      <c r="A38" s="104" t="s">
        <v>364</v>
      </c>
      <c r="B38" s="104"/>
      <c r="C38" s="78"/>
      <c r="D38" s="79" t="s">
        <v>72</v>
      </c>
      <c r="E38" s="79"/>
      <c r="F38" s="77"/>
      <c r="G38" s="82"/>
      <c r="H38" s="77"/>
    </row>
    <row r="39" spans="1:8" ht="15.75" x14ac:dyDescent="0.25">
      <c r="A39" s="77"/>
      <c r="B39" s="77"/>
      <c r="C39" s="78"/>
      <c r="D39" s="77"/>
      <c r="E39" s="77"/>
      <c r="F39" s="77"/>
      <c r="G39" s="82"/>
      <c r="H39" s="77"/>
    </row>
  </sheetData>
  <mergeCells count="3">
    <mergeCell ref="A32:B32"/>
    <mergeCell ref="A33:B33"/>
    <mergeCell ref="A38:B38"/>
  </mergeCells>
  <pageMargins left="0.7" right="0.7" top="0.75" bottom="0.75" header="0.3" footer="0.3"/>
  <pageSetup orientation="portrait" horizontalDpi="4294967293"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5"/>
  <sheetViews>
    <sheetView topLeftCell="A2" workbookViewId="0">
      <selection activeCell="H54" sqref="H54"/>
    </sheetView>
  </sheetViews>
  <sheetFormatPr baseColWidth="10" defaultColWidth="11.42578125" defaultRowHeight="16.5" outlineLevelRow="1" x14ac:dyDescent="0.3"/>
  <cols>
    <col min="1" max="1" width="7.85546875" style="1" bestFit="1" customWidth="1"/>
    <col min="2" max="2" width="5.42578125" style="1" customWidth="1"/>
    <col min="3" max="3" width="4.85546875" style="1" customWidth="1"/>
    <col min="4" max="4" width="5.140625" style="1" customWidth="1"/>
    <col min="5" max="5" width="14.85546875" style="1" customWidth="1"/>
    <col min="6" max="6" width="16.85546875" style="1" customWidth="1"/>
    <col min="7" max="7" width="26.140625" style="1" customWidth="1"/>
    <col min="8" max="8" width="10.140625" style="1" customWidth="1"/>
    <col min="9" max="9" width="1.28515625" style="1" customWidth="1"/>
    <col min="10" max="10" width="10.7109375" style="1" customWidth="1"/>
    <col min="11" max="11" width="11" style="1" customWidth="1"/>
    <col min="12" max="12" width="11.28515625" style="1" bestFit="1" customWidth="1"/>
    <col min="13" max="16384" width="11.42578125" style="1"/>
  </cols>
  <sheetData>
    <row r="1" spans="1:14" x14ac:dyDescent="0.3">
      <c r="C1" s="1" t="s">
        <v>33</v>
      </c>
    </row>
    <row r="2" spans="1:14" x14ac:dyDescent="0.3">
      <c r="C2" s="1" t="s">
        <v>34</v>
      </c>
    </row>
    <row r="3" spans="1:14" x14ac:dyDescent="0.3">
      <c r="D3" s="1" t="s">
        <v>35</v>
      </c>
    </row>
    <row r="4" spans="1:14" x14ac:dyDescent="0.3">
      <c r="D4" s="1" t="s">
        <v>36</v>
      </c>
    </row>
    <row r="5" spans="1:14" x14ac:dyDescent="0.3">
      <c r="B5" s="16" t="s">
        <v>37</v>
      </c>
      <c r="L5" s="1">
        <v>2000</v>
      </c>
    </row>
    <row r="6" spans="1:14" s="10" customFormat="1" x14ac:dyDescent="0.3">
      <c r="A6" s="2"/>
      <c r="B6" s="3"/>
      <c r="C6" s="4" t="s">
        <v>2</v>
      </c>
      <c r="D6" s="5" t="s">
        <v>3</v>
      </c>
      <c r="E6" s="6"/>
      <c r="F6" s="6" t="s">
        <v>4</v>
      </c>
      <c r="G6" s="7" t="s">
        <v>5</v>
      </c>
      <c r="H6" s="8" t="s">
        <v>6</v>
      </c>
      <c r="I6" s="18" t="s">
        <v>7</v>
      </c>
      <c r="J6" s="9" t="s">
        <v>8</v>
      </c>
      <c r="K6" s="9" t="s">
        <v>9</v>
      </c>
      <c r="L6" s="19" t="s">
        <v>10</v>
      </c>
      <c r="M6" s="9"/>
      <c r="N6" s="9"/>
    </row>
    <row r="7" spans="1:14" s="10" customFormat="1" x14ac:dyDescent="0.3">
      <c r="A7" s="11" t="s">
        <v>11</v>
      </c>
      <c r="B7" s="3" t="s">
        <v>20</v>
      </c>
      <c r="C7" s="3" t="s">
        <v>21</v>
      </c>
      <c r="D7" s="5" t="s">
        <v>12</v>
      </c>
      <c r="E7" s="12" t="s">
        <v>13</v>
      </c>
      <c r="F7" s="12" t="s">
        <v>14</v>
      </c>
      <c r="G7" s="12" t="s">
        <v>15</v>
      </c>
      <c r="H7" s="110" t="s">
        <v>16</v>
      </c>
      <c r="I7" s="110"/>
      <c r="J7" s="9" t="s">
        <v>17</v>
      </c>
      <c r="K7" s="9" t="s">
        <v>18</v>
      </c>
      <c r="L7" s="20">
        <f>+L5</f>
        <v>2000</v>
      </c>
      <c r="M7" s="9"/>
      <c r="N7" s="9"/>
    </row>
    <row r="8" spans="1:14" x14ac:dyDescent="0.3">
      <c r="A8" s="2">
        <v>45140</v>
      </c>
      <c r="B8" s="10">
        <v>2023</v>
      </c>
      <c r="C8" s="13" t="s">
        <v>31</v>
      </c>
      <c r="D8" s="10" t="s">
        <v>23</v>
      </c>
      <c r="E8" s="6">
        <v>1633503989</v>
      </c>
      <c r="F8" s="14" t="s">
        <v>30</v>
      </c>
      <c r="G8" s="10" t="s">
        <v>24</v>
      </c>
      <c r="H8" s="10"/>
      <c r="I8" s="10"/>
      <c r="J8" s="9"/>
      <c r="K8" s="9">
        <v>30.01</v>
      </c>
      <c r="L8" s="1">
        <f>L7+J8-K8</f>
        <v>1969.99</v>
      </c>
    </row>
    <row r="9" spans="1:14" x14ac:dyDescent="0.3">
      <c r="A9" s="2">
        <v>45142</v>
      </c>
      <c r="B9" s="10">
        <v>2023</v>
      </c>
      <c r="C9" s="13" t="s">
        <v>31</v>
      </c>
      <c r="D9" s="10" t="s">
        <v>23</v>
      </c>
      <c r="E9" s="6">
        <v>77613935</v>
      </c>
      <c r="F9" s="14" t="s">
        <v>30</v>
      </c>
      <c r="G9" s="10" t="s">
        <v>24</v>
      </c>
      <c r="H9" s="10"/>
      <c r="I9" s="10"/>
      <c r="J9" s="9"/>
      <c r="K9" s="9">
        <v>50</v>
      </c>
      <c r="L9" s="1">
        <f t="shared" ref="L9:L11" si="0">L8+J9-K9</f>
        <v>1919.99</v>
      </c>
    </row>
    <row r="10" spans="1:14" x14ac:dyDescent="0.3">
      <c r="A10" s="2">
        <v>45148</v>
      </c>
      <c r="B10" s="10">
        <v>2023</v>
      </c>
      <c r="C10" s="13" t="s">
        <v>31</v>
      </c>
      <c r="D10" s="10" t="s">
        <v>32</v>
      </c>
      <c r="E10" s="6">
        <v>6568814</v>
      </c>
      <c r="F10" s="14" t="s">
        <v>25</v>
      </c>
      <c r="G10" s="10" t="s">
        <v>26</v>
      </c>
      <c r="H10" s="10"/>
      <c r="I10" s="10"/>
      <c r="J10" s="9"/>
      <c r="K10" s="9">
        <v>484</v>
      </c>
      <c r="L10" s="1">
        <f t="shared" si="0"/>
        <v>1435.99</v>
      </c>
    </row>
    <row r="11" spans="1:14" ht="17.25" thickBot="1" x14ac:dyDescent="0.35">
      <c r="A11" s="2">
        <v>45148</v>
      </c>
      <c r="B11" s="10">
        <v>2023</v>
      </c>
      <c r="C11" s="13" t="s">
        <v>31</v>
      </c>
      <c r="D11" s="10" t="s">
        <v>23</v>
      </c>
      <c r="E11" s="6"/>
      <c r="F11" s="14" t="s">
        <v>27</v>
      </c>
      <c r="G11" s="10" t="s">
        <v>28</v>
      </c>
      <c r="H11" s="10"/>
      <c r="I11" s="10"/>
      <c r="J11" s="9"/>
      <c r="K11" s="9">
        <v>300</v>
      </c>
      <c r="L11" s="15">
        <f t="shared" si="0"/>
        <v>1135.99</v>
      </c>
    </row>
    <row r="12" spans="1:14" s="16" customFormat="1" ht="18" thickTop="1" thickBot="1" x14ac:dyDescent="0.35">
      <c r="C12" s="16" t="s">
        <v>73</v>
      </c>
      <c r="J12" s="21">
        <f>SUM(J8:J11)</f>
        <v>0</v>
      </c>
      <c r="K12" s="21">
        <f>SUM(K8:K11)</f>
        <v>864.01</v>
      </c>
    </row>
    <row r="13" spans="1:14" s="16" customFormat="1" ht="17.25" thickTop="1" x14ac:dyDescent="0.3"/>
    <row r="14" spans="1:14" x14ac:dyDescent="0.3">
      <c r="D14" s="1" t="s">
        <v>38</v>
      </c>
    </row>
    <row r="15" spans="1:14" x14ac:dyDescent="0.3">
      <c r="E15" s="16" t="s">
        <v>39</v>
      </c>
      <c r="F15" s="16" t="s">
        <v>40</v>
      </c>
      <c r="G15" s="22" t="s">
        <v>41</v>
      </c>
      <c r="H15" s="16" t="s">
        <v>42</v>
      </c>
      <c r="I15" s="16"/>
      <c r="J15" s="16" t="s">
        <v>43</v>
      </c>
    </row>
    <row r="16" spans="1:14" x14ac:dyDescent="0.3">
      <c r="F16" s="23"/>
      <c r="G16" s="1" t="s">
        <v>44</v>
      </c>
      <c r="H16" s="1">
        <v>200</v>
      </c>
      <c r="J16" s="24">
        <f t="shared" ref="J16:J22" si="1">F16*H16</f>
        <v>0</v>
      </c>
    </row>
    <row r="17" spans="4:12" x14ac:dyDescent="0.3">
      <c r="E17" s="25"/>
      <c r="F17" s="26">
        <v>11</v>
      </c>
      <c r="G17" s="1" t="s">
        <v>45</v>
      </c>
      <c r="H17" s="1">
        <v>100</v>
      </c>
      <c r="J17" s="24">
        <f t="shared" si="1"/>
        <v>1100</v>
      </c>
    </row>
    <row r="18" spans="4:12" hidden="1" outlineLevel="1" x14ac:dyDescent="0.3">
      <c r="E18" s="25"/>
      <c r="F18" s="26"/>
      <c r="G18" s="1" t="s">
        <v>46</v>
      </c>
      <c r="H18" s="1">
        <v>50</v>
      </c>
      <c r="J18" s="24">
        <f t="shared" si="1"/>
        <v>0</v>
      </c>
    </row>
    <row r="19" spans="4:12" hidden="1" outlineLevel="1" x14ac:dyDescent="0.3">
      <c r="E19" s="25"/>
      <c r="F19" s="26"/>
      <c r="G19" s="1" t="s">
        <v>47</v>
      </c>
      <c r="H19" s="1">
        <v>20</v>
      </c>
      <c r="J19" s="24">
        <f t="shared" si="1"/>
        <v>0</v>
      </c>
    </row>
    <row r="20" spans="4:12" collapsed="1" x14ac:dyDescent="0.3">
      <c r="E20" s="25"/>
      <c r="F20" s="26">
        <v>2</v>
      </c>
      <c r="G20" s="1" t="s">
        <v>48</v>
      </c>
      <c r="H20" s="1">
        <v>10</v>
      </c>
      <c r="J20" s="24">
        <f t="shared" si="1"/>
        <v>20</v>
      </c>
    </row>
    <row r="21" spans="4:12" x14ac:dyDescent="0.3">
      <c r="E21" s="25"/>
      <c r="F21" s="26">
        <v>3</v>
      </c>
      <c r="G21" s="1" t="s">
        <v>49</v>
      </c>
      <c r="H21" s="1">
        <v>5</v>
      </c>
      <c r="J21" s="24">
        <f t="shared" si="1"/>
        <v>15</v>
      </c>
    </row>
    <row r="22" spans="4:12" x14ac:dyDescent="0.3">
      <c r="E22" s="25"/>
      <c r="F22" s="26">
        <v>1</v>
      </c>
      <c r="G22" s="1" t="s">
        <v>50</v>
      </c>
      <c r="H22" s="1">
        <v>1</v>
      </c>
      <c r="J22" s="24">
        <f t="shared" si="1"/>
        <v>1</v>
      </c>
      <c r="K22" s="1">
        <f>SUM(J16:J22)</f>
        <v>1136</v>
      </c>
    </row>
    <row r="23" spans="4:12" hidden="1" outlineLevel="1" x14ac:dyDescent="0.3">
      <c r="E23" s="25"/>
      <c r="F23" s="27"/>
      <c r="G23" s="22" t="s">
        <v>51</v>
      </c>
      <c r="J23" s="24"/>
    </row>
    <row r="24" spans="4:12" hidden="1" outlineLevel="1" x14ac:dyDescent="0.3">
      <c r="E24" s="25"/>
      <c r="F24" s="23"/>
      <c r="G24" s="1" t="s">
        <v>50</v>
      </c>
      <c r="H24" s="1">
        <v>1</v>
      </c>
      <c r="J24" s="24">
        <f t="shared" ref="J24:J29" si="2">F24*H24</f>
        <v>0</v>
      </c>
    </row>
    <row r="25" spans="4:12" hidden="1" outlineLevel="1" x14ac:dyDescent="0.3">
      <c r="E25" s="25"/>
      <c r="F25" s="23"/>
      <c r="G25" s="1" t="s">
        <v>52</v>
      </c>
      <c r="H25" s="1">
        <v>0.5</v>
      </c>
      <c r="J25" s="24">
        <f t="shared" si="2"/>
        <v>0</v>
      </c>
    </row>
    <row r="26" spans="4:12" hidden="1" outlineLevel="1" x14ac:dyDescent="0.3">
      <c r="E26" s="25"/>
      <c r="F26" s="23"/>
      <c r="G26" s="1" t="s">
        <v>53</v>
      </c>
      <c r="H26" s="1">
        <v>0.25</v>
      </c>
      <c r="J26" s="24">
        <f t="shared" si="2"/>
        <v>0</v>
      </c>
    </row>
    <row r="27" spans="4:12" hidden="1" outlineLevel="1" x14ac:dyDescent="0.3">
      <c r="E27" s="25"/>
      <c r="F27" s="23"/>
      <c r="G27" s="1" t="s">
        <v>54</v>
      </c>
      <c r="H27" s="1">
        <v>0.1</v>
      </c>
      <c r="J27" s="24">
        <f t="shared" si="2"/>
        <v>0</v>
      </c>
    </row>
    <row r="28" spans="4:12" hidden="1" outlineLevel="1" x14ac:dyDescent="0.3">
      <c r="D28" s="16"/>
      <c r="E28" s="25"/>
      <c r="F28" s="23"/>
      <c r="G28" s="1" t="s">
        <v>55</v>
      </c>
      <c r="H28" s="1">
        <v>0.05</v>
      </c>
      <c r="J28" s="24">
        <f t="shared" si="2"/>
        <v>0</v>
      </c>
    </row>
    <row r="29" spans="4:12" hidden="1" outlineLevel="1" x14ac:dyDescent="0.3">
      <c r="D29" s="16"/>
      <c r="F29" s="23"/>
      <c r="G29" s="1" t="s">
        <v>56</v>
      </c>
      <c r="H29" s="1">
        <v>0.01</v>
      </c>
      <c r="J29" s="24">
        <f t="shared" si="2"/>
        <v>0</v>
      </c>
      <c r="K29" s="1">
        <f>SUM(J24:J29)</f>
        <v>0</v>
      </c>
    </row>
    <row r="30" spans="4:12" s="16" customFormat="1" collapsed="1" x14ac:dyDescent="0.3">
      <c r="I30" s="16" t="s">
        <v>57</v>
      </c>
      <c r="L30" s="28">
        <f>SUM(K15:K30)</f>
        <v>1136</v>
      </c>
    </row>
    <row r="32" spans="4:12" ht="17.25" thickBot="1" x14ac:dyDescent="0.35">
      <c r="I32" s="1" t="s">
        <v>58</v>
      </c>
      <c r="L32" s="29">
        <f>L11-L30</f>
        <v>-9.9999999999909051E-3</v>
      </c>
    </row>
    <row r="33" spans="2:10" ht="17.25" thickTop="1" x14ac:dyDescent="0.3">
      <c r="B33" s="1" t="s">
        <v>59</v>
      </c>
    </row>
    <row r="34" spans="2:10" x14ac:dyDescent="0.3">
      <c r="B34" s="1" t="s">
        <v>60</v>
      </c>
    </row>
    <row r="35" spans="2:10" x14ac:dyDescent="0.3">
      <c r="B35" s="1" t="s">
        <v>74</v>
      </c>
    </row>
    <row r="36" spans="2:10" x14ac:dyDescent="0.3">
      <c r="B36" s="1" t="s">
        <v>61</v>
      </c>
    </row>
    <row r="37" spans="2:10" x14ac:dyDescent="0.3">
      <c r="B37" s="1" t="s">
        <v>62</v>
      </c>
    </row>
    <row r="38" spans="2:10" x14ac:dyDescent="0.3">
      <c r="B38" s="1" t="s">
        <v>63</v>
      </c>
    </row>
    <row r="40" spans="2:10" x14ac:dyDescent="0.3">
      <c r="B40" s="1" t="s">
        <v>64</v>
      </c>
    </row>
    <row r="44" spans="2:10" x14ac:dyDescent="0.3">
      <c r="B44" s="25" t="s">
        <v>65</v>
      </c>
      <c r="C44" s="25"/>
      <c r="E44" s="30"/>
      <c r="F44" s="30"/>
      <c r="H44" s="31" t="s">
        <v>66</v>
      </c>
      <c r="I44" s="31"/>
      <c r="J44" s="17"/>
    </row>
    <row r="45" spans="2:10" x14ac:dyDescent="0.3">
      <c r="B45" s="111" t="s">
        <v>67</v>
      </c>
      <c r="C45" s="111"/>
      <c r="E45" s="30"/>
      <c r="F45" s="30"/>
      <c r="H45" s="31" t="s">
        <v>68</v>
      </c>
      <c r="I45" s="31"/>
      <c r="J45" s="17"/>
    </row>
    <row r="46" spans="2:10" x14ac:dyDescent="0.3">
      <c r="B46" s="25"/>
      <c r="C46" s="25"/>
      <c r="E46" s="17"/>
      <c r="F46" s="17"/>
      <c r="H46" s="25"/>
      <c r="I46" s="25"/>
      <c r="J46" s="17"/>
    </row>
    <row r="47" spans="2:10" x14ac:dyDescent="0.3">
      <c r="E47" s="17"/>
      <c r="F47" s="17"/>
      <c r="H47" s="25"/>
      <c r="I47" s="25"/>
      <c r="J47" s="17"/>
    </row>
    <row r="48" spans="2:10" x14ac:dyDescent="0.3">
      <c r="E48" s="17"/>
      <c r="F48" s="17"/>
      <c r="H48" s="25"/>
      <c r="I48" s="25"/>
      <c r="J48" s="17"/>
    </row>
    <row r="49" spans="1:12" x14ac:dyDescent="0.3">
      <c r="B49" s="1" t="s">
        <v>69</v>
      </c>
      <c r="E49" s="32"/>
      <c r="F49" s="32"/>
      <c r="H49" s="25" t="s">
        <v>70</v>
      </c>
      <c r="I49" s="25"/>
      <c r="J49" s="17"/>
    </row>
    <row r="50" spans="1:12" x14ac:dyDescent="0.3">
      <c r="B50" s="1" t="s">
        <v>71</v>
      </c>
      <c r="E50" s="32"/>
      <c r="F50" s="32"/>
      <c r="H50" s="25" t="s">
        <v>72</v>
      </c>
      <c r="I50" s="25"/>
      <c r="J50" s="17"/>
    </row>
    <row r="51" spans="1:12" x14ac:dyDescent="0.3">
      <c r="E51" s="17"/>
      <c r="F51" s="17"/>
      <c r="H51" s="17"/>
      <c r="I51" s="17"/>
      <c r="J51" s="17"/>
    </row>
    <row r="52" spans="1:12" x14ac:dyDescent="0.3">
      <c r="E52" s="17"/>
      <c r="F52" s="17"/>
      <c r="H52" s="17"/>
      <c r="I52" s="17"/>
      <c r="J52" s="17"/>
    </row>
    <row r="54" spans="1:12" x14ac:dyDescent="0.3">
      <c r="C54" s="1" t="s">
        <v>33</v>
      </c>
    </row>
    <row r="55" spans="1:12" x14ac:dyDescent="0.3">
      <c r="C55" s="1" t="s">
        <v>34</v>
      </c>
    </row>
    <row r="56" spans="1:12" x14ac:dyDescent="0.3">
      <c r="D56" s="1" t="s">
        <v>35</v>
      </c>
    </row>
    <row r="57" spans="1:12" x14ac:dyDescent="0.3">
      <c r="D57" s="1" t="s">
        <v>36</v>
      </c>
    </row>
    <row r="58" spans="1:12" x14ac:dyDescent="0.3">
      <c r="B58" s="16" t="s">
        <v>37</v>
      </c>
      <c r="L58" s="1">
        <v>2000</v>
      </c>
    </row>
    <row r="59" spans="1:12" x14ac:dyDescent="0.3">
      <c r="A59" s="2"/>
      <c r="B59" s="3"/>
      <c r="C59" s="4" t="s">
        <v>2</v>
      </c>
      <c r="D59" s="5" t="s">
        <v>3</v>
      </c>
      <c r="E59" s="6"/>
      <c r="F59" s="6" t="s">
        <v>4</v>
      </c>
      <c r="G59" s="7" t="s">
        <v>5</v>
      </c>
      <c r="H59" s="8" t="s">
        <v>6</v>
      </c>
      <c r="I59" s="18" t="s">
        <v>7</v>
      </c>
      <c r="J59" s="9" t="s">
        <v>8</v>
      </c>
      <c r="K59" s="9" t="s">
        <v>9</v>
      </c>
      <c r="L59" s="19" t="s">
        <v>10</v>
      </c>
    </row>
    <row r="60" spans="1:12" x14ac:dyDescent="0.3">
      <c r="A60" s="11" t="s">
        <v>11</v>
      </c>
      <c r="B60" s="3" t="s">
        <v>20</v>
      </c>
      <c r="C60" s="3" t="s">
        <v>21</v>
      </c>
      <c r="D60" s="5" t="s">
        <v>12</v>
      </c>
      <c r="E60" s="12" t="s">
        <v>13</v>
      </c>
      <c r="F60" s="12" t="s">
        <v>14</v>
      </c>
      <c r="G60" s="12" t="s">
        <v>15</v>
      </c>
      <c r="H60" s="110" t="s">
        <v>16</v>
      </c>
      <c r="I60" s="110"/>
      <c r="J60" s="9" t="s">
        <v>17</v>
      </c>
      <c r="K60" s="9" t="s">
        <v>18</v>
      </c>
      <c r="L60" s="20">
        <v>1136</v>
      </c>
    </row>
    <row r="61" spans="1:12" x14ac:dyDescent="0.3">
      <c r="A61" s="2">
        <v>45160</v>
      </c>
      <c r="B61" s="10">
        <v>2023</v>
      </c>
      <c r="C61" s="13" t="s">
        <v>31</v>
      </c>
      <c r="D61" s="10" t="s">
        <v>23</v>
      </c>
      <c r="E61" s="6">
        <v>1617970288</v>
      </c>
      <c r="F61" s="14" t="s">
        <v>29</v>
      </c>
      <c r="G61" s="10" t="s">
        <v>75</v>
      </c>
      <c r="H61" s="10"/>
      <c r="I61" s="10"/>
      <c r="J61" s="9"/>
      <c r="K61" s="9">
        <v>489</v>
      </c>
      <c r="L61" s="1">
        <f>L60+J61-K61</f>
        <v>647</v>
      </c>
    </row>
    <row r="62" spans="1:12" x14ac:dyDescent="0.3">
      <c r="A62" s="2"/>
      <c r="B62" s="10"/>
      <c r="C62" s="13"/>
      <c r="D62" s="10"/>
      <c r="E62" s="6"/>
      <c r="F62" s="14"/>
      <c r="G62" s="10"/>
      <c r="H62" s="10"/>
      <c r="I62" s="10"/>
      <c r="J62" s="9"/>
      <c r="K62" s="9"/>
      <c r="L62" s="1">
        <f t="shared" ref="L62:L64" si="3">L61+J62-K62</f>
        <v>647</v>
      </c>
    </row>
    <row r="63" spans="1:12" x14ac:dyDescent="0.3">
      <c r="A63" s="2"/>
      <c r="B63" s="10"/>
      <c r="C63" s="13"/>
      <c r="D63" s="10"/>
      <c r="E63" s="6"/>
      <c r="F63" s="14"/>
      <c r="G63" s="10"/>
      <c r="H63" s="10"/>
      <c r="I63" s="10"/>
      <c r="J63" s="9"/>
      <c r="K63" s="9"/>
      <c r="L63" s="1">
        <f t="shared" si="3"/>
        <v>647</v>
      </c>
    </row>
    <row r="64" spans="1:12" ht="17.25" thickBot="1" x14ac:dyDescent="0.35">
      <c r="A64" s="2"/>
      <c r="B64" s="10"/>
      <c r="C64" s="13"/>
      <c r="D64" s="10"/>
      <c r="E64" s="6"/>
      <c r="F64" s="14"/>
      <c r="G64" s="10"/>
      <c r="H64" s="10"/>
      <c r="I64" s="10"/>
      <c r="J64" s="9"/>
      <c r="K64" s="9"/>
      <c r="L64" s="15">
        <f t="shared" si="3"/>
        <v>647</v>
      </c>
    </row>
    <row r="65" spans="1:12" ht="18" thickTop="1" thickBot="1" x14ac:dyDescent="0.35">
      <c r="A65" s="16"/>
      <c r="B65" s="16"/>
      <c r="C65" s="16" t="s">
        <v>73</v>
      </c>
      <c r="D65" s="16"/>
      <c r="E65" s="16"/>
      <c r="F65" s="16"/>
      <c r="G65" s="16"/>
      <c r="H65" s="16"/>
      <c r="I65" s="16"/>
      <c r="J65" s="21">
        <f>SUM(J61:J64)</f>
        <v>0</v>
      </c>
      <c r="K65" s="21">
        <f>SUM(K61:K64)</f>
        <v>489</v>
      </c>
      <c r="L65" s="16"/>
    </row>
    <row r="66" spans="1:12" ht="17.25" thickTop="1" x14ac:dyDescent="0.3">
      <c r="A66" s="16"/>
      <c r="B66" s="16"/>
      <c r="C66" s="16"/>
      <c r="D66" s="16"/>
      <c r="E66" s="16"/>
      <c r="F66" s="16"/>
      <c r="G66" s="16"/>
      <c r="H66" s="16"/>
      <c r="I66" s="16"/>
      <c r="J66" s="16"/>
      <c r="K66" s="16"/>
      <c r="L66" s="16"/>
    </row>
    <row r="67" spans="1:12" x14ac:dyDescent="0.3">
      <c r="D67" s="1" t="s">
        <v>38</v>
      </c>
    </row>
    <row r="68" spans="1:12" x14ac:dyDescent="0.3">
      <c r="E68" s="16" t="s">
        <v>39</v>
      </c>
      <c r="F68" s="16" t="s">
        <v>40</v>
      </c>
      <c r="G68" s="22" t="s">
        <v>41</v>
      </c>
      <c r="H68" s="16" t="s">
        <v>42</v>
      </c>
      <c r="I68" s="16"/>
      <c r="J68" s="16" t="s">
        <v>43</v>
      </c>
    </row>
    <row r="69" spans="1:12" x14ac:dyDescent="0.3">
      <c r="F69" s="23"/>
      <c r="G69" s="1" t="s">
        <v>44</v>
      </c>
      <c r="H69" s="1">
        <v>200</v>
      </c>
      <c r="J69" s="24">
        <f t="shared" ref="J69:J75" si="4">F69*H69</f>
        <v>0</v>
      </c>
    </row>
    <row r="70" spans="1:12" x14ac:dyDescent="0.3">
      <c r="E70" s="25"/>
      <c r="F70" s="26">
        <v>11</v>
      </c>
      <c r="G70" s="1" t="s">
        <v>45</v>
      </c>
      <c r="H70" s="1">
        <v>100</v>
      </c>
      <c r="J70" s="24">
        <f t="shared" si="4"/>
        <v>1100</v>
      </c>
    </row>
    <row r="71" spans="1:12" x14ac:dyDescent="0.3">
      <c r="E71" s="25"/>
      <c r="F71" s="26"/>
      <c r="G71" s="1" t="s">
        <v>46</v>
      </c>
      <c r="H71" s="1">
        <v>50</v>
      </c>
      <c r="J71" s="24">
        <f t="shared" si="4"/>
        <v>0</v>
      </c>
    </row>
    <row r="72" spans="1:12" x14ac:dyDescent="0.3">
      <c r="E72" s="25"/>
      <c r="F72" s="26"/>
      <c r="G72" s="1" t="s">
        <v>47</v>
      </c>
      <c r="H72" s="1">
        <v>20</v>
      </c>
      <c r="J72" s="24">
        <f t="shared" si="4"/>
        <v>0</v>
      </c>
    </row>
    <row r="73" spans="1:12" x14ac:dyDescent="0.3">
      <c r="E73" s="25"/>
      <c r="F73" s="26">
        <v>2</v>
      </c>
      <c r="G73" s="1" t="s">
        <v>48</v>
      </c>
      <c r="H73" s="1">
        <v>10</v>
      </c>
      <c r="J73" s="24">
        <f t="shared" si="4"/>
        <v>20</v>
      </c>
    </row>
    <row r="74" spans="1:12" x14ac:dyDescent="0.3">
      <c r="E74" s="25"/>
      <c r="F74" s="26">
        <v>3</v>
      </c>
      <c r="G74" s="1" t="s">
        <v>49</v>
      </c>
      <c r="H74" s="1">
        <v>5</v>
      </c>
      <c r="J74" s="24">
        <f t="shared" si="4"/>
        <v>15</v>
      </c>
    </row>
    <row r="75" spans="1:12" x14ac:dyDescent="0.3">
      <c r="E75" s="25"/>
      <c r="F75" s="26">
        <v>1</v>
      </c>
      <c r="G75" s="1" t="s">
        <v>50</v>
      </c>
      <c r="H75" s="1">
        <v>1</v>
      </c>
      <c r="J75" s="24">
        <f t="shared" si="4"/>
        <v>1</v>
      </c>
      <c r="K75" s="1">
        <f>SUM(J69:J75)</f>
        <v>1136</v>
      </c>
    </row>
    <row r="76" spans="1:12" x14ac:dyDescent="0.3">
      <c r="E76" s="25"/>
      <c r="F76" s="27"/>
      <c r="G76" s="22" t="s">
        <v>51</v>
      </c>
      <c r="J76" s="24"/>
    </row>
    <row r="77" spans="1:12" x14ac:dyDescent="0.3">
      <c r="E77" s="25"/>
      <c r="F77" s="23"/>
      <c r="G77" s="1" t="s">
        <v>50</v>
      </c>
      <c r="H77" s="1">
        <v>1</v>
      </c>
      <c r="J77" s="24">
        <f t="shared" ref="J77:J82" si="5">F77*H77</f>
        <v>0</v>
      </c>
    </row>
    <row r="78" spans="1:12" x14ac:dyDescent="0.3">
      <c r="E78" s="25"/>
      <c r="F78" s="23"/>
      <c r="G78" s="1" t="s">
        <v>52</v>
      </c>
      <c r="H78" s="1">
        <v>0.5</v>
      </c>
      <c r="J78" s="24">
        <f t="shared" si="5"/>
        <v>0</v>
      </c>
    </row>
    <row r="79" spans="1:12" x14ac:dyDescent="0.3">
      <c r="E79" s="25"/>
      <c r="F79" s="23"/>
      <c r="G79" s="1" t="s">
        <v>53</v>
      </c>
      <c r="H79" s="1">
        <v>0.25</v>
      </c>
      <c r="J79" s="24">
        <f t="shared" si="5"/>
        <v>0</v>
      </c>
    </row>
    <row r="80" spans="1:12" x14ac:dyDescent="0.3">
      <c r="E80" s="25"/>
      <c r="F80" s="23"/>
      <c r="G80" s="1" t="s">
        <v>54</v>
      </c>
      <c r="H80" s="1">
        <v>0.1</v>
      </c>
      <c r="J80" s="24">
        <f t="shared" si="5"/>
        <v>0</v>
      </c>
    </row>
    <row r="81" spans="1:12" x14ac:dyDescent="0.3">
      <c r="D81" s="16"/>
      <c r="E81" s="25"/>
      <c r="F81" s="23"/>
      <c r="G81" s="1" t="s">
        <v>55</v>
      </c>
      <c r="H81" s="1">
        <v>0.05</v>
      </c>
      <c r="J81" s="24">
        <f t="shared" si="5"/>
        <v>0</v>
      </c>
    </row>
    <row r="82" spans="1:12" x14ac:dyDescent="0.3">
      <c r="D82" s="16"/>
      <c r="F82" s="23"/>
      <c r="G82" s="1" t="s">
        <v>56</v>
      </c>
      <c r="H82" s="1">
        <v>0.01</v>
      </c>
      <c r="J82" s="24">
        <f t="shared" si="5"/>
        <v>0</v>
      </c>
      <c r="K82" s="1">
        <f>SUM(J77:J82)</f>
        <v>0</v>
      </c>
    </row>
    <row r="83" spans="1:12" x14ac:dyDescent="0.3">
      <c r="A83" s="16"/>
      <c r="B83" s="16"/>
      <c r="C83" s="16"/>
      <c r="D83" s="16"/>
      <c r="E83" s="16"/>
      <c r="F83" s="16"/>
      <c r="G83" s="16"/>
      <c r="H83" s="16"/>
      <c r="I83" s="16" t="s">
        <v>57</v>
      </c>
      <c r="J83" s="16"/>
      <c r="K83" s="16"/>
      <c r="L83" s="28">
        <f>SUM(K68:K83)</f>
        <v>1136</v>
      </c>
    </row>
    <row r="85" spans="1:12" ht="17.25" thickBot="1" x14ac:dyDescent="0.35">
      <c r="I85" s="1" t="s">
        <v>58</v>
      </c>
      <c r="L85" s="29">
        <f>L64-L83</f>
        <v>-489</v>
      </c>
    </row>
    <row r="86" spans="1:12" ht="17.25" thickTop="1" x14ac:dyDescent="0.3">
      <c r="B86" s="1" t="s">
        <v>59</v>
      </c>
    </row>
    <row r="87" spans="1:12" x14ac:dyDescent="0.3">
      <c r="B87" s="1" t="s">
        <v>60</v>
      </c>
    </row>
    <row r="88" spans="1:12" x14ac:dyDescent="0.3">
      <c r="B88" s="1" t="s">
        <v>74</v>
      </c>
    </row>
    <row r="89" spans="1:12" x14ac:dyDescent="0.3">
      <c r="B89" s="1" t="s">
        <v>61</v>
      </c>
    </row>
    <row r="90" spans="1:12" x14ac:dyDescent="0.3">
      <c r="B90" s="1" t="s">
        <v>62</v>
      </c>
    </row>
    <row r="91" spans="1:12" x14ac:dyDescent="0.3">
      <c r="B91" s="1" t="s">
        <v>63</v>
      </c>
    </row>
    <row r="93" spans="1:12" x14ac:dyDescent="0.3">
      <c r="B93" s="1" t="s">
        <v>64</v>
      </c>
    </row>
    <row r="97" spans="2:10" x14ac:dyDescent="0.3">
      <c r="B97" s="25" t="s">
        <v>65</v>
      </c>
      <c r="C97" s="25"/>
      <c r="E97" s="30"/>
      <c r="F97" s="30"/>
      <c r="H97" s="31" t="s">
        <v>66</v>
      </c>
      <c r="I97" s="31"/>
      <c r="J97" s="17"/>
    </row>
    <row r="98" spans="2:10" x14ac:dyDescent="0.3">
      <c r="B98" s="111" t="s">
        <v>67</v>
      </c>
      <c r="C98" s="111"/>
      <c r="E98" s="30"/>
      <c r="F98" s="30"/>
      <c r="H98" s="31" t="s">
        <v>68</v>
      </c>
      <c r="I98" s="31"/>
      <c r="J98" s="17"/>
    </row>
    <row r="99" spans="2:10" x14ac:dyDescent="0.3">
      <c r="B99" s="25"/>
      <c r="C99" s="25"/>
      <c r="E99" s="17"/>
      <c r="F99" s="17"/>
      <c r="H99" s="25"/>
      <c r="I99" s="25"/>
      <c r="J99" s="17"/>
    </row>
    <row r="100" spans="2:10" x14ac:dyDescent="0.3">
      <c r="E100" s="17"/>
      <c r="F100" s="17"/>
      <c r="H100" s="25"/>
      <c r="I100" s="25"/>
      <c r="J100" s="17"/>
    </row>
    <row r="101" spans="2:10" x14ac:dyDescent="0.3">
      <c r="E101" s="17"/>
      <c r="F101" s="17"/>
      <c r="H101" s="25"/>
      <c r="I101" s="25"/>
      <c r="J101" s="17"/>
    </row>
    <row r="102" spans="2:10" x14ac:dyDescent="0.3">
      <c r="B102" s="1" t="s">
        <v>69</v>
      </c>
      <c r="E102" s="32"/>
      <c r="F102" s="32"/>
      <c r="H102" s="25" t="s">
        <v>70</v>
      </c>
      <c r="I102" s="25"/>
      <c r="J102" s="17"/>
    </row>
    <row r="103" spans="2:10" x14ac:dyDescent="0.3">
      <c r="B103" s="1" t="s">
        <v>71</v>
      </c>
      <c r="E103" s="32"/>
      <c r="F103" s="32"/>
      <c r="H103" s="25" t="s">
        <v>72</v>
      </c>
      <c r="I103" s="25"/>
      <c r="J103" s="17"/>
    </row>
    <row r="104" spans="2:10" x14ac:dyDescent="0.3">
      <c r="E104" s="17"/>
      <c r="F104" s="17"/>
      <c r="H104" s="17"/>
      <c r="I104" s="17"/>
      <c r="J104" s="17"/>
    </row>
    <row r="105" spans="2:10" x14ac:dyDescent="0.3">
      <c r="E105" s="17"/>
      <c r="F105" s="17"/>
      <c r="H105" s="17"/>
      <c r="I105" s="17"/>
      <c r="J105" s="17"/>
    </row>
  </sheetData>
  <mergeCells count="4">
    <mergeCell ref="H7:I7"/>
    <mergeCell ref="B45:C45"/>
    <mergeCell ref="H60:I60"/>
    <mergeCell ref="B98:C98"/>
  </mergeCells>
  <pageMargins left="0.51181102362204722" right="0" top="0.74803149606299213" bottom="0.74803149606299213" header="0.31496062992125984" footer="0.31496062992125984"/>
  <pageSetup scale="80" orientation="portrait"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Caja Chica</vt:lpstr>
      <vt:lpstr>Hoja1</vt:lpstr>
      <vt:lpstr>Arqueo Caja Chica 21-08-23</vt:lpstr>
      <vt:lpstr>'Caja Chica'!Títulos_a_imprimir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Comif Chajul</cp:lastModifiedBy>
  <cp:lastPrinted>2026-06-20T23:54:53Z</cp:lastPrinted>
  <dcterms:created xsi:type="dcterms:W3CDTF">2019-08-30T23:41:01Z</dcterms:created>
  <dcterms:modified xsi:type="dcterms:W3CDTF">2026-08-11T22:20:54Z</dcterms:modified>
</cp:coreProperties>
</file>