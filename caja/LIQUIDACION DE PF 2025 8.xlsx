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PLAZO FIJO\"/>
    </mc:Choice>
  </mc:AlternateContent>
  <xr:revisionPtr revIDLastSave="0" documentId="13_ncr:1_{71C3F3FB-EF31-4089-86E1-91601832C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Hoja1!$A$6:$AA$41</definedName>
    <definedName name="SAN_GASPAR_R.L." comment="NOMBRE COMERCIAL DE LA COOPSANGASPAR">Hoja1!$A$2</definedName>
  </definedNames>
  <calcPr calcId="191029"/>
</workbook>
</file>

<file path=xl/calcChain.xml><?xml version="1.0" encoding="utf-8"?>
<calcChain xmlns="http://schemas.openxmlformats.org/spreadsheetml/2006/main">
  <c r="U12" i="1" l="1"/>
  <c r="U11" i="1"/>
  <c r="U7" i="1"/>
  <c r="U10" i="1" s="1"/>
  <c r="U13" i="1" s="1"/>
  <c r="U14" i="1" s="1"/>
  <c r="U15" i="1" s="1"/>
  <c r="U16" i="1" s="1"/>
  <c r="U17" i="1" l="1"/>
  <c r="U18" i="1" s="1"/>
  <c r="U19" i="1" l="1"/>
  <c r="U20" i="1" s="1"/>
  <c r="U21" i="1" s="1"/>
  <c r="U22" i="1" s="1"/>
  <c r="U23" i="1" s="1"/>
  <c r="U24" i="1" s="1"/>
  <c r="U25" i="1" l="1"/>
  <c r="U26" i="1"/>
  <c r="U27" i="1" s="1"/>
  <c r="U28" i="1" s="1"/>
  <c r="U29" i="1" s="1"/>
  <c r="U30" i="1" s="1"/>
  <c r="U31" i="1" s="1"/>
  <c r="U32" i="1" s="1"/>
  <c r="U33" i="1" s="1"/>
  <c r="U34" i="1" s="1"/>
  <c r="V34" i="1" s="1"/>
</calcChain>
</file>

<file path=xl/sharedStrings.xml><?xml version="1.0" encoding="utf-8"?>
<sst xmlns="http://schemas.openxmlformats.org/spreadsheetml/2006/main" count="105" uniqueCount="71">
  <si>
    <t xml:space="preserve">NO. CUENTA </t>
  </si>
  <si>
    <t>FECHA DE ENTRADA</t>
  </si>
  <si>
    <t>NOMBRES Y APELLIDOS</t>
  </si>
  <si>
    <t>DATOS DEL ASOCIADO</t>
  </si>
  <si>
    <t>INTERES GENERADO</t>
  </si>
  <si>
    <t>DATOS DEL RETIRO</t>
  </si>
  <si>
    <t>FECHA DE RETIRO</t>
  </si>
  <si>
    <t>RE. No.</t>
  </si>
  <si>
    <t>TASA</t>
  </si>
  <si>
    <t>No. DOC.</t>
  </si>
  <si>
    <t>DOC. IN.</t>
  </si>
  <si>
    <t>ISR RETENCIONES</t>
  </si>
  <si>
    <t>TASA CALCULADA</t>
  </si>
  <si>
    <t>No. CERTIFICACION</t>
  </si>
  <si>
    <t>DATOS DEL AHORRO</t>
  </si>
  <si>
    <t>DEPÓSITO TOTAL</t>
  </si>
  <si>
    <t>SALDO LIQUIDO A PAGAR</t>
  </si>
  <si>
    <r>
      <rPr>
        <b/>
        <sz val="10"/>
        <color theme="0"/>
        <rFont val="Calibri"/>
        <family val="2"/>
        <scheme val="minor"/>
      </rPr>
      <t>CONTRATO</t>
    </r>
    <r>
      <rPr>
        <b/>
        <sz val="8"/>
        <color theme="0"/>
        <rFont val="Calibri"/>
        <family val="2"/>
        <scheme val="minor"/>
      </rPr>
      <t xml:space="preserve"> (MESES)</t>
    </r>
  </si>
  <si>
    <t>PORCENTAJE CALCULADO</t>
  </si>
  <si>
    <t>INGRESO</t>
  </si>
  <si>
    <t>EGRESO</t>
  </si>
  <si>
    <t>FECHA</t>
  </si>
  <si>
    <t xml:space="preserve">CONTROL </t>
  </si>
  <si>
    <t>INTERES NETO</t>
  </si>
  <si>
    <t>SALDO CONTABLE</t>
  </si>
  <si>
    <t>SALDO EN MOVIMIENTO</t>
  </si>
  <si>
    <t>ESTADO DEL EFECTIVO</t>
  </si>
  <si>
    <t xml:space="preserve">INGRESOS </t>
  </si>
  <si>
    <t xml:space="preserve">EGRESOS </t>
  </si>
  <si>
    <t>IN</t>
  </si>
  <si>
    <t>ACTIVO</t>
  </si>
  <si>
    <t xml:space="preserve">AGENCIAS </t>
  </si>
  <si>
    <t>MARZO</t>
  </si>
  <si>
    <t>COOPERATIVA INTEGRAL DE AHORRO Y CRÉDITO  MAYA INVERSIOENS FUTURAS R.L</t>
  </si>
  <si>
    <t>CIFRAS EN QUETZALES</t>
  </si>
  <si>
    <t>saldo inicial</t>
  </si>
  <si>
    <t>JUANA RAYMUNDO ANAY</t>
  </si>
  <si>
    <t>CHAJUL</t>
  </si>
  <si>
    <t>KARDEX DE AHORRO A PLAZO FIJO 2025</t>
  </si>
  <si>
    <t>MIERCULES 21 DE AGOSTO 2025</t>
  </si>
  <si>
    <t>2-32-6-2</t>
  </si>
  <si>
    <t>2-64-6-1</t>
  </si>
  <si>
    <t>MIGUEL ROSOLINO RAYMUNDO ANAY</t>
  </si>
  <si>
    <t>GASPAR ESCOBAR CABA</t>
  </si>
  <si>
    <t>FEBRERO</t>
  </si>
  <si>
    <t>2-105-6-1</t>
  </si>
  <si>
    <t>MARIA MENDOZA CABA DE RAYMUNDO</t>
  </si>
  <si>
    <t>MAYO</t>
  </si>
  <si>
    <t>LUCIA CABA CANAY DE CABA</t>
  </si>
  <si>
    <t>2-87-6-2</t>
  </si>
  <si>
    <t>SEPTIEMBRE</t>
  </si>
  <si>
    <t>JUANA ESPERANZA XINIC SANTIAGO</t>
  </si>
  <si>
    <t xml:space="preserve">CHAJUL </t>
  </si>
  <si>
    <t>NOVIEMBRE</t>
  </si>
  <si>
    <t>2-17-6-1</t>
  </si>
  <si>
    <t>2-63-6-1</t>
  </si>
  <si>
    <t>ROSA CECILIA IJOM PEREZ DE ESCOBAR</t>
  </si>
  <si>
    <t>2-87-6-1</t>
  </si>
  <si>
    <t>2-54-6-1</t>
  </si>
  <si>
    <t>MARIA GUZMAN BOP</t>
  </si>
  <si>
    <t>2-52-6-2</t>
  </si>
  <si>
    <t>MARTA CABA MATEO</t>
  </si>
  <si>
    <t>2-90-6-1</t>
  </si>
  <si>
    <t>ANA SANCHEZ BATZ</t>
  </si>
  <si>
    <t>DICIEMBRE</t>
  </si>
  <si>
    <t>2-105-6-2</t>
  </si>
  <si>
    <t>2-91-6-1</t>
  </si>
  <si>
    <t>MAGDALENA BRITO BRITO SOLIZ</t>
  </si>
  <si>
    <t>1/01/2025    AL</t>
  </si>
  <si>
    <t>ENERO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</si>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</sst>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Q&quot;* #,##0.00_-;\-&quot;Q&quot;* #,##0.00_-;_-&quot;Q&quot;* &quot;-&quot;??_-;_-@_-"/>
    <numFmt numFmtId="164" formatCode="_-[$Q-100A]* #,##0.0_-;\-[$Q-100A]* #,##0.0_-;_-[$Q-100A]* &quot;-&quot;?_-;_-@_-"/>
    <numFmt numFmtId="165" formatCode="_-[$Q-100A]* #,##0.00_-;\-[$Q-100A]* #,##0.00_-;_-[$Q-100A]* &quot;-&quot;??_-;_-@_-"/>
    <numFmt numFmtId="166" formatCode="[$-F800]dddd\,\ mmmm\ dd\,\ yyyy"/>
    <numFmt numFmtId="167" formatCode="&quot;Q&quot;#,##0.00"/>
  </numFmts>
  <fonts count="18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Bodoni MT"/>
      <family val="1"/>
    </font>
    <font>
      <b/>
      <sz val="14"/>
      <color theme="1"/>
      <name val="Bodoni MT"/>
      <family val="1"/>
    </font>
    <font>
      <b/>
      <sz val="8"/>
      <color theme="0"/>
      <name val="Bodoni MT"/>
      <family val="1"/>
    </font>
    <font>
      <b/>
      <sz val="10"/>
      <color theme="1"/>
      <name val="Bodoni MT"/>
      <family val="1"/>
    </font>
    <font>
      <sz val="8"/>
      <name val="Calibri"/>
      <family val="2"/>
      <scheme val="minor"/>
    </font>
    <font>
      <b/>
      <sz val="18"/>
      <color theme="0"/>
      <name val="Bodoni MT"/>
      <family val="1"/>
    </font>
    <font>
      <b/>
      <sz val="14"/>
      <color theme="0"/>
      <name val="Bodoni MT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16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auto="1"/>
      </right>
      <top style="thin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FFFFFF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10" fontId="2" fillId="3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justify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165" fontId="2" fillId="4" borderId="3" xfId="0" applyNumberFormat="1" applyFont="1" applyFill="1" applyBorder="1"/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/>
    <xf numFmtId="9" fontId="2" fillId="3" borderId="6" xfId="0" applyNumberFormat="1" applyFont="1" applyFill="1" applyBorder="1"/>
    <xf numFmtId="10" fontId="2" fillId="3" borderId="7" xfId="0" applyNumberFormat="1" applyFont="1" applyFill="1" applyBorder="1"/>
    <xf numFmtId="164" fontId="2" fillId="3" borderId="7" xfId="0" applyNumberFormat="1" applyFont="1" applyFill="1" applyBorder="1"/>
    <xf numFmtId="165" fontId="2" fillId="4" borderId="4" xfId="0" applyNumberFormat="1" applyFont="1" applyFill="1" applyBorder="1"/>
    <xf numFmtId="14" fontId="2" fillId="4" borderId="0" xfId="0" applyNumberFormat="1" applyFont="1" applyFill="1" applyAlignment="1">
      <alignment horizontal="left"/>
    </xf>
    <xf numFmtId="14" fontId="2" fillId="4" borderId="0" xfId="0" applyNumberFormat="1" applyFont="1" applyFill="1"/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justify" wrapText="1"/>
    </xf>
    <xf numFmtId="0" fontId="9" fillId="6" borderId="0" xfId="0" applyFont="1" applyFill="1" applyAlignment="1">
      <alignment horizontal="right"/>
    </xf>
    <xf numFmtId="0" fontId="6" fillId="7" borderId="2" xfId="0" applyFont="1" applyFill="1" applyBorder="1" applyAlignment="1">
      <alignment horizontal="center"/>
    </xf>
    <xf numFmtId="0" fontId="0" fillId="6" borderId="3" xfId="0" applyFill="1" applyBorder="1"/>
    <xf numFmtId="167" fontId="2" fillId="0" borderId="0" xfId="0" applyNumberFormat="1" applyFont="1"/>
    <xf numFmtId="167" fontId="14" fillId="0" borderId="0" xfId="0" applyNumberFormat="1" applyFont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justify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165" fontId="5" fillId="8" borderId="5" xfId="0" applyNumberFormat="1" applyFont="1" applyFill="1" applyBorder="1"/>
    <xf numFmtId="165" fontId="5" fillId="8" borderId="0" xfId="0" applyNumberFormat="1" applyFont="1" applyFill="1"/>
    <xf numFmtId="0" fontId="8" fillId="8" borderId="3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/>
    <xf numFmtId="10" fontId="2" fillId="3" borderId="9" xfId="0" applyNumberFormat="1" applyFont="1" applyFill="1" applyBorder="1"/>
    <xf numFmtId="164" fontId="2" fillId="3" borderId="9" xfId="0" applyNumberFormat="1" applyFont="1" applyFill="1" applyBorder="1"/>
    <xf numFmtId="17" fontId="2" fillId="4" borderId="0" xfId="0" applyNumberFormat="1" applyFont="1" applyFill="1" applyAlignment="1">
      <alignment horizontal="left"/>
    </xf>
    <xf numFmtId="0" fontId="2" fillId="9" borderId="5" xfId="0" applyFont="1" applyFill="1" applyBorder="1" applyAlignment="1">
      <alignment horizontal="center"/>
    </xf>
    <xf numFmtId="9" fontId="2" fillId="9" borderId="8" xfId="0" applyNumberFormat="1" applyFont="1" applyFill="1" applyBorder="1"/>
    <xf numFmtId="10" fontId="2" fillId="9" borderId="9" xfId="0" applyNumberFormat="1" applyFont="1" applyFill="1" applyBorder="1"/>
    <xf numFmtId="164" fontId="2" fillId="9" borderId="7" xfId="0" applyNumberFormat="1" applyFont="1" applyFill="1" applyBorder="1"/>
    <xf numFmtId="164" fontId="2" fillId="9" borderId="9" xfId="0" applyNumberFormat="1" applyFont="1" applyFill="1" applyBorder="1"/>
    <xf numFmtId="14" fontId="2" fillId="9" borderId="0" xfId="0" applyNumberFormat="1" applyFont="1" applyFill="1"/>
    <xf numFmtId="0" fontId="2" fillId="9" borderId="0" xfId="0" applyFont="1" applyFill="1"/>
    <xf numFmtId="0" fontId="10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14" fontId="2" fillId="9" borderId="0" xfId="0" applyNumberFormat="1" applyFont="1" applyFill="1" applyAlignment="1">
      <alignment horizontal="left"/>
    </xf>
    <xf numFmtId="0" fontId="2" fillId="9" borderId="0" xfId="0" applyFont="1" applyFill="1" applyAlignment="1">
      <alignment horizontal="center"/>
    </xf>
    <xf numFmtId="9" fontId="2" fillId="4" borderId="8" xfId="0" applyNumberFormat="1" applyFont="1" applyFill="1" applyBorder="1"/>
    <xf numFmtId="10" fontId="2" fillId="4" borderId="9" xfId="0" applyNumberFormat="1" applyFont="1" applyFill="1" applyBorder="1"/>
    <xf numFmtId="164" fontId="2" fillId="4" borderId="7" xfId="0" applyNumberFormat="1" applyFont="1" applyFill="1" applyBorder="1"/>
    <xf numFmtId="164" fontId="2" fillId="4" borderId="9" xfId="0" applyNumberFormat="1" applyFont="1" applyFill="1" applyBorder="1"/>
    <xf numFmtId="0" fontId="15" fillId="0" borderId="0" xfId="0" applyFont="1"/>
    <xf numFmtId="165" fontId="2" fillId="0" borderId="0" xfId="0" applyNumberFormat="1" applyFont="1"/>
    <xf numFmtId="165" fontId="2" fillId="9" borderId="0" xfId="0" applyNumberFormat="1" applyFont="1" applyFill="1"/>
    <xf numFmtId="165" fontId="2" fillId="10" borderId="5" xfId="0" applyNumberFormat="1" applyFont="1" applyFill="1" applyBorder="1"/>
    <xf numFmtId="165" fontId="2" fillId="10" borderId="0" xfId="0" applyNumberFormat="1" applyFont="1" applyFill="1"/>
    <xf numFmtId="165" fontId="1" fillId="5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/>
    </xf>
    <xf numFmtId="0" fontId="13" fillId="0" borderId="0" xfId="0" applyFont="1"/>
    <xf numFmtId="0" fontId="17" fillId="9" borderId="0" xfId="0" applyFont="1" applyFill="1"/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justify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justify" wrapText="1"/>
    </xf>
    <xf numFmtId="165" fontId="16" fillId="4" borderId="0" xfId="0" applyNumberFormat="1" applyFont="1" applyFill="1" applyAlignment="1">
      <alignment horizontal="center" wrapText="1"/>
    </xf>
    <xf numFmtId="44" fontId="2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44" fontId="2" fillId="9" borderId="0" xfId="0" applyNumberFormat="1" applyFont="1" applyFill="1"/>
    <xf numFmtId="0" fontId="10" fillId="9" borderId="0" xfId="0" applyFont="1" applyFill="1" applyAlignment="1">
      <alignment horizontal="center"/>
    </xf>
    <xf numFmtId="0" fontId="16" fillId="9" borderId="0" xfId="0" applyFont="1" applyFill="1" applyAlignment="1">
      <alignment horizontal="left"/>
    </xf>
    <xf numFmtId="17" fontId="16" fillId="9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center" vertical="top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justify" wrapText="1"/>
    </xf>
    <xf numFmtId="0" fontId="16" fillId="11" borderId="0" xfId="0" applyFont="1" applyFill="1" applyAlignment="1">
      <alignment horizontal="center" vertical="justify" wrapText="1"/>
    </xf>
    <xf numFmtId="165" fontId="1" fillId="11" borderId="0" xfId="0" applyNumberFormat="1" applyFont="1" applyFill="1" applyAlignment="1">
      <alignment horizontal="center" vertical="center" wrapText="1"/>
    </xf>
    <xf numFmtId="165" fontId="16" fillId="11" borderId="0" xfId="0" applyNumberFormat="1" applyFont="1" applyFill="1" applyAlignment="1">
      <alignment horizontal="center" wrapText="1"/>
    </xf>
    <xf numFmtId="0" fontId="8" fillId="11" borderId="3" xfId="0" applyFont="1" applyFill="1" applyBorder="1" applyAlignment="1">
      <alignment horizontal="center" vertical="center" wrapText="1"/>
    </xf>
    <xf numFmtId="0" fontId="0" fillId="11" borderId="0" xfId="0" applyFill="1"/>
    <xf numFmtId="0" fontId="13" fillId="11" borderId="0" xfId="0" applyFont="1" applyFill="1"/>
    <xf numFmtId="14" fontId="1" fillId="11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top" wrapText="1"/>
    </xf>
    <xf numFmtId="0" fontId="17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justify" wrapText="1"/>
    </xf>
    <xf numFmtId="165" fontId="1" fillId="9" borderId="0" xfId="0" applyNumberFormat="1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right"/>
    </xf>
    <xf numFmtId="17" fontId="2" fillId="9" borderId="0" xfId="0" applyNumberFormat="1" applyFont="1" applyFill="1" applyAlignment="1">
      <alignment horizontal="left"/>
    </xf>
    <xf numFmtId="17" fontId="2" fillId="0" borderId="0" xfId="0" applyNumberFormat="1" applyFont="1" applyAlignment="1">
      <alignment horizontal="left"/>
    </xf>
    <xf numFmtId="165" fontId="2" fillId="11" borderId="3" xfId="0" applyNumberFormat="1" applyFont="1" applyFill="1" applyBorder="1"/>
    <xf numFmtId="0" fontId="15" fillId="4" borderId="0" xfId="0" applyFont="1" applyFill="1"/>
    <xf numFmtId="167" fontId="14" fillId="4" borderId="0" xfId="0" applyNumberFormat="1" applyFont="1" applyFill="1"/>
    <xf numFmtId="167" fontId="2" fillId="4" borderId="0" xfId="0" applyNumberFormat="1" applyFont="1" applyFill="1"/>
    <xf numFmtId="0" fontId="11" fillId="8" borderId="0" xfId="0" applyFont="1" applyFill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3" xfId="0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000A54"/>
      <color rgb="FFF8CBAD"/>
      <color rgb="FF001654"/>
      <color rgb="FF00002E"/>
      <color rgb="FF000014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if%20Chajul\Desktop\FORMATOS%20DE%20COOPE\AHORRO%20PLAZO%20FIJO\KARDEX%20AHORRO%20PF%202024.xlsx" TargetMode="External"/><Relationship Id="rId1" Type="http://schemas.openxmlformats.org/officeDocument/2006/relationships/externalLinkPath" Target="KARDEX%20AHORRO%20PF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4">
          <cell r="U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734"/>
  <sheetViews>
    <sheetView tabSelected="1" topLeftCell="B1" zoomScale="106" zoomScaleNormal="106" workbookViewId="0">
      <pane ySplit="6" topLeftCell="A13" activePane="bottomLeft" state="frozen"/>
      <selection pane="bottomLeft" activeCell="B23" sqref="B23"/>
    </sheetView>
  </sheetViews>
  <sheetFormatPr baseColWidth="10" defaultColWidth="11.42578125" defaultRowHeight="11.25" outlineLevelCol="1" x14ac:dyDescent="0.2"/>
  <cols>
    <col min="1" max="1" width="13.85546875" style="6" customWidth="1"/>
    <col min="2" max="2" width="27.28515625" style="6" customWidth="1"/>
    <col min="3" max="3" width="16.28515625" style="6" customWidth="1"/>
    <col min="4" max="4" width="10.42578125" style="6" customWidth="1"/>
    <col min="5" max="5" width="7.7109375" style="7" customWidth="1"/>
    <col min="6" max="6" width="9.28515625" style="7" customWidth="1"/>
    <col min="7" max="7" width="12.140625" style="7" customWidth="1"/>
    <col min="8" max="9" width="12.140625" style="10" customWidth="1"/>
    <col min="10" max="10" width="12.42578125" style="9" customWidth="1"/>
    <col min="11" max="11" width="4.42578125" style="3" hidden="1" customWidth="1" outlineLevel="1"/>
    <col min="12" max="12" width="9.140625" style="2" hidden="1" customWidth="1" outlineLevel="1"/>
    <col min="13" max="13" width="12.140625" style="3" hidden="1" customWidth="1" outlineLevel="1"/>
    <col min="14" max="14" width="12" style="3" hidden="1" customWidth="1" outlineLevel="1"/>
    <col min="15" max="15" width="8.85546875" style="3" hidden="1" customWidth="1" outlineLevel="1"/>
    <col min="16" max="16" width="12.7109375" style="3" hidden="1" customWidth="1" outlineLevel="1"/>
    <col min="17" max="17" width="11.5703125" style="9" customWidth="1" outlineLevel="1"/>
    <col min="18" max="18" width="10.140625" style="9" bestFit="1" customWidth="1" outlineLevel="1"/>
    <col min="19" max="19" width="13" style="58" customWidth="1"/>
    <col min="20" max="20" width="15.140625" style="8" customWidth="1"/>
    <col min="21" max="21" width="17.7109375" style="33" customWidth="1"/>
    <col min="22" max="22" width="14.5703125" style="11" customWidth="1"/>
    <col min="23" max="23" width="13.85546875" style="1" bestFit="1" customWidth="1"/>
    <col min="24" max="24" width="16.42578125" style="1" customWidth="1"/>
    <col min="25" max="25" width="17.28515625" style="1" bestFit="1" customWidth="1"/>
    <col min="26" max="26" width="15.7109375" style="1" bestFit="1" customWidth="1"/>
    <col min="27" max="16384" width="11.42578125" style="1"/>
  </cols>
  <sheetData>
    <row r="1" spans="1:27" customFormat="1" ht="23.25" x14ac:dyDescent="0.35">
      <c r="A1" s="100" t="s">
        <v>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</row>
    <row r="2" spans="1:27" customFormat="1" ht="23.25" x14ac:dyDescent="0.35">
      <c r="A2" s="100" t="s">
        <v>34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</row>
    <row r="3" spans="1:27" customFormat="1" ht="18.75" x14ac:dyDescent="0.3">
      <c r="A3" s="102" t="s">
        <v>38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</row>
    <row r="4" spans="1:27" customFormat="1" ht="15" customHeight="1" x14ac:dyDescent="0.25">
      <c r="A4" s="107"/>
      <c r="B4" s="107"/>
      <c r="C4" s="107"/>
      <c r="D4" s="107"/>
      <c r="E4" s="107"/>
      <c r="F4" s="107"/>
      <c r="G4" s="23" t="s">
        <v>21</v>
      </c>
      <c r="H4" s="104" t="s">
        <v>39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8" t="s">
        <v>25</v>
      </c>
      <c r="V4" s="25"/>
    </row>
    <row r="5" spans="1:27" customFormat="1" ht="15" x14ac:dyDescent="0.25">
      <c r="A5" s="106" t="s">
        <v>3</v>
      </c>
      <c r="B5" s="106"/>
      <c r="C5" s="24"/>
      <c r="D5" s="106" t="s">
        <v>14</v>
      </c>
      <c r="E5" s="106"/>
      <c r="F5" s="106"/>
      <c r="G5" s="106"/>
      <c r="H5" s="106"/>
      <c r="I5" s="106"/>
      <c r="J5" s="106"/>
      <c r="K5" s="106" t="s">
        <v>18</v>
      </c>
      <c r="L5" s="106"/>
      <c r="M5" s="106"/>
      <c r="N5" s="106"/>
      <c r="O5" s="106"/>
      <c r="P5" s="106"/>
      <c r="Q5" s="105" t="s">
        <v>5</v>
      </c>
      <c r="R5" s="105"/>
      <c r="S5" s="106" t="s">
        <v>22</v>
      </c>
      <c r="T5" s="106"/>
      <c r="U5" s="108"/>
      <c r="V5" s="25"/>
    </row>
    <row r="6" spans="1:27" customFormat="1" ht="24" x14ac:dyDescent="0.25">
      <c r="A6" s="20" t="s">
        <v>0</v>
      </c>
      <c r="B6" s="28" t="s">
        <v>2</v>
      </c>
      <c r="C6" s="21" t="s">
        <v>31</v>
      </c>
      <c r="D6" s="28" t="s">
        <v>1</v>
      </c>
      <c r="E6" s="21" t="s">
        <v>10</v>
      </c>
      <c r="F6" s="28" t="s">
        <v>9</v>
      </c>
      <c r="G6" s="22" t="s">
        <v>13</v>
      </c>
      <c r="H6" s="29" t="s">
        <v>17</v>
      </c>
      <c r="I6" s="22" t="s">
        <v>26</v>
      </c>
      <c r="J6" s="29" t="s">
        <v>15</v>
      </c>
      <c r="K6" s="4" t="s">
        <v>8</v>
      </c>
      <c r="L6" s="5" t="s">
        <v>12</v>
      </c>
      <c r="M6" s="4" t="s">
        <v>4</v>
      </c>
      <c r="N6" s="4" t="s">
        <v>11</v>
      </c>
      <c r="O6" s="4" t="s">
        <v>23</v>
      </c>
      <c r="P6" s="4" t="s">
        <v>16</v>
      </c>
      <c r="Q6" s="21" t="s">
        <v>6</v>
      </c>
      <c r="R6" s="28" t="s">
        <v>7</v>
      </c>
      <c r="S6" s="59" t="s">
        <v>19</v>
      </c>
      <c r="T6" s="30" t="s">
        <v>20</v>
      </c>
      <c r="U6" s="31">
        <v>0</v>
      </c>
      <c r="V6" s="34" t="s">
        <v>24</v>
      </c>
      <c r="Y6" s="61"/>
      <c r="Z6" s="61" t="s">
        <v>27</v>
      </c>
      <c r="AA6" s="61" t="s">
        <v>28</v>
      </c>
    </row>
    <row r="7" spans="1:27" customFormat="1" ht="15" x14ac:dyDescent="0.25">
      <c r="A7" s="63"/>
      <c r="B7" s="64"/>
      <c r="C7" s="64"/>
      <c r="D7" s="64"/>
      <c r="E7" s="64"/>
      <c r="F7" s="64"/>
      <c r="G7" s="65"/>
      <c r="H7" s="69" t="s">
        <v>35</v>
      </c>
      <c r="I7" s="65"/>
      <c r="J7" s="65"/>
      <c r="K7" s="64"/>
      <c r="L7" s="65"/>
      <c r="M7" s="64"/>
      <c r="N7" s="64"/>
      <c r="O7" s="64"/>
      <c r="P7" s="64"/>
      <c r="Q7" s="64"/>
      <c r="R7" s="64"/>
      <c r="S7" s="66"/>
      <c r="T7" s="66"/>
      <c r="U7" s="70">
        <f>[1]Hoja1!$U$34</f>
        <v>0</v>
      </c>
      <c r="V7" s="68"/>
      <c r="Y7" s="61"/>
      <c r="Z7" s="61"/>
      <c r="AA7" s="61"/>
    </row>
    <row r="8" spans="1:27" s="84" customFormat="1" ht="15" x14ac:dyDescent="0.25">
      <c r="A8" s="77"/>
      <c r="B8" s="78"/>
      <c r="C8" s="86" t="s">
        <v>68</v>
      </c>
      <c r="D8" s="86">
        <v>46387</v>
      </c>
      <c r="E8" s="78"/>
      <c r="F8" s="78"/>
      <c r="G8" s="79"/>
      <c r="H8" s="80"/>
      <c r="I8" s="79"/>
      <c r="J8" s="79"/>
      <c r="K8" s="78"/>
      <c r="L8" s="79"/>
      <c r="M8" s="78"/>
      <c r="N8" s="78"/>
      <c r="O8" s="78"/>
      <c r="P8" s="78"/>
      <c r="Q8" s="78"/>
      <c r="R8" s="78"/>
      <c r="S8" s="81"/>
      <c r="T8" s="81"/>
      <c r="U8" s="82"/>
      <c r="V8" s="83"/>
      <c r="Y8" s="85"/>
      <c r="Z8" s="85"/>
      <c r="AA8" s="85"/>
    </row>
    <row r="9" spans="1:27" customFormat="1" ht="15" x14ac:dyDescent="0.25">
      <c r="A9" s="87"/>
      <c r="B9" s="88" t="s">
        <v>69</v>
      </c>
      <c r="C9" s="89"/>
      <c r="D9" s="90"/>
      <c r="E9" s="89"/>
      <c r="F9" s="89"/>
      <c r="G9" s="91"/>
      <c r="H9" s="91"/>
      <c r="I9" s="91"/>
      <c r="J9" s="91"/>
      <c r="K9" s="89"/>
      <c r="L9" s="91"/>
      <c r="M9" s="89"/>
      <c r="N9" s="89"/>
      <c r="O9" s="89"/>
      <c r="P9" s="89"/>
      <c r="Q9" s="89"/>
      <c r="R9" s="89"/>
      <c r="S9" s="92"/>
      <c r="T9" s="92"/>
      <c r="U9" s="67"/>
      <c r="V9" s="68"/>
      <c r="Y9" s="61"/>
      <c r="Z9" s="61"/>
      <c r="AA9" s="61"/>
    </row>
    <row r="10" spans="1:27" ht="15.75" x14ac:dyDescent="0.25">
      <c r="A10" s="72" t="s">
        <v>54</v>
      </c>
      <c r="B10" s="6" t="s">
        <v>43</v>
      </c>
      <c r="C10" s="6" t="s">
        <v>37</v>
      </c>
      <c r="D10" s="18">
        <v>45659</v>
      </c>
      <c r="E10" s="12" t="s">
        <v>29</v>
      </c>
      <c r="F10" s="7">
        <v>1297</v>
      </c>
      <c r="G10" s="7">
        <v>22</v>
      </c>
      <c r="H10" s="12">
        <v>12</v>
      </c>
      <c r="I10" s="12">
        <v>57000</v>
      </c>
      <c r="J10" s="13">
        <v>57000</v>
      </c>
      <c r="K10" s="14"/>
      <c r="L10" s="15"/>
      <c r="M10" s="16"/>
      <c r="N10" s="16"/>
      <c r="O10" s="16"/>
      <c r="P10" s="16"/>
      <c r="Q10" s="19">
        <v>46024</v>
      </c>
      <c r="R10" s="9">
        <v>584</v>
      </c>
      <c r="S10" s="57">
        <v>57000</v>
      </c>
      <c r="T10" s="8">
        <v>57000</v>
      </c>
      <c r="U10" s="32">
        <f>U7+S10-T10</f>
        <v>0</v>
      </c>
      <c r="V10" s="17"/>
      <c r="Y10" s="54">
        <v>2021</v>
      </c>
      <c r="Z10" s="27"/>
      <c r="AA10" s="26"/>
    </row>
    <row r="11" spans="1:27" ht="15.75" x14ac:dyDescent="0.25">
      <c r="D11" s="18"/>
      <c r="E11" s="12"/>
      <c r="H11" s="12"/>
      <c r="I11" s="12"/>
      <c r="J11" s="12"/>
      <c r="K11" s="35"/>
      <c r="L11" s="36"/>
      <c r="M11" s="16"/>
      <c r="N11" s="37"/>
      <c r="O11" s="37"/>
      <c r="P11" s="37"/>
      <c r="Q11" s="19"/>
      <c r="S11" s="12"/>
      <c r="T11" s="93"/>
      <c r="U11" s="32">
        <f>U8+S11-T11</f>
        <v>0</v>
      </c>
      <c r="W11" s="55"/>
      <c r="Y11" s="54"/>
      <c r="Z11" s="27"/>
      <c r="AA11" s="26"/>
    </row>
    <row r="12" spans="1:27" ht="15.75" x14ac:dyDescent="0.25">
      <c r="A12" s="62"/>
      <c r="B12" s="62" t="s">
        <v>44</v>
      </c>
      <c r="C12" s="62"/>
      <c r="D12" s="62"/>
      <c r="E12" s="62"/>
      <c r="F12" s="62"/>
      <c r="G12" s="62"/>
      <c r="H12" s="62"/>
      <c r="I12" s="62"/>
      <c r="J12" s="62"/>
      <c r="K12" s="60"/>
      <c r="L12" s="60"/>
      <c r="M12" s="60"/>
      <c r="N12" s="60"/>
      <c r="O12" s="60"/>
      <c r="P12" s="60"/>
      <c r="Q12" s="62"/>
      <c r="R12" s="62"/>
      <c r="S12" s="62"/>
      <c r="T12" s="62"/>
      <c r="U12" s="32">
        <f>U11+S12-T12</f>
        <v>0</v>
      </c>
      <c r="Y12" s="54"/>
      <c r="Z12" s="27"/>
      <c r="AA12" s="26"/>
    </row>
    <row r="13" spans="1:27" ht="15.75" customHeight="1" x14ac:dyDescent="0.25">
      <c r="A13" s="18" t="s">
        <v>40</v>
      </c>
      <c r="B13" s="6" t="s">
        <v>36</v>
      </c>
      <c r="C13" s="6" t="s">
        <v>37</v>
      </c>
      <c r="D13" s="18">
        <v>45710</v>
      </c>
      <c r="E13" s="12" t="s">
        <v>29</v>
      </c>
      <c r="F13" s="7">
        <v>1273</v>
      </c>
      <c r="G13" s="7">
        <v>23</v>
      </c>
      <c r="H13" s="12">
        <v>12</v>
      </c>
      <c r="I13" s="12">
        <v>200000</v>
      </c>
      <c r="J13" s="13">
        <v>20000</v>
      </c>
      <c r="K13" s="35"/>
      <c r="L13" s="36"/>
      <c r="M13" s="16"/>
      <c r="N13" s="37"/>
      <c r="O13" s="37"/>
      <c r="P13" s="37"/>
      <c r="Q13" s="19">
        <v>46074</v>
      </c>
      <c r="R13" s="9">
        <v>636</v>
      </c>
      <c r="S13" s="57">
        <v>20000</v>
      </c>
      <c r="T13" s="57">
        <v>20000</v>
      </c>
      <c r="U13" s="32">
        <f>U10+S13-T13</f>
        <v>0</v>
      </c>
      <c r="Y13" s="54"/>
      <c r="Z13" s="27"/>
      <c r="AA13" s="26"/>
    </row>
    <row r="14" spans="1:27" ht="15.75" customHeight="1" x14ac:dyDescent="0.25">
      <c r="D14" s="18"/>
      <c r="E14" s="12"/>
      <c r="H14" s="12"/>
      <c r="I14" s="12"/>
      <c r="J14" s="12"/>
      <c r="K14" s="35"/>
      <c r="L14" s="36"/>
      <c r="M14" s="16"/>
      <c r="N14" s="37"/>
      <c r="O14" s="37"/>
      <c r="P14" s="37"/>
      <c r="Q14" s="19"/>
      <c r="R14" s="9" t="s">
        <v>70</v>
      </c>
      <c r="S14" s="12"/>
      <c r="T14" s="93"/>
      <c r="U14" s="32">
        <f t="shared" ref="U14:U25" si="0">U13+S14-T14</f>
        <v>0</v>
      </c>
      <c r="Y14" s="54"/>
      <c r="Z14" s="27"/>
      <c r="AA14" s="26"/>
    </row>
    <row r="15" spans="1:27" ht="15.75" customHeight="1" x14ac:dyDescent="0.25">
      <c r="A15" s="94"/>
      <c r="B15" s="75" t="s">
        <v>32</v>
      </c>
      <c r="C15" s="47"/>
      <c r="D15" s="48"/>
      <c r="E15" s="39"/>
      <c r="F15" s="49"/>
      <c r="G15" s="49"/>
      <c r="H15" s="39"/>
      <c r="I15" s="39"/>
      <c r="J15" s="73"/>
      <c r="K15" s="40"/>
      <c r="L15" s="41"/>
      <c r="M15" s="42"/>
      <c r="N15" s="43"/>
      <c r="O15" s="43"/>
      <c r="P15" s="43"/>
      <c r="Q15" s="44"/>
      <c r="R15" s="45"/>
      <c r="S15" s="56"/>
      <c r="T15" s="56"/>
      <c r="U15" s="32">
        <f t="shared" si="0"/>
        <v>0</v>
      </c>
      <c r="W15" s="55"/>
      <c r="Y15" s="54"/>
      <c r="Z15" s="27"/>
      <c r="AA15" s="26"/>
    </row>
    <row r="16" spans="1:27" ht="15.75" customHeight="1" x14ac:dyDescent="0.25">
      <c r="A16" s="6" t="s">
        <v>45</v>
      </c>
      <c r="B16" s="6" t="s">
        <v>46</v>
      </c>
      <c r="C16" s="6" t="s">
        <v>37</v>
      </c>
      <c r="D16" s="18">
        <v>45740</v>
      </c>
      <c r="E16" s="12" t="s">
        <v>29</v>
      </c>
      <c r="F16" s="7">
        <v>1470</v>
      </c>
      <c r="G16" s="7">
        <v>24</v>
      </c>
      <c r="H16" s="12">
        <v>12</v>
      </c>
      <c r="I16" s="12">
        <v>200000</v>
      </c>
      <c r="J16" s="71">
        <v>20000</v>
      </c>
      <c r="K16" s="35"/>
      <c r="L16" s="36"/>
      <c r="M16" s="16"/>
      <c r="N16" s="37"/>
      <c r="O16" s="37"/>
      <c r="P16" s="37"/>
      <c r="Q16" s="19">
        <v>46105</v>
      </c>
      <c r="S16" s="58">
        <v>20000</v>
      </c>
      <c r="T16" s="8">
        <v>20000</v>
      </c>
      <c r="U16" s="32">
        <f t="shared" si="0"/>
        <v>0</v>
      </c>
      <c r="W16" s="55"/>
      <c r="Y16" s="54"/>
      <c r="Z16" s="27"/>
      <c r="AA16" s="26"/>
    </row>
    <row r="17" spans="1:27" ht="15.75" customHeight="1" x14ac:dyDescent="0.25">
      <c r="A17" s="6" t="s">
        <v>41</v>
      </c>
      <c r="B17" s="6" t="s">
        <v>42</v>
      </c>
      <c r="C17" s="6" t="s">
        <v>37</v>
      </c>
      <c r="D17" s="18">
        <v>45741</v>
      </c>
      <c r="E17" s="12" t="s">
        <v>29</v>
      </c>
      <c r="G17" s="7">
        <v>26</v>
      </c>
      <c r="H17" s="12">
        <v>6</v>
      </c>
      <c r="I17" s="12">
        <v>60000</v>
      </c>
      <c r="J17" s="71">
        <v>60000</v>
      </c>
      <c r="K17" s="35"/>
      <c r="L17" s="36"/>
      <c r="M17" s="16"/>
      <c r="N17" s="37"/>
      <c r="O17" s="37"/>
      <c r="P17" s="37"/>
      <c r="Q17" s="19">
        <v>45925</v>
      </c>
      <c r="R17" s="9">
        <v>348</v>
      </c>
      <c r="S17" s="58">
        <v>60000</v>
      </c>
      <c r="T17" s="8">
        <v>60000</v>
      </c>
      <c r="U17" s="32">
        <f>U16+S17-T17</f>
        <v>0</v>
      </c>
      <c r="W17" s="55"/>
      <c r="Y17" s="54"/>
      <c r="Z17" s="27"/>
      <c r="AA17" s="26"/>
    </row>
    <row r="18" spans="1:27" ht="15.75" customHeight="1" x14ac:dyDescent="0.25">
      <c r="D18" s="18"/>
      <c r="E18" s="12"/>
      <c r="H18" s="12"/>
      <c r="I18" s="12"/>
      <c r="J18" s="71"/>
      <c r="K18" s="35"/>
      <c r="L18" s="36"/>
      <c r="M18" s="16"/>
      <c r="N18" s="37"/>
      <c r="O18" s="37"/>
      <c r="P18" s="37"/>
      <c r="Q18" s="19"/>
      <c r="U18" s="32">
        <f t="shared" si="0"/>
        <v>0</v>
      </c>
      <c r="W18" s="55"/>
      <c r="Y18" s="54"/>
      <c r="Z18" s="27"/>
      <c r="AA18" s="26"/>
    </row>
    <row r="19" spans="1:27" s="9" customFormat="1" ht="15.75" customHeight="1" x14ac:dyDescent="0.25">
      <c r="A19" s="47"/>
      <c r="B19" s="76" t="s">
        <v>47</v>
      </c>
      <c r="C19" s="47"/>
      <c r="D19" s="48"/>
      <c r="E19" s="39"/>
      <c r="F19" s="49"/>
      <c r="G19" s="49"/>
      <c r="H19" s="39"/>
      <c r="I19" s="39"/>
      <c r="J19" s="73"/>
      <c r="K19" s="40"/>
      <c r="L19" s="41"/>
      <c r="M19" s="42"/>
      <c r="N19" s="43"/>
      <c r="O19" s="43"/>
      <c r="P19" s="43"/>
      <c r="Q19" s="44"/>
      <c r="R19" s="45"/>
      <c r="S19" s="56"/>
      <c r="T19" s="56"/>
      <c r="U19" s="32">
        <f>U18+S19-T19</f>
        <v>0</v>
      </c>
      <c r="V19" s="11"/>
      <c r="Y19" s="97"/>
      <c r="Z19" s="98"/>
      <c r="AA19" s="99"/>
    </row>
    <row r="20" spans="1:27" ht="15.75" customHeight="1" x14ac:dyDescent="0.25">
      <c r="A20" s="6" t="s">
        <v>45</v>
      </c>
      <c r="B20" s="6" t="s">
        <v>48</v>
      </c>
      <c r="C20" s="6" t="s">
        <v>37</v>
      </c>
      <c r="D20" s="18">
        <v>45800</v>
      </c>
      <c r="E20" s="12" t="s">
        <v>29</v>
      </c>
      <c r="F20" s="46">
        <v>1607</v>
      </c>
      <c r="G20" s="7">
        <v>27</v>
      </c>
      <c r="H20" s="12">
        <v>12</v>
      </c>
      <c r="I20" s="12" t="s">
        <v>30</v>
      </c>
      <c r="J20" s="71">
        <v>5000</v>
      </c>
      <c r="K20" s="35"/>
      <c r="L20" s="36"/>
      <c r="M20" s="16"/>
      <c r="N20" s="37"/>
      <c r="O20" s="37"/>
      <c r="P20" s="37"/>
      <c r="Q20" s="19">
        <v>46165</v>
      </c>
      <c r="R20" s="9">
        <v>771</v>
      </c>
      <c r="S20" s="58">
        <v>5000</v>
      </c>
      <c r="T20" s="8">
        <v>5000</v>
      </c>
      <c r="U20" s="32">
        <f>U19+S20-T20</f>
        <v>0</v>
      </c>
      <c r="Y20" s="54"/>
      <c r="Z20" s="27"/>
      <c r="AA20" s="26"/>
    </row>
    <row r="21" spans="1:27" ht="15.75" customHeight="1" x14ac:dyDescent="0.25">
      <c r="D21" s="18"/>
      <c r="E21" s="12"/>
      <c r="F21" s="46"/>
      <c r="H21" s="12"/>
      <c r="I21" s="12"/>
      <c r="K21" s="35"/>
      <c r="L21" s="36"/>
      <c r="M21" s="16"/>
      <c r="N21" s="37"/>
      <c r="O21" s="37"/>
      <c r="P21" s="37"/>
      <c r="Q21" s="19"/>
      <c r="U21" s="32">
        <f t="shared" si="0"/>
        <v>0</v>
      </c>
      <c r="Y21" s="54"/>
      <c r="Z21" s="27"/>
      <c r="AA21" s="26"/>
    </row>
    <row r="22" spans="1:27" ht="15.75" customHeight="1" x14ac:dyDescent="0.25">
      <c r="A22" s="47"/>
      <c r="B22" s="75" t="s">
        <v>50</v>
      </c>
      <c r="C22" s="47"/>
      <c r="D22" s="48"/>
      <c r="E22" s="39"/>
      <c r="F22" s="74"/>
      <c r="G22" s="49"/>
      <c r="H22" s="39"/>
      <c r="I22" s="39"/>
      <c r="J22" s="45"/>
      <c r="K22" s="40"/>
      <c r="L22" s="41"/>
      <c r="M22" s="42"/>
      <c r="N22" s="43"/>
      <c r="O22" s="43"/>
      <c r="P22" s="43"/>
      <c r="Q22" s="44"/>
      <c r="R22" s="45"/>
      <c r="S22" s="56"/>
      <c r="T22" s="56"/>
      <c r="U22" s="32">
        <f t="shared" si="0"/>
        <v>0</v>
      </c>
      <c r="Y22" s="54"/>
      <c r="Z22" s="27"/>
      <c r="AA22" s="26"/>
    </row>
    <row r="23" spans="1:27" ht="15.75" customHeight="1" x14ac:dyDescent="0.25">
      <c r="A23" s="6" t="s">
        <v>49</v>
      </c>
      <c r="B23" s="6" t="s">
        <v>51</v>
      </c>
      <c r="C23" s="6" t="s">
        <v>52</v>
      </c>
      <c r="D23" s="18">
        <v>45920</v>
      </c>
      <c r="E23" s="12" t="s">
        <v>29</v>
      </c>
      <c r="F23" s="46">
        <v>1865</v>
      </c>
      <c r="G23" s="7">
        <v>28</v>
      </c>
      <c r="H23" s="12">
        <v>12</v>
      </c>
      <c r="I23" s="12" t="s">
        <v>30</v>
      </c>
      <c r="J23" s="71">
        <v>30000</v>
      </c>
      <c r="K23" s="35"/>
      <c r="L23" s="36"/>
      <c r="M23" s="16"/>
      <c r="N23" s="37"/>
      <c r="O23" s="37"/>
      <c r="P23" s="37"/>
      <c r="Q23" s="19">
        <v>46285</v>
      </c>
      <c r="S23" s="58">
        <v>30000</v>
      </c>
      <c r="U23" s="32">
        <f t="shared" si="0"/>
        <v>30000</v>
      </c>
      <c r="Y23" s="54"/>
      <c r="Z23" s="27"/>
      <c r="AA23" s="26"/>
    </row>
    <row r="24" spans="1:27" ht="15.75" customHeight="1" x14ac:dyDescent="0.25">
      <c r="D24" s="18"/>
      <c r="E24" s="12"/>
      <c r="F24" s="46"/>
      <c r="H24" s="12"/>
      <c r="I24" s="12"/>
      <c r="J24" s="71"/>
      <c r="K24" s="35"/>
      <c r="L24" s="36"/>
      <c r="M24" s="16"/>
      <c r="N24" s="37"/>
      <c r="O24" s="37"/>
      <c r="P24" s="37"/>
      <c r="Q24" s="19"/>
      <c r="U24" s="32">
        <f t="shared" si="0"/>
        <v>30000</v>
      </c>
      <c r="Y24" s="54"/>
      <c r="Z24" s="27"/>
      <c r="AA24" s="26"/>
    </row>
    <row r="25" spans="1:27" s="9" customFormat="1" ht="15.75" customHeight="1" x14ac:dyDescent="0.25">
      <c r="A25" s="47"/>
      <c r="B25" s="75" t="s">
        <v>53</v>
      </c>
      <c r="C25" s="47"/>
      <c r="D25" s="48"/>
      <c r="E25" s="39"/>
      <c r="F25" s="74"/>
      <c r="G25" s="49"/>
      <c r="H25" s="39"/>
      <c r="I25" s="39"/>
      <c r="J25" s="45"/>
      <c r="K25" s="40"/>
      <c r="L25" s="41"/>
      <c r="M25" s="42"/>
      <c r="N25" s="43"/>
      <c r="O25" s="43"/>
      <c r="P25" s="43"/>
      <c r="Q25" s="44"/>
      <c r="R25" s="45"/>
      <c r="S25" s="56"/>
      <c r="T25" s="56"/>
      <c r="U25" s="32">
        <f t="shared" si="0"/>
        <v>30000</v>
      </c>
      <c r="V25" s="11"/>
      <c r="W25" s="11"/>
      <c r="X25" s="11"/>
      <c r="Y25" s="97"/>
      <c r="Z25" s="98"/>
      <c r="AA25" s="99"/>
    </row>
    <row r="26" spans="1:27" ht="15.75" customHeight="1" x14ac:dyDescent="0.25">
      <c r="A26" s="38" t="s">
        <v>55</v>
      </c>
      <c r="B26" s="6" t="s">
        <v>56</v>
      </c>
      <c r="C26" s="6" t="s">
        <v>37</v>
      </c>
      <c r="D26" s="18">
        <v>45978</v>
      </c>
      <c r="E26" s="12" t="s">
        <v>29</v>
      </c>
      <c r="F26" s="7">
        <v>2020</v>
      </c>
      <c r="G26" s="7">
        <v>30</v>
      </c>
      <c r="H26" s="12">
        <v>12</v>
      </c>
      <c r="I26" s="12" t="s">
        <v>30</v>
      </c>
      <c r="J26" s="71">
        <v>5000</v>
      </c>
      <c r="K26" s="35"/>
      <c r="L26" s="36"/>
      <c r="M26" s="16"/>
      <c r="N26" s="37"/>
      <c r="O26" s="37"/>
      <c r="P26" s="37"/>
      <c r="Q26" s="19">
        <v>46343</v>
      </c>
      <c r="S26" s="58">
        <v>5000</v>
      </c>
      <c r="U26" s="32">
        <f>U24+S26-T26</f>
        <v>35000</v>
      </c>
      <c r="Y26" s="54"/>
      <c r="Z26" s="27"/>
      <c r="AA26" s="26"/>
    </row>
    <row r="27" spans="1:27" ht="15.75" customHeight="1" x14ac:dyDescent="0.25">
      <c r="A27" s="6" t="s">
        <v>57</v>
      </c>
      <c r="B27" s="6" t="s">
        <v>51</v>
      </c>
      <c r="C27" s="6" t="s">
        <v>37</v>
      </c>
      <c r="D27" s="18">
        <v>45988</v>
      </c>
      <c r="E27" s="12" t="s">
        <v>29</v>
      </c>
      <c r="F27" s="7">
        <v>2789</v>
      </c>
      <c r="G27" s="7">
        <v>31</v>
      </c>
      <c r="H27" s="12">
        <v>12</v>
      </c>
      <c r="I27" s="12" t="s">
        <v>30</v>
      </c>
      <c r="J27" s="13">
        <v>30000</v>
      </c>
      <c r="K27" s="35"/>
      <c r="L27" s="36"/>
      <c r="M27" s="16"/>
      <c r="N27" s="37"/>
      <c r="O27" s="37"/>
      <c r="P27" s="37"/>
      <c r="Q27" s="19">
        <v>46353</v>
      </c>
      <c r="S27" s="57">
        <v>30000</v>
      </c>
      <c r="T27" s="13"/>
      <c r="U27" s="32">
        <f t="shared" ref="U27:U33" si="1">U26+S27-T27</f>
        <v>65000</v>
      </c>
      <c r="W27" s="55"/>
      <c r="Y27" s="54"/>
      <c r="Z27" s="27"/>
      <c r="AA27" s="26"/>
    </row>
    <row r="28" spans="1:27" ht="15.75" customHeight="1" x14ac:dyDescent="0.25">
      <c r="A28" s="6" t="s">
        <v>58</v>
      </c>
      <c r="B28" s="6" t="s">
        <v>59</v>
      </c>
      <c r="C28" s="6" t="s">
        <v>37</v>
      </c>
      <c r="D28" s="18">
        <v>45989</v>
      </c>
      <c r="E28" s="12" t="s">
        <v>29</v>
      </c>
      <c r="F28" s="7">
        <v>2796</v>
      </c>
      <c r="G28" s="7">
        <v>32</v>
      </c>
      <c r="H28" s="12">
        <v>12</v>
      </c>
      <c r="I28" s="12" t="s">
        <v>30</v>
      </c>
      <c r="J28" s="8">
        <v>2500</v>
      </c>
      <c r="K28" s="35"/>
      <c r="L28" s="36"/>
      <c r="M28" s="16"/>
      <c r="N28" s="37"/>
      <c r="O28" s="37"/>
      <c r="P28" s="37"/>
      <c r="Q28" s="19">
        <v>46354</v>
      </c>
      <c r="S28" s="58">
        <v>2500</v>
      </c>
      <c r="U28" s="32">
        <f t="shared" si="1"/>
        <v>67500</v>
      </c>
      <c r="W28" s="55"/>
      <c r="Y28" s="54"/>
      <c r="Z28" s="27"/>
      <c r="AA28" s="26"/>
    </row>
    <row r="29" spans="1:27" ht="15.75" customHeight="1" x14ac:dyDescent="0.25">
      <c r="D29" s="18"/>
      <c r="E29" s="12"/>
      <c r="H29" s="12"/>
      <c r="I29" s="12"/>
      <c r="J29" s="8"/>
      <c r="K29" s="35"/>
      <c r="L29" s="36"/>
      <c r="M29" s="16"/>
      <c r="N29" s="37"/>
      <c r="O29" s="37"/>
      <c r="P29" s="37"/>
      <c r="Q29" s="19"/>
      <c r="U29" s="32">
        <f t="shared" si="1"/>
        <v>67500</v>
      </c>
      <c r="W29" s="55"/>
      <c r="Y29" s="54"/>
      <c r="Z29" s="27"/>
      <c r="AA29" s="26"/>
    </row>
    <row r="30" spans="1:27" ht="15.75" customHeight="1" x14ac:dyDescent="0.25">
      <c r="A30" s="47"/>
      <c r="B30" s="75" t="s">
        <v>64</v>
      </c>
      <c r="C30" s="47"/>
      <c r="D30" s="48"/>
      <c r="E30" s="39"/>
      <c r="F30" s="49"/>
      <c r="G30" s="49"/>
      <c r="H30" s="39"/>
      <c r="I30" s="39"/>
      <c r="J30" s="56"/>
      <c r="K30" s="40"/>
      <c r="L30" s="41"/>
      <c r="M30" s="42"/>
      <c r="N30" s="43"/>
      <c r="O30" s="43"/>
      <c r="P30" s="43"/>
      <c r="Q30" s="44"/>
      <c r="R30" s="45"/>
      <c r="S30" s="56"/>
      <c r="T30" s="56"/>
      <c r="U30" s="32">
        <f t="shared" si="1"/>
        <v>67500</v>
      </c>
      <c r="Y30" s="54"/>
      <c r="Z30" s="27"/>
      <c r="AA30" s="26"/>
    </row>
    <row r="31" spans="1:27" ht="15.75" customHeight="1" x14ac:dyDescent="0.25">
      <c r="A31" s="6" t="s">
        <v>60</v>
      </c>
      <c r="B31" s="6" t="s">
        <v>61</v>
      </c>
      <c r="C31" s="6" t="s">
        <v>37</v>
      </c>
      <c r="D31" s="18">
        <v>46001</v>
      </c>
      <c r="E31" s="12" t="s">
        <v>29</v>
      </c>
      <c r="F31" s="7">
        <v>2116</v>
      </c>
      <c r="G31" s="7">
        <v>35</v>
      </c>
      <c r="H31" s="12">
        <v>12</v>
      </c>
      <c r="I31" s="12" t="s">
        <v>30</v>
      </c>
      <c r="J31" s="8">
        <v>22674.03</v>
      </c>
      <c r="K31" s="35"/>
      <c r="L31" s="36"/>
      <c r="M31" s="16"/>
      <c r="N31" s="37"/>
      <c r="O31" s="37"/>
      <c r="P31" s="37"/>
      <c r="Q31" s="19">
        <v>46366</v>
      </c>
      <c r="S31" s="58">
        <v>22674.03</v>
      </c>
      <c r="U31" s="32">
        <f t="shared" si="1"/>
        <v>90174.03</v>
      </c>
      <c r="Y31" s="54"/>
      <c r="Z31" s="27"/>
      <c r="AA31" s="26"/>
    </row>
    <row r="32" spans="1:27" ht="15.75" customHeight="1" x14ac:dyDescent="0.25">
      <c r="A32" s="6" t="s">
        <v>62</v>
      </c>
      <c r="B32" s="6" t="s">
        <v>63</v>
      </c>
      <c r="C32" s="6" t="s">
        <v>37</v>
      </c>
      <c r="D32" s="18">
        <v>46002</v>
      </c>
      <c r="E32" s="12" t="s">
        <v>29</v>
      </c>
      <c r="G32" s="7">
        <v>36</v>
      </c>
      <c r="H32" s="12">
        <v>12</v>
      </c>
      <c r="I32" s="12" t="s">
        <v>30</v>
      </c>
      <c r="J32" s="8">
        <v>4000</v>
      </c>
      <c r="K32" s="35"/>
      <c r="L32" s="36"/>
      <c r="M32" s="16"/>
      <c r="N32" s="37"/>
      <c r="O32" s="37"/>
      <c r="P32" s="37"/>
      <c r="Q32" s="19">
        <v>46367</v>
      </c>
      <c r="S32" s="58">
        <v>4000</v>
      </c>
      <c r="U32" s="32">
        <f t="shared" si="1"/>
        <v>94174.03</v>
      </c>
      <c r="Y32" s="54"/>
      <c r="Z32" s="27"/>
      <c r="AA32" s="26"/>
    </row>
    <row r="33" spans="1:27" ht="15.75" customHeight="1" x14ac:dyDescent="0.25">
      <c r="A33" s="6" t="s">
        <v>65</v>
      </c>
      <c r="B33" s="6" t="s">
        <v>46</v>
      </c>
      <c r="C33" s="6" t="s">
        <v>37</v>
      </c>
      <c r="D33" s="18">
        <v>46006</v>
      </c>
      <c r="E33" s="12" t="s">
        <v>29</v>
      </c>
      <c r="F33" s="7">
        <v>2144</v>
      </c>
      <c r="G33" s="7">
        <v>37</v>
      </c>
      <c r="H33" s="12">
        <v>6</v>
      </c>
      <c r="I33" s="12" t="s">
        <v>30</v>
      </c>
      <c r="J33" s="71">
        <v>35000</v>
      </c>
      <c r="K33" s="35"/>
      <c r="L33" s="36"/>
      <c r="M33" s="16"/>
      <c r="N33" s="37"/>
      <c r="O33" s="37"/>
      <c r="P33" s="37"/>
      <c r="Q33" s="19">
        <v>46188</v>
      </c>
      <c r="R33" s="9">
        <v>818</v>
      </c>
      <c r="S33" s="58">
        <v>35000</v>
      </c>
      <c r="T33" s="8">
        <v>35000</v>
      </c>
      <c r="U33" s="32">
        <f t="shared" si="1"/>
        <v>94174.03</v>
      </c>
      <c r="Y33" s="54"/>
      <c r="Z33" s="27"/>
      <c r="AA33" s="26"/>
    </row>
    <row r="34" spans="1:27" ht="15.75" customHeight="1" x14ac:dyDescent="0.25">
      <c r="A34" s="6" t="s">
        <v>66</v>
      </c>
      <c r="B34" s="6" t="s">
        <v>67</v>
      </c>
      <c r="C34" s="6" t="s">
        <v>37</v>
      </c>
      <c r="D34" s="18">
        <v>46008</v>
      </c>
      <c r="E34" s="12" t="s">
        <v>29</v>
      </c>
      <c r="G34" s="7">
        <v>39</v>
      </c>
      <c r="H34" s="12">
        <v>12</v>
      </c>
      <c r="I34" s="12" t="s">
        <v>30</v>
      </c>
      <c r="J34" s="71">
        <v>5630</v>
      </c>
      <c r="K34" s="35"/>
      <c r="L34" s="36"/>
      <c r="M34" s="16"/>
      <c r="N34" s="37"/>
      <c r="O34" s="37"/>
      <c r="P34" s="37"/>
      <c r="Q34" s="19">
        <v>46373</v>
      </c>
      <c r="S34" s="58">
        <v>5630</v>
      </c>
      <c r="U34" s="32">
        <f>U33+S34-T34</f>
        <v>99804.03</v>
      </c>
      <c r="V34" s="96">
        <f>U34</f>
        <v>99804.03</v>
      </c>
      <c r="W34" s="95">
        <v>45992</v>
      </c>
      <c r="Y34" s="54"/>
      <c r="Z34" s="27"/>
      <c r="AA34" s="26"/>
    </row>
    <row r="35" spans="1:27" ht="15.75" customHeight="1" x14ac:dyDescent="0.25">
      <c r="A35" s="38"/>
      <c r="D35" s="18"/>
      <c r="E35" s="12"/>
      <c r="H35" s="12"/>
      <c r="I35" s="12"/>
      <c r="J35" s="71"/>
      <c r="K35" s="50"/>
      <c r="L35" s="51"/>
      <c r="M35" s="52"/>
      <c r="N35" s="53"/>
      <c r="O35" s="53"/>
      <c r="P35" s="53"/>
      <c r="Q35" s="19"/>
      <c r="U35" s="32"/>
      <c r="Y35" s="54"/>
      <c r="Z35" s="27"/>
      <c r="AA35" s="26"/>
    </row>
    <row r="36" spans="1:27" ht="15.75" customHeight="1" x14ac:dyDescent="0.25">
      <c r="D36" s="18"/>
      <c r="E36" s="12"/>
      <c r="H36" s="12"/>
      <c r="I36" s="12"/>
      <c r="J36" s="71"/>
      <c r="K36" s="50"/>
      <c r="L36" s="51"/>
      <c r="M36" s="52"/>
      <c r="N36" s="53"/>
      <c r="O36" s="53"/>
      <c r="P36" s="53"/>
      <c r="Q36" s="19"/>
      <c r="U36" s="32"/>
      <c r="Y36" s="54"/>
      <c r="Z36" s="27"/>
      <c r="AA36" s="26"/>
    </row>
    <row r="37" spans="1:27" ht="15.75" customHeight="1" x14ac:dyDescent="0.25">
      <c r="D37" s="18"/>
      <c r="E37" s="12"/>
      <c r="H37" s="12"/>
      <c r="I37" s="12"/>
      <c r="K37" s="35"/>
      <c r="L37" s="36"/>
      <c r="M37" s="16"/>
      <c r="N37" s="37"/>
      <c r="O37" s="37"/>
      <c r="P37" s="37"/>
      <c r="Q37" s="19"/>
      <c r="R37" s="19"/>
      <c r="U37" s="32"/>
      <c r="Y37" s="54"/>
      <c r="Z37" s="27"/>
      <c r="AA37" s="26"/>
    </row>
    <row r="38" spans="1:27" ht="15.75" customHeight="1" x14ac:dyDescent="0.25">
      <c r="D38" s="18"/>
      <c r="E38" s="12"/>
      <c r="H38" s="12"/>
      <c r="I38" s="12"/>
      <c r="J38" s="8"/>
      <c r="K38" s="35"/>
      <c r="L38" s="36"/>
      <c r="M38" s="16"/>
      <c r="N38" s="37"/>
      <c r="O38" s="37"/>
      <c r="P38" s="37"/>
      <c r="Q38" s="19"/>
      <c r="U38" s="32"/>
      <c r="Y38" s="54"/>
      <c r="Z38" s="27"/>
      <c r="AA38" s="26"/>
    </row>
    <row r="39" spans="1:27" ht="15.75" customHeight="1" x14ac:dyDescent="0.25">
      <c r="A39" s="38"/>
      <c r="D39" s="18"/>
      <c r="E39" s="12"/>
      <c r="H39" s="12"/>
      <c r="I39" s="12"/>
      <c r="K39" s="50"/>
      <c r="L39" s="51"/>
      <c r="M39" s="52"/>
      <c r="N39" s="53"/>
      <c r="O39" s="53"/>
      <c r="P39" s="53"/>
      <c r="Q39" s="19"/>
      <c r="U39" s="32"/>
      <c r="Y39" s="54"/>
      <c r="Z39" s="27"/>
      <c r="AA39" s="26"/>
    </row>
    <row r="40" spans="1:27" ht="15.75" customHeight="1" x14ac:dyDescent="0.25">
      <c r="D40" s="18"/>
      <c r="E40" s="12"/>
      <c r="H40" s="12"/>
      <c r="I40" s="12"/>
      <c r="K40" s="50"/>
      <c r="L40" s="51"/>
      <c r="M40" s="52"/>
      <c r="N40" s="53"/>
      <c r="O40" s="53"/>
      <c r="P40" s="53"/>
      <c r="Q40" s="19"/>
      <c r="U40" s="32"/>
      <c r="Y40" s="54"/>
      <c r="Z40" s="27"/>
      <c r="AA40" s="26"/>
    </row>
    <row r="41" spans="1:27" ht="15.75" customHeight="1" x14ac:dyDescent="0.25">
      <c r="D41" s="18"/>
      <c r="E41" s="12"/>
      <c r="H41" s="12"/>
      <c r="I41" s="12"/>
      <c r="K41" s="35"/>
      <c r="L41" s="36"/>
      <c r="M41" s="16"/>
      <c r="N41" s="37"/>
      <c r="O41" s="37"/>
      <c r="P41" s="37"/>
      <c r="Q41" s="19"/>
      <c r="R41" s="19"/>
      <c r="U41" s="32"/>
      <c r="Y41" s="54"/>
      <c r="Z41" s="27"/>
      <c r="AA41" s="26"/>
    </row>
    <row r="734" ht="139.5" customHeight="1" x14ac:dyDescent="0.2"/>
  </sheetData>
  <sheetProtection formatCells="0"/>
  <autoFilter ref="A6:AA41" xr:uid="{00000000-0001-0000-0000-000000000000}"/>
  <mergeCells count="11">
    <mergeCell ref="A1:V1"/>
    <mergeCell ref="A2:V2"/>
    <mergeCell ref="A3:V3"/>
    <mergeCell ref="H4:T4"/>
    <mergeCell ref="Q5:R5"/>
    <mergeCell ref="S5:T5"/>
    <mergeCell ref="A4:F4"/>
    <mergeCell ref="U4:U5"/>
    <mergeCell ref="A5:B5"/>
    <mergeCell ref="D5:J5"/>
    <mergeCell ref="K5:P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SAN_GASPAR_R.L.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Comif Chajul</cp:lastModifiedBy>
  <dcterms:created xsi:type="dcterms:W3CDTF">2018-12-20T21:38:30Z</dcterms:created>
  <dcterms:modified xsi:type="dcterms:W3CDTF">2026-08-13T05:59:06Z</dcterms:modified>
</cp:coreProperties>
</file>