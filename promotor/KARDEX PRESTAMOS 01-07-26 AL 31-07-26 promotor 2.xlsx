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OMIF R.L\Downloads\"/>
    </mc:Choice>
  </mc:AlternateContent>
  <xr:revisionPtr revIDLastSave="0" documentId="13_ncr:1_{3CA378BD-2FF7-4678-B8E0-AAD38211963E}" xr6:coauthVersionLast="47" xr6:coauthVersionMax="47" xr10:uidLastSave="{00000000-0000-0000-0000-000000000000}"/>
  <bookViews>
    <workbookView xWindow="-108" yWindow="-108" windowWidth="23256" windowHeight="13896" tabRatio="687" xr2:uid="{00000000-000D-0000-FFFF-FFFF00000000}"/>
  </bookViews>
  <sheets>
    <sheet name="HIPOTECARIO" sheetId="10" r:id="rId1"/>
    <sheet name="FIDUCIARIO" sheetId="11" r:id="rId2"/>
  </sheets>
  <definedNames>
    <definedName name="_xlnm._FilterDatabase" localSheetId="1" hidden="1">FIDUCIARIO!$AS$1:$AS$115</definedName>
    <definedName name="_xlnm._FilterDatabase" localSheetId="0" hidden="1">HIPOTECARIO!$A$1:$A$105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4" i="10" l="1"/>
  <c r="S64" i="10"/>
  <c r="R64" i="10"/>
  <c r="Q64" i="10"/>
  <c r="L64" i="10"/>
  <c r="BB42" i="10"/>
  <c r="BA26" i="11"/>
  <c r="BB64" i="10"/>
  <c r="BB18" i="10"/>
  <c r="BB15" i="10"/>
  <c r="BB46" i="10"/>
  <c r="BA22" i="11"/>
  <c r="BB22" i="11"/>
  <c r="BH22" i="11" s="1"/>
  <c r="BN22" i="11" s="1"/>
  <c r="BT22" i="11" s="1"/>
  <c r="BZ22" i="11" s="1"/>
  <c r="CF22" i="11" s="1"/>
  <c r="BC31" i="10"/>
  <c r="BC55" i="10"/>
  <c r="AV24" i="11"/>
  <c r="AV25" i="11"/>
  <c r="AV14" i="10"/>
  <c r="AV10" i="10"/>
  <c r="S22" i="10"/>
  <c r="Y22" i="10" s="1"/>
  <c r="AE22" i="10" s="1"/>
  <c r="AK22" i="10" s="1"/>
  <c r="AQ22" i="10" s="1"/>
  <c r="AW22" i="10" s="1"/>
  <c r="BC22" i="10" s="1"/>
  <c r="BI22" i="10" s="1"/>
  <c r="BO22" i="10" s="1"/>
  <c r="BU22" i="10" s="1"/>
  <c r="CA22" i="10" s="1"/>
  <c r="CG22" i="10" s="1"/>
  <c r="AV32" i="10"/>
  <c r="AV7" i="10"/>
  <c r="AV27" i="10"/>
  <c r="AV30" i="10"/>
  <c r="S7" i="10"/>
  <c r="Y7" i="10"/>
  <c r="AE7" i="10" s="1"/>
  <c r="AP7" i="10"/>
  <c r="S8" i="10"/>
  <c r="Y8" i="10" s="1"/>
  <c r="AE8" i="10" s="1"/>
  <c r="AK8" i="10" s="1"/>
  <c r="AP8" i="10"/>
  <c r="S9" i="10"/>
  <c r="Y9" i="10" s="1"/>
  <c r="AD9" i="10"/>
  <c r="S10" i="10"/>
  <c r="Y10" i="10" s="1"/>
  <c r="AE10" i="10" s="1"/>
  <c r="AK10" i="10" s="1"/>
  <c r="AQ10" i="10" s="1"/>
  <c r="AW10" i="10" s="1"/>
  <c r="BC10" i="10" s="1"/>
  <c r="BI10" i="10" s="1"/>
  <c r="BO10" i="10" s="1"/>
  <c r="BU10" i="10" s="1"/>
  <c r="CA10" i="10" s="1"/>
  <c r="CG10" i="10" s="1"/>
  <c r="AP10" i="10"/>
  <c r="S11" i="10"/>
  <c r="Y11" i="10" s="1"/>
  <c r="AD11" i="10"/>
  <c r="S12" i="10"/>
  <c r="Y12" i="10" s="1"/>
  <c r="AD12" i="10"/>
  <c r="S13" i="10"/>
  <c r="Y13" i="10" s="1"/>
  <c r="AE13" i="10" s="1"/>
  <c r="AK13" i="10" s="1"/>
  <c r="AQ13" i="10" s="1"/>
  <c r="AW13" i="10" s="1"/>
  <c r="BC13" i="10" s="1"/>
  <c r="BI13" i="10" s="1"/>
  <c r="BO13" i="10" s="1"/>
  <c r="BU13" i="10" s="1"/>
  <c r="CA13" i="10" s="1"/>
  <c r="CG13" i="10" s="1"/>
  <c r="S14" i="10"/>
  <c r="Y14" i="10"/>
  <c r="AE14" i="10" s="1"/>
  <c r="AK14" i="10" s="1"/>
  <c r="AQ14" i="10" s="1"/>
  <c r="AW14" i="10" s="1"/>
  <c r="BC14" i="10" s="1"/>
  <c r="BI14" i="10" s="1"/>
  <c r="BO14" i="10" s="1"/>
  <c r="BU14" i="10" s="1"/>
  <c r="CA14" i="10" s="1"/>
  <c r="CG14" i="10" s="1"/>
  <c r="S15" i="10"/>
  <c r="Y15" i="10" s="1"/>
  <c r="AE15" i="10" s="1"/>
  <c r="AK15" i="10" s="1"/>
  <c r="AQ15" i="10" s="1"/>
  <c r="AW15" i="10" s="1"/>
  <c r="BC15" i="10" s="1"/>
  <c r="BI15" i="10" s="1"/>
  <c r="BO15" i="10" s="1"/>
  <c r="BU15" i="10" s="1"/>
  <c r="CA15" i="10" s="1"/>
  <c r="CG15" i="10" s="1"/>
  <c r="AD15" i="10"/>
  <c r="S16" i="10"/>
  <c r="Y16" i="10" s="1"/>
  <c r="AE16" i="10" s="1"/>
  <c r="AK16" i="10" s="1"/>
  <c r="AQ16" i="10" s="1"/>
  <c r="AW16" i="10" s="1"/>
  <c r="BC16" i="10" s="1"/>
  <c r="BI16" i="10" s="1"/>
  <c r="BO16" i="10" s="1"/>
  <c r="BU16" i="10" s="1"/>
  <c r="CA16" i="10" s="1"/>
  <c r="CG16" i="10" s="1"/>
  <c r="S17" i="10"/>
  <c r="Y17" i="10" s="1"/>
  <c r="AE17" i="10" s="1"/>
  <c r="AK17" i="10" s="1"/>
  <c r="AQ17" i="10" s="1"/>
  <c r="AW17" i="10" s="1"/>
  <c r="BC17" i="10" s="1"/>
  <c r="BI17" i="10" s="1"/>
  <c r="BO17" i="10" s="1"/>
  <c r="BU17" i="10" s="1"/>
  <c r="CA17" i="10" s="1"/>
  <c r="CG17" i="10" s="1"/>
  <c r="AD17" i="10"/>
  <c r="AP17" i="10"/>
  <c r="S18" i="10"/>
  <c r="Y18" i="10" s="1"/>
  <c r="AE18" i="10" s="1"/>
  <c r="AK18" i="10" s="1"/>
  <c r="AQ18" i="10" s="1"/>
  <c r="AW18" i="10" s="1"/>
  <c r="BC18" i="10" s="1"/>
  <c r="BI18" i="10" s="1"/>
  <c r="BO18" i="10" s="1"/>
  <c r="BU18" i="10" s="1"/>
  <c r="CA18" i="10" s="1"/>
  <c r="CG18" i="10" s="1"/>
  <c r="S19" i="10"/>
  <c r="Y19" i="10"/>
  <c r="AE19" i="10" s="1"/>
  <c r="AK19" i="10" s="1"/>
  <c r="AQ19" i="10" s="1"/>
  <c r="AW19" i="10" s="1"/>
  <c r="BC19" i="10" s="1"/>
  <c r="BI19" i="10" s="1"/>
  <c r="BO19" i="10" s="1"/>
  <c r="BU19" i="10" s="1"/>
  <c r="CA19" i="10" s="1"/>
  <c r="CG19" i="10" s="1"/>
  <c r="S20" i="10"/>
  <c r="Y20" i="10" s="1"/>
  <c r="AE20" i="10" s="1"/>
  <c r="AK20" i="10" s="1"/>
  <c r="AQ20" i="10" s="1"/>
  <c r="AW20" i="10" s="1"/>
  <c r="BC20" i="10" s="1"/>
  <c r="BI20" i="10" s="1"/>
  <c r="BO20" i="10" s="1"/>
  <c r="BU20" i="10" s="1"/>
  <c r="CA20" i="10" s="1"/>
  <c r="CG20" i="10" s="1"/>
  <c r="S21" i="10"/>
  <c r="Y21" i="10" s="1"/>
  <c r="AE21" i="10" s="1"/>
  <c r="AK21" i="10" s="1"/>
  <c r="AQ21" i="10" s="1"/>
  <c r="AW21" i="10" s="1"/>
  <c r="BC21" i="10" s="1"/>
  <c r="BI21" i="10" s="1"/>
  <c r="BO21" i="10" s="1"/>
  <c r="BU21" i="10" s="1"/>
  <c r="CA21" i="10" s="1"/>
  <c r="CG21" i="10" s="1"/>
  <c r="S23" i="10"/>
  <c r="Y23" i="10" s="1"/>
  <c r="AE23" i="10" s="1"/>
  <c r="AK23" i="10" s="1"/>
  <c r="AQ23" i="10" s="1"/>
  <c r="AW23" i="10" s="1"/>
  <c r="BC23" i="10" s="1"/>
  <c r="BI23" i="10" s="1"/>
  <c r="BO23" i="10" s="1"/>
  <c r="BU23" i="10" s="1"/>
  <c r="CA23" i="10" s="1"/>
  <c r="CG23" i="10" s="1"/>
  <c r="S24" i="10"/>
  <c r="Y24" i="10" s="1"/>
  <c r="AE24" i="10" s="1"/>
  <c r="AK24" i="10" s="1"/>
  <c r="AQ24" i="10" s="1"/>
  <c r="AW24" i="10" s="1"/>
  <c r="BC24" i="10" s="1"/>
  <c r="BI24" i="10" s="1"/>
  <c r="BO24" i="10" s="1"/>
  <c r="BU24" i="10" s="1"/>
  <c r="CA24" i="10" s="1"/>
  <c r="CG24" i="10" s="1"/>
  <c r="AP24" i="10"/>
  <c r="S25" i="10"/>
  <c r="Y25" i="10" s="1"/>
  <c r="AE25" i="10" s="1"/>
  <c r="AK25" i="10" s="1"/>
  <c r="AQ25" i="10" s="1"/>
  <c r="AW25" i="10" s="1"/>
  <c r="BC25" i="10" s="1"/>
  <c r="BI25" i="10" s="1"/>
  <c r="BO25" i="10" s="1"/>
  <c r="BU25" i="10" s="1"/>
  <c r="CA25" i="10" s="1"/>
  <c r="CG25" i="10" s="1"/>
  <c r="S26" i="10"/>
  <c r="Y26" i="10" s="1"/>
  <c r="AE26" i="10" s="1"/>
  <c r="AK26" i="10" s="1"/>
  <c r="AQ26" i="10" s="1"/>
  <c r="AW26" i="10" s="1"/>
  <c r="BC26" i="10" s="1"/>
  <c r="BI26" i="10" s="1"/>
  <c r="BO26" i="10" s="1"/>
  <c r="BU26" i="10" s="1"/>
  <c r="CA26" i="10" s="1"/>
  <c r="CG26" i="10" s="1"/>
  <c r="S27" i="10"/>
  <c r="Y27" i="10" s="1"/>
  <c r="AE27" i="10" s="1"/>
  <c r="AJ27" i="10"/>
  <c r="S28" i="10"/>
  <c r="Y28" i="10" s="1"/>
  <c r="AE28" i="10" s="1"/>
  <c r="AK28" i="10" s="1"/>
  <c r="AQ28" i="10" s="1"/>
  <c r="AW28" i="10" s="1"/>
  <c r="BC28" i="10" s="1"/>
  <c r="BI28" i="10" s="1"/>
  <c r="BO28" i="10" s="1"/>
  <c r="BU28" i="10" s="1"/>
  <c r="CA28" i="10" s="1"/>
  <c r="CG28" i="10" s="1"/>
  <c r="AP28" i="10"/>
  <c r="S29" i="10"/>
  <c r="Y29" i="10" s="1"/>
  <c r="AE29" i="10" s="1"/>
  <c r="AK29" i="10" s="1"/>
  <c r="AQ29" i="10" s="1"/>
  <c r="AW29" i="10" s="1"/>
  <c r="BC29" i="10" s="1"/>
  <c r="BI29" i="10" s="1"/>
  <c r="BO29" i="10" s="1"/>
  <c r="BU29" i="10" s="1"/>
  <c r="CA29" i="10" s="1"/>
  <c r="CG29" i="10" s="1"/>
  <c r="S30" i="10"/>
  <c r="Y30" i="10" s="1"/>
  <c r="AE30" i="10" s="1"/>
  <c r="AK30" i="10" s="1"/>
  <c r="AQ30" i="10" s="1"/>
  <c r="S31" i="10"/>
  <c r="Y31" i="10" s="1"/>
  <c r="AE31" i="10" s="1"/>
  <c r="AK31" i="10" s="1"/>
  <c r="AQ31" i="10" s="1"/>
  <c r="AW31" i="10" s="1"/>
  <c r="S32" i="10"/>
  <c r="Y32" i="10" s="1"/>
  <c r="AE32" i="10" s="1"/>
  <c r="AK32" i="10" s="1"/>
  <c r="AQ32" i="10" s="1"/>
  <c r="AW32" i="10" s="1"/>
  <c r="BC32" i="10" s="1"/>
  <c r="BI32" i="10" s="1"/>
  <c r="BO32" i="10" s="1"/>
  <c r="BU32" i="10" s="1"/>
  <c r="CA32" i="10" s="1"/>
  <c r="CG32" i="10" s="1"/>
  <c r="S33" i="10"/>
  <c r="Y33" i="10" s="1"/>
  <c r="AE33" i="10" s="1"/>
  <c r="AK33" i="10" s="1"/>
  <c r="AQ33" i="10" s="1"/>
  <c r="AW33" i="10" s="1"/>
  <c r="BC33" i="10" s="1"/>
  <c r="BI33" i="10" s="1"/>
  <c r="BO33" i="10" s="1"/>
  <c r="BU33" i="10" s="1"/>
  <c r="CA33" i="10" s="1"/>
  <c r="CG33" i="10" s="1"/>
  <c r="S34" i="10"/>
  <c r="Y34" i="10" s="1"/>
  <c r="AE34" i="10" s="1"/>
  <c r="AK34" i="10" s="1"/>
  <c r="AQ34" i="10" s="1"/>
  <c r="AW34" i="10" s="1"/>
  <c r="BC34" i="10" s="1"/>
  <c r="BI34" i="10" s="1"/>
  <c r="BO34" i="10" s="1"/>
  <c r="BU34" i="10" s="1"/>
  <c r="CA34" i="10" s="1"/>
  <c r="CG34" i="10" s="1"/>
  <c r="S35" i="10"/>
  <c r="Y35" i="10" s="1"/>
  <c r="AE35" i="10" s="1"/>
  <c r="AK35" i="10" s="1"/>
  <c r="AQ35" i="10" s="1"/>
  <c r="AW35" i="10" s="1"/>
  <c r="BC35" i="10" s="1"/>
  <c r="BI35" i="10" s="1"/>
  <c r="BO35" i="10" s="1"/>
  <c r="BU35" i="10" s="1"/>
  <c r="CA35" i="10" s="1"/>
  <c r="CG35" i="10" s="1"/>
  <c r="S36" i="10"/>
  <c r="Y36" i="10" s="1"/>
  <c r="AE36" i="10" s="1"/>
  <c r="AK36" i="10" s="1"/>
  <c r="AP36" i="10"/>
  <c r="S37" i="10"/>
  <c r="Y37" i="10" s="1"/>
  <c r="AE37" i="10" s="1"/>
  <c r="AK37" i="10" s="1"/>
  <c r="AQ37" i="10" s="1"/>
  <c r="AW37" i="10" s="1"/>
  <c r="BC37" i="10" s="1"/>
  <c r="BI37" i="10" s="1"/>
  <c r="BO37" i="10" s="1"/>
  <c r="BU37" i="10" s="1"/>
  <c r="CA37" i="10" s="1"/>
  <c r="CG37" i="10" s="1"/>
  <c r="S38" i="10"/>
  <c r="Y38" i="10" s="1"/>
  <c r="AE38" i="10" s="1"/>
  <c r="AK38" i="10" s="1"/>
  <c r="AQ38" i="10" s="1"/>
  <c r="AW38" i="10" s="1"/>
  <c r="BC38" i="10" s="1"/>
  <c r="BI38" i="10" s="1"/>
  <c r="BO38" i="10" s="1"/>
  <c r="BU38" i="10" s="1"/>
  <c r="CA38" i="10" s="1"/>
  <c r="CG38" i="10" s="1"/>
  <c r="S39" i="10"/>
  <c r="Y39" i="10" s="1"/>
  <c r="AE39" i="10" s="1"/>
  <c r="AK39" i="10" s="1"/>
  <c r="AQ39" i="10" s="1"/>
  <c r="AW39" i="10" s="1"/>
  <c r="BC39" i="10" s="1"/>
  <c r="BI39" i="10" s="1"/>
  <c r="BO39" i="10" s="1"/>
  <c r="BU39" i="10" s="1"/>
  <c r="CA39" i="10" s="1"/>
  <c r="CG39" i="10" s="1"/>
  <c r="S40" i="10"/>
  <c r="Y40" i="10" s="1"/>
  <c r="AE40" i="10" s="1"/>
  <c r="AK40" i="10" s="1"/>
  <c r="AQ40" i="10" s="1"/>
  <c r="AW40" i="10" s="1"/>
  <c r="BC40" i="10" s="1"/>
  <c r="BI40" i="10" s="1"/>
  <c r="BO40" i="10" s="1"/>
  <c r="BU40" i="10" s="1"/>
  <c r="CA40" i="10" s="1"/>
  <c r="CG40" i="10" s="1"/>
  <c r="S41" i="10"/>
  <c r="Y41" i="10" s="1"/>
  <c r="AE41" i="10" s="1"/>
  <c r="AK41" i="10" s="1"/>
  <c r="AQ41" i="10" s="1"/>
  <c r="AW41" i="10" s="1"/>
  <c r="BC41" i="10" s="1"/>
  <c r="BI41" i="10" s="1"/>
  <c r="BO41" i="10" s="1"/>
  <c r="BU41" i="10" s="1"/>
  <c r="CA41" i="10" s="1"/>
  <c r="CG41" i="10" s="1"/>
  <c r="S42" i="10"/>
  <c r="Y42" i="10" s="1"/>
  <c r="AE42" i="10" s="1"/>
  <c r="AK42" i="10" s="1"/>
  <c r="AQ42" i="10" s="1"/>
  <c r="AW42" i="10" s="1"/>
  <c r="S43" i="10"/>
  <c r="Y43" i="10" s="1"/>
  <c r="AE43" i="10" s="1"/>
  <c r="AK43" i="10" s="1"/>
  <c r="AQ43" i="10" s="1"/>
  <c r="AW43" i="10" s="1"/>
  <c r="BC43" i="10" s="1"/>
  <c r="BI43" i="10" s="1"/>
  <c r="BO43" i="10" s="1"/>
  <c r="BU43" i="10" s="1"/>
  <c r="CA43" i="10" s="1"/>
  <c r="CG43" i="10" s="1"/>
  <c r="Y44" i="10"/>
  <c r="AE44" i="10" s="1"/>
  <c r="AK44" i="10" s="1"/>
  <c r="AQ44" i="10" s="1"/>
  <c r="AW44" i="10" s="1"/>
  <c r="BC44" i="10" s="1"/>
  <c r="BI44" i="10" s="1"/>
  <c r="BO44" i="10" s="1"/>
  <c r="BU44" i="10" s="1"/>
  <c r="CA44" i="10" s="1"/>
  <c r="CG44" i="10" s="1"/>
  <c r="AK45" i="10"/>
  <c r="AQ45" i="10" s="1"/>
  <c r="AW45" i="10" s="1"/>
  <c r="BC45" i="10" s="1"/>
  <c r="BI45" i="10" s="1"/>
  <c r="BO45" i="10" s="1"/>
  <c r="BU45" i="10" s="1"/>
  <c r="CA45" i="10" s="1"/>
  <c r="CG45" i="10" s="1"/>
  <c r="S46" i="10"/>
  <c r="Y46" i="10" s="1"/>
  <c r="AE46" i="10" s="1"/>
  <c r="AK46" i="10" s="1"/>
  <c r="AQ46" i="10" s="1"/>
  <c r="AW46" i="10" s="1"/>
  <c r="BC46" i="10" s="1"/>
  <c r="BI46" i="10" s="1"/>
  <c r="BO46" i="10" s="1"/>
  <c r="BU46" i="10" s="1"/>
  <c r="CA46" i="10" s="1"/>
  <c r="CG46" i="10" s="1"/>
  <c r="AK47" i="10"/>
  <c r="AQ47" i="10" s="1"/>
  <c r="AW47" i="10" s="1"/>
  <c r="BC47" i="10" s="1"/>
  <c r="BI47" i="10" s="1"/>
  <c r="BO47" i="10" s="1"/>
  <c r="BU47" i="10" s="1"/>
  <c r="CA47" i="10" s="1"/>
  <c r="CG47" i="10" s="1"/>
  <c r="AQ48" i="10"/>
  <c r="AW48" i="10" s="1"/>
  <c r="BC48" i="10" s="1"/>
  <c r="BI48" i="10" s="1"/>
  <c r="BO48" i="10" s="1"/>
  <c r="BU48" i="10" s="1"/>
  <c r="CA48" i="10" s="1"/>
  <c r="CG48" i="10" s="1"/>
  <c r="AQ49" i="10"/>
  <c r="AW49" i="10" s="1"/>
  <c r="BC49" i="10" s="1"/>
  <c r="BI49" i="10" s="1"/>
  <c r="BO49" i="10" s="1"/>
  <c r="BU49" i="10" s="1"/>
  <c r="CA49" i="10" s="1"/>
  <c r="CG49" i="10" s="1"/>
  <c r="AQ50" i="10"/>
  <c r="AW50" i="10" s="1"/>
  <c r="BC50" i="10" s="1"/>
  <c r="BI50" i="10" s="1"/>
  <c r="BO50" i="10" s="1"/>
  <c r="BU50" i="10" s="1"/>
  <c r="CA50" i="10" s="1"/>
  <c r="CG50" i="10" s="1"/>
  <c r="AQ51" i="10"/>
  <c r="AW51" i="10" s="1"/>
  <c r="BC51" i="10" s="1"/>
  <c r="BI51" i="10" s="1"/>
  <c r="BO51" i="10" s="1"/>
  <c r="BU51" i="10" s="1"/>
  <c r="CA51" i="10" s="1"/>
  <c r="CG51" i="10" s="1"/>
  <c r="S52" i="10"/>
  <c r="Y52" i="10" s="1"/>
  <c r="AE52" i="10" s="1"/>
  <c r="AK52" i="10" s="1"/>
  <c r="AQ52" i="10" s="1"/>
  <c r="AW52" i="10" s="1"/>
  <c r="BC52" i="10" s="1"/>
  <c r="BI52" i="10" s="1"/>
  <c r="BO52" i="10" s="1"/>
  <c r="BU52" i="10" s="1"/>
  <c r="CA52" i="10" s="1"/>
  <c r="CG52" i="10" s="1"/>
  <c r="AQ53" i="10"/>
  <c r="AW53" i="10" s="1"/>
  <c r="BC53" i="10" s="1"/>
  <c r="BI53" i="10" s="1"/>
  <c r="BO53" i="10" s="1"/>
  <c r="BU53" i="10" s="1"/>
  <c r="CA53" i="10" s="1"/>
  <c r="CG53" i="10" s="1"/>
  <c r="AQ54" i="10"/>
  <c r="AW54" i="10" s="1"/>
  <c r="BC54" i="10" s="1"/>
  <c r="BI54" i="10" s="1"/>
  <c r="BO54" i="10" s="1"/>
  <c r="BU54" i="10" s="1"/>
  <c r="CA54" i="10" s="1"/>
  <c r="CG54" i="10" s="1"/>
  <c r="AQ55" i="10"/>
  <c r="AW55" i="10" s="1"/>
  <c r="AQ56" i="10"/>
  <c r="AW56" i="10" s="1"/>
  <c r="BC56" i="10" s="1"/>
  <c r="BI56" i="10" s="1"/>
  <c r="BO56" i="10" s="1"/>
  <c r="BU56" i="10" s="1"/>
  <c r="CA56" i="10" s="1"/>
  <c r="CG56" i="10" s="1"/>
  <c r="AQ57" i="10"/>
  <c r="AW57" i="10" s="1"/>
  <c r="BC57" i="10" s="1"/>
  <c r="BI57" i="10" s="1"/>
  <c r="BO57" i="10" s="1"/>
  <c r="BU57" i="10" s="1"/>
  <c r="CA57" i="10" s="1"/>
  <c r="CG57" i="10" s="1"/>
  <c r="AQ58" i="10"/>
  <c r="AQ59" i="10"/>
  <c r="AW59" i="10" s="1"/>
  <c r="BC59" i="10" s="1"/>
  <c r="BI59" i="10" s="1"/>
  <c r="BO59" i="10" s="1"/>
  <c r="BU59" i="10" s="1"/>
  <c r="CA59" i="10" s="1"/>
  <c r="CG59" i="10" s="1"/>
  <c r="AQ60" i="10"/>
  <c r="AW60" i="10" s="1"/>
  <c r="BC60" i="10" s="1"/>
  <c r="BI60" i="10" s="1"/>
  <c r="BO60" i="10" s="1"/>
  <c r="BU60" i="10" s="1"/>
  <c r="CA60" i="10" s="1"/>
  <c r="CG60" i="10" s="1"/>
  <c r="AQ61" i="10"/>
  <c r="AW61" i="10" s="1"/>
  <c r="BC61" i="10" s="1"/>
  <c r="BI61" i="10" s="1"/>
  <c r="BO61" i="10" s="1"/>
  <c r="BU61" i="10" s="1"/>
  <c r="CA61" i="10" s="1"/>
  <c r="CG61" i="10" s="1"/>
  <c r="AQ62" i="10"/>
  <c r="AW62" i="10" s="1"/>
  <c r="BC62" i="10" s="1"/>
  <c r="BI62" i="10" s="1"/>
  <c r="BO62" i="10" s="1"/>
  <c r="BU62" i="10" s="1"/>
  <c r="CA62" i="10" s="1"/>
  <c r="CG62" i="10" s="1"/>
  <c r="S63" i="10"/>
  <c r="Y63" i="10" s="1"/>
  <c r="AE63" i="10" s="1"/>
  <c r="AK63" i="10" s="1"/>
  <c r="AQ63" i="10" s="1"/>
  <c r="AW63" i="10" s="1"/>
  <c r="BC63" i="10" s="1"/>
  <c r="BI63" i="10" s="1"/>
  <c r="BO63" i="10" s="1"/>
  <c r="BU63" i="10" s="1"/>
  <c r="CA63" i="10" s="1"/>
  <c r="CG63" i="10" s="1"/>
  <c r="AW58" i="10"/>
  <c r="BC58" i="10" s="1"/>
  <c r="BI58" i="10" s="1"/>
  <c r="BO58" i="10" s="1"/>
  <c r="BU58" i="10" s="1"/>
  <c r="CA58" i="10" s="1"/>
  <c r="CG58" i="10" s="1"/>
  <c r="K26" i="11"/>
  <c r="AU19" i="11"/>
  <c r="AO15" i="11"/>
  <c r="AO64" i="10"/>
  <c r="AP21" i="11"/>
  <c r="AV21" i="11"/>
  <c r="BB21" i="11"/>
  <c r="BH21" i="11"/>
  <c r="BN21" i="11"/>
  <c r="BT21" i="11"/>
  <c r="BZ21" i="11"/>
  <c r="CF21" i="11"/>
  <c r="AO14" i="11"/>
  <c r="AO13" i="11"/>
  <c r="AO12" i="11"/>
  <c r="AI64" i="10"/>
  <c r="AI26" i="11"/>
  <c r="AC8" i="11"/>
  <c r="AC64" i="10"/>
  <c r="R44" i="10"/>
  <c r="CF64" i="10"/>
  <c r="BY64" i="10"/>
  <c r="CE64" i="10"/>
  <c r="R18" i="11"/>
  <c r="X18" i="11"/>
  <c r="AD18" i="11"/>
  <c r="AJ18" i="11"/>
  <c r="AP18" i="11"/>
  <c r="AV18" i="11"/>
  <c r="BB18" i="11"/>
  <c r="BH18" i="11" s="1"/>
  <c r="BN18" i="11" s="1"/>
  <c r="BT18" i="11" s="1"/>
  <c r="BZ18" i="11" s="1"/>
  <c r="CF18" i="11" s="1"/>
  <c r="R9" i="11"/>
  <c r="X9" i="11"/>
  <c r="AD9" i="11"/>
  <c r="AJ9" i="11"/>
  <c r="AP9" i="11"/>
  <c r="AV9" i="11"/>
  <c r="BB9" i="11"/>
  <c r="BH9" i="11"/>
  <c r="BN9" i="11"/>
  <c r="BT9" i="11" s="1"/>
  <c r="BZ9" i="11" s="1"/>
  <c r="CF9" i="11" s="1"/>
  <c r="AC11" i="11"/>
  <c r="AB26" i="11"/>
  <c r="V26" i="11"/>
  <c r="CE26" i="11"/>
  <c r="CD26" i="11"/>
  <c r="BY26" i="11"/>
  <c r="BX26" i="11"/>
  <c r="BS26" i="11"/>
  <c r="BR26" i="11"/>
  <c r="BM26" i="11"/>
  <c r="BL26" i="11"/>
  <c r="BG26" i="11"/>
  <c r="R7" i="11"/>
  <c r="X7" i="11"/>
  <c r="AD7" i="11"/>
  <c r="AJ7" i="11"/>
  <c r="AP7" i="11"/>
  <c r="AV7" i="11"/>
  <c r="BB7" i="11"/>
  <c r="BH7" i="11" s="1"/>
  <c r="BN7" i="11" s="1"/>
  <c r="X17" i="11"/>
  <c r="AD17" i="11"/>
  <c r="AJ17" i="11"/>
  <c r="AP17" i="11"/>
  <c r="AV17" i="11"/>
  <c r="BB17" i="11"/>
  <c r="BH17" i="11"/>
  <c r="BN17" i="11"/>
  <c r="BT17" i="11" s="1"/>
  <c r="BZ17" i="11" s="1"/>
  <c r="CF17" i="11" s="1"/>
  <c r="R11" i="11"/>
  <c r="X11" i="11"/>
  <c r="R8" i="11"/>
  <c r="X8" i="11"/>
  <c r="R10" i="11"/>
  <c r="X10" i="11"/>
  <c r="AC10" i="11"/>
  <c r="AC26" i="11"/>
  <c r="R12" i="11"/>
  <c r="X12" i="11"/>
  <c r="AD12" i="11"/>
  <c r="AJ12" i="11"/>
  <c r="AP12" i="11"/>
  <c r="AV12" i="11"/>
  <c r="BB12" i="11"/>
  <c r="BH12" i="11"/>
  <c r="BN12" i="11"/>
  <c r="BT12" i="11"/>
  <c r="BZ12" i="11"/>
  <c r="CF12" i="11"/>
  <c r="R13" i="11"/>
  <c r="X13" i="11"/>
  <c r="AD13" i="11"/>
  <c r="AJ13" i="11"/>
  <c r="AP13" i="11"/>
  <c r="AV13" i="11"/>
  <c r="BB13" i="11"/>
  <c r="BH13" i="11"/>
  <c r="BN13" i="11"/>
  <c r="BT13" i="11"/>
  <c r="BZ13" i="11"/>
  <c r="CF13" i="11"/>
  <c r="R14" i="11"/>
  <c r="R15" i="11"/>
  <c r="X15" i="11"/>
  <c r="AD15" i="11"/>
  <c r="AJ15" i="11"/>
  <c r="AP15" i="11"/>
  <c r="AV15" i="11"/>
  <c r="BB15" i="11"/>
  <c r="BH15" i="11"/>
  <c r="BN15" i="11"/>
  <c r="BT15" i="11"/>
  <c r="BZ15" i="11"/>
  <c r="CF15" i="11"/>
  <c r="X16" i="11"/>
  <c r="AD16" i="11"/>
  <c r="AJ16" i="11"/>
  <c r="AP16" i="11"/>
  <c r="AV16" i="11"/>
  <c r="BB16" i="11"/>
  <c r="BH16" i="11"/>
  <c r="BN16" i="11"/>
  <c r="BT16" i="11"/>
  <c r="BZ16" i="11" s="1"/>
  <c r="CF16" i="11" s="1"/>
  <c r="X19" i="11"/>
  <c r="AD19" i="11"/>
  <c r="AJ19" i="11"/>
  <c r="AP19" i="11"/>
  <c r="AV19" i="11"/>
  <c r="BB19" i="11"/>
  <c r="BH19" i="11"/>
  <c r="BN19" i="11"/>
  <c r="BT19" i="11"/>
  <c r="BZ19" i="11"/>
  <c r="CF19" i="11"/>
  <c r="X20" i="11"/>
  <c r="AD20" i="11"/>
  <c r="AJ20" i="11"/>
  <c r="AP20" i="11"/>
  <c r="AV20" i="11"/>
  <c r="BB20" i="11"/>
  <c r="BH20" i="11"/>
  <c r="BN20" i="11"/>
  <c r="BT20" i="11"/>
  <c r="BZ20" i="11"/>
  <c r="CF20" i="11"/>
  <c r="X22" i="11"/>
  <c r="AD22" i="11"/>
  <c r="AJ22" i="11"/>
  <c r="AP22" i="11"/>
  <c r="BF26" i="11"/>
  <c r="AZ26" i="11"/>
  <c r="AU26" i="11"/>
  <c r="AT26" i="11"/>
  <c r="AO26" i="11"/>
  <c r="AN26" i="11"/>
  <c r="AH26" i="11"/>
  <c r="P26" i="11"/>
  <c r="W26" i="11"/>
  <c r="X23" i="11"/>
  <c r="AD23" i="11"/>
  <c r="AJ23" i="11"/>
  <c r="AP23" i="11"/>
  <c r="AV23" i="11"/>
  <c r="BB23" i="11"/>
  <c r="BH23" i="11" s="1"/>
  <c r="BN23" i="11" s="1"/>
  <c r="BT23" i="11" s="1"/>
  <c r="BZ23" i="11" s="1"/>
  <c r="CF23" i="11" s="1"/>
  <c r="B6" i="11"/>
  <c r="A1" i="11"/>
  <c r="M64" i="10"/>
  <c r="AU64" i="10"/>
  <c r="BA64" i="10"/>
  <c r="BG64" i="10"/>
  <c r="BM64" i="10"/>
  <c r="BS64" i="10"/>
  <c r="AW3" i="10"/>
  <c r="AR3" i="10"/>
  <c r="AV22" i="11"/>
  <c r="AD11" i="11"/>
  <c r="AJ11" i="11"/>
  <c r="AP11" i="11"/>
  <c r="AV11" i="11"/>
  <c r="BB11" i="11"/>
  <c r="BH11" i="11"/>
  <c r="BN11" i="11"/>
  <c r="BT11" i="11"/>
  <c r="BZ11" i="11"/>
  <c r="CF11" i="11"/>
  <c r="Z30" i="11"/>
  <c r="X14" i="11"/>
  <c r="AD14" i="11"/>
  <c r="AJ14" i="11"/>
  <c r="AP14" i="11"/>
  <c r="AV14" i="11"/>
  <c r="BB14" i="11"/>
  <c r="BH14" i="11"/>
  <c r="BN14" i="11"/>
  <c r="BT14" i="11"/>
  <c r="BZ14" i="11"/>
  <c r="CF14" i="11"/>
  <c r="AD8" i="11"/>
  <c r="AJ8" i="11"/>
  <c r="AP8" i="11"/>
  <c r="AV8" i="11"/>
  <c r="R26" i="11"/>
  <c r="AD10" i="11"/>
  <c r="AP10" i="11"/>
  <c r="AV10" i="11"/>
  <c r="BB10" i="11"/>
  <c r="BH10" i="11"/>
  <c r="BN10" i="11"/>
  <c r="BT10" i="11"/>
  <c r="BZ10" i="11"/>
  <c r="CF10" i="11"/>
  <c r="X26" i="11"/>
  <c r="BT64" i="10"/>
  <c r="BZ64" i="10"/>
  <c r="AJ64" i="10"/>
  <c r="BH64" i="10"/>
  <c r="BN64" i="10"/>
  <c r="X64" i="10"/>
  <c r="AD26" i="11"/>
  <c r="AJ26" i="11"/>
  <c r="AP26" i="11"/>
  <c r="AV26" i="11"/>
  <c r="BB8" i="11"/>
  <c r="BH8" i="11"/>
  <c r="BN8" i="11"/>
  <c r="BT8" i="11" s="1"/>
  <c r="BZ8" i="11" s="1"/>
  <c r="CF8" i="11" s="1"/>
  <c r="BC42" i="10" l="1"/>
  <c r="BI42" i="10" s="1"/>
  <c r="BO42" i="10" s="1"/>
  <c r="BU42" i="10" s="1"/>
  <c r="CA42" i="10" s="1"/>
  <c r="CG42" i="10" s="1"/>
  <c r="BI31" i="10"/>
  <c r="BO31" i="10" s="1"/>
  <c r="BU31" i="10" s="1"/>
  <c r="CA31" i="10" s="1"/>
  <c r="CG31" i="10" s="1"/>
  <c r="BI55" i="10"/>
  <c r="BO55" i="10" s="1"/>
  <c r="BU55" i="10" s="1"/>
  <c r="CA55" i="10" s="1"/>
  <c r="CG55" i="10" s="1"/>
  <c r="BT7" i="11"/>
  <c r="BN26" i="11"/>
  <c r="BB26" i="11"/>
  <c r="BH26" i="11" s="1"/>
  <c r="AQ36" i="10"/>
  <c r="AW36" i="10" s="1"/>
  <c r="BC36" i="10" s="1"/>
  <c r="BI36" i="10" s="1"/>
  <c r="BO36" i="10" s="1"/>
  <c r="BU36" i="10" s="1"/>
  <c r="CA36" i="10" s="1"/>
  <c r="CG36" i="10" s="1"/>
  <c r="AK27" i="10"/>
  <c r="AQ27" i="10" s="1"/>
  <c r="AW27" i="10" s="1"/>
  <c r="BC27" i="10" s="1"/>
  <c r="BI27" i="10" s="1"/>
  <c r="BO27" i="10" s="1"/>
  <c r="BU27" i="10" s="1"/>
  <c r="CA27" i="10" s="1"/>
  <c r="CG27" i="10" s="1"/>
  <c r="AE11" i="10"/>
  <c r="AK11" i="10" s="1"/>
  <c r="AQ11" i="10" s="1"/>
  <c r="AW11" i="10" s="1"/>
  <c r="BC11" i="10" s="1"/>
  <c r="BI11" i="10" s="1"/>
  <c r="BO11" i="10" s="1"/>
  <c r="BU11" i="10" s="1"/>
  <c r="CA11" i="10" s="1"/>
  <c r="CG11" i="10" s="1"/>
  <c r="AQ8" i="10"/>
  <c r="AW8" i="10" s="1"/>
  <c r="BC8" i="10" s="1"/>
  <c r="BI8" i="10" s="1"/>
  <c r="BO8" i="10" s="1"/>
  <c r="BU8" i="10" s="1"/>
  <c r="CA8" i="10" s="1"/>
  <c r="CG8" i="10" s="1"/>
  <c r="AW30" i="10"/>
  <c r="BC30" i="10" s="1"/>
  <c r="BI30" i="10" s="1"/>
  <c r="BO30" i="10" s="1"/>
  <c r="BU30" i="10" s="1"/>
  <c r="CA30" i="10" s="1"/>
  <c r="CG30" i="10" s="1"/>
  <c r="AD64" i="10"/>
  <c r="AV64" i="10"/>
  <c r="AE9" i="10"/>
  <c r="AK9" i="10" s="1"/>
  <c r="AQ9" i="10" s="1"/>
  <c r="AW9" i="10" s="1"/>
  <c r="BC9" i="10" s="1"/>
  <c r="BI9" i="10" s="1"/>
  <c r="BO9" i="10" s="1"/>
  <c r="BU9" i="10" s="1"/>
  <c r="CA9" i="10" s="1"/>
  <c r="CG9" i="10" s="1"/>
  <c r="Y64" i="10"/>
  <c r="AK7" i="10"/>
  <c r="AP64" i="10"/>
  <c r="AE12" i="10"/>
  <c r="AK12" i="10" s="1"/>
  <c r="AQ12" i="10" s="1"/>
  <c r="AW12" i="10" s="1"/>
  <c r="BC12" i="10" s="1"/>
  <c r="BI12" i="10" s="1"/>
  <c r="BO12" i="10" s="1"/>
  <c r="BU12" i="10" s="1"/>
  <c r="CA12" i="10" s="1"/>
  <c r="CG12" i="10" s="1"/>
  <c r="BZ7" i="11" l="1"/>
  <c r="BT26" i="11"/>
  <c r="AE64" i="10"/>
  <c r="AQ7" i="10"/>
  <c r="AK64" i="10"/>
  <c r="CF7" i="11" l="1"/>
  <c r="CF26" i="11" s="1"/>
  <c r="BZ26" i="11"/>
  <c r="AW7" i="10"/>
  <c r="AQ64" i="10"/>
  <c r="BC7" i="10" l="1"/>
  <c r="AW64" i="10"/>
  <c r="AS67" i="10"/>
  <c r="AS68" i="10"/>
  <c r="AY67" i="10" l="1"/>
  <c r="AY66" i="10"/>
  <c r="BI7" i="10"/>
  <c r="BO7" i="10" s="1"/>
  <c r="BU7" i="10" s="1"/>
  <c r="BC64" i="10"/>
  <c r="BI64" i="10" s="1"/>
  <c r="BO64" i="10" s="1"/>
  <c r="CA7" i="10" l="1"/>
  <c r="CG7" i="10" s="1"/>
  <c r="BU64" i="10"/>
  <c r="CA64" i="10" s="1"/>
  <c r="CG64" i="10" s="1"/>
  <c r="R81" i="10" l="1"/>
</calcChain>
</file>

<file path=xl/sharedStrings.xml><?xml version="1.0" encoding="utf-8"?>
<sst xmlns="http://schemas.openxmlformats.org/spreadsheetml/2006/main" count="938" uniqueCount="448">
  <si>
    <t>ASOCIADO</t>
  </si>
  <si>
    <t>FECHA</t>
  </si>
  <si>
    <t>Asociado No.</t>
  </si>
  <si>
    <t>GARANTIA</t>
  </si>
  <si>
    <t>Ubicada</t>
  </si>
  <si>
    <t>VALOR PRESTAMO</t>
  </si>
  <si>
    <t>DOC. #</t>
  </si>
  <si>
    <t>Pago No.</t>
  </si>
  <si>
    <t>PRESTAMO</t>
  </si>
  <si>
    <t>ABONO S/PRESTAMO</t>
  </si>
  <si>
    <t>PRESTAMO Otorgados</t>
  </si>
  <si>
    <t>Fecha Préstamo</t>
  </si>
  <si>
    <t>Vencimiento Préstamo</t>
  </si>
  <si>
    <t>"SAN GASPAR, R.L."</t>
  </si>
  <si>
    <t>CARTERA DE CREDITOS 2015</t>
  </si>
  <si>
    <t>PRESTAMO CONCEDIDOS</t>
  </si>
  <si>
    <t>GRAN TOTAL DE CARTERA -------------------------------------------------------------------------------------</t>
  </si>
  <si>
    <t>COOPERATIVA INTEGRAL DE AHORRO Y CREDITO MAYA INVERSIONES FUTURAS R.L.</t>
  </si>
  <si>
    <t>AÑO 2026</t>
  </si>
  <si>
    <t>Saldo inicial 2026</t>
  </si>
  <si>
    <t>PRESTAMOS OTORGADOS ENERO A DICIEMBRE 2026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</si>
  <si>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</si>
  <si>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</si>
  <si>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</si>
  <si>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</si>
  <si>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</si>
  <si>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</si>
  <si>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</si>
  <si>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</si>
  <si>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</si>
  <si>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</si>
  <si>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</si>
  <si>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</si>
  <si>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Plazo</t>
  </si>
  <si>
    <t>HIPOTECARIO</t>
  </si>
  <si>
    <t>FRANCISCO PASCUAL PEDRO</t>
  </si>
  <si>
    <t>JUAN  MATEO RAYMUNDO</t>
  </si>
  <si>
    <t>SALDO AL 31/01/2026</t>
  </si>
  <si>
    <t>MIGUEL RAMIREZ IJOM</t>
  </si>
  <si>
    <t>DOMINGO PACHECO PEREZ</t>
  </si>
  <si>
    <t>MARIA CABA CABA</t>
  </si>
  <si>
    <t>PETRONILA GUZMAN RAMIREZ</t>
  </si>
  <si>
    <t>CHE 3053</t>
  </si>
  <si>
    <t>FECHA DE CHEQUE</t>
  </si>
  <si>
    <t>10 AÑOS</t>
  </si>
  <si>
    <t>ALDEA CAMPO ALEGRE CHAJUL</t>
  </si>
  <si>
    <t>22/01/2026</t>
  </si>
  <si>
    <t>CHE3058</t>
  </si>
  <si>
    <t>CANTON ILOM CHAJUL</t>
  </si>
  <si>
    <t>CHE3061</t>
  </si>
  <si>
    <t>CANTON CHAJUL</t>
  </si>
  <si>
    <t>28/01/26</t>
  </si>
  <si>
    <t>15 AÑOS</t>
  </si>
  <si>
    <t>CHE3063</t>
  </si>
  <si>
    <t>29/01/26</t>
  </si>
  <si>
    <t>CHE3089</t>
  </si>
  <si>
    <t>ALDEA ILOM</t>
  </si>
  <si>
    <t>02/02/26</t>
  </si>
  <si>
    <t>4 AÑOS</t>
  </si>
  <si>
    <t>CHE3088</t>
  </si>
  <si>
    <t>DOCUMENTO DE PAGO</t>
  </si>
  <si>
    <t>SALDO AL 28/02/2026</t>
  </si>
  <si>
    <t>SALDO AL 31/03/2026</t>
  </si>
  <si>
    <t>SALDO AL 30/04/2026</t>
  </si>
  <si>
    <t>SALDO AL 31/05/2026</t>
  </si>
  <si>
    <t>SALDO AL 30/06/2026</t>
  </si>
  <si>
    <t>SALDO AL 31/07/2026</t>
  </si>
  <si>
    <t>SALDO AL 31/08/2026</t>
  </si>
  <si>
    <t>SALDO AL 30/09/2026</t>
  </si>
  <si>
    <t>SALDO AL 31/10/2026</t>
  </si>
  <si>
    <t>SALDO AL 30/11/2026</t>
  </si>
  <si>
    <t>SALDO AL 31/12/2026</t>
  </si>
  <si>
    <t xml:space="preserve"> </t>
  </si>
  <si>
    <t>DOMINGO MENDOZA ASICONA</t>
  </si>
  <si>
    <t>2 AÑOS</t>
  </si>
  <si>
    <t xml:space="preserve">MARIA MENDOZA CABA DE RAYMUNDO </t>
  </si>
  <si>
    <t>3 AÑOS</t>
  </si>
  <si>
    <t>DIONICIO ESTEBAN SANCHEZ ORTEGA</t>
  </si>
  <si>
    <t>5 AÑOS</t>
  </si>
  <si>
    <t>MANUELA OFELIA LAYNEZ DEL BARRIO DE GUSMAN</t>
  </si>
  <si>
    <t>CAJA630</t>
  </si>
  <si>
    <t xml:space="preserve"> PABLO MÓ BATZ</t>
  </si>
  <si>
    <t>FIDUCIARIO</t>
  </si>
  <si>
    <t>CAJA629</t>
  </si>
  <si>
    <t>16/02/26</t>
  </si>
  <si>
    <t>JUAN DÍAZ HERNANDEZ</t>
  </si>
  <si>
    <t>14/02/26</t>
  </si>
  <si>
    <t>09/01/26</t>
  </si>
  <si>
    <t>13/02/26</t>
  </si>
  <si>
    <t>MAGDALENA MENDOZA RIVERA</t>
  </si>
  <si>
    <t>CAJA632</t>
  </si>
  <si>
    <t>18/02/26</t>
  </si>
  <si>
    <t>DIEGO LAYNEZ ASICONA</t>
  </si>
  <si>
    <t>AURA MARINA ANTONIA LAYNEZ DEL BARRIO</t>
  </si>
  <si>
    <t>CAJA634</t>
  </si>
  <si>
    <t>CAJA635</t>
  </si>
  <si>
    <t>20/02/26</t>
  </si>
  <si>
    <t>1</t>
  </si>
  <si>
    <t>20/01/2026</t>
  </si>
  <si>
    <t>SEBASTIAN ELIAS PANTZAY SANCHEZ</t>
  </si>
  <si>
    <t>09/01/2026</t>
  </si>
  <si>
    <t>CAJA 591</t>
  </si>
  <si>
    <t>JUANA RAMIREZ LAYNEZ</t>
  </si>
  <si>
    <t>13/01/2026</t>
  </si>
  <si>
    <t>ANTONIO ROBERTO CABA XINIC</t>
  </si>
  <si>
    <t>CAJA 596</t>
  </si>
  <si>
    <t>17/01/2026</t>
  </si>
  <si>
    <t>JACINTA CANAY RIVERA DE IJOM</t>
  </si>
  <si>
    <t>21/01/2026</t>
  </si>
  <si>
    <t>CAJA 610</t>
  </si>
  <si>
    <t>JUAN MATEO RAYMUNDO</t>
  </si>
  <si>
    <t>PABLO MÓ BATZ</t>
  </si>
  <si>
    <t>1 AÑO</t>
  </si>
  <si>
    <t>CANCELADO</t>
  </si>
  <si>
    <t>MARÍA IJOM RIVERA</t>
  </si>
  <si>
    <t>25/02/2026</t>
  </si>
  <si>
    <t>CAJA 639</t>
  </si>
  <si>
    <t>PEDRO LUIS TOMA LUX</t>
  </si>
  <si>
    <t>27/02/2026</t>
  </si>
  <si>
    <t>CRISTINA ELIZABETH CAAL TUM DE TOMA</t>
  </si>
  <si>
    <t xml:space="preserve">JUAN ESCOBAR CHAVEZ </t>
  </si>
  <si>
    <t>CAJA 651</t>
  </si>
  <si>
    <t>28/02/2026</t>
  </si>
  <si>
    <t>CAJA 648</t>
  </si>
  <si>
    <t>CAJA 647</t>
  </si>
  <si>
    <t>MANUELA CABA DEL BARRIO DE CABA</t>
  </si>
  <si>
    <t xml:space="preserve">ALDEA ILOM </t>
  </si>
  <si>
    <t>MARIA SANCHEZ RIVERA DE CABA</t>
  </si>
  <si>
    <t>PEDRO ASICONA CABA</t>
  </si>
  <si>
    <t>MANUEL ELIAS CABA CABA</t>
  </si>
  <si>
    <t>CHE3131</t>
  </si>
  <si>
    <t>MARGARITA OFELIA LOPEZ LAYNEZ</t>
  </si>
  <si>
    <t>CHE3132</t>
  </si>
  <si>
    <t>04/02/2026</t>
  </si>
  <si>
    <t>11/02/2026</t>
  </si>
  <si>
    <t>MARIA MAGALI SANCHEZ CANAY</t>
  </si>
  <si>
    <t>13/02/2026</t>
  </si>
  <si>
    <t>ROSA BECA CABA DE CABA</t>
  </si>
  <si>
    <t>CAJA 618</t>
  </si>
  <si>
    <t>MARGARITA LUX LAYNEZ</t>
  </si>
  <si>
    <t>CAJA655</t>
  </si>
  <si>
    <t>05/03/2026</t>
  </si>
  <si>
    <t>VI TZE´ AA</t>
  </si>
  <si>
    <t>ROSA RAMIREZ ORTEGA</t>
  </si>
  <si>
    <t>06/03/2026</t>
  </si>
  <si>
    <t>CHE</t>
  </si>
  <si>
    <t>10/03/2026</t>
  </si>
  <si>
    <t>CAJA 661</t>
  </si>
  <si>
    <t>ROSA ASICONA ASICONA DE RAMIREZ</t>
  </si>
  <si>
    <t>03/02/2026</t>
  </si>
  <si>
    <t>13/03/2026</t>
  </si>
  <si>
    <t>16/03/2026</t>
  </si>
  <si>
    <t>17/03/2026</t>
  </si>
  <si>
    <t>ALDEA TIXELAP COTZAL</t>
  </si>
  <si>
    <t>JUANA CRUZ TORRES DE PÉREZ</t>
  </si>
  <si>
    <t xml:space="preserve">FIADOR </t>
  </si>
  <si>
    <t>CRISTINA ELIZABETH CAAL  TUM DE TOMA</t>
  </si>
  <si>
    <t>PEDRO LIUS TOMA LUX</t>
  </si>
  <si>
    <t>SIN FIADOR</t>
  </si>
  <si>
    <t>DIEGO PÉREZ TORRES</t>
  </si>
  <si>
    <t>CHE 3165</t>
  </si>
  <si>
    <t>CHE 3164</t>
  </si>
  <si>
    <t>CAJA NEBAJ 12375</t>
  </si>
  <si>
    <t>CAJA NEBAJ 12217</t>
  </si>
  <si>
    <t>2-189-1-2026</t>
  </si>
  <si>
    <t>2-203-1-2026</t>
  </si>
  <si>
    <t>CAJA NABAJ 11972</t>
  </si>
  <si>
    <t>CAJA NABAJ 12005</t>
  </si>
  <si>
    <t>CAJA NABAJ 12073</t>
  </si>
  <si>
    <t>CAJA NEBAJ 12083</t>
  </si>
  <si>
    <t>CAJA NEBAJ 12295</t>
  </si>
  <si>
    <t>CAJA NEBAJ 12294</t>
  </si>
  <si>
    <t>CAJA NEBAJ 12163</t>
  </si>
  <si>
    <t xml:space="preserve">CAJA NEBAJ 12203 </t>
  </si>
  <si>
    <t>CAJA NEBAJ 12219</t>
  </si>
  <si>
    <t>2-208-1-2026</t>
  </si>
  <si>
    <t>2-191-1-2026</t>
  </si>
  <si>
    <t>2-192-1-2026</t>
  </si>
  <si>
    <t>2-165-2-2026</t>
  </si>
  <si>
    <t>2-195-1-2026</t>
  </si>
  <si>
    <t>2-202-1-2026</t>
  </si>
  <si>
    <t>2-204-1-2026</t>
  </si>
  <si>
    <t>2-177-1-2026</t>
  </si>
  <si>
    <t>2-176-1-2026</t>
  </si>
  <si>
    <t>2-3-1-2026</t>
  </si>
  <si>
    <t>2-182-1-2026</t>
  </si>
  <si>
    <t>2-205-1-2026</t>
  </si>
  <si>
    <t>2-13-3-2026</t>
  </si>
  <si>
    <t>2-183-1-2026</t>
  </si>
  <si>
    <t>2-172-2-2026</t>
  </si>
  <si>
    <t>2-185-1-2026</t>
  </si>
  <si>
    <t>2-211-1-2026</t>
  </si>
  <si>
    <t>2-209-1-2026</t>
  </si>
  <si>
    <t>2-188-1-2026</t>
  </si>
  <si>
    <t>2-187-1-2026</t>
  </si>
  <si>
    <t>2-179-1-2026</t>
  </si>
  <si>
    <t>2-180-1-2026</t>
  </si>
  <si>
    <t>18/03/2026</t>
  </si>
  <si>
    <t>2-163-1-2026</t>
  </si>
  <si>
    <t>2</t>
  </si>
  <si>
    <t>ROSA LOPEZ LAYNEZ</t>
  </si>
  <si>
    <t>CHE 3196</t>
  </si>
  <si>
    <t>2-213-1-2026</t>
  </si>
  <si>
    <t>2-28-1-2026</t>
  </si>
  <si>
    <t>CATARINA PACHECO CABA DE MATEO</t>
  </si>
  <si>
    <t>ROSA CABA RAMIREZ</t>
  </si>
  <si>
    <t>JUANA RAMIEZ LAYNEZ</t>
  </si>
  <si>
    <t>2-166-1-2026</t>
  </si>
  <si>
    <t>2-168-1-2026</t>
  </si>
  <si>
    <t>2-184-1-2026</t>
  </si>
  <si>
    <t>2-59-1-2026</t>
  </si>
  <si>
    <t>TOMAS ASICONA LAYNEZ</t>
  </si>
  <si>
    <t>1 ANO CON 3 MESES</t>
  </si>
  <si>
    <t>CAJA 668</t>
  </si>
  <si>
    <t>1-2</t>
  </si>
  <si>
    <t>2627 - 2648</t>
  </si>
  <si>
    <t>4679 1305</t>
  </si>
  <si>
    <t>2-169-1-2026</t>
  </si>
  <si>
    <t>2640 - 2650</t>
  </si>
  <si>
    <t>19-03-2026   20-03-2026</t>
  </si>
  <si>
    <t>20-03-2026  20-03-2026</t>
  </si>
  <si>
    <t>ENERO 2026</t>
  </si>
  <si>
    <t>FEBRERO 2026</t>
  </si>
  <si>
    <t>DOC#</t>
  </si>
  <si>
    <t xml:space="preserve">PRESTAMO </t>
  </si>
  <si>
    <t>MARZO 2026</t>
  </si>
  <si>
    <t>ABRIL 2026</t>
  </si>
  <si>
    <t xml:space="preserve">Pago No. </t>
  </si>
  <si>
    <t>MAYO 2026</t>
  </si>
  <si>
    <t xml:space="preserve">FECHA </t>
  </si>
  <si>
    <t>JULIO  2026</t>
  </si>
  <si>
    <t>NOVIENBRE 2026</t>
  </si>
  <si>
    <t>SALDO Al 31/12/2026</t>
  </si>
  <si>
    <t xml:space="preserve">1  -2 </t>
  </si>
  <si>
    <t>VI JUVITZ</t>
  </si>
  <si>
    <t>CAJA</t>
  </si>
  <si>
    <t>GRAN TOTAL DE CARTERA_______________</t>
  </si>
  <si>
    <t>MARGARITA VERONICA RAMIREZ LUX</t>
  </si>
  <si>
    <t xml:space="preserve">ROMUALDO MATEO SANTIAGO </t>
  </si>
  <si>
    <t>MARTA MARICELA ESCOBAR PÉREZ</t>
  </si>
  <si>
    <t>24/03/2026</t>
  </si>
  <si>
    <t>2-164-1-2026</t>
  </si>
  <si>
    <t>2-168-2-2026</t>
  </si>
  <si>
    <t>2-105-1-2026</t>
  </si>
  <si>
    <t>2634 - 2668</t>
  </si>
  <si>
    <t>2 - 3</t>
  </si>
  <si>
    <t>20/03/2026</t>
  </si>
  <si>
    <t>18/02/2026</t>
  </si>
  <si>
    <t>27-02-2026</t>
  </si>
  <si>
    <t>20-02-2026</t>
  </si>
  <si>
    <t>18-03-2026  24-03-2026</t>
  </si>
  <si>
    <t>2-34-4-2026</t>
  </si>
  <si>
    <t>2-197-1-2026</t>
  </si>
  <si>
    <t>2-03-2026 26-03-2026</t>
  </si>
  <si>
    <t>2547 - 2678</t>
  </si>
  <si>
    <t>1 - 2</t>
  </si>
  <si>
    <t>2-196-1-2026</t>
  </si>
  <si>
    <t>2-178-1-2026</t>
  </si>
  <si>
    <t>MARIA ASICONA ESCOBAR</t>
  </si>
  <si>
    <t>CHE 3184</t>
  </si>
  <si>
    <t>27/03/2026</t>
  </si>
  <si>
    <t>5-03-2026   31-03-2026</t>
  </si>
  <si>
    <t>13/03/2026   31-03-2026</t>
  </si>
  <si>
    <t>2602  -  2706</t>
  </si>
  <si>
    <t>13/03/2026 - 31-03-2026</t>
  </si>
  <si>
    <t xml:space="preserve"> 1 - 2</t>
  </si>
  <si>
    <t>3/03/2026 - 31/03/2026</t>
  </si>
  <si>
    <t>2552 -  2713</t>
  </si>
  <si>
    <t>2-206-1-2026</t>
  </si>
  <si>
    <t>x</t>
  </si>
  <si>
    <t>2-164-2-2026</t>
  </si>
  <si>
    <t>09-04-2026</t>
  </si>
  <si>
    <t xml:space="preserve"> 5 AÑOS</t>
  </si>
  <si>
    <t>CHE 3210</t>
  </si>
  <si>
    <t>CHE 3177</t>
  </si>
  <si>
    <t>3</t>
  </si>
  <si>
    <t>2-171-1-2026</t>
  </si>
  <si>
    <t>CAJA 675</t>
  </si>
  <si>
    <t>2601 - 2707</t>
  </si>
  <si>
    <t>2565 - 2711</t>
  </si>
  <si>
    <t>2-199-1-2026</t>
  </si>
  <si>
    <t>2-200-1-2026</t>
  </si>
  <si>
    <t>ROSA LAYNEZ ESCOBAR</t>
  </si>
  <si>
    <t>23-04-2026</t>
  </si>
  <si>
    <t>ELEAZAR SEBASTIAN</t>
  </si>
  <si>
    <t>2-228-1-2026</t>
  </si>
  <si>
    <t>29-04-2026</t>
  </si>
  <si>
    <t>2-230-1-2026</t>
  </si>
  <si>
    <t>MARIA YULA LAYNEZ</t>
  </si>
  <si>
    <t>4</t>
  </si>
  <si>
    <t>2-232-1-2026</t>
  </si>
  <si>
    <t>ANTONIO ISAAC CABA LAYNEZ</t>
  </si>
  <si>
    <t>C</t>
  </si>
  <si>
    <t>02-05-2026</t>
  </si>
  <si>
    <t>4801..14</t>
  </si>
  <si>
    <t>2-187-2-2026</t>
  </si>
  <si>
    <t>1 ANO CON 6 MESES</t>
  </si>
  <si>
    <t>CAJA 726</t>
  </si>
  <si>
    <t>CAJA 727</t>
  </si>
  <si>
    <t>1/04/2026 27-04-2026</t>
  </si>
  <si>
    <t>2714 - 2840</t>
  </si>
  <si>
    <t>TEREZA RIVERA CHIVAZ</t>
  </si>
  <si>
    <t>2-42-2-2026</t>
  </si>
  <si>
    <t>ELENA CABA RIVERA</t>
  </si>
  <si>
    <t>11-05-2026</t>
  </si>
  <si>
    <t>CAJA 750</t>
  </si>
  <si>
    <t>2-237-1-2026</t>
  </si>
  <si>
    <t>CATARINA MENDOZA LAYNEZ</t>
  </si>
  <si>
    <t>7  AÑOS</t>
  </si>
  <si>
    <t>JOSEFA LAYNEZ CABA</t>
  </si>
  <si>
    <t>2-202-2-2026</t>
  </si>
  <si>
    <t>8 AÑOS</t>
  </si>
  <si>
    <t>2-234-1-2026</t>
  </si>
  <si>
    <t>MARIA CESIA PACHECO RIVERA</t>
  </si>
  <si>
    <t>14-05-2026</t>
  </si>
  <si>
    <t>2-128-2-2026</t>
  </si>
  <si>
    <t>DIEGO RIVERA RAMOS</t>
  </si>
  <si>
    <t>MARGARITA SANCHEZ RIVERA DE PACHECO</t>
  </si>
  <si>
    <t>7/05/2026  13-05-2026</t>
  </si>
  <si>
    <t>1- 2</t>
  </si>
  <si>
    <t>7/05/2026 13-05-2026</t>
  </si>
  <si>
    <t>2909 -2953</t>
  </si>
  <si>
    <t>2908-2949</t>
  </si>
  <si>
    <t>2912 - 2951</t>
  </si>
  <si>
    <t>2910 -  2952</t>
  </si>
  <si>
    <t>CAJA 755</t>
  </si>
  <si>
    <t>NICOLAS CABA SOLANO</t>
  </si>
  <si>
    <t>5/05/2026  18-05-2026</t>
  </si>
  <si>
    <t>2889  2983</t>
  </si>
  <si>
    <t>2-240-1-2026</t>
  </si>
  <si>
    <t>DOMINGO GREGORIO IJÓM ANAY</t>
  </si>
  <si>
    <t>CANTON VIJUVITZ</t>
  </si>
  <si>
    <t>MARIA ASICONA DÍAZ DE IJÓM</t>
  </si>
  <si>
    <t>19-05-2026</t>
  </si>
  <si>
    <t>UBICACION GARANTIA</t>
  </si>
  <si>
    <t>TZICHULUB</t>
  </si>
  <si>
    <t>XETZULBEY</t>
  </si>
  <si>
    <t>IXLA Y BATZUL</t>
  </si>
  <si>
    <t>XE KURUS</t>
  </si>
  <si>
    <t>VI PATNA</t>
  </si>
  <si>
    <t>PULAY</t>
  </si>
  <si>
    <t>A LA PAR DE SU CASA</t>
  </si>
  <si>
    <t>VI PECH</t>
  </si>
  <si>
    <t>POLLI</t>
  </si>
  <si>
    <t>A LA PAR IGLESIA PRINCIPE DE PAZ</t>
  </si>
  <si>
    <t>CERCA DE PUENTE</t>
  </si>
  <si>
    <t>ANDRES RIVERA ESCOBAR</t>
  </si>
  <si>
    <t>21-05-2026</t>
  </si>
  <si>
    <t>XOL TZICHEN</t>
  </si>
  <si>
    <t>1 Y 1/2 AÑOS</t>
  </si>
  <si>
    <t>JUANA BATZ HÚ DE RIVERA</t>
  </si>
  <si>
    <t>9/05/2026 26-05-2026</t>
  </si>
  <si>
    <t>26983 - 27148</t>
  </si>
  <si>
    <t>3 - 4</t>
  </si>
  <si>
    <t xml:space="preserve">7/05/2026 -28-05-2026 </t>
  </si>
  <si>
    <t>26957 - 3026</t>
  </si>
  <si>
    <t>7/05/2026 - 28-05-2026</t>
  </si>
  <si>
    <t>26958 - 26959 - 3030</t>
  </si>
  <si>
    <t>1-2 -3</t>
  </si>
  <si>
    <t>26961 - 3031</t>
  </si>
  <si>
    <t>26960 - 3032</t>
  </si>
  <si>
    <t>2/05/2026 - 29-05-2026</t>
  </si>
  <si>
    <t>2873 - 3041</t>
  </si>
  <si>
    <t>4 -5</t>
  </si>
  <si>
    <t>2-233-1-2026</t>
  </si>
  <si>
    <t>MARGARITA CABA CABA DE HERNANDEZ</t>
  </si>
  <si>
    <t>2-242-1-2026</t>
  </si>
  <si>
    <t>03-06-2026</t>
  </si>
  <si>
    <t>CHE 3299</t>
  </si>
  <si>
    <t>5</t>
  </si>
  <si>
    <t>3084-3085</t>
  </si>
  <si>
    <t>4-5</t>
  </si>
  <si>
    <t>PEDRO SANTIAGO CABA RAYMUNDO</t>
  </si>
  <si>
    <t>06-06-2026</t>
  </si>
  <si>
    <t>2-248-1-2026</t>
  </si>
  <si>
    <t>NILA CECILIA LAYNEZ ASICONA</t>
  </si>
  <si>
    <t>CAJA 795</t>
  </si>
  <si>
    <t>2-249-1-2026</t>
  </si>
  <si>
    <t>VIAL B´OB´</t>
  </si>
  <si>
    <t>MARIA GUZMÁN RIVERA</t>
  </si>
  <si>
    <t>10-06-2026</t>
  </si>
  <si>
    <t>10-06-206</t>
  </si>
  <si>
    <t>2-236-1-2026</t>
  </si>
  <si>
    <t>NOÉ DOMINGO BOP CABA</t>
  </si>
  <si>
    <t>JUANA RIVERA CABA DE GUZMÁN</t>
  </si>
  <si>
    <t>11-06-206</t>
  </si>
  <si>
    <t>9/06/2026 16-06-2026</t>
  </si>
  <si>
    <t>3106 - 3147</t>
  </si>
  <si>
    <t>JUAN SANCHEZ LAYNEZ</t>
  </si>
  <si>
    <t>CAJA 817</t>
  </si>
  <si>
    <t>MARTA RAMIREZ RAMIREZ</t>
  </si>
  <si>
    <t>16-06-2026</t>
  </si>
  <si>
    <t>3162  - 3164</t>
  </si>
  <si>
    <t>4  - 5</t>
  </si>
  <si>
    <t>3/06/2026 - 22-06-2026</t>
  </si>
  <si>
    <t>3061 - 3177</t>
  </si>
  <si>
    <t xml:space="preserve">5 - 6 </t>
  </si>
  <si>
    <t>2-258-1-2026</t>
  </si>
  <si>
    <t>FRANCISCO CABA RIVERA</t>
  </si>
  <si>
    <t>26-06-2026</t>
  </si>
  <si>
    <t>4 - 5</t>
  </si>
  <si>
    <t>3198 - 3206</t>
  </si>
  <si>
    <t>25/06/2026 26-06-2026</t>
  </si>
  <si>
    <t>6</t>
  </si>
  <si>
    <t>1/06/2026 30-06-2026</t>
  </si>
  <si>
    <t>3047 - 3228</t>
  </si>
  <si>
    <t>2-260-1-2026</t>
  </si>
  <si>
    <t>DOMINGO SÁNCHEZ LAYNEZ</t>
  </si>
  <si>
    <t>BLANCA MARIA RIVERA ASICONA</t>
  </si>
  <si>
    <t>ANGELA MAYRA ROXANA CASTRO CEDILLO DE SANCHEZ</t>
  </si>
  <si>
    <t>01-07-2026</t>
  </si>
  <si>
    <t>recurados</t>
  </si>
  <si>
    <t>saldo final</t>
  </si>
  <si>
    <t>recuperados</t>
  </si>
  <si>
    <t>2-165-1-2026</t>
  </si>
  <si>
    <t>2-172-1-2026</t>
  </si>
  <si>
    <t>MARIA ASICONA ASICONA DE IJOM</t>
  </si>
  <si>
    <t>3086 - 3087</t>
  </si>
  <si>
    <t xml:space="preserve">   </t>
  </si>
  <si>
    <t>2-267-1-2026</t>
  </si>
  <si>
    <t>MARIA CECILIA SÁNCHEZ VÍ</t>
  </si>
  <si>
    <t>ELEAZAR SEBASTIAN CABA LAYNEZ</t>
  </si>
  <si>
    <t>24-07-2026</t>
  </si>
  <si>
    <t>1  AÑO</t>
  </si>
  <si>
    <t>CAJA 892</t>
  </si>
  <si>
    <t>20/07/2026  23-07-2026 25-07-2026</t>
  </si>
  <si>
    <t>3335 - 3351 - 3383</t>
  </si>
  <si>
    <t>1-2 - 3</t>
  </si>
  <si>
    <t>20/07/2026 24-07-2026</t>
  </si>
  <si>
    <t>3334 - 3375</t>
  </si>
  <si>
    <t>22/07/2026 24-07-2026</t>
  </si>
  <si>
    <t>3348 - 3379</t>
  </si>
  <si>
    <t xml:space="preserve"> 6-7</t>
  </si>
  <si>
    <t>9/07/2026 24-07-2026</t>
  </si>
  <si>
    <t>27676 - 3381</t>
  </si>
  <si>
    <t>5-6</t>
  </si>
  <si>
    <t>2-272-1-2026</t>
  </si>
  <si>
    <t>MARIA ADELINA JOVITA CABA CANAY DE GUÑIZA</t>
  </si>
  <si>
    <t>BATZ TZITZAL</t>
  </si>
  <si>
    <t>JACINTA IJÓM ASICONA</t>
  </si>
  <si>
    <t>29-07-2026</t>
  </si>
  <si>
    <t>XE TZAL KATZ ASOCIACION</t>
  </si>
  <si>
    <t>ALDEA ILOM ARRIBA DE BODEGA DE ASOCIACION</t>
  </si>
  <si>
    <t>UCALA VI´- PATNA</t>
  </si>
  <si>
    <t xml:space="preserve"> TZI PUTULA´</t>
  </si>
  <si>
    <t>A LA PAR DE SU CASA RASTRO</t>
  </si>
  <si>
    <t>1/07/2026 30-07-2026</t>
  </si>
  <si>
    <t>3239 - 3415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</si>
</sst>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Q&quot;* #,##0.00_-;\-&quot;Q&quot;* #,##0.00_-;_-&quot;Q&quot;* &quot;-&quot;??_-;_-@_-"/>
    <numFmt numFmtId="43" formatCode="_-* #,##0.00_-;\-* #,##0.00_-;_-* &quot;-&quot;??_-;_-@_-"/>
    <numFmt numFmtId="164" formatCode="_-[$Q-100A]* #,##0.00_ ;_-[$Q-100A]* \-#,##0.00\ ;_-[$Q-100A]* &quot;-&quot;??_ ;_-@_ "/>
    <numFmt numFmtId="165" formatCode="_(* #,##0.00_);_(* \(#,##0.00\);_(* &quot;-&quot;??_);_(@_)"/>
    <numFmt numFmtId="166" formatCode="dd\-mm\-yy;@"/>
    <numFmt numFmtId="167" formatCode="dd/mm/yy;@"/>
    <numFmt numFmtId="168" formatCode="&quot;Q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FF0000"/>
      <name val="Arial Narrow"/>
      <family val="2"/>
    </font>
    <font>
      <sz val="9"/>
      <color theme="0"/>
      <name val="Arial Narrow"/>
      <family val="2"/>
    </font>
    <font>
      <b/>
      <sz val="9"/>
      <color theme="0"/>
      <name val="Arial Narrow"/>
      <family val="2"/>
    </font>
    <font>
      <sz val="9"/>
      <color theme="1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u val="singleAccounting"/>
      <sz val="9"/>
      <name val="Arial Narrow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5" fillId="14" borderId="1" xfId="0" applyFont="1" applyFill="1" applyBorder="1" applyAlignment="1">
      <alignment horizontal="center"/>
    </xf>
    <xf numFmtId="49" fontId="5" fillId="14" borderId="1" xfId="0" applyNumberFormat="1" applyFont="1" applyFill="1" applyBorder="1" applyAlignment="1">
      <alignment horizontal="left"/>
    </xf>
    <xf numFmtId="0" fontId="5" fillId="14" borderId="1" xfId="0" applyFont="1" applyFill="1" applyBorder="1"/>
    <xf numFmtId="165" fontId="5" fillId="14" borderId="1" xfId="1" applyFont="1" applyFill="1" applyBorder="1"/>
    <xf numFmtId="49" fontId="5" fillId="14" borderId="1" xfId="0" applyNumberFormat="1" applyFont="1" applyFill="1" applyBorder="1" applyAlignment="1">
      <alignment horizontal="center"/>
    </xf>
    <xf numFmtId="166" fontId="5" fillId="14" borderId="1" xfId="0" applyNumberFormat="1" applyFont="1" applyFill="1" applyBorder="1" applyAlignment="1">
      <alignment horizontal="center"/>
    </xf>
    <xf numFmtId="4" fontId="5" fillId="14" borderId="1" xfId="0" applyNumberFormat="1" applyFont="1" applyFill="1" applyBorder="1" applyAlignment="1">
      <alignment horizontal="center"/>
    </xf>
    <xf numFmtId="2" fontId="5" fillId="14" borderId="1" xfId="1" applyNumberFormat="1" applyFont="1" applyFill="1" applyBorder="1"/>
    <xf numFmtId="166" fontId="5" fillId="14" borderId="1" xfId="0" applyNumberFormat="1" applyFont="1" applyFill="1" applyBorder="1"/>
    <xf numFmtId="49" fontId="5" fillId="14" borderId="1" xfId="0" applyNumberFormat="1" applyFont="1" applyFill="1" applyBorder="1"/>
    <xf numFmtId="167" fontId="5" fillId="14" borderId="1" xfId="0" applyNumberFormat="1" applyFont="1" applyFill="1" applyBorder="1"/>
    <xf numFmtId="164" fontId="5" fillId="14" borderId="1" xfId="0" applyNumberFormat="1" applyFont="1" applyFill="1" applyBorder="1"/>
    <xf numFmtId="165" fontId="5" fillId="14" borderId="1" xfId="1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165" fontId="5" fillId="0" borderId="1" xfId="1" applyFont="1" applyFill="1" applyBorder="1"/>
    <xf numFmtId="49" fontId="5" fillId="0" borderId="1" xfId="0" applyNumberFormat="1" applyFont="1" applyBorder="1"/>
    <xf numFmtId="166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10" fillId="0" borderId="1" xfId="0" applyFont="1" applyBorder="1"/>
    <xf numFmtId="49" fontId="5" fillId="0" borderId="1" xfId="0" applyNumberFormat="1" applyFont="1" applyBorder="1" applyAlignment="1">
      <alignment vertical="justify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66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165" fontId="4" fillId="8" borderId="1" xfId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165" fontId="4" fillId="9" borderId="1" xfId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65" fontId="4" fillId="3" borderId="1" xfId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165" fontId="4" fillId="4" borderId="1" xfId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65" fontId="4" fillId="5" borderId="1" xfId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65" fontId="4" fillId="6" borderId="1" xfId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165" fontId="4" fillId="7" borderId="1" xfId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165" fontId="4" fillId="11" borderId="1" xfId="1" applyFont="1" applyFill="1" applyBorder="1" applyAlignment="1">
      <alignment horizontal="center" vertical="center" wrapText="1"/>
    </xf>
    <xf numFmtId="166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49" fontId="8" fillId="12" borderId="1" xfId="0" applyNumberFormat="1" applyFont="1" applyFill="1" applyBorder="1" applyAlignment="1">
      <alignment horizontal="center" vertical="center" wrapText="1"/>
    </xf>
    <xf numFmtId="165" fontId="8" fillId="12" borderId="1" xfId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165" fontId="4" fillId="10" borderId="1" xfId="1" applyFont="1" applyFill="1" applyBorder="1" applyAlignment="1">
      <alignment horizontal="center" vertical="center" wrapText="1"/>
    </xf>
    <xf numFmtId="165" fontId="12" fillId="14" borderId="1" xfId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65" fontId="5" fillId="2" borderId="1" xfId="1" applyFont="1" applyFill="1" applyBorder="1"/>
    <xf numFmtId="2" fontId="5" fillId="2" borderId="1" xfId="1" applyNumberFormat="1" applyFont="1" applyFill="1" applyBorder="1"/>
    <xf numFmtId="166" fontId="5" fillId="2" borderId="1" xfId="0" applyNumberFormat="1" applyFont="1" applyFill="1" applyBorder="1"/>
    <xf numFmtId="49" fontId="5" fillId="2" borderId="1" xfId="0" applyNumberFormat="1" applyFont="1" applyFill="1" applyBorder="1"/>
    <xf numFmtId="2" fontId="5" fillId="13" borderId="1" xfId="1" applyNumberFormat="1" applyFont="1" applyFill="1" applyBorder="1"/>
    <xf numFmtId="165" fontId="5" fillId="13" borderId="1" xfId="1" applyFont="1" applyFill="1" applyBorder="1"/>
    <xf numFmtId="4" fontId="5" fillId="2" borderId="1" xfId="0" applyNumberFormat="1" applyFont="1" applyFill="1" applyBorder="1"/>
    <xf numFmtId="14" fontId="5" fillId="0" borderId="1" xfId="0" applyNumberFormat="1" applyFont="1" applyBorder="1"/>
    <xf numFmtId="2" fontId="5" fillId="0" borderId="1" xfId="0" applyNumberFormat="1" applyFont="1" applyBorder="1"/>
    <xf numFmtId="14" fontId="5" fillId="2" borderId="1" xfId="0" applyNumberFormat="1" applyFont="1" applyFill="1" applyBorder="1"/>
    <xf numFmtId="2" fontId="5" fillId="2" borderId="1" xfId="0" applyNumberFormat="1" applyFont="1" applyFill="1" applyBorder="1"/>
    <xf numFmtId="14" fontId="5" fillId="0" borderId="1" xfId="0" applyNumberFormat="1" applyFont="1" applyBorder="1" applyAlignment="1">
      <alignment horizontal="center"/>
    </xf>
    <xf numFmtId="0" fontId="5" fillId="13" borderId="1" xfId="0" applyFont="1" applyFill="1" applyBorder="1"/>
    <xf numFmtId="49" fontId="5" fillId="13" borderId="1" xfId="0" applyNumberFormat="1" applyFont="1" applyFill="1" applyBorder="1"/>
    <xf numFmtId="166" fontId="5" fillId="13" borderId="1" xfId="0" applyNumberFormat="1" applyFont="1" applyFill="1" applyBorder="1"/>
    <xf numFmtId="0" fontId="5" fillId="13" borderId="1" xfId="0" applyFont="1" applyFill="1" applyBorder="1" applyAlignment="1">
      <alignment horizontal="center"/>
    </xf>
    <xf numFmtId="14" fontId="5" fillId="13" borderId="1" xfId="0" applyNumberFormat="1" applyFont="1" applyFill="1" applyBorder="1"/>
    <xf numFmtId="4" fontId="5" fillId="13" borderId="1" xfId="0" applyNumberFormat="1" applyFont="1" applyFill="1" applyBorder="1"/>
    <xf numFmtId="0" fontId="4" fillId="0" borderId="1" xfId="0" applyFont="1" applyBorder="1"/>
    <xf numFmtId="165" fontId="4" fillId="0" borderId="1" xfId="1" applyFont="1" applyFill="1" applyBorder="1"/>
    <xf numFmtId="165" fontId="5" fillId="0" borderId="1" xfId="1" applyFont="1" applyBorder="1"/>
    <xf numFmtId="165" fontId="5" fillId="0" borderId="1" xfId="0" applyNumberFormat="1" applyFont="1" applyBorder="1"/>
    <xf numFmtId="165" fontId="5" fillId="0" borderId="1" xfId="1" applyFont="1" applyBorder="1" applyAlignment="1">
      <alignment horizontal="center"/>
    </xf>
    <xf numFmtId="165" fontId="11" fillId="0" borderId="1" xfId="1" applyFont="1" applyBorder="1"/>
    <xf numFmtId="43" fontId="5" fillId="0" borderId="1" xfId="1" applyNumberFormat="1" applyFont="1" applyBorder="1"/>
    <xf numFmtId="10" fontId="5" fillId="0" borderId="1" xfId="1" applyNumberFormat="1" applyFont="1" applyBorder="1"/>
    <xf numFmtId="0" fontId="5" fillId="0" borderId="1" xfId="1" applyNumberFormat="1" applyFont="1" applyBorder="1"/>
    <xf numFmtId="0" fontId="3" fillId="0" borderId="1" xfId="0" applyFont="1" applyBorder="1"/>
    <xf numFmtId="43" fontId="5" fillId="0" borderId="1" xfId="0" applyNumberFormat="1" applyFont="1" applyBorder="1"/>
    <xf numFmtId="14" fontId="5" fillId="14" borderId="1" xfId="0" applyNumberFormat="1" applyFont="1" applyFill="1" applyBorder="1"/>
    <xf numFmtId="0" fontId="4" fillId="2" borderId="1" xfId="0" applyFont="1" applyFill="1" applyBorder="1"/>
    <xf numFmtId="2" fontId="4" fillId="2" borderId="1" xfId="1" applyNumberFormat="1" applyFont="1" applyFill="1" applyBorder="1"/>
    <xf numFmtId="165" fontId="4" fillId="2" borderId="1" xfId="1" applyFont="1" applyFill="1" applyBorder="1"/>
    <xf numFmtId="43" fontId="4" fillId="2" borderId="1" xfId="1" applyNumberFormat="1" applyFont="1" applyFill="1" applyBorder="1"/>
    <xf numFmtId="49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center"/>
    </xf>
    <xf numFmtId="166" fontId="5" fillId="13" borderId="1" xfId="0" applyNumberFormat="1" applyFont="1" applyFill="1" applyBorder="1" applyAlignment="1">
      <alignment horizontal="center"/>
    </xf>
    <xf numFmtId="0" fontId="5" fillId="13" borderId="1" xfId="1" applyNumberFormat="1" applyFont="1" applyFill="1" applyBorder="1"/>
    <xf numFmtId="166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/>
    <xf numFmtId="165" fontId="4" fillId="2" borderId="1" xfId="0" applyNumberFormat="1" applyFont="1" applyFill="1" applyBorder="1"/>
    <xf numFmtId="10" fontId="5" fillId="14" borderId="1" xfId="0" applyNumberFormat="1" applyFont="1" applyFill="1" applyBorder="1"/>
    <xf numFmtId="167" fontId="5" fillId="14" borderId="1" xfId="0" applyNumberFormat="1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4" fontId="5" fillId="14" borderId="1" xfId="0" applyNumberFormat="1" applyFont="1" applyFill="1" applyBorder="1" applyAlignment="1">
      <alignment horizontal="center"/>
    </xf>
    <xf numFmtId="165" fontId="4" fillId="2" borderId="1" xfId="1" applyFont="1" applyFill="1" applyBorder="1" applyAlignment="1">
      <alignment horizontal="center"/>
    </xf>
    <xf numFmtId="10" fontId="5" fillId="0" borderId="1" xfId="1" applyNumberFormat="1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4" fontId="5" fillId="0" borderId="1" xfId="0" applyNumberFormat="1" applyFont="1" applyBorder="1"/>
    <xf numFmtId="44" fontId="4" fillId="3" borderId="1" xfId="1" applyNumberFormat="1" applyFont="1" applyFill="1" applyBorder="1" applyAlignment="1">
      <alignment horizontal="center" vertical="center" wrapText="1"/>
    </xf>
    <xf numFmtId="44" fontId="5" fillId="14" borderId="1" xfId="1" applyNumberFormat="1" applyFont="1" applyFill="1" applyBorder="1"/>
    <xf numFmtId="44" fontId="5" fillId="14" borderId="1" xfId="0" applyNumberFormat="1" applyFont="1" applyFill="1" applyBorder="1"/>
    <xf numFmtId="44" fontId="4" fillId="2" borderId="1" xfId="0" applyNumberFormat="1" applyFont="1" applyFill="1" applyBorder="1"/>
    <xf numFmtId="44" fontId="5" fillId="0" borderId="1" xfId="1" applyNumberFormat="1" applyFont="1" applyBorder="1"/>
    <xf numFmtId="49" fontId="5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168" fontId="5" fillId="0" borderId="1" xfId="0" applyNumberFormat="1" applyFont="1" applyBorder="1"/>
    <xf numFmtId="168" fontId="4" fillId="3" borderId="1" xfId="1" applyNumberFormat="1" applyFont="1" applyFill="1" applyBorder="1" applyAlignment="1">
      <alignment horizontal="center" vertical="center" wrapText="1"/>
    </xf>
    <xf numFmtId="168" fontId="5" fillId="14" borderId="1" xfId="1" applyNumberFormat="1" applyFont="1" applyFill="1" applyBorder="1"/>
    <xf numFmtId="168" fontId="5" fillId="14" borderId="1" xfId="0" applyNumberFormat="1" applyFont="1" applyFill="1" applyBorder="1"/>
    <xf numFmtId="168" fontId="5" fillId="13" borderId="1" xfId="1" applyNumberFormat="1" applyFont="1" applyFill="1" applyBorder="1"/>
    <xf numFmtId="168" fontId="4" fillId="2" borderId="1" xfId="1" applyNumberFormat="1" applyFont="1" applyFill="1" applyBorder="1"/>
    <xf numFmtId="168" fontId="5" fillId="0" borderId="1" xfId="1" applyNumberFormat="1" applyFont="1" applyBorder="1"/>
    <xf numFmtId="9" fontId="5" fillId="0" borderId="1" xfId="3" applyFont="1" applyBorder="1"/>
    <xf numFmtId="2" fontId="5" fillId="14" borderId="1" xfId="0" applyNumberFormat="1" applyFont="1" applyFill="1" applyBorder="1"/>
    <xf numFmtId="4" fontId="5" fillId="14" borderId="1" xfId="0" applyNumberFormat="1" applyFont="1" applyFill="1" applyBorder="1"/>
    <xf numFmtId="44" fontId="5" fillId="0" borderId="1" xfId="0" applyNumberFormat="1" applyFont="1" applyBorder="1" applyAlignment="1">
      <alignment horizontal="right"/>
    </xf>
    <xf numFmtId="44" fontId="4" fillId="0" borderId="1" xfId="0" applyNumberFormat="1" applyFont="1" applyBorder="1" applyAlignment="1">
      <alignment horizontal="right" vertical="center" wrapText="1"/>
    </xf>
    <xf numFmtId="44" fontId="5" fillId="14" borderId="1" xfId="0" applyNumberFormat="1" applyFont="1" applyFill="1" applyBorder="1" applyAlignment="1">
      <alignment horizontal="right"/>
    </xf>
    <xf numFmtId="44" fontId="5" fillId="14" borderId="1" xfId="1" applyNumberFormat="1" applyFont="1" applyFill="1" applyBorder="1" applyAlignment="1">
      <alignment horizontal="right"/>
    </xf>
    <xf numFmtId="44" fontId="5" fillId="13" borderId="1" xfId="0" applyNumberFormat="1" applyFont="1" applyFill="1" applyBorder="1" applyAlignment="1">
      <alignment horizontal="right"/>
    </xf>
    <xf numFmtId="44" fontId="10" fillId="2" borderId="1" xfId="0" applyNumberFormat="1" applyFont="1" applyFill="1" applyBorder="1" applyAlignment="1">
      <alignment horizontal="right"/>
    </xf>
    <xf numFmtId="44" fontId="5" fillId="0" borderId="1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14" borderId="1" xfId="0" applyFont="1" applyFill="1" applyBorder="1"/>
    <xf numFmtId="165" fontId="4" fillId="14" borderId="1" xfId="1" applyFont="1" applyFill="1" applyBorder="1"/>
    <xf numFmtId="2" fontId="4" fillId="14" borderId="1" xfId="1" applyNumberFormat="1" applyFont="1" applyFill="1" applyBorder="1"/>
    <xf numFmtId="43" fontId="4" fillId="14" borderId="1" xfId="1" applyNumberFormat="1" applyFont="1" applyFill="1" applyBorder="1"/>
    <xf numFmtId="44" fontId="4" fillId="14" borderId="1" xfId="1" applyNumberFormat="1" applyFont="1" applyFill="1" applyBorder="1"/>
    <xf numFmtId="165" fontId="4" fillId="14" borderId="1" xfId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14" borderId="1" xfId="0" applyFont="1" applyFill="1" applyBorder="1" applyAlignment="1">
      <alignment horizontal="center"/>
    </xf>
    <xf numFmtId="44" fontId="4" fillId="6" borderId="1" xfId="1" applyNumberFormat="1" applyFont="1" applyFill="1" applyBorder="1" applyAlignment="1">
      <alignment horizontal="center" vertical="center" wrapText="1"/>
    </xf>
    <xf numFmtId="44" fontId="5" fillId="13" borderId="1" xfId="1" applyNumberFormat="1" applyFont="1" applyFill="1" applyBorder="1"/>
    <xf numFmtId="44" fontId="4" fillId="2" borderId="1" xfId="1" applyNumberFormat="1" applyFont="1" applyFill="1" applyBorder="1"/>
    <xf numFmtId="49" fontId="5" fillId="14" borderId="1" xfId="1" applyNumberFormat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168" fontId="5" fillId="0" borderId="1" xfId="1" applyNumberFormat="1" applyFont="1" applyBorder="1" applyAlignment="1">
      <alignment horizontal="center"/>
    </xf>
    <xf numFmtId="43" fontId="5" fillId="0" borderId="1" xfId="4" applyFont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44" fontId="4" fillId="2" borderId="1" xfId="1" applyNumberFormat="1" applyFont="1" applyFill="1" applyBorder="1" applyAlignment="1">
      <alignment horizontal="center" vertical="center" wrapText="1"/>
    </xf>
    <xf numFmtId="43" fontId="5" fillId="0" borderId="1" xfId="3" applyNumberFormat="1" applyFont="1" applyBorder="1" applyAlignment="1">
      <alignment horizontal="center"/>
    </xf>
    <xf numFmtId="4" fontId="5" fillId="13" borderId="1" xfId="0" applyNumberFormat="1" applyFont="1" applyFill="1" applyBorder="1" applyAlignment="1">
      <alignment horizontal="center"/>
    </xf>
    <xf numFmtId="166" fontId="9" fillId="14" borderId="1" xfId="0" applyNumberFormat="1" applyFont="1" applyFill="1" applyBorder="1" applyAlignment="1">
      <alignment horizontal="center"/>
    </xf>
    <xf numFmtId="4" fontId="5" fillId="15" borderId="1" xfId="0" applyNumberFormat="1" applyFont="1" applyFill="1" applyBorder="1" applyAlignment="1">
      <alignment horizontal="center"/>
    </xf>
    <xf numFmtId="165" fontId="10" fillId="0" borderId="2" xfId="1" applyFont="1" applyBorder="1" applyAlignment="1">
      <alignment horizontal="center"/>
    </xf>
    <xf numFmtId="165" fontId="10" fillId="0" borderId="3" xfId="1" applyFont="1" applyBorder="1" applyAlignment="1">
      <alignment horizontal="center"/>
    </xf>
    <xf numFmtId="165" fontId="10" fillId="0" borderId="4" xfId="1" applyFont="1" applyBorder="1" applyAlignment="1">
      <alignment horizontal="center"/>
    </xf>
    <xf numFmtId="49" fontId="5" fillId="8" borderId="2" xfId="0" applyNumberFormat="1" applyFont="1" applyFill="1" applyBorder="1" applyAlignment="1">
      <alignment horizontal="center" vertical="justify" wrapText="1"/>
    </xf>
    <xf numFmtId="49" fontId="5" fillId="8" borderId="3" xfId="0" applyNumberFormat="1" applyFont="1" applyFill="1" applyBorder="1" applyAlignment="1">
      <alignment horizontal="center" vertical="justify" wrapText="1"/>
    </xf>
    <xf numFmtId="49" fontId="5" fillId="8" borderId="4" xfId="0" applyNumberFormat="1" applyFont="1" applyFill="1" applyBorder="1" applyAlignment="1">
      <alignment horizontal="center" vertical="justify" wrapText="1"/>
    </xf>
    <xf numFmtId="49" fontId="5" fillId="10" borderId="2" xfId="0" applyNumberFormat="1" applyFont="1" applyFill="1" applyBorder="1" applyAlignment="1">
      <alignment horizontal="center" vertical="justify" wrapText="1"/>
    </xf>
    <xf numFmtId="49" fontId="5" fillId="10" borderId="3" xfId="0" applyNumberFormat="1" applyFont="1" applyFill="1" applyBorder="1" applyAlignment="1">
      <alignment horizontal="center" vertical="justify" wrapText="1"/>
    </xf>
    <xf numFmtId="49" fontId="5" fillId="10" borderId="4" xfId="0" applyNumberFormat="1" applyFont="1" applyFill="1" applyBorder="1" applyAlignment="1">
      <alignment horizontal="center" vertical="justify" wrapText="1"/>
    </xf>
    <xf numFmtId="49" fontId="5" fillId="9" borderId="2" xfId="0" applyNumberFormat="1" applyFont="1" applyFill="1" applyBorder="1" applyAlignment="1">
      <alignment horizontal="center" vertical="justify" wrapText="1"/>
    </xf>
    <xf numFmtId="49" fontId="5" fillId="9" borderId="3" xfId="0" applyNumberFormat="1" applyFont="1" applyFill="1" applyBorder="1" applyAlignment="1">
      <alignment horizontal="center" vertical="justify" wrapText="1"/>
    </xf>
    <xf numFmtId="49" fontId="5" fillId="9" borderId="4" xfId="0" applyNumberFormat="1" applyFont="1" applyFill="1" applyBorder="1" applyAlignment="1">
      <alignment horizontal="center" vertical="justify" wrapText="1"/>
    </xf>
    <xf numFmtId="49" fontId="7" fillId="3" borderId="2" xfId="0" applyNumberFormat="1" applyFont="1" applyFill="1" applyBorder="1" applyAlignment="1">
      <alignment horizontal="center" vertical="justify" wrapText="1"/>
    </xf>
    <xf numFmtId="49" fontId="7" fillId="3" borderId="3" xfId="0" applyNumberFormat="1" applyFont="1" applyFill="1" applyBorder="1" applyAlignment="1">
      <alignment horizontal="center" vertical="justify" wrapText="1"/>
    </xf>
    <xf numFmtId="49" fontId="7" fillId="3" borderId="4" xfId="0" applyNumberFormat="1" applyFont="1" applyFill="1" applyBorder="1" applyAlignment="1">
      <alignment horizontal="center" vertical="justify" wrapText="1"/>
    </xf>
    <xf numFmtId="49" fontId="5" fillId="4" borderId="2" xfId="0" applyNumberFormat="1" applyFont="1" applyFill="1" applyBorder="1" applyAlignment="1">
      <alignment horizontal="center" vertical="justify" wrapText="1"/>
    </xf>
    <xf numFmtId="49" fontId="5" fillId="4" borderId="3" xfId="0" applyNumberFormat="1" applyFont="1" applyFill="1" applyBorder="1" applyAlignment="1">
      <alignment horizontal="center" vertical="justify" wrapText="1"/>
    </xf>
    <xf numFmtId="49" fontId="5" fillId="4" borderId="4" xfId="0" applyNumberFormat="1" applyFont="1" applyFill="1" applyBorder="1" applyAlignment="1">
      <alignment horizontal="center" vertical="justify" wrapText="1"/>
    </xf>
    <xf numFmtId="49" fontId="7" fillId="5" borderId="2" xfId="0" applyNumberFormat="1" applyFont="1" applyFill="1" applyBorder="1" applyAlignment="1">
      <alignment horizontal="center" vertical="justify" wrapText="1"/>
    </xf>
    <xf numFmtId="49" fontId="7" fillId="5" borderId="3" xfId="0" applyNumberFormat="1" applyFont="1" applyFill="1" applyBorder="1" applyAlignment="1">
      <alignment horizontal="center" vertical="justify" wrapText="1"/>
    </xf>
    <xf numFmtId="49" fontId="7" fillId="5" borderId="4" xfId="0" applyNumberFormat="1" applyFont="1" applyFill="1" applyBorder="1" applyAlignment="1">
      <alignment horizontal="center" vertical="justify" wrapText="1"/>
    </xf>
    <xf numFmtId="49" fontId="5" fillId="6" borderId="2" xfId="0" applyNumberFormat="1" applyFont="1" applyFill="1" applyBorder="1" applyAlignment="1">
      <alignment horizontal="center" vertical="justify" wrapText="1"/>
    </xf>
    <xf numFmtId="49" fontId="5" fillId="6" borderId="3" xfId="0" applyNumberFormat="1" applyFont="1" applyFill="1" applyBorder="1" applyAlignment="1">
      <alignment horizontal="center" vertical="justify" wrapText="1"/>
    </xf>
    <xf numFmtId="49" fontId="5" fillId="6" borderId="4" xfId="0" applyNumberFormat="1" applyFont="1" applyFill="1" applyBorder="1" applyAlignment="1">
      <alignment horizontal="center" vertical="justify" wrapText="1"/>
    </xf>
    <xf numFmtId="49" fontId="5" fillId="2" borderId="2" xfId="0" applyNumberFormat="1" applyFont="1" applyFill="1" applyBorder="1" applyAlignment="1">
      <alignment horizontal="center" vertical="justify" wrapText="1"/>
    </xf>
    <xf numFmtId="49" fontId="5" fillId="2" borderId="3" xfId="0" applyNumberFormat="1" applyFont="1" applyFill="1" applyBorder="1" applyAlignment="1">
      <alignment horizontal="center" vertical="justify" wrapText="1"/>
    </xf>
    <xf numFmtId="49" fontId="5" fillId="2" borderId="4" xfId="0" applyNumberFormat="1" applyFont="1" applyFill="1" applyBorder="1" applyAlignment="1">
      <alignment horizontal="center" vertical="justify" wrapText="1"/>
    </xf>
    <xf numFmtId="49" fontId="5" fillId="7" borderId="2" xfId="0" applyNumberFormat="1" applyFont="1" applyFill="1" applyBorder="1" applyAlignment="1">
      <alignment horizontal="center" vertical="justify" wrapText="1"/>
    </xf>
    <xf numFmtId="49" fontId="5" fillId="7" borderId="3" xfId="0" applyNumberFormat="1" applyFont="1" applyFill="1" applyBorder="1" applyAlignment="1">
      <alignment horizontal="center" vertical="justify" wrapText="1"/>
    </xf>
    <xf numFmtId="49" fontId="5" fillId="7" borderId="4" xfId="0" applyNumberFormat="1" applyFont="1" applyFill="1" applyBorder="1" applyAlignment="1">
      <alignment horizontal="center" vertical="justify" wrapText="1"/>
    </xf>
    <xf numFmtId="49" fontId="7" fillId="11" borderId="2" xfId="0" applyNumberFormat="1" applyFont="1" applyFill="1" applyBorder="1" applyAlignment="1">
      <alignment horizontal="center" vertical="justify" wrapText="1"/>
    </xf>
    <xf numFmtId="49" fontId="7" fillId="11" borderId="3" xfId="0" applyNumberFormat="1" applyFont="1" applyFill="1" applyBorder="1" applyAlignment="1">
      <alignment horizontal="center" vertical="justify" wrapText="1"/>
    </xf>
    <xf numFmtId="49" fontId="7" fillId="11" borderId="4" xfId="0" applyNumberFormat="1" applyFont="1" applyFill="1" applyBorder="1" applyAlignment="1">
      <alignment horizontal="center" vertical="justify" wrapText="1"/>
    </xf>
    <xf numFmtId="49" fontId="7" fillId="12" borderId="2" xfId="0" applyNumberFormat="1" applyFont="1" applyFill="1" applyBorder="1" applyAlignment="1">
      <alignment horizontal="center" vertical="justify" wrapText="1"/>
    </xf>
    <xf numFmtId="49" fontId="7" fillId="12" borderId="3" xfId="0" applyNumberFormat="1" applyFont="1" applyFill="1" applyBorder="1" applyAlignment="1">
      <alignment horizontal="center" vertical="justify" wrapText="1"/>
    </xf>
    <xf numFmtId="49" fontId="7" fillId="12" borderId="4" xfId="0" applyNumberFormat="1" applyFont="1" applyFill="1" applyBorder="1" applyAlignment="1">
      <alignment horizontal="center" vertical="justify" wrapText="1"/>
    </xf>
    <xf numFmtId="165" fontId="10" fillId="0" borderId="1" xfId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justify" wrapText="1"/>
    </xf>
    <xf numFmtId="49" fontId="5" fillId="7" borderId="1" xfId="0" applyNumberFormat="1" applyFont="1" applyFill="1" applyBorder="1" applyAlignment="1">
      <alignment horizontal="center" vertical="justify" wrapText="1"/>
    </xf>
    <xf numFmtId="49" fontId="5" fillId="9" borderId="1" xfId="0" applyNumberFormat="1" applyFont="1" applyFill="1" applyBorder="1" applyAlignment="1">
      <alignment horizontal="center" vertical="justify" wrapText="1"/>
    </xf>
    <xf numFmtId="49" fontId="7" fillId="11" borderId="1" xfId="0" applyNumberFormat="1" applyFont="1" applyFill="1" applyBorder="1" applyAlignment="1">
      <alignment horizontal="center" vertical="justify" wrapText="1"/>
    </xf>
    <xf numFmtId="49" fontId="7" fillId="12" borderId="1" xfId="0" applyNumberFormat="1" applyFont="1" applyFill="1" applyBorder="1" applyAlignment="1">
      <alignment horizontal="center" vertical="justify" wrapText="1"/>
    </xf>
    <xf numFmtId="49" fontId="5" fillId="10" borderId="1" xfId="0" applyNumberFormat="1" applyFont="1" applyFill="1" applyBorder="1" applyAlignment="1">
      <alignment horizontal="center" vertical="justify" wrapText="1"/>
    </xf>
    <xf numFmtId="49" fontId="5" fillId="6" borderId="1" xfId="0" applyNumberFormat="1" applyFont="1" applyFill="1" applyBorder="1" applyAlignment="1">
      <alignment horizontal="center" vertical="justify" wrapText="1"/>
    </xf>
    <xf numFmtId="49" fontId="7" fillId="3" borderId="1" xfId="0" applyNumberFormat="1" applyFont="1" applyFill="1" applyBorder="1" applyAlignment="1">
      <alignment horizontal="center" vertical="justify" wrapText="1"/>
    </xf>
    <xf numFmtId="49" fontId="5" fillId="4" borderId="1" xfId="0" applyNumberFormat="1" applyFont="1" applyFill="1" applyBorder="1" applyAlignment="1">
      <alignment horizontal="center" vertical="justify" wrapText="1"/>
    </xf>
    <xf numFmtId="49" fontId="7" fillId="5" borderId="1" xfId="0" applyNumberFormat="1" applyFont="1" applyFill="1" applyBorder="1" applyAlignment="1">
      <alignment horizontal="center" vertical="justify" wrapText="1"/>
    </xf>
  </cellXfs>
  <cellStyles count="5">
    <cellStyle name="Millares" xfId="4" builtinId="3"/>
    <cellStyle name="Millares 2" xfId="1" xr:uid="{00000000-0005-0000-0000-000000000000}"/>
    <cellStyle name="Millares 2 2" xfId="2" xr:uid="{00000000-0005-0000-0000-000001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L105"/>
  <sheetViews>
    <sheetView tabSelected="1" zoomScale="132" zoomScaleNormal="132" workbookViewId="0">
      <pane xSplit="12" ySplit="6" topLeftCell="AB56" activePane="bottomRight" state="frozen"/>
      <selection pane="topRight" activeCell="J1" sqref="J1"/>
      <selection pane="bottomLeft" activeCell="A7" sqref="A7"/>
      <selection pane="bottomRight" activeCell="AF64" sqref="AF64"/>
    </sheetView>
  </sheetViews>
  <sheetFormatPr baseColWidth="10" defaultRowHeight="13.2" outlineLevelCol="2" x14ac:dyDescent="0.3"/>
  <cols>
    <col min="1" max="1" width="9.6640625" style="20" customWidth="1"/>
    <col min="2" max="2" width="29" style="16" customWidth="1"/>
    <col min="3" max="4" width="15" style="16" hidden="1" customWidth="1" outlineLevel="2"/>
    <col min="5" max="5" width="12.5546875" style="16" hidden="1" customWidth="1" outlineLevel="2"/>
    <col min="6" max="6" width="9" style="95" hidden="1" customWidth="1" outlineLevel="2"/>
    <col min="7" max="7" width="21.33203125" style="16" hidden="1" customWidth="1" outlineLevel="2"/>
    <col min="8" max="8" width="10.109375" style="123" customWidth="1" outlineLevel="1" collapsed="1"/>
    <col min="9" max="9" width="7.88671875" style="123" customWidth="1" outlineLevel="1"/>
    <col min="10" max="10" width="10.6640625" style="118" customWidth="1" outlineLevel="1"/>
    <col min="11" max="11" width="8.5546875" style="118" customWidth="1" outlineLevel="1"/>
    <col min="12" max="12" width="14.109375" style="145" customWidth="1" outlineLevel="1"/>
    <col min="13" max="13" width="12" style="95" customWidth="1"/>
    <col min="14" max="14" width="9.88671875" style="19" customWidth="1" outlineLevel="1"/>
    <col min="15" max="15" width="9.109375" style="20" customWidth="1" outlineLevel="1"/>
    <col min="16" max="16" width="7" style="18" customWidth="1" outlineLevel="1"/>
    <col min="17" max="17" width="13.109375" style="95" customWidth="1" outlineLevel="1"/>
    <col min="18" max="18" width="15.44140625" style="95" customWidth="1" outlineLevel="1"/>
    <col min="19" max="19" width="15" style="95" customWidth="1" outlineLevel="1"/>
    <col min="20" max="20" width="12" style="16" customWidth="1" outlineLevel="1"/>
    <col min="21" max="21" width="11.88671875" style="16" customWidth="1" outlineLevel="1"/>
    <col min="22" max="22" width="9.109375" style="18" customWidth="1" outlineLevel="1"/>
    <col min="23" max="23" width="12.44140625" style="16" customWidth="1" outlineLevel="1"/>
    <col min="24" max="24" width="12.109375" style="16" customWidth="1" outlineLevel="1"/>
    <col min="25" max="25" width="11.44140625" style="16" customWidth="1" outlineLevel="1"/>
    <col min="26" max="26" width="11.44140625" style="20" customWidth="1" outlineLevel="1"/>
    <col min="27" max="27" width="12.88671875" style="20" customWidth="1" outlineLevel="1"/>
    <col min="28" max="28" width="7.88671875" style="123" customWidth="1" outlineLevel="1"/>
    <col min="29" max="29" width="14.88671875" style="16" customWidth="1" outlineLevel="1"/>
    <col min="30" max="30" width="15.109375" style="135" customWidth="1" outlineLevel="1"/>
    <col min="31" max="31" width="12.33203125" style="16" customWidth="1" outlineLevel="1"/>
    <col min="32" max="32" width="12.6640625" style="16" customWidth="1" outlineLevel="1"/>
    <col min="33" max="33" width="7" style="16" customWidth="1" outlineLevel="1"/>
    <col min="34" max="34" width="7.5546875" style="123" customWidth="1" outlineLevel="1"/>
    <col min="35" max="38" width="11.44140625" style="16" customWidth="1" outlineLevel="1"/>
    <col min="39" max="39" width="8.109375" style="16" customWidth="1" outlineLevel="1"/>
    <col min="40" max="40" width="11.44140625" style="20" customWidth="1" outlineLevel="1"/>
    <col min="41" max="42" width="11.44140625" style="16" customWidth="1" outlineLevel="1"/>
    <col min="43" max="43" width="12" style="16" customWidth="1" outlineLevel="1"/>
    <col min="44" max="45" width="11.44140625" style="20" customWidth="1" outlineLevel="1"/>
    <col min="46" max="46" width="11.44140625" style="123" customWidth="1" outlineLevel="1"/>
    <col min="47" max="47" width="12.44140625" style="124" customWidth="1" outlineLevel="1"/>
    <col min="48" max="48" width="12.6640625" style="124" customWidth="1" outlineLevel="1"/>
    <col min="49" max="49" width="13.88671875" style="16" customWidth="1" outlineLevel="1"/>
    <col min="50" max="52" width="11.44140625" style="20" customWidth="1" outlineLevel="1"/>
    <col min="53" max="54" width="11.44140625" style="124" customWidth="1" outlineLevel="1"/>
    <col min="55" max="56" width="11.44140625" style="16" customWidth="1" outlineLevel="1"/>
    <col min="57" max="57" width="10.5546875" style="16" customWidth="1" outlineLevel="1"/>
    <col min="58" max="64" width="11.44140625" style="16" customWidth="1" outlineLevel="1"/>
    <col min="65" max="65" width="14.88671875" style="16" customWidth="1" outlineLevel="1"/>
    <col min="66" max="69" width="11.44140625" style="16" customWidth="1" outlineLevel="1"/>
    <col min="70" max="70" width="7.44140625" style="16" customWidth="1" outlineLevel="1"/>
    <col min="71" max="79" width="11.44140625" style="16" customWidth="1" outlineLevel="1"/>
    <col min="80" max="84" width="11.44140625" style="16"/>
    <col min="85" max="85" width="14.44140625" style="16" customWidth="1"/>
    <col min="86" max="86" width="11.44140625" style="16"/>
    <col min="87" max="100" width="11.44140625" style="102"/>
    <col min="101" max="256" width="11.44140625" style="16"/>
    <col min="257" max="257" width="9.6640625" style="16" customWidth="1"/>
    <col min="258" max="258" width="29.109375" style="16" customWidth="1"/>
    <col min="259" max="267" width="0" style="16" hidden="1" customWidth="1"/>
    <col min="268" max="268" width="12" style="16" customWidth="1"/>
    <col min="269" max="334" width="0" style="16" hidden="1" customWidth="1"/>
    <col min="335" max="512" width="11.44140625" style="16"/>
    <col min="513" max="513" width="9.6640625" style="16" customWidth="1"/>
    <col min="514" max="514" width="29.109375" style="16" customWidth="1"/>
    <col min="515" max="523" width="0" style="16" hidden="1" customWidth="1"/>
    <col min="524" max="524" width="12" style="16" customWidth="1"/>
    <col min="525" max="590" width="0" style="16" hidden="1" customWidth="1"/>
    <col min="591" max="768" width="11.44140625" style="16"/>
    <col min="769" max="769" width="9.6640625" style="16" customWidth="1"/>
    <col min="770" max="770" width="29.109375" style="16" customWidth="1"/>
    <col min="771" max="779" width="0" style="16" hidden="1" customWidth="1"/>
    <col min="780" max="780" width="12" style="16" customWidth="1"/>
    <col min="781" max="846" width="0" style="16" hidden="1" customWidth="1"/>
    <col min="847" max="1024" width="11.44140625" style="16"/>
    <col min="1025" max="1025" width="9.6640625" style="16" customWidth="1"/>
    <col min="1026" max="1026" width="29.109375" style="16" customWidth="1"/>
    <col min="1027" max="1035" width="0" style="16" hidden="1" customWidth="1"/>
    <col min="1036" max="1036" width="12" style="16" customWidth="1"/>
    <col min="1037" max="1102" width="0" style="16" hidden="1" customWidth="1"/>
    <col min="1103" max="1280" width="11.44140625" style="16"/>
    <col min="1281" max="1281" width="9.6640625" style="16" customWidth="1"/>
    <col min="1282" max="1282" width="29.109375" style="16" customWidth="1"/>
    <col min="1283" max="1291" width="0" style="16" hidden="1" customWidth="1"/>
    <col min="1292" max="1292" width="12" style="16" customWidth="1"/>
    <col min="1293" max="1358" width="0" style="16" hidden="1" customWidth="1"/>
    <col min="1359" max="1536" width="11.44140625" style="16"/>
    <col min="1537" max="1537" width="9.6640625" style="16" customWidth="1"/>
    <col min="1538" max="1538" width="29.109375" style="16" customWidth="1"/>
    <col min="1539" max="1547" width="0" style="16" hidden="1" customWidth="1"/>
    <col min="1548" max="1548" width="12" style="16" customWidth="1"/>
    <col min="1549" max="1614" width="0" style="16" hidden="1" customWidth="1"/>
    <col min="1615" max="1792" width="11.44140625" style="16"/>
    <col min="1793" max="1793" width="9.6640625" style="16" customWidth="1"/>
    <col min="1794" max="1794" width="29.109375" style="16" customWidth="1"/>
    <col min="1795" max="1803" width="0" style="16" hidden="1" customWidth="1"/>
    <col min="1804" max="1804" width="12" style="16" customWidth="1"/>
    <col min="1805" max="1870" width="0" style="16" hidden="1" customWidth="1"/>
    <col min="1871" max="2048" width="11.44140625" style="16"/>
    <col min="2049" max="2049" width="9.6640625" style="16" customWidth="1"/>
    <col min="2050" max="2050" width="29.109375" style="16" customWidth="1"/>
    <col min="2051" max="2059" width="0" style="16" hidden="1" customWidth="1"/>
    <col min="2060" max="2060" width="12" style="16" customWidth="1"/>
    <col min="2061" max="2126" width="0" style="16" hidden="1" customWidth="1"/>
    <col min="2127" max="2304" width="11.44140625" style="16"/>
    <col min="2305" max="2305" width="9.6640625" style="16" customWidth="1"/>
    <col min="2306" max="2306" width="29.109375" style="16" customWidth="1"/>
    <col min="2307" max="2315" width="0" style="16" hidden="1" customWidth="1"/>
    <col min="2316" max="2316" width="12" style="16" customWidth="1"/>
    <col min="2317" max="2382" width="0" style="16" hidden="1" customWidth="1"/>
    <col min="2383" max="2560" width="11.44140625" style="16"/>
    <col min="2561" max="2561" width="9.6640625" style="16" customWidth="1"/>
    <col min="2562" max="2562" width="29.109375" style="16" customWidth="1"/>
    <col min="2563" max="2571" width="0" style="16" hidden="1" customWidth="1"/>
    <col min="2572" max="2572" width="12" style="16" customWidth="1"/>
    <col min="2573" max="2638" width="0" style="16" hidden="1" customWidth="1"/>
    <col min="2639" max="2816" width="11.44140625" style="16"/>
    <col min="2817" max="2817" width="9.6640625" style="16" customWidth="1"/>
    <col min="2818" max="2818" width="29.109375" style="16" customWidth="1"/>
    <col min="2819" max="2827" width="0" style="16" hidden="1" customWidth="1"/>
    <col min="2828" max="2828" width="12" style="16" customWidth="1"/>
    <col min="2829" max="2894" width="0" style="16" hidden="1" customWidth="1"/>
    <col min="2895" max="3072" width="11.44140625" style="16"/>
    <col min="3073" max="3073" width="9.6640625" style="16" customWidth="1"/>
    <col min="3074" max="3074" width="29.109375" style="16" customWidth="1"/>
    <col min="3075" max="3083" width="0" style="16" hidden="1" customWidth="1"/>
    <col min="3084" max="3084" width="12" style="16" customWidth="1"/>
    <col min="3085" max="3150" width="0" style="16" hidden="1" customWidth="1"/>
    <col min="3151" max="3328" width="11.44140625" style="16"/>
    <col min="3329" max="3329" width="9.6640625" style="16" customWidth="1"/>
    <col min="3330" max="3330" width="29.109375" style="16" customWidth="1"/>
    <col min="3331" max="3339" width="0" style="16" hidden="1" customWidth="1"/>
    <col min="3340" max="3340" width="12" style="16" customWidth="1"/>
    <col min="3341" max="3406" width="0" style="16" hidden="1" customWidth="1"/>
    <col min="3407" max="3584" width="11.44140625" style="16"/>
    <col min="3585" max="3585" width="9.6640625" style="16" customWidth="1"/>
    <col min="3586" max="3586" width="29.109375" style="16" customWidth="1"/>
    <col min="3587" max="3595" width="0" style="16" hidden="1" customWidth="1"/>
    <col min="3596" max="3596" width="12" style="16" customWidth="1"/>
    <col min="3597" max="3662" width="0" style="16" hidden="1" customWidth="1"/>
    <col min="3663" max="3840" width="11.44140625" style="16"/>
    <col min="3841" max="3841" width="9.6640625" style="16" customWidth="1"/>
    <col min="3842" max="3842" width="29.109375" style="16" customWidth="1"/>
    <col min="3843" max="3851" width="0" style="16" hidden="1" customWidth="1"/>
    <col min="3852" max="3852" width="12" style="16" customWidth="1"/>
    <col min="3853" max="3918" width="0" style="16" hidden="1" customWidth="1"/>
    <col min="3919" max="4096" width="11.44140625" style="16"/>
    <col min="4097" max="4097" width="9.6640625" style="16" customWidth="1"/>
    <col min="4098" max="4098" width="29.109375" style="16" customWidth="1"/>
    <col min="4099" max="4107" width="0" style="16" hidden="1" customWidth="1"/>
    <col min="4108" max="4108" width="12" style="16" customWidth="1"/>
    <col min="4109" max="4174" width="0" style="16" hidden="1" customWidth="1"/>
    <col min="4175" max="4352" width="11.44140625" style="16"/>
    <col min="4353" max="4353" width="9.6640625" style="16" customWidth="1"/>
    <col min="4354" max="4354" width="29.109375" style="16" customWidth="1"/>
    <col min="4355" max="4363" width="0" style="16" hidden="1" customWidth="1"/>
    <col min="4364" max="4364" width="12" style="16" customWidth="1"/>
    <col min="4365" max="4430" width="0" style="16" hidden="1" customWidth="1"/>
    <col min="4431" max="4608" width="11.44140625" style="16"/>
    <col min="4609" max="4609" width="9.6640625" style="16" customWidth="1"/>
    <col min="4610" max="4610" width="29.109375" style="16" customWidth="1"/>
    <col min="4611" max="4619" width="0" style="16" hidden="1" customWidth="1"/>
    <col min="4620" max="4620" width="12" style="16" customWidth="1"/>
    <col min="4621" max="4686" width="0" style="16" hidden="1" customWidth="1"/>
    <col min="4687" max="4864" width="11.44140625" style="16"/>
    <col min="4865" max="4865" width="9.6640625" style="16" customWidth="1"/>
    <col min="4866" max="4866" width="29.109375" style="16" customWidth="1"/>
    <col min="4867" max="4875" width="0" style="16" hidden="1" customWidth="1"/>
    <col min="4876" max="4876" width="12" style="16" customWidth="1"/>
    <col min="4877" max="4942" width="0" style="16" hidden="1" customWidth="1"/>
    <col min="4943" max="5120" width="11.44140625" style="16"/>
    <col min="5121" max="5121" width="9.6640625" style="16" customWidth="1"/>
    <col min="5122" max="5122" width="29.109375" style="16" customWidth="1"/>
    <col min="5123" max="5131" width="0" style="16" hidden="1" customWidth="1"/>
    <col min="5132" max="5132" width="12" style="16" customWidth="1"/>
    <col min="5133" max="5198" width="0" style="16" hidden="1" customWidth="1"/>
    <col min="5199" max="5376" width="11.44140625" style="16"/>
    <col min="5377" max="5377" width="9.6640625" style="16" customWidth="1"/>
    <col min="5378" max="5378" width="29.109375" style="16" customWidth="1"/>
    <col min="5379" max="5387" width="0" style="16" hidden="1" customWidth="1"/>
    <col min="5388" max="5388" width="12" style="16" customWidth="1"/>
    <col min="5389" max="5454" width="0" style="16" hidden="1" customWidth="1"/>
    <col min="5455" max="5632" width="11.44140625" style="16"/>
    <col min="5633" max="5633" width="9.6640625" style="16" customWidth="1"/>
    <col min="5634" max="5634" width="29.109375" style="16" customWidth="1"/>
    <col min="5635" max="5643" width="0" style="16" hidden="1" customWidth="1"/>
    <col min="5644" max="5644" width="12" style="16" customWidth="1"/>
    <col min="5645" max="5710" width="0" style="16" hidden="1" customWidth="1"/>
    <col min="5711" max="5888" width="11.44140625" style="16"/>
    <col min="5889" max="5889" width="9.6640625" style="16" customWidth="1"/>
    <col min="5890" max="5890" width="29.109375" style="16" customWidth="1"/>
    <col min="5891" max="5899" width="0" style="16" hidden="1" customWidth="1"/>
    <col min="5900" max="5900" width="12" style="16" customWidth="1"/>
    <col min="5901" max="5966" width="0" style="16" hidden="1" customWidth="1"/>
    <col min="5967" max="6144" width="11.44140625" style="16"/>
    <col min="6145" max="6145" width="9.6640625" style="16" customWidth="1"/>
    <col min="6146" max="6146" width="29.109375" style="16" customWidth="1"/>
    <col min="6147" max="6155" width="0" style="16" hidden="1" customWidth="1"/>
    <col min="6156" max="6156" width="12" style="16" customWidth="1"/>
    <col min="6157" max="6222" width="0" style="16" hidden="1" customWidth="1"/>
    <col min="6223" max="6400" width="11.44140625" style="16"/>
    <col min="6401" max="6401" width="9.6640625" style="16" customWidth="1"/>
    <col min="6402" max="6402" width="29.109375" style="16" customWidth="1"/>
    <col min="6403" max="6411" width="0" style="16" hidden="1" customWidth="1"/>
    <col min="6412" max="6412" width="12" style="16" customWidth="1"/>
    <col min="6413" max="6478" width="0" style="16" hidden="1" customWidth="1"/>
    <col min="6479" max="6656" width="11.44140625" style="16"/>
    <col min="6657" max="6657" width="9.6640625" style="16" customWidth="1"/>
    <col min="6658" max="6658" width="29.109375" style="16" customWidth="1"/>
    <col min="6659" max="6667" width="0" style="16" hidden="1" customWidth="1"/>
    <col min="6668" max="6668" width="12" style="16" customWidth="1"/>
    <col min="6669" max="6734" width="0" style="16" hidden="1" customWidth="1"/>
    <col min="6735" max="6912" width="11.44140625" style="16"/>
    <col min="6913" max="6913" width="9.6640625" style="16" customWidth="1"/>
    <col min="6914" max="6914" width="29.109375" style="16" customWidth="1"/>
    <col min="6915" max="6923" width="0" style="16" hidden="1" customWidth="1"/>
    <col min="6924" max="6924" width="12" style="16" customWidth="1"/>
    <col min="6925" max="6990" width="0" style="16" hidden="1" customWidth="1"/>
    <col min="6991" max="7168" width="11.44140625" style="16"/>
    <col min="7169" max="7169" width="9.6640625" style="16" customWidth="1"/>
    <col min="7170" max="7170" width="29.109375" style="16" customWidth="1"/>
    <col min="7171" max="7179" width="0" style="16" hidden="1" customWidth="1"/>
    <col min="7180" max="7180" width="12" style="16" customWidth="1"/>
    <col min="7181" max="7246" width="0" style="16" hidden="1" customWidth="1"/>
    <col min="7247" max="7424" width="11.44140625" style="16"/>
    <col min="7425" max="7425" width="9.6640625" style="16" customWidth="1"/>
    <col min="7426" max="7426" width="29.109375" style="16" customWidth="1"/>
    <col min="7427" max="7435" width="0" style="16" hidden="1" customWidth="1"/>
    <col min="7436" max="7436" width="12" style="16" customWidth="1"/>
    <col min="7437" max="7502" width="0" style="16" hidden="1" customWidth="1"/>
    <col min="7503" max="7680" width="11.44140625" style="16"/>
    <col min="7681" max="7681" width="9.6640625" style="16" customWidth="1"/>
    <col min="7682" max="7682" width="29.109375" style="16" customWidth="1"/>
    <col min="7683" max="7691" width="0" style="16" hidden="1" customWidth="1"/>
    <col min="7692" max="7692" width="12" style="16" customWidth="1"/>
    <col min="7693" max="7758" width="0" style="16" hidden="1" customWidth="1"/>
    <col min="7759" max="7936" width="11.44140625" style="16"/>
    <col min="7937" max="7937" width="9.6640625" style="16" customWidth="1"/>
    <col min="7938" max="7938" width="29.109375" style="16" customWidth="1"/>
    <col min="7939" max="7947" width="0" style="16" hidden="1" customWidth="1"/>
    <col min="7948" max="7948" width="12" style="16" customWidth="1"/>
    <col min="7949" max="8014" width="0" style="16" hidden="1" customWidth="1"/>
    <col min="8015" max="8192" width="11.44140625" style="16"/>
    <col min="8193" max="8193" width="9.6640625" style="16" customWidth="1"/>
    <col min="8194" max="8194" width="29.109375" style="16" customWidth="1"/>
    <col min="8195" max="8203" width="0" style="16" hidden="1" customWidth="1"/>
    <col min="8204" max="8204" width="12" style="16" customWidth="1"/>
    <col min="8205" max="8270" width="0" style="16" hidden="1" customWidth="1"/>
    <col min="8271" max="8448" width="11.44140625" style="16"/>
    <col min="8449" max="8449" width="9.6640625" style="16" customWidth="1"/>
    <col min="8450" max="8450" width="29.109375" style="16" customWidth="1"/>
    <col min="8451" max="8459" width="0" style="16" hidden="1" customWidth="1"/>
    <col min="8460" max="8460" width="12" style="16" customWidth="1"/>
    <col min="8461" max="8526" width="0" style="16" hidden="1" customWidth="1"/>
    <col min="8527" max="8704" width="11.44140625" style="16"/>
    <col min="8705" max="8705" width="9.6640625" style="16" customWidth="1"/>
    <col min="8706" max="8706" width="29.109375" style="16" customWidth="1"/>
    <col min="8707" max="8715" width="0" style="16" hidden="1" customWidth="1"/>
    <col min="8716" max="8716" width="12" style="16" customWidth="1"/>
    <col min="8717" max="8782" width="0" style="16" hidden="1" customWidth="1"/>
    <col min="8783" max="8960" width="11.44140625" style="16"/>
    <col min="8961" max="8961" width="9.6640625" style="16" customWidth="1"/>
    <col min="8962" max="8962" width="29.109375" style="16" customWidth="1"/>
    <col min="8963" max="8971" width="0" style="16" hidden="1" customWidth="1"/>
    <col min="8972" max="8972" width="12" style="16" customWidth="1"/>
    <col min="8973" max="9038" width="0" style="16" hidden="1" customWidth="1"/>
    <col min="9039" max="9216" width="11.44140625" style="16"/>
    <col min="9217" max="9217" width="9.6640625" style="16" customWidth="1"/>
    <col min="9218" max="9218" width="29.109375" style="16" customWidth="1"/>
    <col min="9219" max="9227" width="0" style="16" hidden="1" customWidth="1"/>
    <col min="9228" max="9228" width="12" style="16" customWidth="1"/>
    <col min="9229" max="9294" width="0" style="16" hidden="1" customWidth="1"/>
    <col min="9295" max="9472" width="11.44140625" style="16"/>
    <col min="9473" max="9473" width="9.6640625" style="16" customWidth="1"/>
    <col min="9474" max="9474" width="29.109375" style="16" customWidth="1"/>
    <col min="9475" max="9483" width="0" style="16" hidden="1" customWidth="1"/>
    <col min="9484" max="9484" width="12" style="16" customWidth="1"/>
    <col min="9485" max="9550" width="0" style="16" hidden="1" customWidth="1"/>
    <col min="9551" max="9728" width="11.44140625" style="16"/>
    <col min="9729" max="9729" width="9.6640625" style="16" customWidth="1"/>
    <col min="9730" max="9730" width="29.109375" style="16" customWidth="1"/>
    <col min="9731" max="9739" width="0" style="16" hidden="1" customWidth="1"/>
    <col min="9740" max="9740" width="12" style="16" customWidth="1"/>
    <col min="9741" max="9806" width="0" style="16" hidden="1" customWidth="1"/>
    <col min="9807" max="9984" width="11.44140625" style="16"/>
    <col min="9985" max="9985" width="9.6640625" style="16" customWidth="1"/>
    <col min="9986" max="9986" width="29.109375" style="16" customWidth="1"/>
    <col min="9987" max="9995" width="0" style="16" hidden="1" customWidth="1"/>
    <col min="9996" max="9996" width="12" style="16" customWidth="1"/>
    <col min="9997" max="10062" width="0" style="16" hidden="1" customWidth="1"/>
    <col min="10063" max="10240" width="11.44140625" style="16"/>
    <col min="10241" max="10241" width="9.6640625" style="16" customWidth="1"/>
    <col min="10242" max="10242" width="29.109375" style="16" customWidth="1"/>
    <col min="10243" max="10251" width="0" style="16" hidden="1" customWidth="1"/>
    <col min="10252" max="10252" width="12" style="16" customWidth="1"/>
    <col min="10253" max="10318" width="0" style="16" hidden="1" customWidth="1"/>
    <col min="10319" max="10496" width="11.44140625" style="16"/>
    <col min="10497" max="10497" width="9.6640625" style="16" customWidth="1"/>
    <col min="10498" max="10498" width="29.109375" style="16" customWidth="1"/>
    <col min="10499" max="10507" width="0" style="16" hidden="1" customWidth="1"/>
    <col min="10508" max="10508" width="12" style="16" customWidth="1"/>
    <col min="10509" max="10574" width="0" style="16" hidden="1" customWidth="1"/>
    <col min="10575" max="10752" width="11.44140625" style="16"/>
    <col min="10753" max="10753" width="9.6640625" style="16" customWidth="1"/>
    <col min="10754" max="10754" width="29.109375" style="16" customWidth="1"/>
    <col min="10755" max="10763" width="0" style="16" hidden="1" customWidth="1"/>
    <col min="10764" max="10764" width="12" style="16" customWidth="1"/>
    <col min="10765" max="10830" width="0" style="16" hidden="1" customWidth="1"/>
    <col min="10831" max="11008" width="11.44140625" style="16"/>
    <col min="11009" max="11009" width="9.6640625" style="16" customWidth="1"/>
    <col min="11010" max="11010" width="29.109375" style="16" customWidth="1"/>
    <col min="11011" max="11019" width="0" style="16" hidden="1" customWidth="1"/>
    <col min="11020" max="11020" width="12" style="16" customWidth="1"/>
    <col min="11021" max="11086" width="0" style="16" hidden="1" customWidth="1"/>
    <col min="11087" max="11264" width="11.44140625" style="16"/>
    <col min="11265" max="11265" width="9.6640625" style="16" customWidth="1"/>
    <col min="11266" max="11266" width="29.109375" style="16" customWidth="1"/>
    <col min="11267" max="11275" width="0" style="16" hidden="1" customWidth="1"/>
    <col min="11276" max="11276" width="12" style="16" customWidth="1"/>
    <col min="11277" max="11342" width="0" style="16" hidden="1" customWidth="1"/>
    <col min="11343" max="11520" width="11.44140625" style="16"/>
    <col min="11521" max="11521" width="9.6640625" style="16" customWidth="1"/>
    <col min="11522" max="11522" width="29.109375" style="16" customWidth="1"/>
    <col min="11523" max="11531" width="0" style="16" hidden="1" customWidth="1"/>
    <col min="11532" max="11532" width="12" style="16" customWidth="1"/>
    <col min="11533" max="11598" width="0" style="16" hidden="1" customWidth="1"/>
    <col min="11599" max="11776" width="11.44140625" style="16"/>
    <col min="11777" max="11777" width="9.6640625" style="16" customWidth="1"/>
    <col min="11778" max="11778" width="29.109375" style="16" customWidth="1"/>
    <col min="11779" max="11787" width="0" style="16" hidden="1" customWidth="1"/>
    <col min="11788" max="11788" width="12" style="16" customWidth="1"/>
    <col min="11789" max="11854" width="0" style="16" hidden="1" customWidth="1"/>
    <col min="11855" max="12032" width="11.44140625" style="16"/>
    <col min="12033" max="12033" width="9.6640625" style="16" customWidth="1"/>
    <col min="12034" max="12034" width="29.109375" style="16" customWidth="1"/>
    <col min="12035" max="12043" width="0" style="16" hidden="1" customWidth="1"/>
    <col min="12044" max="12044" width="12" style="16" customWidth="1"/>
    <col min="12045" max="12110" width="0" style="16" hidden="1" customWidth="1"/>
    <col min="12111" max="12288" width="11.44140625" style="16"/>
    <col min="12289" max="12289" width="9.6640625" style="16" customWidth="1"/>
    <col min="12290" max="12290" width="29.109375" style="16" customWidth="1"/>
    <col min="12291" max="12299" width="0" style="16" hidden="1" customWidth="1"/>
    <col min="12300" max="12300" width="12" style="16" customWidth="1"/>
    <col min="12301" max="12366" width="0" style="16" hidden="1" customWidth="1"/>
    <col min="12367" max="12544" width="11.44140625" style="16"/>
    <col min="12545" max="12545" width="9.6640625" style="16" customWidth="1"/>
    <col min="12546" max="12546" width="29.109375" style="16" customWidth="1"/>
    <col min="12547" max="12555" width="0" style="16" hidden="1" customWidth="1"/>
    <col min="12556" max="12556" width="12" style="16" customWidth="1"/>
    <col min="12557" max="12622" width="0" style="16" hidden="1" customWidth="1"/>
    <col min="12623" max="12800" width="11.44140625" style="16"/>
    <col min="12801" max="12801" width="9.6640625" style="16" customWidth="1"/>
    <col min="12802" max="12802" width="29.109375" style="16" customWidth="1"/>
    <col min="12803" max="12811" width="0" style="16" hidden="1" customWidth="1"/>
    <col min="12812" max="12812" width="12" style="16" customWidth="1"/>
    <col min="12813" max="12878" width="0" style="16" hidden="1" customWidth="1"/>
    <col min="12879" max="13056" width="11.44140625" style="16"/>
    <col min="13057" max="13057" width="9.6640625" style="16" customWidth="1"/>
    <col min="13058" max="13058" width="29.109375" style="16" customWidth="1"/>
    <col min="13059" max="13067" width="0" style="16" hidden="1" customWidth="1"/>
    <col min="13068" max="13068" width="12" style="16" customWidth="1"/>
    <col min="13069" max="13134" width="0" style="16" hidden="1" customWidth="1"/>
    <col min="13135" max="13312" width="11.44140625" style="16"/>
    <col min="13313" max="13313" width="9.6640625" style="16" customWidth="1"/>
    <col min="13314" max="13314" width="29.109375" style="16" customWidth="1"/>
    <col min="13315" max="13323" width="0" style="16" hidden="1" customWidth="1"/>
    <col min="13324" max="13324" width="12" style="16" customWidth="1"/>
    <col min="13325" max="13390" width="0" style="16" hidden="1" customWidth="1"/>
    <col min="13391" max="13568" width="11.44140625" style="16"/>
    <col min="13569" max="13569" width="9.6640625" style="16" customWidth="1"/>
    <col min="13570" max="13570" width="29.109375" style="16" customWidth="1"/>
    <col min="13571" max="13579" width="0" style="16" hidden="1" customWidth="1"/>
    <col min="13580" max="13580" width="12" style="16" customWidth="1"/>
    <col min="13581" max="13646" width="0" style="16" hidden="1" customWidth="1"/>
    <col min="13647" max="13824" width="11.44140625" style="16"/>
    <col min="13825" max="13825" width="9.6640625" style="16" customWidth="1"/>
    <col min="13826" max="13826" width="29.109375" style="16" customWidth="1"/>
    <col min="13827" max="13835" width="0" style="16" hidden="1" customWidth="1"/>
    <col min="13836" max="13836" width="12" style="16" customWidth="1"/>
    <col min="13837" max="13902" width="0" style="16" hidden="1" customWidth="1"/>
    <col min="13903" max="14080" width="11.44140625" style="16"/>
    <col min="14081" max="14081" width="9.6640625" style="16" customWidth="1"/>
    <col min="14082" max="14082" width="29.109375" style="16" customWidth="1"/>
    <col min="14083" max="14091" width="0" style="16" hidden="1" customWidth="1"/>
    <col min="14092" max="14092" width="12" style="16" customWidth="1"/>
    <col min="14093" max="14158" width="0" style="16" hidden="1" customWidth="1"/>
    <col min="14159" max="14336" width="11.44140625" style="16"/>
    <col min="14337" max="14337" width="9.6640625" style="16" customWidth="1"/>
    <col min="14338" max="14338" width="29.109375" style="16" customWidth="1"/>
    <col min="14339" max="14347" width="0" style="16" hidden="1" customWidth="1"/>
    <col min="14348" max="14348" width="12" style="16" customWidth="1"/>
    <col min="14349" max="14414" width="0" style="16" hidden="1" customWidth="1"/>
    <col min="14415" max="14592" width="11.44140625" style="16"/>
    <col min="14593" max="14593" width="9.6640625" style="16" customWidth="1"/>
    <col min="14594" max="14594" width="29.109375" style="16" customWidth="1"/>
    <col min="14595" max="14603" width="0" style="16" hidden="1" customWidth="1"/>
    <col min="14604" max="14604" width="12" style="16" customWidth="1"/>
    <col min="14605" max="14670" width="0" style="16" hidden="1" customWidth="1"/>
    <col min="14671" max="14848" width="11.44140625" style="16"/>
    <col min="14849" max="14849" width="9.6640625" style="16" customWidth="1"/>
    <col min="14850" max="14850" width="29.109375" style="16" customWidth="1"/>
    <col min="14851" max="14859" width="0" style="16" hidden="1" customWidth="1"/>
    <col min="14860" max="14860" width="12" style="16" customWidth="1"/>
    <col min="14861" max="14926" width="0" style="16" hidden="1" customWidth="1"/>
    <col min="14927" max="15104" width="11.44140625" style="16"/>
    <col min="15105" max="15105" width="9.6640625" style="16" customWidth="1"/>
    <col min="15106" max="15106" width="29.109375" style="16" customWidth="1"/>
    <col min="15107" max="15115" width="0" style="16" hidden="1" customWidth="1"/>
    <col min="15116" max="15116" width="12" style="16" customWidth="1"/>
    <col min="15117" max="15182" width="0" style="16" hidden="1" customWidth="1"/>
    <col min="15183" max="15360" width="11.44140625" style="16"/>
    <col min="15361" max="15361" width="9.6640625" style="16" customWidth="1"/>
    <col min="15362" max="15362" width="29.109375" style="16" customWidth="1"/>
    <col min="15363" max="15371" width="0" style="16" hidden="1" customWidth="1"/>
    <col min="15372" max="15372" width="12" style="16" customWidth="1"/>
    <col min="15373" max="15438" width="0" style="16" hidden="1" customWidth="1"/>
    <col min="15439" max="15616" width="11.44140625" style="16"/>
    <col min="15617" max="15617" width="9.6640625" style="16" customWidth="1"/>
    <col min="15618" max="15618" width="29.109375" style="16" customWidth="1"/>
    <col min="15619" max="15627" width="0" style="16" hidden="1" customWidth="1"/>
    <col min="15628" max="15628" width="12" style="16" customWidth="1"/>
    <col min="15629" max="15694" width="0" style="16" hidden="1" customWidth="1"/>
    <col min="15695" max="15872" width="11.44140625" style="16"/>
    <col min="15873" max="15873" width="9.6640625" style="16" customWidth="1"/>
    <col min="15874" max="15874" width="29.109375" style="16" customWidth="1"/>
    <col min="15875" max="15883" width="0" style="16" hidden="1" customWidth="1"/>
    <col min="15884" max="15884" width="12" style="16" customWidth="1"/>
    <col min="15885" max="15950" width="0" style="16" hidden="1" customWidth="1"/>
    <col min="15951" max="16128" width="11.44140625" style="16"/>
    <col min="16129" max="16129" width="9.6640625" style="16" customWidth="1"/>
    <col min="16130" max="16130" width="29.109375" style="16" customWidth="1"/>
    <col min="16131" max="16139" width="0" style="16" hidden="1" customWidth="1"/>
    <col min="16140" max="16140" width="12" style="16" customWidth="1"/>
    <col min="16141" max="16206" width="0" style="16" hidden="1" customWidth="1"/>
    <col min="16207" max="16384" width="11.44140625" style="16"/>
  </cols>
  <sheetData>
    <row r="1" spans="1:100" ht="12.75" customHeight="1" x14ac:dyDescent="0.3">
      <c r="A1" s="152" t="s">
        <v>17</v>
      </c>
      <c r="F1" s="17"/>
      <c r="M1" s="17"/>
      <c r="Q1" s="17"/>
      <c r="R1" s="17"/>
      <c r="S1" s="17"/>
      <c r="W1" s="16" t="s">
        <v>72</v>
      </c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 hidden="1" x14ac:dyDescent="0.3">
      <c r="A2" s="152" t="s">
        <v>13</v>
      </c>
      <c r="F2" s="17"/>
      <c r="M2" s="17"/>
      <c r="Q2" s="17"/>
      <c r="R2" s="17"/>
      <c r="S2" s="17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idden="1" x14ac:dyDescent="0.3">
      <c r="A3" s="152" t="s">
        <v>14</v>
      </c>
      <c r="F3" s="17"/>
      <c r="M3" s="17"/>
      <c r="Q3" s="17"/>
      <c r="R3" s="17"/>
      <c r="S3" s="17"/>
      <c r="AR3" s="20">
        <f>12099-11938</f>
        <v>161</v>
      </c>
      <c r="AW3" s="16">
        <f>10425-10264</f>
        <v>161</v>
      </c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 ht="13.8" x14ac:dyDescent="0.3">
      <c r="A4" s="152"/>
      <c r="B4" s="21" t="s">
        <v>18</v>
      </c>
      <c r="F4" s="17"/>
      <c r="M4" s="17"/>
      <c r="Q4" s="17"/>
      <c r="R4" s="17"/>
      <c r="S4" s="17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 ht="12.75" customHeight="1" x14ac:dyDescent="0.3">
      <c r="F5" s="17"/>
      <c r="M5" s="22"/>
      <c r="N5" s="178" t="s">
        <v>21</v>
      </c>
      <c r="O5" s="179"/>
      <c r="P5" s="179"/>
      <c r="Q5" s="179"/>
      <c r="R5" s="179"/>
      <c r="S5" s="180"/>
      <c r="T5" s="184" t="s">
        <v>22</v>
      </c>
      <c r="U5" s="185"/>
      <c r="V5" s="185"/>
      <c r="W5" s="185"/>
      <c r="X5" s="185"/>
      <c r="Y5" s="186"/>
      <c r="Z5" s="187" t="s">
        <v>23</v>
      </c>
      <c r="AA5" s="188"/>
      <c r="AB5" s="188"/>
      <c r="AC5" s="188"/>
      <c r="AD5" s="188"/>
      <c r="AE5" s="189"/>
      <c r="AF5" s="190" t="s">
        <v>24</v>
      </c>
      <c r="AG5" s="191"/>
      <c r="AH5" s="191"/>
      <c r="AI5" s="191"/>
      <c r="AJ5" s="191"/>
      <c r="AK5" s="192"/>
      <c r="AL5" s="193" t="s">
        <v>25</v>
      </c>
      <c r="AM5" s="194"/>
      <c r="AN5" s="194"/>
      <c r="AO5" s="194"/>
      <c r="AP5" s="194"/>
      <c r="AQ5" s="195"/>
      <c r="AR5" s="196" t="s">
        <v>26</v>
      </c>
      <c r="AS5" s="197"/>
      <c r="AT5" s="197"/>
      <c r="AU5" s="197"/>
      <c r="AV5" s="197"/>
      <c r="AW5" s="198"/>
      <c r="AX5" s="199" t="s">
        <v>27</v>
      </c>
      <c r="AY5" s="200"/>
      <c r="AZ5" s="200"/>
      <c r="BA5" s="200"/>
      <c r="BB5" s="200"/>
      <c r="BC5" s="201"/>
      <c r="BD5" s="202" t="s">
        <v>28</v>
      </c>
      <c r="BE5" s="203"/>
      <c r="BF5" s="203"/>
      <c r="BG5" s="203"/>
      <c r="BH5" s="203"/>
      <c r="BI5" s="204"/>
      <c r="BJ5" s="184" t="s">
        <v>29</v>
      </c>
      <c r="BK5" s="185"/>
      <c r="BL5" s="185"/>
      <c r="BM5" s="185"/>
      <c r="BN5" s="185"/>
      <c r="BO5" s="186"/>
      <c r="BP5" s="205" t="s">
        <v>30</v>
      </c>
      <c r="BQ5" s="206"/>
      <c r="BR5" s="206"/>
      <c r="BS5" s="206"/>
      <c r="BT5" s="206"/>
      <c r="BU5" s="207"/>
      <c r="BV5" s="208" t="s">
        <v>31</v>
      </c>
      <c r="BW5" s="209"/>
      <c r="BX5" s="209"/>
      <c r="BY5" s="209"/>
      <c r="BZ5" s="209"/>
      <c r="CA5" s="210"/>
      <c r="CB5" s="181" t="s">
        <v>32</v>
      </c>
      <c r="CC5" s="182"/>
      <c r="CD5" s="182"/>
      <c r="CE5" s="182"/>
      <c r="CF5" s="182"/>
      <c r="CG5" s="183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 s="23" customFormat="1" ht="65.25" customHeight="1" x14ac:dyDescent="0.3">
      <c r="A6" s="23" t="s">
        <v>2</v>
      </c>
      <c r="B6" s="23" t="s">
        <v>0</v>
      </c>
      <c r="C6" s="23" t="s">
        <v>3</v>
      </c>
      <c r="D6" s="23" t="s">
        <v>60</v>
      </c>
      <c r="E6" s="23" t="s">
        <v>4</v>
      </c>
      <c r="F6" s="24" t="s">
        <v>334</v>
      </c>
      <c r="G6" s="23" t="s">
        <v>155</v>
      </c>
      <c r="H6" s="25" t="s">
        <v>43</v>
      </c>
      <c r="I6" s="25" t="s">
        <v>33</v>
      </c>
      <c r="J6" s="26" t="s">
        <v>11</v>
      </c>
      <c r="K6" s="26" t="s">
        <v>12</v>
      </c>
      <c r="L6" s="146" t="s">
        <v>5</v>
      </c>
      <c r="M6" s="24" t="s">
        <v>19</v>
      </c>
      <c r="N6" s="28" t="s">
        <v>1</v>
      </c>
      <c r="O6" s="29" t="s">
        <v>6</v>
      </c>
      <c r="P6" s="30" t="s">
        <v>7</v>
      </c>
      <c r="Q6" s="31" t="s">
        <v>8</v>
      </c>
      <c r="R6" s="31" t="s">
        <v>9</v>
      </c>
      <c r="S6" s="31" t="s">
        <v>37</v>
      </c>
      <c r="T6" s="32" t="s">
        <v>1</v>
      </c>
      <c r="U6" s="33" t="s">
        <v>6</v>
      </c>
      <c r="V6" s="34" t="s">
        <v>7</v>
      </c>
      <c r="W6" s="35" t="s">
        <v>8</v>
      </c>
      <c r="X6" s="35" t="s">
        <v>9</v>
      </c>
      <c r="Y6" s="35" t="s">
        <v>61</v>
      </c>
      <c r="Z6" s="36" t="s">
        <v>1</v>
      </c>
      <c r="AA6" s="37" t="s">
        <v>6</v>
      </c>
      <c r="AB6" s="38" t="s">
        <v>7</v>
      </c>
      <c r="AC6" s="39" t="s">
        <v>15</v>
      </c>
      <c r="AD6" s="136" t="s">
        <v>9</v>
      </c>
      <c r="AE6" s="39" t="s">
        <v>62</v>
      </c>
      <c r="AF6" s="40" t="s">
        <v>1</v>
      </c>
      <c r="AG6" s="41" t="s">
        <v>6</v>
      </c>
      <c r="AH6" s="42" t="s">
        <v>7</v>
      </c>
      <c r="AI6" s="43" t="s">
        <v>15</v>
      </c>
      <c r="AJ6" s="43" t="s">
        <v>9</v>
      </c>
      <c r="AK6" s="43" t="s">
        <v>63</v>
      </c>
      <c r="AL6" s="44" t="s">
        <v>1</v>
      </c>
      <c r="AM6" s="45" t="s">
        <v>6</v>
      </c>
      <c r="AN6" s="46" t="s">
        <v>7</v>
      </c>
      <c r="AO6" s="47" t="s">
        <v>8</v>
      </c>
      <c r="AP6" s="47" t="s">
        <v>9</v>
      </c>
      <c r="AQ6" s="47" t="s">
        <v>64</v>
      </c>
      <c r="AR6" s="48" t="s">
        <v>1</v>
      </c>
      <c r="AS6" s="49" t="s">
        <v>6</v>
      </c>
      <c r="AT6" s="50" t="s">
        <v>7</v>
      </c>
      <c r="AU6" s="161" t="s">
        <v>8</v>
      </c>
      <c r="AV6" s="161" t="s">
        <v>9</v>
      </c>
      <c r="AW6" s="51" t="s">
        <v>65</v>
      </c>
      <c r="AX6" s="52" t="s">
        <v>1</v>
      </c>
      <c r="AY6" s="53" t="s">
        <v>6</v>
      </c>
      <c r="AZ6" s="54" t="s">
        <v>7</v>
      </c>
      <c r="BA6" s="170" t="s">
        <v>8</v>
      </c>
      <c r="BB6" s="170" t="s">
        <v>9</v>
      </c>
      <c r="BC6" s="55" t="s">
        <v>66</v>
      </c>
      <c r="BD6" s="56" t="s">
        <v>1</v>
      </c>
      <c r="BE6" s="57" t="s">
        <v>6</v>
      </c>
      <c r="BF6" s="58" t="s">
        <v>7</v>
      </c>
      <c r="BG6" s="59" t="s">
        <v>8</v>
      </c>
      <c r="BH6" s="59" t="s">
        <v>9</v>
      </c>
      <c r="BI6" s="59" t="s">
        <v>67</v>
      </c>
      <c r="BJ6" s="32" t="s">
        <v>1</v>
      </c>
      <c r="BK6" s="33" t="s">
        <v>6</v>
      </c>
      <c r="BL6" s="34" t="s">
        <v>7</v>
      </c>
      <c r="BM6" s="35" t="s">
        <v>10</v>
      </c>
      <c r="BN6" s="35" t="s">
        <v>9</v>
      </c>
      <c r="BO6" s="35" t="s">
        <v>68</v>
      </c>
      <c r="BP6" s="60" t="s">
        <v>1</v>
      </c>
      <c r="BQ6" s="61" t="s">
        <v>6</v>
      </c>
      <c r="BR6" s="62" t="s">
        <v>7</v>
      </c>
      <c r="BS6" s="63" t="s">
        <v>10</v>
      </c>
      <c r="BT6" s="63" t="s">
        <v>9</v>
      </c>
      <c r="BU6" s="63" t="s">
        <v>69</v>
      </c>
      <c r="BV6" s="64" t="s">
        <v>1</v>
      </c>
      <c r="BW6" s="65" t="s">
        <v>6</v>
      </c>
      <c r="BX6" s="66" t="s">
        <v>7</v>
      </c>
      <c r="BY6" s="67" t="s">
        <v>10</v>
      </c>
      <c r="BZ6" s="67" t="s">
        <v>9</v>
      </c>
      <c r="CA6" s="67" t="s">
        <v>70</v>
      </c>
      <c r="CB6" s="68" t="s">
        <v>1</v>
      </c>
      <c r="CC6" s="69" t="s">
        <v>6</v>
      </c>
      <c r="CD6" s="70" t="s">
        <v>7</v>
      </c>
      <c r="CE6" s="71" t="s">
        <v>10</v>
      </c>
      <c r="CF6" s="71" t="s">
        <v>9</v>
      </c>
      <c r="CG6" s="71" t="s">
        <v>71</v>
      </c>
    </row>
    <row r="7" spans="1:100" x14ac:dyDescent="0.3">
      <c r="A7" s="1" t="s">
        <v>217</v>
      </c>
      <c r="B7" s="2" t="s">
        <v>35</v>
      </c>
      <c r="C7" s="3" t="s">
        <v>34</v>
      </c>
      <c r="D7" s="3" t="s">
        <v>42</v>
      </c>
      <c r="E7" s="3" t="s">
        <v>45</v>
      </c>
      <c r="F7" s="4"/>
      <c r="G7" s="3"/>
      <c r="H7" s="5" t="s">
        <v>98</v>
      </c>
      <c r="I7" s="5" t="s">
        <v>44</v>
      </c>
      <c r="J7" s="6">
        <v>46042</v>
      </c>
      <c r="K7" s="6">
        <v>49694</v>
      </c>
      <c r="L7" s="147">
        <v>575340.91</v>
      </c>
      <c r="M7" s="8"/>
      <c r="N7" s="9"/>
      <c r="O7" s="1"/>
      <c r="P7" s="10"/>
      <c r="Q7" s="4">
        <v>575340.91</v>
      </c>
      <c r="R7" s="4"/>
      <c r="S7" s="4">
        <f>M7+Q7-R7</f>
        <v>575340.91</v>
      </c>
      <c r="T7" s="9">
        <v>46076</v>
      </c>
      <c r="U7" s="1">
        <v>2472</v>
      </c>
      <c r="V7" s="5" t="s">
        <v>97</v>
      </c>
      <c r="W7" s="4"/>
      <c r="X7" s="4">
        <v>4812.5</v>
      </c>
      <c r="Y7" s="4">
        <f t="shared" ref="Y7:Y17" si="0">S7+W7-X7</f>
        <v>570528.41</v>
      </c>
      <c r="Z7" s="6">
        <v>46104</v>
      </c>
      <c r="AA7" s="1">
        <v>2653</v>
      </c>
      <c r="AB7" s="5" t="s">
        <v>199</v>
      </c>
      <c r="AC7" s="4"/>
      <c r="AD7" s="137">
        <v>4796.0200000000004</v>
      </c>
      <c r="AE7" s="4">
        <f t="shared" ref="AE7:AE23" si="1">Y7+AC7-AD7</f>
        <v>565732.39</v>
      </c>
      <c r="AF7" s="9"/>
      <c r="AG7" s="1"/>
      <c r="AH7" s="5"/>
      <c r="AI7" s="4"/>
      <c r="AJ7" s="4"/>
      <c r="AK7" s="4">
        <f t="shared" ref="AK7:AK41" si="2">AE7+AI7-AJ7</f>
        <v>565732.39</v>
      </c>
      <c r="AL7" s="9" t="s">
        <v>354</v>
      </c>
      <c r="AM7" s="1" t="s">
        <v>355</v>
      </c>
      <c r="AN7" s="5" t="s">
        <v>353</v>
      </c>
      <c r="AO7" s="4"/>
      <c r="AP7" s="4">
        <f>4776.56+3214.2</f>
        <v>7990.76</v>
      </c>
      <c r="AQ7" s="4">
        <f t="shared" ref="AQ7:AQ38" si="3">AK7+AO7-AP7</f>
        <v>557741.63</v>
      </c>
      <c r="AR7" s="6" t="s">
        <v>394</v>
      </c>
      <c r="AS7" s="1" t="s">
        <v>395</v>
      </c>
      <c r="AT7" s="5" t="s">
        <v>396</v>
      </c>
      <c r="AU7" s="126"/>
      <c r="AV7" s="126">
        <f>1579.59+583.18</f>
        <v>2162.77</v>
      </c>
      <c r="AW7" s="4">
        <f t="shared" ref="AW7:AW22" si="4">AQ7+AU7-AV7</f>
        <v>555578.86</v>
      </c>
      <c r="AX7" s="6"/>
      <c r="AY7" s="1"/>
      <c r="AZ7" s="5"/>
      <c r="BA7" s="126"/>
      <c r="BB7" s="126"/>
      <c r="BC7" s="4">
        <f t="shared" ref="BC7:BC51" si="5">AW7+BA7-BB7</f>
        <v>555578.86</v>
      </c>
      <c r="BD7" s="9"/>
      <c r="BE7" s="1"/>
      <c r="BF7" s="10"/>
      <c r="BG7" s="4"/>
      <c r="BH7" s="8"/>
      <c r="BI7" s="4">
        <f t="shared" ref="BI7:BI38" si="6">BC7+BG7-BH7</f>
        <v>555578.86</v>
      </c>
      <c r="BJ7" s="9"/>
      <c r="BK7" s="1"/>
      <c r="BL7" s="10"/>
      <c r="BM7" s="4"/>
      <c r="BN7" s="4"/>
      <c r="BO7" s="4">
        <f t="shared" ref="BO7:BO38" si="7">BI7+BM7-BN7</f>
        <v>555578.86</v>
      </c>
      <c r="BP7" s="9"/>
      <c r="BQ7" s="1"/>
      <c r="BR7" s="10"/>
      <c r="BS7" s="4"/>
      <c r="BT7" s="4"/>
      <c r="BU7" s="4">
        <f t="shared" ref="BU7:BU63" si="8">BO7+BS7-BT7</f>
        <v>555578.86</v>
      </c>
      <c r="BV7" s="9"/>
      <c r="BW7" s="1"/>
      <c r="BX7" s="10"/>
      <c r="BY7" s="4"/>
      <c r="BZ7" s="4"/>
      <c r="CA7" s="4">
        <f t="shared" ref="CA7:CA51" si="9">BU7+BY7-BZ7</f>
        <v>555578.86</v>
      </c>
      <c r="CB7" s="9"/>
      <c r="CC7" s="3"/>
      <c r="CD7" s="1"/>
      <c r="CE7" s="4"/>
      <c r="CF7" s="4"/>
      <c r="CG7" s="4">
        <f t="shared" ref="CG7:CG38" si="10">CA7+CE7-CF7</f>
        <v>555578.86</v>
      </c>
      <c r="CH7" s="4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 x14ac:dyDescent="0.3">
      <c r="A8" s="1" t="s">
        <v>178</v>
      </c>
      <c r="B8" s="3" t="s">
        <v>36</v>
      </c>
      <c r="C8" s="3" t="s">
        <v>34</v>
      </c>
      <c r="D8" s="3" t="s">
        <v>47</v>
      </c>
      <c r="E8" s="3" t="s">
        <v>48</v>
      </c>
      <c r="F8" s="4" t="s">
        <v>216</v>
      </c>
      <c r="G8" s="3"/>
      <c r="H8" s="5" t="s">
        <v>46</v>
      </c>
      <c r="I8" s="5" t="s">
        <v>44</v>
      </c>
      <c r="J8" s="117">
        <v>46044</v>
      </c>
      <c r="K8" s="6">
        <v>49696</v>
      </c>
      <c r="L8" s="148">
        <v>409991.3</v>
      </c>
      <c r="M8" s="8"/>
      <c r="N8" s="9"/>
      <c r="O8" s="1"/>
      <c r="P8" s="10"/>
      <c r="Q8" s="4">
        <v>409991.3</v>
      </c>
      <c r="R8" s="4"/>
      <c r="S8" s="4">
        <f t="shared" ref="S8:S23" si="11">SUM(Q8-R8)</f>
        <v>409991.3</v>
      </c>
      <c r="T8" s="11">
        <v>46076</v>
      </c>
      <c r="U8" s="1">
        <v>2474</v>
      </c>
      <c r="V8" s="5" t="s">
        <v>97</v>
      </c>
      <c r="W8" s="4"/>
      <c r="X8" s="12">
        <v>3416.92</v>
      </c>
      <c r="Y8" s="4">
        <f t="shared" si="0"/>
        <v>406574.38</v>
      </c>
      <c r="Z8" s="117">
        <v>46104</v>
      </c>
      <c r="AA8" s="1">
        <v>2655</v>
      </c>
      <c r="AB8" s="5" t="s">
        <v>199</v>
      </c>
      <c r="AC8" s="4"/>
      <c r="AD8" s="138">
        <v>3416.58</v>
      </c>
      <c r="AE8" s="4">
        <f t="shared" si="1"/>
        <v>403157.8</v>
      </c>
      <c r="AF8" s="11"/>
      <c r="AG8" s="1"/>
      <c r="AH8" s="5"/>
      <c r="AI8" s="4"/>
      <c r="AJ8" s="12"/>
      <c r="AK8" s="4">
        <f t="shared" si="2"/>
        <v>403157.8</v>
      </c>
      <c r="AL8" s="11" t="s">
        <v>351</v>
      </c>
      <c r="AM8" s="1" t="s">
        <v>352</v>
      </c>
      <c r="AN8" s="5" t="s">
        <v>353</v>
      </c>
      <c r="AO8" s="4"/>
      <c r="AP8" s="12">
        <f>3440.68+3393.24</f>
        <v>6833.92</v>
      </c>
      <c r="AQ8" s="4">
        <f t="shared" si="3"/>
        <v>396323.88</v>
      </c>
      <c r="AR8" s="117">
        <v>46200</v>
      </c>
      <c r="AS8" s="1">
        <v>3222</v>
      </c>
      <c r="AT8" s="5" t="s">
        <v>369</v>
      </c>
      <c r="AU8" s="126"/>
      <c r="AV8" s="126">
        <v>3415.53</v>
      </c>
      <c r="AW8" s="4">
        <f t="shared" si="4"/>
        <v>392908.35</v>
      </c>
      <c r="AX8" s="117">
        <v>46225</v>
      </c>
      <c r="AY8" s="1">
        <v>3347</v>
      </c>
      <c r="AZ8" s="5" t="s">
        <v>403</v>
      </c>
      <c r="BA8" s="126"/>
      <c r="BB8" s="126">
        <v>3541.23</v>
      </c>
      <c r="BC8" s="4">
        <f t="shared" si="5"/>
        <v>389367.12</v>
      </c>
      <c r="BD8" s="11"/>
      <c r="BE8" s="1"/>
      <c r="BF8" s="10"/>
      <c r="BG8" s="4"/>
      <c r="BH8" s="8"/>
      <c r="BI8" s="4">
        <f t="shared" si="6"/>
        <v>389367.12</v>
      </c>
      <c r="BJ8" s="11"/>
      <c r="BK8" s="1"/>
      <c r="BL8" s="10"/>
      <c r="BM8" s="4"/>
      <c r="BN8" s="4"/>
      <c r="BO8" s="4">
        <f t="shared" si="7"/>
        <v>389367.12</v>
      </c>
      <c r="BP8" s="9"/>
      <c r="BQ8" s="1"/>
      <c r="BR8" s="10"/>
      <c r="BS8" s="4"/>
      <c r="BT8" s="4"/>
      <c r="BU8" s="4">
        <f t="shared" si="8"/>
        <v>389367.12</v>
      </c>
      <c r="BV8" s="9"/>
      <c r="BW8" s="1"/>
      <c r="BX8" s="4"/>
      <c r="BY8" s="4"/>
      <c r="BZ8" s="4"/>
      <c r="CA8" s="4">
        <f t="shared" si="9"/>
        <v>389367.12</v>
      </c>
      <c r="CB8" s="9"/>
      <c r="CC8" s="3"/>
      <c r="CD8" s="1"/>
      <c r="CE8" s="4"/>
      <c r="CF8" s="4"/>
      <c r="CG8" s="4">
        <f t="shared" si="10"/>
        <v>389367.12</v>
      </c>
      <c r="CH8" s="4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 ht="15" x14ac:dyDescent="0.45">
      <c r="A9" s="1" t="s">
        <v>182</v>
      </c>
      <c r="B9" s="3" t="s">
        <v>38</v>
      </c>
      <c r="C9" s="3" t="s">
        <v>34</v>
      </c>
      <c r="D9" s="3" t="s">
        <v>49</v>
      </c>
      <c r="E9" s="3" t="s">
        <v>50</v>
      </c>
      <c r="F9" s="4"/>
      <c r="G9" s="3"/>
      <c r="H9" s="5" t="s">
        <v>51</v>
      </c>
      <c r="I9" s="5" t="s">
        <v>52</v>
      </c>
      <c r="J9" s="117">
        <v>46050</v>
      </c>
      <c r="K9" s="6">
        <v>51529</v>
      </c>
      <c r="L9" s="148">
        <v>681818.18</v>
      </c>
      <c r="M9" s="8"/>
      <c r="N9" s="11"/>
      <c r="O9" s="1"/>
      <c r="P9" s="10"/>
      <c r="Q9" s="4">
        <v>681818.18</v>
      </c>
      <c r="R9" s="4"/>
      <c r="S9" s="4">
        <f t="shared" si="11"/>
        <v>681818.18</v>
      </c>
      <c r="T9" s="11"/>
      <c r="U9" s="1"/>
      <c r="V9" s="10"/>
      <c r="W9" s="4"/>
      <c r="X9" s="4"/>
      <c r="Y9" s="72">
        <f t="shared" si="0"/>
        <v>681818.18</v>
      </c>
      <c r="Z9" s="117" t="s">
        <v>253</v>
      </c>
      <c r="AA9" s="1" t="s">
        <v>254</v>
      </c>
      <c r="AB9" s="5" t="s">
        <v>255</v>
      </c>
      <c r="AC9" s="4"/>
      <c r="AD9" s="137">
        <f>3788.12 + 6018.47</f>
        <v>9806.59</v>
      </c>
      <c r="AE9" s="4">
        <f t="shared" si="1"/>
        <v>672011.59000000008</v>
      </c>
      <c r="AF9" s="11"/>
      <c r="AG9" s="1"/>
      <c r="AH9" s="5"/>
      <c r="AI9" s="4"/>
      <c r="AJ9" s="4"/>
      <c r="AK9" s="4">
        <f t="shared" si="2"/>
        <v>672011.59000000008</v>
      </c>
      <c r="AL9" s="11">
        <v>46146</v>
      </c>
      <c r="AM9" s="1">
        <v>2881</v>
      </c>
      <c r="AN9" s="5" t="s">
        <v>275</v>
      </c>
      <c r="AO9" s="4"/>
      <c r="AP9" s="4">
        <v>1557.53</v>
      </c>
      <c r="AQ9" s="4">
        <f t="shared" si="3"/>
        <v>670454.06000000006</v>
      </c>
      <c r="AR9" s="117" t="s">
        <v>385</v>
      </c>
      <c r="AS9" s="1">
        <v>3127</v>
      </c>
      <c r="AT9" s="5" t="s">
        <v>289</v>
      </c>
      <c r="AU9" s="126"/>
      <c r="AV9" s="126">
        <v>4929.45</v>
      </c>
      <c r="AW9" s="4">
        <f t="shared" si="4"/>
        <v>665524.6100000001</v>
      </c>
      <c r="AX9" s="117"/>
      <c r="AY9" s="1"/>
      <c r="AZ9" s="5"/>
      <c r="BA9" s="126"/>
      <c r="BB9" s="126"/>
      <c r="BC9" s="4">
        <f t="shared" si="5"/>
        <v>665524.6100000001</v>
      </c>
      <c r="BD9" s="11"/>
      <c r="BE9" s="1"/>
      <c r="BF9" s="10"/>
      <c r="BG9" s="4"/>
      <c r="BH9" s="8"/>
      <c r="BI9" s="4">
        <f t="shared" si="6"/>
        <v>665524.6100000001</v>
      </c>
      <c r="BJ9" s="11"/>
      <c r="BK9" s="1"/>
      <c r="BL9" s="10"/>
      <c r="BM9" s="4"/>
      <c r="BN9" s="4"/>
      <c r="BO9" s="4">
        <f t="shared" si="7"/>
        <v>665524.6100000001</v>
      </c>
      <c r="BP9" s="11"/>
      <c r="BQ9" s="1"/>
      <c r="BR9" s="10"/>
      <c r="BS9" s="4"/>
      <c r="BT9" s="4"/>
      <c r="BU9" s="4">
        <f t="shared" si="8"/>
        <v>665524.6100000001</v>
      </c>
      <c r="BV9" s="9"/>
      <c r="BW9" s="1"/>
      <c r="BX9" s="10"/>
      <c r="BY9" s="4"/>
      <c r="BZ9" s="4"/>
      <c r="CA9" s="4">
        <f t="shared" si="9"/>
        <v>665524.6100000001</v>
      </c>
      <c r="CB9" s="9"/>
      <c r="CC9" s="3"/>
      <c r="CD9" s="1"/>
      <c r="CE9" s="4"/>
      <c r="CF9" s="4"/>
      <c r="CG9" s="4">
        <f t="shared" si="10"/>
        <v>665524.6100000001</v>
      </c>
      <c r="CH9" s="4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x14ac:dyDescent="0.3">
      <c r="A10" s="1" t="s">
        <v>183</v>
      </c>
      <c r="B10" s="3" t="s">
        <v>39</v>
      </c>
      <c r="C10" s="3" t="s">
        <v>34</v>
      </c>
      <c r="D10" s="3" t="s">
        <v>53</v>
      </c>
      <c r="E10" s="3" t="s">
        <v>48</v>
      </c>
      <c r="F10" s="4"/>
      <c r="G10" s="3"/>
      <c r="H10" s="5" t="s">
        <v>54</v>
      </c>
      <c r="I10" s="5" t="s">
        <v>52</v>
      </c>
      <c r="J10" s="117">
        <v>46051</v>
      </c>
      <c r="K10" s="6">
        <v>51530</v>
      </c>
      <c r="L10" s="148">
        <v>2272727.27</v>
      </c>
      <c r="M10" s="8"/>
      <c r="N10" s="11"/>
      <c r="O10" s="1"/>
      <c r="P10" s="10"/>
      <c r="Q10" s="4">
        <v>2272727.27</v>
      </c>
      <c r="R10" s="4"/>
      <c r="S10" s="4">
        <f t="shared" si="11"/>
        <v>2272727.27</v>
      </c>
      <c r="T10" s="11"/>
      <c r="U10" s="1"/>
      <c r="V10" s="10"/>
      <c r="W10" s="4"/>
      <c r="X10" s="4"/>
      <c r="Y10" s="4">
        <f t="shared" si="0"/>
        <v>2272727.27</v>
      </c>
      <c r="Z10" s="117">
        <v>46084</v>
      </c>
      <c r="AA10" s="1">
        <v>2551</v>
      </c>
      <c r="AB10" s="5" t="s">
        <v>97</v>
      </c>
      <c r="AC10" s="4"/>
      <c r="AD10" s="137">
        <v>12626.26</v>
      </c>
      <c r="AE10" s="4">
        <f t="shared" si="1"/>
        <v>2260101.0100000002</v>
      </c>
      <c r="AF10" s="11"/>
      <c r="AG10" s="1"/>
      <c r="AH10" s="5"/>
      <c r="AI10" s="4"/>
      <c r="AJ10" s="4"/>
      <c r="AK10" s="4">
        <f t="shared" si="2"/>
        <v>2260101.0100000002</v>
      </c>
      <c r="AL10" s="11" t="s">
        <v>356</v>
      </c>
      <c r="AM10" s="1" t="s">
        <v>360</v>
      </c>
      <c r="AN10" s="5" t="s">
        <v>353</v>
      </c>
      <c r="AO10" s="4"/>
      <c r="AP10" s="4">
        <f>25260.62+12618.16</f>
        <v>37878.78</v>
      </c>
      <c r="AQ10" s="4">
        <f t="shared" si="3"/>
        <v>2222222.2300000004</v>
      </c>
      <c r="AR10" s="117">
        <v>46178</v>
      </c>
      <c r="AS10" s="1" t="s">
        <v>370</v>
      </c>
      <c r="AT10" s="5" t="s">
        <v>371</v>
      </c>
      <c r="AU10" s="126"/>
      <c r="AV10" s="126">
        <f>7694.06+20000</f>
        <v>27694.06</v>
      </c>
      <c r="AW10" s="4">
        <f t="shared" si="4"/>
        <v>2194528.1700000004</v>
      </c>
      <c r="AX10" s="117">
        <v>46214</v>
      </c>
      <c r="AY10" s="1">
        <v>3291</v>
      </c>
      <c r="AZ10" s="5" t="s">
        <v>403</v>
      </c>
      <c r="BA10" s="126"/>
      <c r="BB10" s="126">
        <v>9798.32</v>
      </c>
      <c r="BC10" s="4">
        <f t="shared" si="5"/>
        <v>2184729.8500000006</v>
      </c>
      <c r="BD10" s="11"/>
      <c r="BE10" s="1"/>
      <c r="BF10" s="10"/>
      <c r="BG10" s="4"/>
      <c r="BH10" s="8"/>
      <c r="BI10" s="4">
        <f t="shared" si="6"/>
        <v>2184729.8500000006</v>
      </c>
      <c r="BJ10" s="11"/>
      <c r="BK10" s="1"/>
      <c r="BL10" s="10"/>
      <c r="BM10" s="4"/>
      <c r="BN10" s="4"/>
      <c r="BO10" s="4">
        <f t="shared" si="7"/>
        <v>2184729.8500000006</v>
      </c>
      <c r="BP10" s="11"/>
      <c r="BQ10" s="1"/>
      <c r="BR10" s="10"/>
      <c r="BS10" s="4"/>
      <c r="BT10" s="4"/>
      <c r="BU10" s="4">
        <f t="shared" si="8"/>
        <v>2184729.8500000006</v>
      </c>
      <c r="BV10" s="11"/>
      <c r="BW10" s="1"/>
      <c r="BX10" s="10"/>
      <c r="BY10" s="4"/>
      <c r="BZ10" s="4"/>
      <c r="CA10" s="4">
        <f t="shared" si="9"/>
        <v>2184729.8500000006</v>
      </c>
      <c r="CB10" s="9"/>
      <c r="CC10" s="3"/>
      <c r="CD10" s="1"/>
      <c r="CE10" s="4"/>
      <c r="CF10" s="4"/>
      <c r="CG10" s="4">
        <f t="shared" si="10"/>
        <v>2184729.8500000006</v>
      </c>
      <c r="CH10" s="4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 x14ac:dyDescent="0.3">
      <c r="A11" s="1" t="s">
        <v>195</v>
      </c>
      <c r="B11" s="2" t="s">
        <v>40</v>
      </c>
      <c r="C11" s="3" t="s">
        <v>34</v>
      </c>
      <c r="D11" s="3" t="s">
        <v>55</v>
      </c>
      <c r="E11" s="3" t="s">
        <v>56</v>
      </c>
      <c r="F11" s="4"/>
      <c r="G11" s="3"/>
      <c r="H11" s="5" t="s">
        <v>57</v>
      </c>
      <c r="I11" s="5" t="s">
        <v>58</v>
      </c>
      <c r="J11" s="6">
        <v>46055</v>
      </c>
      <c r="K11" s="6">
        <v>47516</v>
      </c>
      <c r="L11" s="147">
        <v>340909.09</v>
      </c>
      <c r="M11" s="8"/>
      <c r="N11" s="9"/>
      <c r="O11" s="1"/>
      <c r="P11" s="10"/>
      <c r="Q11" s="4"/>
      <c r="R11" s="4"/>
      <c r="S11" s="4">
        <f t="shared" si="11"/>
        <v>0</v>
      </c>
      <c r="T11" s="9"/>
      <c r="U11" s="1"/>
      <c r="V11" s="10"/>
      <c r="W11" s="4">
        <v>340909.09</v>
      </c>
      <c r="X11" s="4"/>
      <c r="Y11" s="4">
        <f t="shared" si="0"/>
        <v>340909.09</v>
      </c>
      <c r="Z11" s="6" t="s">
        <v>264</v>
      </c>
      <c r="AA11" s="1" t="s">
        <v>278</v>
      </c>
      <c r="AB11" s="5" t="s">
        <v>265</v>
      </c>
      <c r="AC11" s="4"/>
      <c r="AD11" s="137">
        <f>7202.78+9611.53</f>
        <v>16814.310000000001</v>
      </c>
      <c r="AE11" s="4">
        <f t="shared" si="1"/>
        <v>324094.78000000003</v>
      </c>
      <c r="AF11" s="9" t="s">
        <v>269</v>
      </c>
      <c r="AG11" s="1"/>
      <c r="AH11" s="5"/>
      <c r="AI11" s="4"/>
      <c r="AJ11" s="4"/>
      <c r="AK11" s="4">
        <f t="shared" si="2"/>
        <v>324094.78000000003</v>
      </c>
      <c r="AL11" s="9">
        <v>46148</v>
      </c>
      <c r="AM11" s="1">
        <v>2894</v>
      </c>
      <c r="AN11" s="5" t="s">
        <v>275</v>
      </c>
      <c r="AO11" s="4"/>
      <c r="AP11" s="4">
        <v>7606.9</v>
      </c>
      <c r="AQ11" s="4">
        <f t="shared" si="3"/>
        <v>316487.88</v>
      </c>
      <c r="AR11" s="6">
        <v>46178</v>
      </c>
      <c r="AS11" s="1">
        <v>3074</v>
      </c>
      <c r="AT11" s="5">
        <v>4</v>
      </c>
      <c r="AU11" s="126"/>
      <c r="AV11" s="126">
        <v>7548.85</v>
      </c>
      <c r="AW11" s="4">
        <f t="shared" si="4"/>
        <v>308939.03000000003</v>
      </c>
      <c r="AX11" s="6">
        <v>46210</v>
      </c>
      <c r="AY11" s="1">
        <v>3269</v>
      </c>
      <c r="AZ11" s="1">
        <v>5</v>
      </c>
      <c r="BA11" s="126"/>
      <c r="BB11" s="126">
        <v>6865.17</v>
      </c>
      <c r="BC11" s="4">
        <f t="shared" si="5"/>
        <v>302073.86000000004</v>
      </c>
      <c r="BD11" s="9"/>
      <c r="BE11" s="3"/>
      <c r="BF11" s="1"/>
      <c r="BG11" s="4"/>
      <c r="BH11" s="8"/>
      <c r="BI11" s="4">
        <f t="shared" si="6"/>
        <v>302073.86000000004</v>
      </c>
      <c r="BJ11" s="9"/>
      <c r="BK11" s="3"/>
      <c r="BL11" s="1"/>
      <c r="BM11" s="4"/>
      <c r="BN11" s="4"/>
      <c r="BO11" s="4">
        <f t="shared" si="7"/>
        <v>302073.86000000004</v>
      </c>
      <c r="BP11" s="9"/>
      <c r="BQ11" s="3"/>
      <c r="BR11" s="1"/>
      <c r="BS11" s="4"/>
      <c r="BT11" s="4"/>
      <c r="BU11" s="4">
        <f t="shared" si="8"/>
        <v>302073.86000000004</v>
      </c>
      <c r="BV11" s="9"/>
      <c r="BW11" s="3"/>
      <c r="BX11" s="1"/>
      <c r="BY11" s="4"/>
      <c r="BZ11" s="4"/>
      <c r="CA11" s="4">
        <f t="shared" si="9"/>
        <v>302073.86000000004</v>
      </c>
      <c r="CB11" s="9"/>
      <c r="CC11" s="3"/>
      <c r="CD11" s="1"/>
      <c r="CE11" s="4"/>
      <c r="CF11" s="4"/>
      <c r="CG11" s="4">
        <f t="shared" si="10"/>
        <v>302073.86000000004</v>
      </c>
      <c r="CH11" s="4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x14ac:dyDescent="0.3">
      <c r="A12" s="1" t="s">
        <v>196</v>
      </c>
      <c r="B12" s="2" t="s">
        <v>41</v>
      </c>
      <c r="C12" s="3" t="s">
        <v>34</v>
      </c>
      <c r="D12" s="3" t="s">
        <v>59</v>
      </c>
      <c r="E12" s="3" t="s">
        <v>56</v>
      </c>
      <c r="F12" s="4"/>
      <c r="G12" s="3"/>
      <c r="H12" s="5" t="s">
        <v>57</v>
      </c>
      <c r="I12" s="5" t="s">
        <v>58</v>
      </c>
      <c r="J12" s="6">
        <v>46055</v>
      </c>
      <c r="K12" s="6">
        <v>47516</v>
      </c>
      <c r="L12" s="147">
        <v>340909.09</v>
      </c>
      <c r="M12" s="8"/>
      <c r="N12" s="9"/>
      <c r="O12" s="1"/>
      <c r="P12" s="10"/>
      <c r="Q12" s="4"/>
      <c r="R12" s="4"/>
      <c r="S12" s="4">
        <f t="shared" si="11"/>
        <v>0</v>
      </c>
      <c r="T12" s="9"/>
      <c r="U12" s="1"/>
      <c r="V12" s="10"/>
      <c r="W12" s="4">
        <v>340909.09</v>
      </c>
      <c r="X12" s="4"/>
      <c r="Y12" s="4">
        <f t="shared" si="0"/>
        <v>340909.09</v>
      </c>
      <c r="Z12" s="6" t="s">
        <v>262</v>
      </c>
      <c r="AA12" s="1" t="s">
        <v>263</v>
      </c>
      <c r="AB12" s="5" t="s">
        <v>255</v>
      </c>
      <c r="AC12" s="4"/>
      <c r="AD12" s="137">
        <f>7202.78+9611.53</f>
        <v>16814.310000000001</v>
      </c>
      <c r="AE12" s="4">
        <f t="shared" si="1"/>
        <v>324094.78000000003</v>
      </c>
      <c r="AF12" s="9" t="s">
        <v>269</v>
      </c>
      <c r="AG12" s="1"/>
      <c r="AH12" s="5"/>
      <c r="AI12" s="4"/>
      <c r="AJ12" s="4"/>
      <c r="AK12" s="4">
        <f t="shared" si="2"/>
        <v>324094.78000000003</v>
      </c>
      <c r="AL12" s="9">
        <v>46148</v>
      </c>
      <c r="AM12" s="1">
        <v>2897</v>
      </c>
      <c r="AN12" s="5" t="s">
        <v>275</v>
      </c>
      <c r="AO12" s="4"/>
      <c r="AP12" s="4">
        <v>7606.9</v>
      </c>
      <c r="AQ12" s="4">
        <f t="shared" si="3"/>
        <v>316487.88</v>
      </c>
      <c r="AR12" s="6">
        <v>46178</v>
      </c>
      <c r="AS12" s="160">
        <v>3080</v>
      </c>
      <c r="AT12" s="5">
        <v>4</v>
      </c>
      <c r="AU12" s="126"/>
      <c r="AV12" s="126">
        <v>7548.85</v>
      </c>
      <c r="AW12" s="4">
        <f t="shared" si="4"/>
        <v>308939.03000000003</v>
      </c>
      <c r="AX12" s="6">
        <v>46210</v>
      </c>
      <c r="AY12" s="1">
        <v>3271</v>
      </c>
      <c r="AZ12" s="1">
        <v>5</v>
      </c>
      <c r="BA12" s="126"/>
      <c r="BB12" s="126">
        <v>6865.17</v>
      </c>
      <c r="BC12" s="4">
        <f t="shared" si="5"/>
        <v>302073.86000000004</v>
      </c>
      <c r="BD12" s="9"/>
      <c r="BE12" s="3"/>
      <c r="BF12" s="1"/>
      <c r="BG12" s="4"/>
      <c r="BH12" s="8"/>
      <c r="BI12" s="4">
        <f t="shared" si="6"/>
        <v>302073.86000000004</v>
      </c>
      <c r="BJ12" s="9"/>
      <c r="BK12" s="3"/>
      <c r="BL12" s="1"/>
      <c r="BM12" s="4"/>
      <c r="BN12" s="4"/>
      <c r="BO12" s="4">
        <f t="shared" si="7"/>
        <v>302073.86000000004</v>
      </c>
      <c r="BP12" s="9"/>
      <c r="BQ12" s="3"/>
      <c r="BR12" s="1"/>
      <c r="BS12" s="4"/>
      <c r="BT12" s="4"/>
      <c r="BU12" s="4">
        <f t="shared" si="8"/>
        <v>302073.86000000004</v>
      </c>
      <c r="BV12" s="9"/>
      <c r="BW12" s="3"/>
      <c r="BX12" s="1"/>
      <c r="BY12" s="4"/>
      <c r="BZ12" s="4"/>
      <c r="CA12" s="4">
        <f t="shared" si="9"/>
        <v>302073.86000000004</v>
      </c>
      <c r="CB12" s="9"/>
      <c r="CC12" s="3"/>
      <c r="CD12" s="1"/>
      <c r="CE12" s="4"/>
      <c r="CF12" s="4"/>
      <c r="CG12" s="4">
        <f t="shared" si="10"/>
        <v>302073.86000000004</v>
      </c>
      <c r="CH12" s="4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x14ac:dyDescent="0.3">
      <c r="A13" s="1" t="s">
        <v>198</v>
      </c>
      <c r="B13" s="2" t="s">
        <v>73</v>
      </c>
      <c r="C13" s="3" t="s">
        <v>34</v>
      </c>
      <c r="D13" s="3" t="s">
        <v>101</v>
      </c>
      <c r="E13" s="3" t="s">
        <v>50</v>
      </c>
      <c r="F13" s="4"/>
      <c r="G13" s="3"/>
      <c r="H13" s="5" t="s">
        <v>87</v>
      </c>
      <c r="I13" s="5" t="s">
        <v>74</v>
      </c>
      <c r="J13" s="6">
        <v>46031</v>
      </c>
      <c r="K13" s="6">
        <v>46761</v>
      </c>
      <c r="L13" s="147">
        <v>170454.55</v>
      </c>
      <c r="M13" s="8"/>
      <c r="N13" s="9"/>
      <c r="O13" s="1"/>
      <c r="P13" s="10"/>
      <c r="Q13" s="4">
        <v>170454.55</v>
      </c>
      <c r="R13" s="4"/>
      <c r="S13" s="4">
        <f t="shared" si="11"/>
        <v>170454.55</v>
      </c>
      <c r="T13" s="9">
        <v>46065</v>
      </c>
      <c r="U13" s="1">
        <v>2408</v>
      </c>
      <c r="V13" s="5" t="s">
        <v>97</v>
      </c>
      <c r="W13" s="4"/>
      <c r="X13" s="4">
        <v>7125.53</v>
      </c>
      <c r="Y13" s="4">
        <f t="shared" si="0"/>
        <v>163329.01999999999</v>
      </c>
      <c r="Z13" s="6">
        <v>46099</v>
      </c>
      <c r="AA13" s="1">
        <v>2638</v>
      </c>
      <c r="AB13" s="5" t="s">
        <v>199</v>
      </c>
      <c r="AC13" s="4"/>
      <c r="AD13" s="137">
        <v>15981.41</v>
      </c>
      <c r="AE13" s="4">
        <f t="shared" si="1"/>
        <v>147347.60999999999</v>
      </c>
      <c r="AF13" s="9">
        <v>46121</v>
      </c>
      <c r="AG13" s="1">
        <v>2761</v>
      </c>
      <c r="AH13" s="5" t="s">
        <v>275</v>
      </c>
      <c r="AI13" s="4"/>
      <c r="AJ13" s="4">
        <v>8155.71</v>
      </c>
      <c r="AK13" s="4">
        <f t="shared" si="2"/>
        <v>139191.9</v>
      </c>
      <c r="AL13" s="9">
        <v>46157</v>
      </c>
      <c r="AM13" s="1">
        <v>2973</v>
      </c>
      <c r="AN13" s="5" t="s">
        <v>289</v>
      </c>
      <c r="AO13" s="4"/>
      <c r="AP13" s="4">
        <v>3227.16</v>
      </c>
      <c r="AQ13" s="4">
        <f t="shared" si="3"/>
        <v>135964.74</v>
      </c>
      <c r="AR13" s="6"/>
      <c r="AS13" s="1"/>
      <c r="AT13" s="5"/>
      <c r="AU13" s="126"/>
      <c r="AV13" s="126"/>
      <c r="AW13" s="4">
        <f t="shared" si="4"/>
        <v>135964.74</v>
      </c>
      <c r="AX13" s="6">
        <v>46227</v>
      </c>
      <c r="AY13" s="1">
        <v>3367</v>
      </c>
      <c r="AZ13" s="1">
        <v>5</v>
      </c>
      <c r="BA13" s="126"/>
      <c r="BB13" s="126">
        <v>8123.81</v>
      </c>
      <c r="BC13" s="4">
        <f t="shared" si="5"/>
        <v>127840.93</v>
      </c>
      <c r="BD13" s="9"/>
      <c r="BE13" s="3"/>
      <c r="BF13" s="1"/>
      <c r="BG13" s="4"/>
      <c r="BH13" s="8"/>
      <c r="BI13" s="4">
        <f t="shared" si="6"/>
        <v>127840.93</v>
      </c>
      <c r="BJ13" s="9"/>
      <c r="BK13" s="3"/>
      <c r="BL13" s="1"/>
      <c r="BM13" s="4"/>
      <c r="BN13" s="4"/>
      <c r="BO13" s="4">
        <f t="shared" si="7"/>
        <v>127840.93</v>
      </c>
      <c r="BP13" s="9"/>
      <c r="BQ13" s="3"/>
      <c r="BR13" s="1"/>
      <c r="BS13" s="4"/>
      <c r="BT13" s="4"/>
      <c r="BU13" s="4">
        <f t="shared" si="8"/>
        <v>127840.93</v>
      </c>
      <c r="BV13" s="9"/>
      <c r="BW13" s="3"/>
      <c r="BX13" s="1"/>
      <c r="BY13" s="4"/>
      <c r="BZ13" s="4"/>
      <c r="CA13" s="4">
        <f t="shared" si="9"/>
        <v>127840.93</v>
      </c>
      <c r="CB13" s="9"/>
      <c r="CC13" s="3"/>
      <c r="CD13" s="1"/>
      <c r="CE13" s="4"/>
      <c r="CF13" s="4"/>
      <c r="CG13" s="4">
        <f t="shared" si="10"/>
        <v>127840.93</v>
      </c>
      <c r="CH13" s="4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s="87" customFormat="1" x14ac:dyDescent="0.3">
      <c r="A14" s="90" t="s">
        <v>243</v>
      </c>
      <c r="B14" s="109" t="s">
        <v>75</v>
      </c>
      <c r="C14" s="87" t="s">
        <v>34</v>
      </c>
      <c r="D14" s="87" t="s">
        <v>109</v>
      </c>
      <c r="E14" s="87" t="s">
        <v>50</v>
      </c>
      <c r="F14" s="80"/>
      <c r="H14" s="110" t="s">
        <v>54</v>
      </c>
      <c r="I14" s="110" t="s">
        <v>76</v>
      </c>
      <c r="J14" s="111">
        <v>46051</v>
      </c>
      <c r="K14" s="111">
        <v>47147</v>
      </c>
      <c r="L14" s="149">
        <v>136477.26999999999</v>
      </c>
      <c r="M14" s="79"/>
      <c r="N14" s="89"/>
      <c r="O14" s="90"/>
      <c r="P14" s="88"/>
      <c r="Q14" s="80">
        <v>136477.26999999999</v>
      </c>
      <c r="R14" s="80"/>
      <c r="S14" s="80">
        <f t="shared" si="11"/>
        <v>136477.26999999999</v>
      </c>
      <c r="T14" s="89">
        <v>46077</v>
      </c>
      <c r="U14" s="90">
        <v>2484</v>
      </c>
      <c r="V14" s="110" t="s">
        <v>97</v>
      </c>
      <c r="W14" s="80"/>
      <c r="X14" s="80">
        <v>3807.85</v>
      </c>
      <c r="Y14" s="80">
        <f t="shared" si="0"/>
        <v>132669.41999999998</v>
      </c>
      <c r="Z14" s="111">
        <v>46105</v>
      </c>
      <c r="AA14" s="90">
        <v>2665</v>
      </c>
      <c r="AB14" s="110" t="s">
        <v>199</v>
      </c>
      <c r="AC14" s="80"/>
      <c r="AD14" s="139">
        <v>4406.37</v>
      </c>
      <c r="AE14" s="80">
        <f t="shared" si="1"/>
        <v>128263.04999999999</v>
      </c>
      <c r="AF14" s="89"/>
      <c r="AG14" s="90"/>
      <c r="AH14" s="110"/>
      <c r="AI14" s="80"/>
      <c r="AJ14" s="80"/>
      <c r="AK14" s="80">
        <f t="shared" si="2"/>
        <v>128263.04999999999</v>
      </c>
      <c r="AL14" s="89">
        <v>46144</v>
      </c>
      <c r="AM14" s="90">
        <v>2864</v>
      </c>
      <c r="AN14" s="110" t="s">
        <v>275</v>
      </c>
      <c r="AO14" s="80"/>
      <c r="AP14" s="80">
        <v>3279.52</v>
      </c>
      <c r="AQ14" s="80">
        <f t="shared" si="3"/>
        <v>124983.52999999998</v>
      </c>
      <c r="AR14" s="111" t="s">
        <v>404</v>
      </c>
      <c r="AS14" s="90" t="s">
        <v>405</v>
      </c>
      <c r="AT14" s="110" t="s">
        <v>400</v>
      </c>
      <c r="AU14" s="162"/>
      <c r="AV14" s="162">
        <f>103452.39+21531.14</f>
        <v>124983.53</v>
      </c>
      <c r="AW14" s="80">
        <f t="shared" si="4"/>
        <v>0</v>
      </c>
      <c r="AX14" s="111"/>
      <c r="AY14" s="90"/>
      <c r="AZ14" s="90"/>
      <c r="BA14" s="162"/>
      <c r="BB14" s="162"/>
      <c r="BC14" s="80">
        <f t="shared" si="5"/>
        <v>0</v>
      </c>
      <c r="BD14" s="89"/>
      <c r="BF14" s="90"/>
      <c r="BG14" s="80"/>
      <c r="BH14" s="79"/>
      <c r="BI14" s="80">
        <f t="shared" si="6"/>
        <v>0</v>
      </c>
      <c r="BJ14" s="89"/>
      <c r="BL14" s="90"/>
      <c r="BM14" s="80"/>
      <c r="BN14" s="80"/>
      <c r="BO14" s="80">
        <f t="shared" si="7"/>
        <v>0</v>
      </c>
      <c r="BP14" s="89"/>
      <c r="BR14" s="90"/>
      <c r="BS14" s="80"/>
      <c r="BT14" s="80"/>
      <c r="BU14" s="80">
        <f t="shared" si="8"/>
        <v>0</v>
      </c>
      <c r="BV14" s="89"/>
      <c r="BX14" s="90"/>
      <c r="BY14" s="80"/>
      <c r="BZ14" s="80"/>
      <c r="CA14" s="80">
        <f t="shared" si="9"/>
        <v>0</v>
      </c>
      <c r="CB14" s="89"/>
      <c r="CD14" s="90"/>
      <c r="CE14" s="80"/>
      <c r="CF14" s="80"/>
      <c r="CG14" s="80">
        <f t="shared" si="10"/>
        <v>0</v>
      </c>
      <c r="CH14" s="80" t="s">
        <v>113</v>
      </c>
    </row>
    <row r="15" spans="1:100" x14ac:dyDescent="0.3">
      <c r="A15" s="1" t="s">
        <v>209</v>
      </c>
      <c r="B15" s="2" t="s">
        <v>77</v>
      </c>
      <c r="C15" s="3" t="s">
        <v>34</v>
      </c>
      <c r="D15" s="3" t="s">
        <v>163</v>
      </c>
      <c r="E15" s="3" t="s">
        <v>48</v>
      </c>
      <c r="F15" s="4" t="s">
        <v>342</v>
      </c>
      <c r="G15" s="3"/>
      <c r="H15" s="5" t="s">
        <v>88</v>
      </c>
      <c r="I15" s="5" t="s">
        <v>78</v>
      </c>
      <c r="J15" s="6">
        <v>46066</v>
      </c>
      <c r="K15" s="6">
        <v>47892</v>
      </c>
      <c r="L15" s="147">
        <v>227272.73</v>
      </c>
      <c r="M15" s="8"/>
      <c r="N15" s="9"/>
      <c r="O15" s="1"/>
      <c r="P15" s="10"/>
      <c r="Q15" s="4"/>
      <c r="R15" s="4"/>
      <c r="S15" s="4">
        <f t="shared" si="11"/>
        <v>0</v>
      </c>
      <c r="T15" s="9"/>
      <c r="U15" s="1" t="s">
        <v>72</v>
      </c>
      <c r="V15" s="10"/>
      <c r="W15" s="4">
        <v>227272.73</v>
      </c>
      <c r="X15" s="4"/>
      <c r="Y15" s="4">
        <f t="shared" si="0"/>
        <v>227272.73</v>
      </c>
      <c r="Z15" s="6" t="s">
        <v>219</v>
      </c>
      <c r="AA15" s="1" t="s">
        <v>218</v>
      </c>
      <c r="AB15" s="5" t="s">
        <v>214</v>
      </c>
      <c r="AC15" s="4"/>
      <c r="AD15" s="137">
        <f>3389.05+400</f>
        <v>3789.05</v>
      </c>
      <c r="AE15" s="4">
        <f t="shared" si="1"/>
        <v>223483.68000000002</v>
      </c>
      <c r="AF15" s="9">
        <v>46128</v>
      </c>
      <c r="AG15" s="1">
        <v>2810</v>
      </c>
      <c r="AH15" s="5" t="s">
        <v>275</v>
      </c>
      <c r="AI15" s="4"/>
      <c r="AJ15" s="4">
        <v>4726.3</v>
      </c>
      <c r="AK15" s="4">
        <f t="shared" si="2"/>
        <v>218757.38000000003</v>
      </c>
      <c r="AL15" s="9">
        <v>46162</v>
      </c>
      <c r="AM15" s="1">
        <v>27090</v>
      </c>
      <c r="AN15" s="5" t="s">
        <v>289</v>
      </c>
      <c r="AO15" s="4"/>
      <c r="AP15" s="4">
        <v>2860.58</v>
      </c>
      <c r="AQ15" s="4">
        <f t="shared" si="3"/>
        <v>215896.80000000005</v>
      </c>
      <c r="AR15" s="6">
        <v>46190</v>
      </c>
      <c r="AS15" s="1">
        <v>3172</v>
      </c>
      <c r="AT15" s="5" t="s">
        <v>369</v>
      </c>
      <c r="AU15" s="126"/>
      <c r="AV15" s="126">
        <v>3776.05</v>
      </c>
      <c r="AW15" s="4">
        <f t="shared" si="4"/>
        <v>212120.75000000006</v>
      </c>
      <c r="AX15" s="6" t="s">
        <v>430</v>
      </c>
      <c r="AY15" s="1" t="s">
        <v>431</v>
      </c>
      <c r="AZ15" s="1" t="s">
        <v>432</v>
      </c>
      <c r="BA15" s="126"/>
      <c r="BB15" s="126">
        <f>3015.41+772.01</f>
        <v>3787.42</v>
      </c>
      <c r="BC15" s="4">
        <f t="shared" si="5"/>
        <v>208333.33000000005</v>
      </c>
      <c r="BD15" s="9"/>
      <c r="BE15" s="3"/>
      <c r="BF15" s="1"/>
      <c r="BG15" s="4"/>
      <c r="BH15" s="8"/>
      <c r="BI15" s="4">
        <f t="shared" si="6"/>
        <v>208333.33000000005</v>
      </c>
      <c r="BJ15" s="9"/>
      <c r="BK15" s="3"/>
      <c r="BL15" s="1"/>
      <c r="BM15" s="4"/>
      <c r="BN15" s="4"/>
      <c r="BO15" s="4">
        <f t="shared" si="7"/>
        <v>208333.33000000005</v>
      </c>
      <c r="BP15" s="9"/>
      <c r="BQ15" s="3"/>
      <c r="BR15" s="1"/>
      <c r="BS15" s="4"/>
      <c r="BT15" s="4"/>
      <c r="BU15" s="4">
        <f t="shared" si="8"/>
        <v>208333.33000000005</v>
      </c>
      <c r="BV15" s="9"/>
      <c r="BW15" s="3"/>
      <c r="BX15" s="1"/>
      <c r="BY15" s="4"/>
      <c r="BZ15" s="4"/>
      <c r="CA15" s="4">
        <f t="shared" si="9"/>
        <v>208333.33000000005</v>
      </c>
      <c r="CB15" s="9"/>
      <c r="CC15" s="3"/>
      <c r="CD15" s="1"/>
      <c r="CE15" s="4"/>
      <c r="CF15" s="4"/>
      <c r="CG15" s="4">
        <f t="shared" si="10"/>
        <v>208333.33000000005</v>
      </c>
      <c r="CH15" s="4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x14ac:dyDescent="0.3">
      <c r="A16" s="1" t="s">
        <v>189</v>
      </c>
      <c r="B16" s="2" t="s">
        <v>81</v>
      </c>
      <c r="C16" s="3" t="s">
        <v>34</v>
      </c>
      <c r="D16" s="3" t="s">
        <v>83</v>
      </c>
      <c r="E16" s="3" t="s">
        <v>48</v>
      </c>
      <c r="F16" s="4"/>
      <c r="G16" s="3"/>
      <c r="H16" s="5" t="s">
        <v>84</v>
      </c>
      <c r="I16" s="5" t="s">
        <v>76</v>
      </c>
      <c r="J16" s="6">
        <v>46069</v>
      </c>
      <c r="K16" s="6">
        <v>47165</v>
      </c>
      <c r="L16" s="147">
        <v>58643.38</v>
      </c>
      <c r="M16" s="8"/>
      <c r="N16" s="9"/>
      <c r="O16" s="1"/>
      <c r="P16" s="10"/>
      <c r="Q16" s="4"/>
      <c r="R16" s="4"/>
      <c r="S16" s="4">
        <f t="shared" si="11"/>
        <v>0</v>
      </c>
      <c r="T16" s="9"/>
      <c r="U16" s="1"/>
      <c r="V16" s="10"/>
      <c r="W16" s="4">
        <v>58643.38</v>
      </c>
      <c r="X16" s="4"/>
      <c r="Y16" s="4">
        <f t="shared" si="0"/>
        <v>58643.38</v>
      </c>
      <c r="Z16" s="6">
        <v>46093</v>
      </c>
      <c r="AA16" s="1">
        <v>2595</v>
      </c>
      <c r="AB16" s="5" t="s">
        <v>97</v>
      </c>
      <c r="AC16" s="4"/>
      <c r="AD16" s="137">
        <v>1630.32</v>
      </c>
      <c r="AE16" s="4">
        <f t="shared" si="1"/>
        <v>57013.06</v>
      </c>
      <c r="AF16" s="9">
        <v>46121</v>
      </c>
      <c r="AG16" s="1">
        <v>2752</v>
      </c>
      <c r="AH16" s="5" t="s">
        <v>199</v>
      </c>
      <c r="AI16" s="4"/>
      <c r="AJ16" s="4">
        <v>1892.29</v>
      </c>
      <c r="AK16" s="4">
        <f t="shared" si="2"/>
        <v>55120.77</v>
      </c>
      <c r="AL16" s="9">
        <v>46154</v>
      </c>
      <c r="AM16" s="1">
        <v>2936</v>
      </c>
      <c r="AN16" s="5" t="s">
        <v>275</v>
      </c>
      <c r="AO16" s="4"/>
      <c r="AP16" s="4">
        <v>1380.98</v>
      </c>
      <c r="AQ16" s="4">
        <f t="shared" si="3"/>
        <v>53739.789999999994</v>
      </c>
      <c r="AR16" s="6">
        <v>46188</v>
      </c>
      <c r="AS16" s="1">
        <v>3141</v>
      </c>
      <c r="AT16" s="5" t="s">
        <v>289</v>
      </c>
      <c r="AU16" s="126"/>
      <c r="AV16" s="126">
        <v>1629.59</v>
      </c>
      <c r="AW16" s="4">
        <f t="shared" si="4"/>
        <v>52110.2</v>
      </c>
      <c r="AX16" s="6">
        <v>46217</v>
      </c>
      <c r="AY16" s="1">
        <v>3305</v>
      </c>
      <c r="AZ16" s="1">
        <v>5</v>
      </c>
      <c r="BA16" s="126"/>
      <c r="BB16" s="126">
        <v>8972.07</v>
      </c>
      <c r="BC16" s="4">
        <f t="shared" si="5"/>
        <v>43138.13</v>
      </c>
      <c r="BD16" s="9"/>
      <c r="BE16" s="3"/>
      <c r="BF16" s="1"/>
      <c r="BG16" s="4"/>
      <c r="BH16" s="8"/>
      <c r="BI16" s="4">
        <f t="shared" si="6"/>
        <v>43138.13</v>
      </c>
      <c r="BJ16" s="9"/>
      <c r="BK16" s="3"/>
      <c r="BL16" s="1"/>
      <c r="BM16" s="4"/>
      <c r="BN16" s="4"/>
      <c r="BO16" s="4">
        <f t="shared" si="7"/>
        <v>43138.13</v>
      </c>
      <c r="BP16" s="9"/>
      <c r="BQ16" s="3"/>
      <c r="BR16" s="1"/>
      <c r="BS16" s="4"/>
      <c r="BT16" s="4"/>
      <c r="BU16" s="4">
        <f t="shared" si="8"/>
        <v>43138.13</v>
      </c>
      <c r="BV16" s="9"/>
      <c r="BW16" s="3"/>
      <c r="BX16" s="1"/>
      <c r="BY16" s="4"/>
      <c r="BZ16" s="4"/>
      <c r="CA16" s="4">
        <f t="shared" si="9"/>
        <v>43138.13</v>
      </c>
      <c r="CB16" s="9"/>
      <c r="CC16" s="3"/>
      <c r="CD16" s="1"/>
      <c r="CE16" s="4"/>
      <c r="CF16" s="4"/>
      <c r="CG16" s="4">
        <f t="shared" si="10"/>
        <v>43138.13</v>
      </c>
      <c r="CH16" s="4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 x14ac:dyDescent="0.3">
      <c r="A17" s="1" t="s">
        <v>164</v>
      </c>
      <c r="B17" s="2" t="s">
        <v>89</v>
      </c>
      <c r="C17" s="16" t="s">
        <v>34</v>
      </c>
      <c r="D17" s="16" t="s">
        <v>90</v>
      </c>
      <c r="E17" s="3" t="s">
        <v>50</v>
      </c>
      <c r="F17" s="4" t="s">
        <v>343</v>
      </c>
      <c r="G17" s="3" t="s">
        <v>158</v>
      </c>
      <c r="H17" s="123" t="s">
        <v>247</v>
      </c>
      <c r="I17" s="123" t="s">
        <v>76</v>
      </c>
      <c r="J17" s="118">
        <v>46071</v>
      </c>
      <c r="K17" s="118">
        <v>47167</v>
      </c>
      <c r="L17" s="145">
        <v>39772.730000000003</v>
      </c>
      <c r="M17" s="8"/>
      <c r="N17" s="9" t="s">
        <v>72</v>
      </c>
      <c r="O17" s="1"/>
      <c r="P17" s="10"/>
      <c r="Q17" s="4"/>
      <c r="R17" s="4"/>
      <c r="S17" s="4">
        <f t="shared" si="11"/>
        <v>0</v>
      </c>
      <c r="T17" s="9"/>
      <c r="U17" s="1"/>
      <c r="V17" s="10"/>
      <c r="W17" s="16">
        <v>39772.730000000003</v>
      </c>
      <c r="X17" s="4"/>
      <c r="Y17" s="4">
        <f t="shared" si="0"/>
        <v>39772.730000000003</v>
      </c>
      <c r="Z17" s="86" t="s">
        <v>261</v>
      </c>
      <c r="AA17" s="20" t="s">
        <v>279</v>
      </c>
      <c r="AB17" s="5" t="s">
        <v>255</v>
      </c>
      <c r="AC17" s="4"/>
      <c r="AD17" s="135">
        <f>1507.72+1345.83</f>
        <v>2853.55</v>
      </c>
      <c r="AE17" s="4">
        <f t="shared" si="1"/>
        <v>36919.18</v>
      </c>
      <c r="AF17" s="9">
        <v>46142</v>
      </c>
      <c r="AG17" s="1">
        <v>2862</v>
      </c>
      <c r="AH17" s="5" t="s">
        <v>275</v>
      </c>
      <c r="AI17" s="4"/>
      <c r="AJ17" s="4">
        <v>1271.73</v>
      </c>
      <c r="AK17" s="4">
        <f t="shared" si="2"/>
        <v>35647.449999999997</v>
      </c>
      <c r="AL17" s="9" t="s">
        <v>361</v>
      </c>
      <c r="AM17" s="1" t="s">
        <v>362</v>
      </c>
      <c r="AN17" s="5" t="s">
        <v>363</v>
      </c>
      <c r="AO17" s="4"/>
      <c r="AP17" s="4">
        <f>453.12+1375.18</f>
        <v>1828.3000000000002</v>
      </c>
      <c r="AQ17" s="4">
        <f t="shared" si="3"/>
        <v>33819.149999999994</v>
      </c>
      <c r="AR17" s="6">
        <v>46199</v>
      </c>
      <c r="AS17" s="1">
        <v>3210</v>
      </c>
      <c r="AT17" s="5" t="s">
        <v>403</v>
      </c>
      <c r="AU17" s="126"/>
      <c r="AV17" s="126">
        <v>1377.36</v>
      </c>
      <c r="AW17" s="4">
        <f t="shared" si="4"/>
        <v>32441.789999999994</v>
      </c>
      <c r="AX17" s="6">
        <v>46226</v>
      </c>
      <c r="AY17" s="1">
        <v>3353</v>
      </c>
      <c r="AZ17" s="1">
        <v>7</v>
      </c>
      <c r="BA17" s="126"/>
      <c r="BB17" s="126">
        <v>1424.05</v>
      </c>
      <c r="BC17" s="4">
        <f t="shared" si="5"/>
        <v>31017.739999999994</v>
      </c>
      <c r="BD17" s="9"/>
      <c r="BE17" s="3"/>
      <c r="BF17" s="1"/>
      <c r="BG17" s="4"/>
      <c r="BH17" s="8"/>
      <c r="BI17" s="4">
        <f t="shared" si="6"/>
        <v>31017.739999999994</v>
      </c>
      <c r="BJ17" s="9"/>
      <c r="BK17" s="3"/>
      <c r="BL17" s="1"/>
      <c r="BM17" s="4"/>
      <c r="BN17" s="4"/>
      <c r="BO17" s="4">
        <f t="shared" si="7"/>
        <v>31017.739999999994</v>
      </c>
      <c r="BP17" s="9"/>
      <c r="BQ17" s="3"/>
      <c r="BR17" s="1"/>
      <c r="BS17" s="4"/>
      <c r="BT17" s="4"/>
      <c r="BU17" s="4">
        <f t="shared" si="8"/>
        <v>31017.739999999994</v>
      </c>
      <c r="BV17" s="9"/>
      <c r="BW17" s="3"/>
      <c r="BX17" s="1"/>
      <c r="BY17" s="4"/>
      <c r="BZ17" s="4"/>
      <c r="CA17" s="4">
        <f t="shared" si="9"/>
        <v>31017.739999999994</v>
      </c>
      <c r="CB17" s="9"/>
      <c r="CC17" s="3"/>
      <c r="CD17" s="1"/>
      <c r="CE17" s="4"/>
      <c r="CF17" s="4"/>
      <c r="CG17" s="4">
        <f t="shared" si="10"/>
        <v>31017.739999999994</v>
      </c>
      <c r="CH17" s="4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 x14ac:dyDescent="0.3">
      <c r="A18" s="20" t="s">
        <v>251</v>
      </c>
      <c r="B18" s="2" t="s">
        <v>99</v>
      </c>
      <c r="C18" s="3" t="s">
        <v>34</v>
      </c>
      <c r="D18" s="3" t="s">
        <v>166</v>
      </c>
      <c r="F18" s="4"/>
      <c r="G18" s="3"/>
      <c r="H18" s="5" t="s">
        <v>100</v>
      </c>
      <c r="I18" s="5" t="s">
        <v>74</v>
      </c>
      <c r="J18" s="6">
        <v>46031</v>
      </c>
      <c r="K18" s="6">
        <v>46761</v>
      </c>
      <c r="L18" s="147">
        <v>125000</v>
      </c>
      <c r="M18" s="8"/>
      <c r="N18" s="9"/>
      <c r="O18" s="1"/>
      <c r="P18" s="10"/>
      <c r="Q18" s="4">
        <v>125000</v>
      </c>
      <c r="R18" s="4"/>
      <c r="S18" s="4">
        <f t="shared" si="11"/>
        <v>125000</v>
      </c>
      <c r="T18" s="9">
        <v>46063</v>
      </c>
      <c r="U18" s="1">
        <v>2398</v>
      </c>
      <c r="V18" s="10" t="s">
        <v>97</v>
      </c>
      <c r="W18" s="4"/>
      <c r="X18" s="4">
        <v>5252.05</v>
      </c>
      <c r="Y18" s="4">
        <f t="shared" ref="Y18:Y24" si="12">S18+W18-X18</f>
        <v>119747.95</v>
      </c>
      <c r="Z18" s="6">
        <v>46104</v>
      </c>
      <c r="AA18" s="1">
        <v>2656</v>
      </c>
      <c r="AB18" s="5" t="s">
        <v>199</v>
      </c>
      <c r="AC18" s="4"/>
      <c r="AD18" s="137">
        <v>5172.99</v>
      </c>
      <c r="AE18" s="4">
        <f t="shared" si="1"/>
        <v>114574.95999999999</v>
      </c>
      <c r="AF18" s="9">
        <v>46122</v>
      </c>
      <c r="AG18" s="1">
        <v>26644</v>
      </c>
      <c r="AH18" s="5" t="s">
        <v>275</v>
      </c>
      <c r="AI18" s="4"/>
      <c r="AJ18" s="4">
        <v>6319.27</v>
      </c>
      <c r="AK18" s="4">
        <f t="shared" si="2"/>
        <v>108255.68999999999</v>
      </c>
      <c r="AL18" s="9"/>
      <c r="AM18" s="1"/>
      <c r="AN18" s="5"/>
      <c r="AO18" s="4"/>
      <c r="AP18" s="4"/>
      <c r="AQ18" s="4">
        <f t="shared" si="3"/>
        <v>108255.68999999999</v>
      </c>
      <c r="AR18" s="6" t="s">
        <v>381</v>
      </c>
      <c r="AS18" s="1">
        <v>27352</v>
      </c>
      <c r="AT18" s="5" t="s">
        <v>289</v>
      </c>
      <c r="AU18" s="126"/>
      <c r="AV18" s="126">
        <v>2758.73</v>
      </c>
      <c r="AW18" s="4">
        <f t="shared" si="4"/>
        <v>105496.95999999999</v>
      </c>
      <c r="AX18" s="6" t="s">
        <v>433</v>
      </c>
      <c r="AY18" s="1" t="s">
        <v>434</v>
      </c>
      <c r="AZ18" s="5" t="s">
        <v>435</v>
      </c>
      <c r="BA18" s="126"/>
      <c r="BB18" s="126">
        <f>5043.33+6703.61</f>
        <v>11746.939999999999</v>
      </c>
      <c r="BC18" s="4">
        <f t="shared" si="5"/>
        <v>93750.01999999999</v>
      </c>
      <c r="BD18" s="9"/>
      <c r="BE18" s="3"/>
      <c r="BF18" s="1"/>
      <c r="BG18" s="4"/>
      <c r="BH18" s="8"/>
      <c r="BI18" s="4">
        <f t="shared" si="6"/>
        <v>93750.01999999999</v>
      </c>
      <c r="BJ18" s="9"/>
      <c r="BK18" s="3"/>
      <c r="BL18" s="1"/>
      <c r="BM18" s="4"/>
      <c r="BN18" s="4"/>
      <c r="BO18" s="4">
        <f t="shared" si="7"/>
        <v>93750.01999999999</v>
      </c>
      <c r="BP18" s="9"/>
      <c r="BQ18" s="3"/>
      <c r="BR18" s="1"/>
      <c r="BS18" s="4"/>
      <c r="BT18" s="4"/>
      <c r="BU18" s="4">
        <f t="shared" si="8"/>
        <v>93750.01999999999</v>
      </c>
      <c r="BV18" s="9"/>
      <c r="BW18" s="3"/>
      <c r="BX18" s="1"/>
      <c r="BY18" s="4"/>
      <c r="BZ18" s="4"/>
      <c r="CA18" s="4">
        <f t="shared" si="9"/>
        <v>93750.01999999999</v>
      </c>
      <c r="CB18" s="9"/>
      <c r="CC18" s="3"/>
      <c r="CD18" s="1"/>
      <c r="CE18" s="4"/>
      <c r="CF18" s="4"/>
      <c r="CG18" s="4">
        <f t="shared" si="10"/>
        <v>93750.01999999999</v>
      </c>
      <c r="CH18" s="4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 x14ac:dyDescent="0.3">
      <c r="A19" s="1" t="s">
        <v>207</v>
      </c>
      <c r="B19" s="2" t="s">
        <v>102</v>
      </c>
      <c r="C19" s="16" t="s">
        <v>34</v>
      </c>
      <c r="D19" s="3" t="s">
        <v>167</v>
      </c>
      <c r="F19" s="4"/>
      <c r="G19" s="3"/>
      <c r="H19" s="5" t="s">
        <v>103</v>
      </c>
      <c r="I19" s="123" t="s">
        <v>58</v>
      </c>
      <c r="J19" s="118">
        <v>46035</v>
      </c>
      <c r="K19" s="118">
        <v>47496</v>
      </c>
      <c r="L19" s="147">
        <v>340909.09</v>
      </c>
      <c r="M19" s="8"/>
      <c r="N19" s="9"/>
      <c r="O19" s="1"/>
      <c r="P19" s="10"/>
      <c r="Q19" s="4">
        <v>340909.09</v>
      </c>
      <c r="R19" s="4"/>
      <c r="S19" s="4">
        <f t="shared" si="11"/>
        <v>340909.09</v>
      </c>
      <c r="T19" s="9">
        <v>46066</v>
      </c>
      <c r="U19" s="1">
        <v>2412</v>
      </c>
      <c r="V19" s="10" t="s">
        <v>97</v>
      </c>
      <c r="X19" s="4">
        <v>7151.06</v>
      </c>
      <c r="Y19" s="4">
        <f t="shared" si="12"/>
        <v>333758.03000000003</v>
      </c>
      <c r="Z19" s="86">
        <v>46094</v>
      </c>
      <c r="AA19" s="20">
        <v>2597</v>
      </c>
      <c r="AB19" s="5" t="s">
        <v>199</v>
      </c>
      <c r="AC19" s="4"/>
      <c r="AD19" s="135">
        <v>7155.19</v>
      </c>
      <c r="AE19" s="4">
        <f t="shared" si="1"/>
        <v>326602.84000000003</v>
      </c>
      <c r="AF19" s="9">
        <v>46126</v>
      </c>
      <c r="AG19" s="1">
        <v>2780</v>
      </c>
      <c r="AH19" s="5" t="s">
        <v>275</v>
      </c>
      <c r="AI19" s="4"/>
      <c r="AJ19" s="4">
        <v>7342.67</v>
      </c>
      <c r="AK19" s="4">
        <f t="shared" si="2"/>
        <v>319260.17000000004</v>
      </c>
      <c r="AL19" s="9">
        <v>46155</v>
      </c>
      <c r="AM19" s="1">
        <v>2939</v>
      </c>
      <c r="AN19" s="5" t="s">
        <v>289</v>
      </c>
      <c r="AO19" s="4"/>
      <c r="AP19" s="4">
        <v>7202.27</v>
      </c>
      <c r="AQ19" s="4">
        <f t="shared" si="3"/>
        <v>312057.90000000002</v>
      </c>
      <c r="AR19" s="6">
        <v>46183</v>
      </c>
      <c r="AS19" s="1">
        <v>3109</v>
      </c>
      <c r="AT19" s="5" t="s">
        <v>369</v>
      </c>
      <c r="AU19" s="126"/>
      <c r="AV19" s="126">
        <v>7139.15</v>
      </c>
      <c r="AW19" s="4">
        <f t="shared" si="4"/>
        <v>304918.75</v>
      </c>
      <c r="AX19" s="6">
        <v>46219</v>
      </c>
      <c r="AY19" s="1">
        <v>3323</v>
      </c>
      <c r="AZ19" s="1">
        <v>6</v>
      </c>
      <c r="BA19" s="126"/>
      <c r="BB19" s="126">
        <v>7485.16</v>
      </c>
      <c r="BC19" s="4">
        <f t="shared" si="5"/>
        <v>297433.59000000003</v>
      </c>
      <c r="BD19" s="9"/>
      <c r="BE19" s="3"/>
      <c r="BF19" s="1"/>
      <c r="BG19" s="4"/>
      <c r="BH19" s="8"/>
      <c r="BI19" s="4">
        <f t="shared" si="6"/>
        <v>297433.59000000003</v>
      </c>
      <c r="BJ19" s="9"/>
      <c r="BK19" s="3"/>
      <c r="BL19" s="1"/>
      <c r="BM19" s="4"/>
      <c r="BN19" s="4"/>
      <c r="BO19" s="4">
        <f t="shared" si="7"/>
        <v>297433.59000000003</v>
      </c>
      <c r="BP19" s="9"/>
      <c r="BQ19" s="3"/>
      <c r="BR19" s="1"/>
      <c r="BS19" s="4"/>
      <c r="BT19" s="4"/>
      <c r="BU19" s="4">
        <f t="shared" si="8"/>
        <v>297433.59000000003</v>
      </c>
      <c r="BV19" s="9"/>
      <c r="BW19" s="3"/>
      <c r="BX19" s="1"/>
      <c r="BY19" s="4"/>
      <c r="BZ19" s="4"/>
      <c r="CA19" s="4">
        <f t="shared" si="9"/>
        <v>297433.59000000003</v>
      </c>
      <c r="CB19" s="9"/>
      <c r="CC19" s="3"/>
      <c r="CD19" s="1"/>
      <c r="CE19" s="4"/>
      <c r="CF19" s="4"/>
      <c r="CG19" s="4">
        <f t="shared" si="10"/>
        <v>297433.59000000003</v>
      </c>
      <c r="CH19" s="4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s="73" customFormat="1" x14ac:dyDescent="0.3">
      <c r="A20" s="20" t="s">
        <v>276</v>
      </c>
      <c r="B20" s="2" t="s">
        <v>107</v>
      </c>
      <c r="C20" s="20" t="s">
        <v>34</v>
      </c>
      <c r="D20" s="3" t="s">
        <v>168</v>
      </c>
      <c r="E20" s="159" t="s">
        <v>56</v>
      </c>
      <c r="F20" s="4"/>
      <c r="G20" s="4"/>
      <c r="H20" s="5" t="s">
        <v>108</v>
      </c>
      <c r="I20" s="13" t="s">
        <v>76</v>
      </c>
      <c r="J20" s="6">
        <v>46043</v>
      </c>
      <c r="K20" s="113">
        <v>47139</v>
      </c>
      <c r="L20" s="148">
        <v>130000</v>
      </c>
      <c r="M20" s="8"/>
      <c r="N20" s="9"/>
      <c r="O20" s="1"/>
      <c r="P20" s="10"/>
      <c r="Q20" s="4">
        <v>130000</v>
      </c>
      <c r="R20" s="4"/>
      <c r="S20" s="4">
        <f t="shared" si="11"/>
        <v>130000</v>
      </c>
      <c r="T20" s="9">
        <v>46073</v>
      </c>
      <c r="U20" s="1">
        <v>2463</v>
      </c>
      <c r="V20" s="10" t="s">
        <v>97</v>
      </c>
      <c r="W20" s="3"/>
      <c r="X20" s="4">
        <v>3650.14</v>
      </c>
      <c r="Y20" s="4">
        <f t="shared" si="12"/>
        <v>126349.86</v>
      </c>
      <c r="Z20" s="1"/>
      <c r="AA20" s="1"/>
      <c r="AB20" s="5"/>
      <c r="AC20" s="4"/>
      <c r="AD20" s="138"/>
      <c r="AE20" s="4">
        <f t="shared" si="1"/>
        <v>126349.86</v>
      </c>
      <c r="AF20" s="9">
        <v>46122</v>
      </c>
      <c r="AG20" s="1">
        <v>2770</v>
      </c>
      <c r="AH20" s="5" t="s">
        <v>97</v>
      </c>
      <c r="AI20" s="4"/>
      <c r="AJ20" s="4">
        <v>9712.19</v>
      </c>
      <c r="AK20" s="4">
        <f t="shared" si="2"/>
        <v>116637.67</v>
      </c>
      <c r="AL20" s="9"/>
      <c r="AM20" s="1"/>
      <c r="AN20" s="5"/>
      <c r="AO20" s="4"/>
      <c r="AP20" s="4"/>
      <c r="AQ20" s="4">
        <f t="shared" si="3"/>
        <v>116637.67</v>
      </c>
      <c r="AR20" s="6"/>
      <c r="AS20" s="1"/>
      <c r="AT20" s="5"/>
      <c r="AU20" s="126"/>
      <c r="AV20" s="126"/>
      <c r="AW20" s="4">
        <f t="shared" si="4"/>
        <v>116637.67</v>
      </c>
      <c r="AX20" s="6"/>
      <c r="AY20" s="1"/>
      <c r="AZ20" s="1"/>
      <c r="BA20" s="126"/>
      <c r="BB20" s="126"/>
      <c r="BC20" s="4">
        <f t="shared" si="5"/>
        <v>116637.67</v>
      </c>
      <c r="BD20" s="9"/>
      <c r="BE20" s="3"/>
      <c r="BF20" s="1"/>
      <c r="BG20" s="4"/>
      <c r="BH20" s="8"/>
      <c r="BI20" s="4">
        <f t="shared" si="6"/>
        <v>116637.67</v>
      </c>
      <c r="BJ20" s="9"/>
      <c r="BK20" s="3"/>
      <c r="BL20" s="1"/>
      <c r="BM20" s="4"/>
      <c r="BN20" s="4"/>
      <c r="BO20" s="4">
        <f t="shared" si="7"/>
        <v>116637.67</v>
      </c>
      <c r="BP20" s="9"/>
      <c r="BQ20" s="3"/>
      <c r="BR20" s="1"/>
      <c r="BS20" s="4"/>
      <c r="BT20" s="4"/>
      <c r="BU20" s="4">
        <f t="shared" si="8"/>
        <v>116637.67</v>
      </c>
      <c r="BV20" s="9"/>
      <c r="BW20" s="3"/>
      <c r="BX20" s="1"/>
      <c r="BY20" s="4"/>
      <c r="BZ20" s="4"/>
      <c r="CA20" s="4">
        <f t="shared" si="9"/>
        <v>116637.67</v>
      </c>
      <c r="CB20" s="9"/>
      <c r="CC20" s="3"/>
      <c r="CD20" s="1"/>
      <c r="CE20" s="4"/>
      <c r="CF20" s="4"/>
      <c r="CG20" s="4">
        <f t="shared" si="10"/>
        <v>116637.67</v>
      </c>
      <c r="CH20" s="4"/>
    </row>
    <row r="21" spans="1:100" x14ac:dyDescent="0.3">
      <c r="A21" s="1" t="s">
        <v>181</v>
      </c>
      <c r="B21" s="2" t="s">
        <v>120</v>
      </c>
      <c r="C21" s="3" t="s">
        <v>34</v>
      </c>
      <c r="D21" s="3" t="s">
        <v>121</v>
      </c>
      <c r="E21" s="3" t="s">
        <v>142</v>
      </c>
      <c r="F21" s="4"/>
      <c r="G21" s="3"/>
      <c r="H21" s="123" t="s">
        <v>122</v>
      </c>
      <c r="I21" s="5" t="s">
        <v>74</v>
      </c>
      <c r="J21" s="6">
        <v>46081</v>
      </c>
      <c r="K21" s="6">
        <v>46811</v>
      </c>
      <c r="L21" s="147">
        <v>28409.09</v>
      </c>
      <c r="M21" s="8"/>
      <c r="N21" s="9"/>
      <c r="O21" s="1"/>
      <c r="P21" s="10"/>
      <c r="Q21" s="4">
        <v>0</v>
      </c>
      <c r="R21" s="4"/>
      <c r="S21" s="4">
        <f t="shared" si="11"/>
        <v>0</v>
      </c>
      <c r="V21" s="5"/>
      <c r="W21" s="4">
        <v>28409.09</v>
      </c>
      <c r="Y21" s="4">
        <f t="shared" si="12"/>
        <v>28409.09</v>
      </c>
      <c r="Z21" s="6">
        <v>46108</v>
      </c>
      <c r="AA21" s="1">
        <v>2692</v>
      </c>
      <c r="AB21" s="5" t="s">
        <v>97</v>
      </c>
      <c r="AC21" s="4"/>
      <c r="AD21" s="137">
        <v>1226.96</v>
      </c>
      <c r="AE21" s="4">
        <f t="shared" si="1"/>
        <v>27182.13</v>
      </c>
      <c r="AF21" s="9">
        <v>46140</v>
      </c>
      <c r="AG21" s="1">
        <v>2848</v>
      </c>
      <c r="AH21" s="5" t="s">
        <v>199</v>
      </c>
      <c r="AI21" s="4"/>
      <c r="AJ21" s="4">
        <v>1195.93</v>
      </c>
      <c r="AK21" s="4">
        <f t="shared" si="2"/>
        <v>25986.2</v>
      </c>
      <c r="AL21" s="9">
        <v>46168</v>
      </c>
      <c r="AM21" s="1">
        <v>3016</v>
      </c>
      <c r="AN21" s="5" t="s">
        <v>275</v>
      </c>
      <c r="AO21" s="4"/>
      <c r="AP21" s="4">
        <v>1187.4000000000001</v>
      </c>
      <c r="AQ21" s="4">
        <f t="shared" si="3"/>
        <v>24798.799999999999</v>
      </c>
      <c r="AR21" s="6">
        <v>46200</v>
      </c>
      <c r="AS21" s="1">
        <v>3227</v>
      </c>
      <c r="AT21" s="5" t="s">
        <v>289</v>
      </c>
      <c r="AU21" s="126"/>
      <c r="AV21" s="126">
        <v>1194.51</v>
      </c>
      <c r="AW21" s="4">
        <f t="shared" si="4"/>
        <v>23604.29</v>
      </c>
      <c r="AX21" s="6">
        <v>46233</v>
      </c>
      <c r="AY21" s="1">
        <v>3413</v>
      </c>
      <c r="AZ21" s="1">
        <v>5</v>
      </c>
      <c r="BA21" s="126"/>
      <c r="BB21" s="126">
        <v>1234.3800000000001</v>
      </c>
      <c r="BC21" s="4">
        <f t="shared" si="5"/>
        <v>22369.91</v>
      </c>
      <c r="BD21" s="9"/>
      <c r="BE21" s="3"/>
      <c r="BF21" s="1"/>
      <c r="BG21" s="4"/>
      <c r="BH21" s="8"/>
      <c r="BI21" s="4">
        <f t="shared" si="6"/>
        <v>22369.91</v>
      </c>
      <c r="BJ21" s="9"/>
      <c r="BK21" s="3"/>
      <c r="BL21" s="1"/>
      <c r="BM21" s="4"/>
      <c r="BN21" s="4"/>
      <c r="BO21" s="4">
        <f t="shared" si="7"/>
        <v>22369.91</v>
      </c>
      <c r="BP21" s="9"/>
      <c r="BQ21" s="3"/>
      <c r="BR21" s="1"/>
      <c r="BS21" s="4"/>
      <c r="BT21" s="4"/>
      <c r="BU21" s="4">
        <f t="shared" si="8"/>
        <v>22369.91</v>
      </c>
      <c r="BV21" s="9"/>
      <c r="BW21" s="3"/>
      <c r="BX21" s="1"/>
      <c r="BY21" s="4"/>
      <c r="BZ21" s="4"/>
      <c r="CA21" s="4">
        <f t="shared" si="9"/>
        <v>22369.91</v>
      </c>
      <c r="CB21" s="9"/>
      <c r="CC21" s="3"/>
      <c r="CD21" s="1"/>
      <c r="CE21" s="4"/>
      <c r="CF21" s="4"/>
      <c r="CG21" s="4">
        <f t="shared" si="10"/>
        <v>22369.91</v>
      </c>
      <c r="CH21" s="4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 x14ac:dyDescent="0.3">
      <c r="A22" s="20" t="s">
        <v>252</v>
      </c>
      <c r="B22" s="2" t="s">
        <v>125</v>
      </c>
      <c r="C22" s="3" t="s">
        <v>34</v>
      </c>
      <c r="D22" s="3" t="s">
        <v>171</v>
      </c>
      <c r="E22" s="3" t="s">
        <v>126</v>
      </c>
      <c r="F22" s="4"/>
      <c r="G22" s="3"/>
      <c r="H22" s="5" t="s">
        <v>118</v>
      </c>
      <c r="I22" s="5" t="s">
        <v>58</v>
      </c>
      <c r="J22" s="6">
        <v>46080</v>
      </c>
      <c r="K22" s="6">
        <v>47541</v>
      </c>
      <c r="L22" s="145">
        <v>340909.09</v>
      </c>
      <c r="M22" s="8"/>
      <c r="N22" s="9"/>
      <c r="O22" s="1"/>
      <c r="P22" s="10"/>
      <c r="Q22" s="4">
        <v>0</v>
      </c>
      <c r="R22" s="4"/>
      <c r="S22" s="4">
        <f t="shared" si="11"/>
        <v>0</v>
      </c>
      <c r="T22" s="9"/>
      <c r="U22" s="1"/>
      <c r="V22" s="5"/>
      <c r="W22" s="4">
        <v>340909.09</v>
      </c>
      <c r="X22" s="4"/>
      <c r="Y22" s="4">
        <f t="shared" si="12"/>
        <v>340909.09</v>
      </c>
      <c r="Z22" s="6">
        <v>46106</v>
      </c>
      <c r="AA22" s="1">
        <v>2674</v>
      </c>
      <c r="AB22" s="5" t="s">
        <v>97</v>
      </c>
      <c r="AC22" s="4"/>
      <c r="AD22" s="137">
        <v>7723.54</v>
      </c>
      <c r="AE22" s="4">
        <f t="shared" si="1"/>
        <v>333185.55000000005</v>
      </c>
      <c r="AF22" s="9">
        <v>46140</v>
      </c>
      <c r="AG22" s="1">
        <v>2847</v>
      </c>
      <c r="AH22" s="5" t="s">
        <v>199</v>
      </c>
      <c r="AI22" s="4"/>
      <c r="AJ22" s="4">
        <v>7208.49</v>
      </c>
      <c r="AK22" s="4">
        <f t="shared" si="2"/>
        <v>325977.06000000006</v>
      </c>
      <c r="AL22" s="9">
        <v>46167</v>
      </c>
      <c r="AM22" s="1">
        <v>3002</v>
      </c>
      <c r="AN22" s="5" t="s">
        <v>275</v>
      </c>
      <c r="AO22" s="4"/>
      <c r="AP22" s="4">
        <v>7569.77</v>
      </c>
      <c r="AQ22" s="4">
        <f t="shared" si="3"/>
        <v>318407.29000000004</v>
      </c>
      <c r="AR22" s="86">
        <v>46197</v>
      </c>
      <c r="AS22" s="1">
        <v>3195</v>
      </c>
      <c r="AT22" s="5" t="s">
        <v>289</v>
      </c>
      <c r="AU22" s="126"/>
      <c r="AV22" s="126">
        <v>8509.73</v>
      </c>
      <c r="AW22" s="4">
        <f t="shared" si="4"/>
        <v>309897.56000000006</v>
      </c>
      <c r="AX22" s="6">
        <v>46230</v>
      </c>
      <c r="AY22" s="1">
        <v>3385</v>
      </c>
      <c r="AZ22" s="1">
        <v>5</v>
      </c>
      <c r="BA22" s="126"/>
      <c r="BB22" s="126">
        <v>7886.95</v>
      </c>
      <c r="BC22" s="4">
        <f t="shared" si="5"/>
        <v>302010.61000000004</v>
      </c>
      <c r="BD22" s="9"/>
      <c r="BE22" s="3"/>
      <c r="BF22" s="1"/>
      <c r="BG22" s="4"/>
      <c r="BH22" s="8"/>
      <c r="BI22" s="4">
        <f t="shared" si="6"/>
        <v>302010.61000000004</v>
      </c>
      <c r="BJ22" s="9"/>
      <c r="BK22" s="3"/>
      <c r="BL22" s="1"/>
      <c r="BM22" s="4"/>
      <c r="BN22" s="4"/>
      <c r="BO22" s="4">
        <f t="shared" si="7"/>
        <v>302010.61000000004</v>
      </c>
      <c r="BP22" s="9"/>
      <c r="BQ22" s="3"/>
      <c r="BR22" s="1"/>
      <c r="BS22" s="4"/>
      <c r="BT22" s="4"/>
      <c r="BU22" s="4">
        <f t="shared" si="8"/>
        <v>302010.61000000004</v>
      </c>
      <c r="BV22" s="9"/>
      <c r="BW22" s="3"/>
      <c r="BX22" s="1"/>
      <c r="BY22" s="4"/>
      <c r="BZ22" s="4"/>
      <c r="CA22" s="4">
        <f t="shared" si="9"/>
        <v>302010.61000000004</v>
      </c>
      <c r="CB22" s="9"/>
      <c r="CC22" s="3"/>
      <c r="CD22" s="1"/>
      <c r="CE22" s="4"/>
      <c r="CF22" s="4"/>
      <c r="CG22" s="4">
        <f t="shared" si="10"/>
        <v>302010.61000000004</v>
      </c>
      <c r="CH22" s="4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 x14ac:dyDescent="0.3">
      <c r="A23" s="20" t="s">
        <v>256</v>
      </c>
      <c r="B23" s="2" t="s">
        <v>127</v>
      </c>
      <c r="C23" s="16" t="s">
        <v>34</v>
      </c>
      <c r="D23" s="3" t="s">
        <v>170</v>
      </c>
      <c r="E23" s="3" t="s">
        <v>56</v>
      </c>
      <c r="F23" s="4"/>
      <c r="G23" s="3"/>
      <c r="H23" s="123" t="s">
        <v>118</v>
      </c>
      <c r="I23" s="123" t="s">
        <v>78</v>
      </c>
      <c r="J23" s="118">
        <v>46080</v>
      </c>
      <c r="K23" s="118">
        <v>47906</v>
      </c>
      <c r="L23" s="145">
        <v>454545.45</v>
      </c>
      <c r="M23" s="8"/>
      <c r="N23" s="9"/>
      <c r="O23" s="14"/>
      <c r="P23" s="10"/>
      <c r="Q23" s="4">
        <v>0</v>
      </c>
      <c r="R23" s="4"/>
      <c r="S23" s="4">
        <f t="shared" si="11"/>
        <v>0</v>
      </c>
      <c r="W23" s="4">
        <v>454545.45</v>
      </c>
      <c r="Y23" s="4">
        <f t="shared" si="12"/>
        <v>454545.45</v>
      </c>
      <c r="Z23" s="86">
        <v>46108</v>
      </c>
      <c r="AA23" s="20">
        <v>2682</v>
      </c>
      <c r="AB23" s="5" t="s">
        <v>97</v>
      </c>
      <c r="AC23" s="4"/>
      <c r="AD23" s="137">
        <v>7631.38</v>
      </c>
      <c r="AE23" s="4">
        <f t="shared" si="1"/>
        <v>446914.07</v>
      </c>
      <c r="AF23" s="9">
        <v>46132</v>
      </c>
      <c r="AG23" s="1">
        <v>2813</v>
      </c>
      <c r="AH23" s="5" t="s">
        <v>199</v>
      </c>
      <c r="AI23" s="4"/>
      <c r="AJ23" s="4">
        <v>9747.33</v>
      </c>
      <c r="AK23" s="4">
        <f t="shared" si="2"/>
        <v>437166.74</v>
      </c>
      <c r="AL23" s="9">
        <v>46167</v>
      </c>
      <c r="AM23" s="1">
        <v>3003</v>
      </c>
      <c r="AN23" s="5" t="s">
        <v>275</v>
      </c>
      <c r="AO23" s="4"/>
      <c r="AP23" s="4">
        <v>5664.27</v>
      </c>
      <c r="AQ23" s="4">
        <f t="shared" si="3"/>
        <v>431502.47</v>
      </c>
      <c r="AR23" s="6">
        <v>46196</v>
      </c>
      <c r="AS23" s="1">
        <v>3183</v>
      </c>
      <c r="AT23" s="5" t="s">
        <v>289</v>
      </c>
      <c r="AU23" s="126"/>
      <c r="AV23" s="126">
        <v>7604.44</v>
      </c>
      <c r="AW23" s="4">
        <f t="shared" ref="AW23:AW38" si="13">AQ23+AU23-AV23</f>
        <v>423898.02999999997</v>
      </c>
      <c r="AX23" s="6">
        <v>46230</v>
      </c>
      <c r="AY23" s="1">
        <v>3388</v>
      </c>
      <c r="AZ23" s="1">
        <v>5</v>
      </c>
      <c r="BA23" s="126"/>
      <c r="BB23" s="126">
        <v>7583.18</v>
      </c>
      <c r="BC23" s="4">
        <f t="shared" si="5"/>
        <v>416314.85</v>
      </c>
      <c r="BD23" s="9"/>
      <c r="BE23" s="3"/>
      <c r="BF23" s="1"/>
      <c r="BG23" s="4"/>
      <c r="BH23" s="8"/>
      <c r="BI23" s="4">
        <f t="shared" si="6"/>
        <v>416314.85</v>
      </c>
      <c r="BJ23" s="9"/>
      <c r="BK23" s="3"/>
      <c r="BL23" s="1"/>
      <c r="BM23" s="4"/>
      <c r="BN23" s="4"/>
      <c r="BO23" s="4">
        <f t="shared" si="7"/>
        <v>416314.85</v>
      </c>
      <c r="BP23" s="9"/>
      <c r="BQ23" s="3"/>
      <c r="BR23" s="1"/>
      <c r="BS23" s="4"/>
      <c r="BT23" s="4"/>
      <c r="BU23" s="4">
        <f t="shared" si="8"/>
        <v>416314.85</v>
      </c>
      <c r="BV23" s="9"/>
      <c r="BW23" s="3"/>
      <c r="BX23" s="1"/>
      <c r="BY23" s="4"/>
      <c r="BZ23" s="4"/>
      <c r="CA23" s="4">
        <f t="shared" si="9"/>
        <v>416314.85</v>
      </c>
      <c r="CB23" s="9"/>
      <c r="CC23" s="3"/>
      <c r="CD23" s="1"/>
      <c r="CE23" s="4"/>
      <c r="CF23" s="4"/>
      <c r="CG23" s="4">
        <f t="shared" si="10"/>
        <v>416314.85</v>
      </c>
      <c r="CH23" s="4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 x14ac:dyDescent="0.3">
      <c r="A24" s="1" t="s">
        <v>280</v>
      </c>
      <c r="B24" s="2" t="s">
        <v>128</v>
      </c>
      <c r="C24" s="3" t="s">
        <v>34</v>
      </c>
      <c r="D24" s="3" t="s">
        <v>130</v>
      </c>
      <c r="E24" s="3" t="s">
        <v>50</v>
      </c>
      <c r="G24" s="3"/>
      <c r="H24" s="5" t="s">
        <v>248</v>
      </c>
      <c r="I24" s="5" t="s">
        <v>52</v>
      </c>
      <c r="J24" s="6">
        <v>46080</v>
      </c>
      <c r="K24" s="113">
        <v>51559</v>
      </c>
      <c r="L24" s="147">
        <v>681818.18</v>
      </c>
      <c r="M24" s="8"/>
      <c r="N24" s="9"/>
      <c r="O24" s="1"/>
      <c r="P24" s="10"/>
      <c r="Q24" s="4"/>
      <c r="R24" s="4"/>
      <c r="S24" s="4">
        <f t="shared" ref="S24:S43" si="14">SUM(Q24-R24)</f>
        <v>0</v>
      </c>
      <c r="U24" s="1"/>
      <c r="V24" s="5"/>
      <c r="W24" s="4">
        <v>681818.18</v>
      </c>
      <c r="X24" s="4"/>
      <c r="Y24" s="4">
        <f t="shared" si="12"/>
        <v>681818.18</v>
      </c>
      <c r="Z24" s="6"/>
      <c r="AA24" s="1"/>
      <c r="AB24" s="5"/>
      <c r="AC24" s="4"/>
      <c r="AD24" s="137"/>
      <c r="AE24" s="4">
        <f t="shared" ref="AE24:AE41" si="15">Y24+AC24-AD24</f>
        <v>681818.18</v>
      </c>
      <c r="AF24" s="9"/>
      <c r="AG24" s="1"/>
      <c r="AH24" s="5"/>
      <c r="AI24" s="4"/>
      <c r="AJ24" s="4"/>
      <c r="AK24" s="4">
        <f t="shared" si="2"/>
        <v>681818.18</v>
      </c>
      <c r="AL24" s="9" t="s">
        <v>356</v>
      </c>
      <c r="AM24" s="1" t="s">
        <v>357</v>
      </c>
      <c r="AN24" s="5" t="s">
        <v>358</v>
      </c>
      <c r="AO24" s="4"/>
      <c r="AP24" s="4">
        <f>4581+3000+3782.64</f>
        <v>11363.64</v>
      </c>
      <c r="AQ24" s="4">
        <f t="shared" si="3"/>
        <v>670454.54</v>
      </c>
      <c r="AR24" s="6">
        <v>46200</v>
      </c>
      <c r="AS24" s="1">
        <v>3224</v>
      </c>
      <c r="AT24" s="5" t="s">
        <v>289</v>
      </c>
      <c r="AU24" s="126"/>
      <c r="AV24" s="126">
        <v>3787.88</v>
      </c>
      <c r="AW24" s="4">
        <f t="shared" si="13"/>
        <v>666666.66</v>
      </c>
      <c r="AX24" s="173"/>
      <c r="AY24" s="1"/>
      <c r="AZ24" s="1"/>
      <c r="BA24" s="126"/>
      <c r="BB24" s="126"/>
      <c r="BC24" s="4">
        <f t="shared" si="5"/>
        <v>666666.66</v>
      </c>
      <c r="BD24" s="9"/>
      <c r="BE24" s="3"/>
      <c r="BF24" s="1"/>
      <c r="BG24" s="4"/>
      <c r="BH24" s="8"/>
      <c r="BI24" s="4">
        <f t="shared" si="6"/>
        <v>666666.66</v>
      </c>
      <c r="BJ24" s="9"/>
      <c r="BK24" s="3"/>
      <c r="BL24" s="1"/>
      <c r="BM24" s="4"/>
      <c r="BN24" s="4"/>
      <c r="BO24" s="4">
        <f t="shared" si="7"/>
        <v>666666.66</v>
      </c>
      <c r="BP24" s="9"/>
      <c r="BQ24" s="3"/>
      <c r="BR24" s="1"/>
      <c r="BS24" s="4"/>
      <c r="BT24" s="4"/>
      <c r="BU24" s="4">
        <f t="shared" si="8"/>
        <v>666666.66</v>
      </c>
      <c r="BV24" s="9"/>
      <c r="BW24" s="3"/>
      <c r="BX24" s="1"/>
      <c r="BY24" s="4"/>
      <c r="BZ24" s="4"/>
      <c r="CA24" s="4">
        <f t="shared" si="9"/>
        <v>666666.66</v>
      </c>
      <c r="CB24" s="9"/>
      <c r="CC24" s="3"/>
      <c r="CD24" s="1"/>
      <c r="CE24" s="4"/>
      <c r="CF24" s="4"/>
      <c r="CG24" s="4">
        <f t="shared" si="10"/>
        <v>666666.66</v>
      </c>
      <c r="CH24" s="4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s="87" customFormat="1" x14ac:dyDescent="0.3">
      <c r="A25" s="90" t="s">
        <v>414</v>
      </c>
      <c r="B25" s="109" t="s">
        <v>110</v>
      </c>
      <c r="C25" s="87" t="s">
        <v>34</v>
      </c>
      <c r="D25" s="87" t="s">
        <v>169</v>
      </c>
      <c r="F25" s="80"/>
      <c r="H25" s="110" t="s">
        <v>46</v>
      </c>
      <c r="I25" s="110" t="s">
        <v>44</v>
      </c>
      <c r="J25" s="111">
        <v>46038</v>
      </c>
      <c r="K25" s="111">
        <v>49690</v>
      </c>
      <c r="L25" s="149">
        <v>147727.26999999999</v>
      </c>
      <c r="M25" s="79"/>
      <c r="N25" s="89">
        <v>46044</v>
      </c>
      <c r="O25" s="90">
        <v>2324</v>
      </c>
      <c r="P25" s="88" t="s">
        <v>97</v>
      </c>
      <c r="Q25" s="80">
        <v>147727.26999999999</v>
      </c>
      <c r="R25" s="80">
        <v>147727.26999999999</v>
      </c>
      <c r="S25" s="80">
        <f t="shared" si="14"/>
        <v>0</v>
      </c>
      <c r="T25" s="89"/>
      <c r="U25" s="90"/>
      <c r="V25" s="110"/>
      <c r="W25" s="80"/>
      <c r="X25" s="80"/>
      <c r="Y25" s="80">
        <f>S25+W25-X25</f>
        <v>0</v>
      </c>
      <c r="Z25" s="111"/>
      <c r="AA25" s="90"/>
      <c r="AB25" s="110"/>
      <c r="AC25" s="80"/>
      <c r="AD25" s="139"/>
      <c r="AE25" s="80">
        <f t="shared" si="15"/>
        <v>0</v>
      </c>
      <c r="AF25" s="89"/>
      <c r="AG25" s="90"/>
      <c r="AH25" s="110"/>
      <c r="AI25" s="80"/>
      <c r="AJ25" s="80"/>
      <c r="AK25" s="80">
        <f t="shared" si="2"/>
        <v>0</v>
      </c>
      <c r="AL25" s="89"/>
      <c r="AM25" s="90"/>
      <c r="AN25" s="110"/>
      <c r="AO25" s="80"/>
      <c r="AP25" s="80"/>
      <c r="AQ25" s="80">
        <f t="shared" si="3"/>
        <v>0</v>
      </c>
      <c r="AR25" s="111"/>
      <c r="AS25" s="90"/>
      <c r="AT25" s="110"/>
      <c r="AU25" s="162"/>
      <c r="AV25" s="162"/>
      <c r="AW25" s="80">
        <f t="shared" si="13"/>
        <v>0</v>
      </c>
      <c r="AX25" s="111"/>
      <c r="AY25" s="90"/>
      <c r="AZ25" s="90"/>
      <c r="BA25" s="162"/>
      <c r="BB25" s="162"/>
      <c r="BC25" s="80">
        <f t="shared" si="5"/>
        <v>0</v>
      </c>
      <c r="BD25" s="89"/>
      <c r="BF25" s="90"/>
      <c r="BG25" s="80"/>
      <c r="BH25" s="79"/>
      <c r="BI25" s="80">
        <f t="shared" si="6"/>
        <v>0</v>
      </c>
      <c r="BJ25" s="89"/>
      <c r="BL25" s="90"/>
      <c r="BM25" s="80"/>
      <c r="BN25" s="80"/>
      <c r="BO25" s="80">
        <f t="shared" si="7"/>
        <v>0</v>
      </c>
      <c r="BP25" s="89"/>
      <c r="BR25" s="90"/>
      <c r="BS25" s="80"/>
      <c r="BT25" s="80"/>
      <c r="BU25" s="80">
        <f t="shared" si="8"/>
        <v>0</v>
      </c>
      <c r="BV25" s="89"/>
      <c r="BX25" s="90"/>
      <c r="BY25" s="80"/>
      <c r="BZ25" s="80"/>
      <c r="CA25" s="80">
        <f t="shared" si="9"/>
        <v>0</v>
      </c>
      <c r="CB25" s="89"/>
      <c r="CD25" s="90"/>
      <c r="CE25" s="80"/>
      <c r="CF25" s="80"/>
      <c r="CG25" s="80">
        <f t="shared" si="10"/>
        <v>0</v>
      </c>
      <c r="CH25" s="80" t="s">
        <v>113</v>
      </c>
      <c r="CI25" s="3"/>
    </row>
    <row r="26" spans="1:100" x14ac:dyDescent="0.3">
      <c r="A26" s="90" t="s">
        <v>415</v>
      </c>
      <c r="B26" s="109" t="s">
        <v>111</v>
      </c>
      <c r="C26" s="109" t="s">
        <v>34</v>
      </c>
      <c r="D26" s="109" t="s">
        <v>235</v>
      </c>
      <c r="E26" s="109"/>
      <c r="F26" s="109"/>
      <c r="G26" s="109"/>
      <c r="H26" s="110" t="s">
        <v>98</v>
      </c>
      <c r="I26" s="110" t="s">
        <v>112</v>
      </c>
      <c r="J26" s="111">
        <v>46042</v>
      </c>
      <c r="K26" s="111">
        <v>46407</v>
      </c>
      <c r="L26" s="149">
        <v>39772.730000000003</v>
      </c>
      <c r="M26" s="79"/>
      <c r="N26" s="89"/>
      <c r="O26" s="90"/>
      <c r="P26" s="88"/>
      <c r="Q26" s="80">
        <v>39772.730000000003</v>
      </c>
      <c r="R26" s="80"/>
      <c r="S26" s="112">
        <f t="shared" si="14"/>
        <v>39772.730000000003</v>
      </c>
      <c r="T26" s="89">
        <v>46069</v>
      </c>
      <c r="U26" s="90">
        <v>2432</v>
      </c>
      <c r="V26" s="110" t="s">
        <v>97</v>
      </c>
      <c r="W26" s="80"/>
      <c r="X26" s="80">
        <v>39772.730000000003</v>
      </c>
      <c r="Y26" s="80">
        <f>S26+W26-X26</f>
        <v>0</v>
      </c>
      <c r="Z26" s="111"/>
      <c r="AA26" s="90"/>
      <c r="AB26" s="110"/>
      <c r="AC26" s="80"/>
      <c r="AD26" s="139"/>
      <c r="AE26" s="80">
        <f t="shared" si="15"/>
        <v>0</v>
      </c>
      <c r="AF26" s="89"/>
      <c r="AG26" s="90"/>
      <c r="AH26" s="110"/>
      <c r="AI26" s="80"/>
      <c r="AJ26" s="80"/>
      <c r="AK26" s="80">
        <f t="shared" si="2"/>
        <v>0</v>
      </c>
      <c r="AL26" s="89"/>
      <c r="AM26" s="90"/>
      <c r="AN26" s="110"/>
      <c r="AO26" s="80"/>
      <c r="AP26" s="80"/>
      <c r="AQ26" s="80">
        <f t="shared" si="3"/>
        <v>0</v>
      </c>
      <c r="AR26" s="111"/>
      <c r="AS26" s="90"/>
      <c r="AT26" s="110"/>
      <c r="AU26" s="162"/>
      <c r="AV26" s="162"/>
      <c r="AW26" s="80">
        <f t="shared" si="13"/>
        <v>0</v>
      </c>
      <c r="AX26" s="111"/>
      <c r="AY26" s="90"/>
      <c r="AZ26" s="90"/>
      <c r="BA26" s="162"/>
      <c r="BB26" s="162"/>
      <c r="BC26" s="80">
        <f t="shared" si="5"/>
        <v>0</v>
      </c>
      <c r="BD26" s="89"/>
      <c r="BE26" s="87"/>
      <c r="BF26" s="90"/>
      <c r="BG26" s="80"/>
      <c r="BH26" s="79"/>
      <c r="BI26" s="80">
        <f t="shared" si="6"/>
        <v>0</v>
      </c>
      <c r="BJ26" s="89"/>
      <c r="BK26" s="87"/>
      <c r="BL26" s="90"/>
      <c r="BM26" s="80"/>
      <c r="BN26" s="80"/>
      <c r="BO26" s="80">
        <f t="shared" si="7"/>
        <v>0</v>
      </c>
      <c r="BP26" s="89"/>
      <c r="BQ26" s="87"/>
      <c r="BR26" s="90"/>
      <c r="BS26" s="80"/>
      <c r="BT26" s="80"/>
      <c r="BU26" s="80">
        <f t="shared" si="8"/>
        <v>0</v>
      </c>
      <c r="BV26" s="89"/>
      <c r="BW26" s="87"/>
      <c r="BX26" s="90"/>
      <c r="BY26" s="80"/>
      <c r="BZ26" s="80"/>
      <c r="CA26" s="80">
        <f t="shared" si="9"/>
        <v>0</v>
      </c>
      <c r="CB26" s="89"/>
      <c r="CC26" s="87"/>
      <c r="CD26" s="90"/>
      <c r="CE26" s="80"/>
      <c r="CF26" s="80"/>
      <c r="CG26" s="80">
        <f t="shared" si="10"/>
        <v>0</v>
      </c>
      <c r="CH26" s="80" t="s">
        <v>113</v>
      </c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 s="3" customFormat="1" x14ac:dyDescent="0.3">
      <c r="A27" s="1" t="s">
        <v>187</v>
      </c>
      <c r="B27" s="2" t="s">
        <v>129</v>
      </c>
      <c r="C27" s="3" t="s">
        <v>34</v>
      </c>
      <c r="D27" s="3" t="s">
        <v>138</v>
      </c>
      <c r="F27" s="4"/>
      <c r="H27" s="5" t="s">
        <v>149</v>
      </c>
      <c r="I27" s="5"/>
      <c r="J27" s="6">
        <v>46056</v>
      </c>
      <c r="K27" s="6">
        <v>46786</v>
      </c>
      <c r="L27" s="147">
        <v>56818.18</v>
      </c>
      <c r="M27" s="8"/>
      <c r="N27" s="9"/>
      <c r="O27" s="1"/>
      <c r="P27" s="10"/>
      <c r="Q27" s="4"/>
      <c r="R27" s="4"/>
      <c r="S27" s="4">
        <f t="shared" si="14"/>
        <v>0</v>
      </c>
      <c r="T27" s="9"/>
      <c r="U27" s="1"/>
      <c r="V27" s="10"/>
      <c r="W27" s="3">
        <v>56818.18</v>
      </c>
      <c r="X27" s="4"/>
      <c r="Y27" s="4">
        <f t="shared" ref="Y27:Y28" si="16">S27+W27-X27</f>
        <v>56818.18</v>
      </c>
      <c r="Z27" s="6">
        <v>46086</v>
      </c>
      <c r="AA27" s="1">
        <v>2559</v>
      </c>
      <c r="AB27" s="5" t="s">
        <v>97</v>
      </c>
      <c r="AC27" s="4"/>
      <c r="AD27" s="137">
        <v>3953.92</v>
      </c>
      <c r="AE27" s="4">
        <f t="shared" si="15"/>
        <v>52864.26</v>
      </c>
      <c r="AF27" s="9" t="s">
        <v>299</v>
      </c>
      <c r="AG27" s="1" t="s">
        <v>300</v>
      </c>
      <c r="AH27" s="5" t="s">
        <v>245</v>
      </c>
      <c r="AI27" s="4"/>
      <c r="AJ27" s="4">
        <f>2422.44+2703.99</f>
        <v>5126.43</v>
      </c>
      <c r="AK27" s="4">
        <f t="shared" si="2"/>
        <v>47737.83</v>
      </c>
      <c r="AL27" s="9" t="s">
        <v>269</v>
      </c>
      <c r="AM27" s="1"/>
      <c r="AN27" s="5"/>
      <c r="AO27" s="4"/>
      <c r="AP27" s="4"/>
      <c r="AQ27" s="4">
        <f t="shared" si="3"/>
        <v>47737.83</v>
      </c>
      <c r="AR27" s="6">
        <v>46178</v>
      </c>
      <c r="AS27" s="1" t="s">
        <v>417</v>
      </c>
      <c r="AT27" s="5" t="s">
        <v>371</v>
      </c>
      <c r="AU27" s="126"/>
      <c r="AV27" s="126">
        <f>2138.6+20.03</f>
        <v>2158.63</v>
      </c>
      <c r="AW27" s="4">
        <f t="shared" si="13"/>
        <v>45579.200000000004</v>
      </c>
      <c r="AX27" s="6">
        <v>46211</v>
      </c>
      <c r="AY27" s="1">
        <v>3275</v>
      </c>
      <c r="AZ27" s="1">
        <v>5</v>
      </c>
      <c r="BA27" s="126"/>
      <c r="BB27" s="126">
        <v>2287.41</v>
      </c>
      <c r="BC27" s="4">
        <f t="shared" si="5"/>
        <v>43291.790000000008</v>
      </c>
      <c r="BD27" s="9"/>
      <c r="BF27" s="1"/>
      <c r="BG27" s="4"/>
      <c r="BH27" s="8"/>
      <c r="BI27" s="4">
        <f t="shared" si="6"/>
        <v>43291.790000000008</v>
      </c>
      <c r="BJ27" s="9"/>
      <c r="BL27" s="1"/>
      <c r="BM27" s="4"/>
      <c r="BN27" s="4"/>
      <c r="BO27" s="4">
        <f t="shared" si="7"/>
        <v>43291.790000000008</v>
      </c>
      <c r="BP27" s="9"/>
      <c r="BR27" s="1"/>
      <c r="BS27" s="4"/>
      <c r="BT27" s="4"/>
      <c r="BU27" s="4">
        <f t="shared" si="8"/>
        <v>43291.790000000008</v>
      </c>
      <c r="BV27" s="9"/>
      <c r="BX27" s="1"/>
      <c r="BY27" s="4"/>
      <c r="BZ27" s="4"/>
      <c r="CA27" s="4">
        <f t="shared" si="9"/>
        <v>43291.790000000008</v>
      </c>
      <c r="CB27" s="9"/>
      <c r="CD27" s="1"/>
      <c r="CE27" s="4"/>
      <c r="CF27" s="4"/>
      <c r="CG27" s="4">
        <f t="shared" si="10"/>
        <v>43291.790000000008</v>
      </c>
      <c r="CH27" s="4"/>
    </row>
    <row r="28" spans="1:100" s="3" customFormat="1" x14ac:dyDescent="0.3">
      <c r="A28" s="1" t="s">
        <v>281</v>
      </c>
      <c r="B28" s="2" t="s">
        <v>131</v>
      </c>
      <c r="C28" s="3" t="s">
        <v>34</v>
      </c>
      <c r="D28" s="3" t="s">
        <v>132</v>
      </c>
      <c r="F28" s="4"/>
      <c r="H28" s="5" t="s">
        <v>118</v>
      </c>
      <c r="I28" s="5" t="s">
        <v>52</v>
      </c>
      <c r="J28" s="6">
        <v>46080</v>
      </c>
      <c r="K28" s="113">
        <v>51559</v>
      </c>
      <c r="L28" s="147">
        <v>454545.45</v>
      </c>
      <c r="M28" s="8"/>
      <c r="N28" s="9"/>
      <c r="O28" s="1"/>
      <c r="P28" s="10"/>
      <c r="Q28" s="4"/>
      <c r="R28" s="4"/>
      <c r="S28" s="4">
        <f t="shared" si="14"/>
        <v>0</v>
      </c>
      <c r="T28" s="9"/>
      <c r="U28" s="1"/>
      <c r="V28" s="10"/>
      <c r="W28" s="4">
        <v>454545.45</v>
      </c>
      <c r="X28" s="4"/>
      <c r="Y28" s="4">
        <f t="shared" si="16"/>
        <v>454545.45</v>
      </c>
      <c r="Z28" s="6"/>
      <c r="AA28" s="1"/>
      <c r="AB28" s="5"/>
      <c r="AC28" s="4"/>
      <c r="AD28" s="137"/>
      <c r="AE28" s="4">
        <f t="shared" si="15"/>
        <v>454545.45</v>
      </c>
      <c r="AF28" s="9"/>
      <c r="AG28" s="1"/>
      <c r="AH28" s="5"/>
      <c r="AI28" s="4"/>
      <c r="AJ28" s="4"/>
      <c r="AK28" s="4">
        <f t="shared" si="2"/>
        <v>454545.45</v>
      </c>
      <c r="AL28" s="9" t="s">
        <v>356</v>
      </c>
      <c r="AM28" s="1" t="s">
        <v>359</v>
      </c>
      <c r="AN28" s="5" t="s">
        <v>214</v>
      </c>
      <c r="AO28" s="4"/>
      <c r="AP28" s="4">
        <f>5052.34+2523.41</f>
        <v>7575.75</v>
      </c>
      <c r="AQ28" s="4">
        <f t="shared" si="3"/>
        <v>446969.7</v>
      </c>
      <c r="AR28" s="6">
        <v>46200</v>
      </c>
      <c r="AS28" s="1">
        <v>3223</v>
      </c>
      <c r="AT28" s="5" t="s">
        <v>275</v>
      </c>
      <c r="AU28" s="126"/>
      <c r="AV28" s="126">
        <v>2256.69</v>
      </c>
      <c r="AW28" s="4">
        <f t="shared" si="13"/>
        <v>444713.01</v>
      </c>
      <c r="AX28" s="6"/>
      <c r="AY28" s="1"/>
      <c r="AZ28" s="1"/>
      <c r="BA28" s="126"/>
      <c r="BB28" s="126"/>
      <c r="BC28" s="4">
        <f t="shared" si="5"/>
        <v>444713.01</v>
      </c>
      <c r="BD28" s="9"/>
      <c r="BF28" s="1"/>
      <c r="BG28" s="4"/>
      <c r="BH28" s="8"/>
      <c r="BI28" s="4">
        <f t="shared" si="6"/>
        <v>444713.01</v>
      </c>
      <c r="BJ28" s="9"/>
      <c r="BL28" s="1"/>
      <c r="BM28" s="4"/>
      <c r="BN28" s="4"/>
      <c r="BO28" s="4">
        <f t="shared" si="7"/>
        <v>444713.01</v>
      </c>
      <c r="BP28" s="9"/>
      <c r="BR28" s="1"/>
      <c r="BS28" s="4"/>
      <c r="BT28" s="4"/>
      <c r="BU28" s="4">
        <f t="shared" si="8"/>
        <v>444713.01</v>
      </c>
      <c r="BV28" s="9"/>
      <c r="BX28" s="1"/>
      <c r="BY28" s="4"/>
      <c r="BZ28" s="4"/>
      <c r="CA28" s="4">
        <f t="shared" si="9"/>
        <v>444713.01</v>
      </c>
      <c r="CB28" s="9"/>
      <c r="CD28" s="1"/>
      <c r="CE28" s="4"/>
      <c r="CF28" s="4"/>
      <c r="CG28" s="4">
        <f t="shared" si="10"/>
        <v>444713.01</v>
      </c>
      <c r="CH28" s="4"/>
    </row>
    <row r="29" spans="1:100" s="3" customFormat="1" x14ac:dyDescent="0.3">
      <c r="A29" s="1" t="s">
        <v>185</v>
      </c>
      <c r="B29" s="3" t="s">
        <v>301</v>
      </c>
      <c r="C29" s="3" t="s">
        <v>34</v>
      </c>
      <c r="D29" s="3" t="s">
        <v>172</v>
      </c>
      <c r="F29" s="4"/>
      <c r="H29" s="5" t="s">
        <v>133</v>
      </c>
      <c r="I29" s="5" t="s">
        <v>58</v>
      </c>
      <c r="J29" s="6">
        <v>46057</v>
      </c>
      <c r="K29" s="6">
        <v>47518</v>
      </c>
      <c r="L29" s="147">
        <v>340909.09</v>
      </c>
      <c r="M29" s="8"/>
      <c r="N29" s="9"/>
      <c r="O29" s="1"/>
      <c r="P29" s="10"/>
      <c r="Q29" s="4"/>
      <c r="R29" s="4"/>
      <c r="S29" s="4">
        <f t="shared" si="14"/>
        <v>0</v>
      </c>
      <c r="T29" s="9"/>
      <c r="U29" s="1"/>
      <c r="V29" s="10"/>
      <c r="W29" s="4">
        <v>340909.09</v>
      </c>
      <c r="X29" s="4"/>
      <c r="Y29" s="4">
        <f t="shared" ref="Y29:Y44" si="17">S29+W29-X29</f>
        <v>340909.09</v>
      </c>
      <c r="Z29" s="6">
        <v>46085</v>
      </c>
      <c r="AA29" s="1">
        <v>2555</v>
      </c>
      <c r="AB29" s="5" t="s">
        <v>97</v>
      </c>
      <c r="AC29" s="4"/>
      <c r="AD29" s="137">
        <v>7123.54</v>
      </c>
      <c r="AE29" s="4">
        <f t="shared" si="15"/>
        <v>333785.55000000005</v>
      </c>
      <c r="AF29" s="9">
        <v>46119</v>
      </c>
      <c r="AG29" s="1">
        <v>2734</v>
      </c>
      <c r="AH29" s="5" t="s">
        <v>199</v>
      </c>
      <c r="AI29" s="4"/>
      <c r="AJ29" s="4">
        <v>7196.26</v>
      </c>
      <c r="AK29" s="4">
        <f t="shared" si="2"/>
        <v>326589.29000000004</v>
      </c>
      <c r="AL29" s="9">
        <v>46147</v>
      </c>
      <c r="AM29" s="1">
        <v>2882</v>
      </c>
      <c r="AN29" s="5" t="s">
        <v>275</v>
      </c>
      <c r="AO29" s="4"/>
      <c r="AP29" s="4">
        <v>7104.69</v>
      </c>
      <c r="AQ29" s="4">
        <f t="shared" si="3"/>
        <v>319484.60000000003</v>
      </c>
      <c r="AR29" s="6">
        <v>46177</v>
      </c>
      <c r="AS29" s="1">
        <v>3068</v>
      </c>
      <c r="AT29" s="5">
        <v>4</v>
      </c>
      <c r="AU29" s="126"/>
      <c r="AV29" s="126">
        <v>7187.77</v>
      </c>
      <c r="AW29" s="4">
        <f t="shared" si="13"/>
        <v>312296.83</v>
      </c>
      <c r="AX29" s="6">
        <v>46206</v>
      </c>
      <c r="AY29" s="1">
        <v>3248</v>
      </c>
      <c r="AZ29" s="1">
        <v>5</v>
      </c>
      <c r="BA29" s="126"/>
      <c r="BB29" s="126">
        <v>7239.62</v>
      </c>
      <c r="BC29" s="4">
        <f t="shared" si="5"/>
        <v>305057.21000000002</v>
      </c>
      <c r="BD29" s="9"/>
      <c r="BF29" s="1"/>
      <c r="BG29" s="4"/>
      <c r="BH29" s="8"/>
      <c r="BI29" s="4">
        <f t="shared" si="6"/>
        <v>305057.21000000002</v>
      </c>
      <c r="BJ29" s="9"/>
      <c r="BL29" s="1"/>
      <c r="BM29" s="4"/>
      <c r="BN29" s="4"/>
      <c r="BO29" s="4">
        <f t="shared" si="7"/>
        <v>305057.21000000002</v>
      </c>
      <c r="BP29" s="9"/>
      <c r="BR29" s="1"/>
      <c r="BS29" s="4"/>
      <c r="BT29" s="4"/>
      <c r="BU29" s="4">
        <f t="shared" si="8"/>
        <v>305057.21000000002</v>
      </c>
      <c r="BV29" s="9"/>
      <c r="BX29" s="1"/>
      <c r="BY29" s="4"/>
      <c r="BZ29" s="4"/>
      <c r="CA29" s="4">
        <f t="shared" si="9"/>
        <v>305057.21000000002</v>
      </c>
      <c r="CB29" s="9"/>
      <c r="CD29" s="1"/>
      <c r="CE29" s="4"/>
      <c r="CF29" s="4"/>
      <c r="CG29" s="4">
        <f t="shared" si="10"/>
        <v>305057.21000000002</v>
      </c>
      <c r="CH29" s="4"/>
    </row>
    <row r="30" spans="1:100" s="3" customFormat="1" x14ac:dyDescent="0.3">
      <c r="A30" s="1" t="s">
        <v>188</v>
      </c>
      <c r="B30" s="3" t="s">
        <v>148</v>
      </c>
      <c r="C30" s="3" t="s">
        <v>34</v>
      </c>
      <c r="D30" s="3" t="s">
        <v>173</v>
      </c>
      <c r="F30" s="4"/>
      <c r="H30" s="5" t="s">
        <v>134</v>
      </c>
      <c r="I30" s="5" t="s">
        <v>58</v>
      </c>
      <c r="J30" s="6">
        <v>46064</v>
      </c>
      <c r="K30" s="6">
        <v>47525</v>
      </c>
      <c r="L30" s="147">
        <v>227272.73</v>
      </c>
      <c r="M30" s="8"/>
      <c r="N30" s="9"/>
      <c r="O30" s="1"/>
      <c r="P30" s="10"/>
      <c r="Q30" s="4"/>
      <c r="R30" s="4"/>
      <c r="S30" s="4">
        <f t="shared" si="14"/>
        <v>0</v>
      </c>
      <c r="T30" s="9"/>
      <c r="U30" s="1"/>
      <c r="V30" s="10"/>
      <c r="W30" s="4">
        <v>227272.73</v>
      </c>
      <c r="X30" s="4"/>
      <c r="Y30" s="4">
        <f t="shared" si="17"/>
        <v>227272.73</v>
      </c>
      <c r="Z30" s="6">
        <v>46090</v>
      </c>
      <c r="AA30" s="1">
        <v>2577</v>
      </c>
      <c r="AB30" s="5" t="s">
        <v>97</v>
      </c>
      <c r="AC30" s="4"/>
      <c r="AD30" s="137">
        <v>4815.6899999999996</v>
      </c>
      <c r="AE30" s="4">
        <f t="shared" si="15"/>
        <v>222457.04</v>
      </c>
      <c r="AF30" s="9">
        <v>46121</v>
      </c>
      <c r="AG30" s="1">
        <v>2749</v>
      </c>
      <c r="AH30" s="5" t="s">
        <v>199</v>
      </c>
      <c r="AI30" s="4"/>
      <c r="AJ30" s="4">
        <v>4965.53</v>
      </c>
      <c r="AK30" s="4">
        <f t="shared" si="2"/>
        <v>217491.51</v>
      </c>
      <c r="AL30" s="9">
        <v>46154</v>
      </c>
      <c r="AM30" s="1">
        <v>2935</v>
      </c>
      <c r="AN30" s="5" t="s">
        <v>275</v>
      </c>
      <c r="AO30" s="4"/>
      <c r="AP30" s="4">
        <v>4809.76</v>
      </c>
      <c r="AQ30" s="4">
        <f t="shared" si="3"/>
        <v>212681.75</v>
      </c>
      <c r="AR30" s="6">
        <v>46190</v>
      </c>
      <c r="AS30" s="1" t="s">
        <v>392</v>
      </c>
      <c r="AT30" s="5" t="s">
        <v>393</v>
      </c>
      <c r="AU30" s="126"/>
      <c r="AV30" s="126">
        <f>3795.72+600</f>
        <v>4395.7199999999993</v>
      </c>
      <c r="AW30" s="4">
        <f t="shared" si="13"/>
        <v>208286.03</v>
      </c>
      <c r="AX30" s="6">
        <v>46214</v>
      </c>
      <c r="AY30" s="1">
        <v>3293</v>
      </c>
      <c r="AZ30" s="1">
        <v>6</v>
      </c>
      <c r="BA30" s="126"/>
      <c r="BB30" s="126">
        <v>6713.08</v>
      </c>
      <c r="BC30" s="4">
        <f t="shared" si="5"/>
        <v>201572.95</v>
      </c>
      <c r="BD30" s="9"/>
      <c r="BF30" s="1"/>
      <c r="BG30" s="4"/>
      <c r="BH30" s="8"/>
      <c r="BI30" s="4">
        <f t="shared" si="6"/>
        <v>201572.95</v>
      </c>
      <c r="BJ30" s="9"/>
      <c r="BL30" s="1"/>
      <c r="BM30" s="4"/>
      <c r="BN30" s="4"/>
      <c r="BO30" s="4">
        <f t="shared" si="7"/>
        <v>201572.95</v>
      </c>
      <c r="BP30" s="9"/>
      <c r="BR30" s="1"/>
      <c r="BS30" s="4"/>
      <c r="BT30" s="4"/>
      <c r="BU30" s="4">
        <f t="shared" si="8"/>
        <v>201572.95</v>
      </c>
      <c r="BV30" s="9"/>
      <c r="BX30" s="1"/>
      <c r="BY30" s="4"/>
      <c r="BZ30" s="4"/>
      <c r="CA30" s="4">
        <f t="shared" si="9"/>
        <v>201572.95</v>
      </c>
      <c r="CB30" s="9"/>
      <c r="CD30" s="1"/>
      <c r="CE30" s="4"/>
      <c r="CF30" s="4"/>
      <c r="CG30" s="4">
        <f t="shared" si="10"/>
        <v>201572.95</v>
      </c>
      <c r="CH30" s="4"/>
    </row>
    <row r="31" spans="1:100" s="3" customFormat="1" x14ac:dyDescent="0.3">
      <c r="A31" s="1" t="s">
        <v>190</v>
      </c>
      <c r="B31" s="3" t="s">
        <v>135</v>
      </c>
      <c r="C31" s="3" t="s">
        <v>34</v>
      </c>
      <c r="D31" s="3" t="s">
        <v>174</v>
      </c>
      <c r="F31" s="4"/>
      <c r="H31" s="5" t="s">
        <v>136</v>
      </c>
      <c r="I31" s="5" t="s">
        <v>78</v>
      </c>
      <c r="J31" s="6">
        <v>46066</v>
      </c>
      <c r="K31" s="6">
        <v>47892</v>
      </c>
      <c r="L31" s="147">
        <v>340909.09</v>
      </c>
      <c r="M31" s="8"/>
      <c r="N31" s="9"/>
      <c r="O31" s="1"/>
      <c r="P31" s="10"/>
      <c r="Q31" s="4"/>
      <c r="R31" s="4"/>
      <c r="S31" s="4">
        <f t="shared" si="14"/>
        <v>0</v>
      </c>
      <c r="T31" s="9"/>
      <c r="U31" s="1"/>
      <c r="V31" s="10"/>
      <c r="W31" s="4">
        <v>340909.09</v>
      </c>
      <c r="X31" s="4"/>
      <c r="Y31" s="4">
        <f t="shared" si="17"/>
        <v>340909.09</v>
      </c>
      <c r="Z31" s="6">
        <v>46094</v>
      </c>
      <c r="AA31" s="1">
        <v>2603</v>
      </c>
      <c r="AB31" s="5" t="s">
        <v>97</v>
      </c>
      <c r="AC31" s="4"/>
      <c r="AD31" s="137">
        <v>4743.54</v>
      </c>
      <c r="AE31" s="4">
        <f t="shared" si="15"/>
        <v>336165.55000000005</v>
      </c>
      <c r="AF31" s="9">
        <v>46125</v>
      </c>
      <c r="AG31" s="1">
        <v>2775</v>
      </c>
      <c r="AH31" s="5" t="s">
        <v>199</v>
      </c>
      <c r="AI31" s="4"/>
      <c r="AJ31" s="4">
        <v>4735.75</v>
      </c>
      <c r="AK31" s="4">
        <f t="shared" si="2"/>
        <v>331429.80000000005</v>
      </c>
      <c r="AL31" s="9">
        <v>46156</v>
      </c>
      <c r="AM31" s="1">
        <v>2954</v>
      </c>
      <c r="AN31" s="5" t="s">
        <v>275</v>
      </c>
      <c r="AO31" s="4"/>
      <c r="AP31" s="4">
        <v>4735.21</v>
      </c>
      <c r="AQ31" s="4">
        <f t="shared" si="3"/>
        <v>326694.59000000003</v>
      </c>
      <c r="AR31" s="6">
        <v>46186</v>
      </c>
      <c r="AS31" s="1">
        <v>3136</v>
      </c>
      <c r="AT31" s="5" t="s">
        <v>289</v>
      </c>
      <c r="AV31" s="126">
        <v>4735.8</v>
      </c>
      <c r="AW31" s="4">
        <f>AQ31+AU30-AV31</f>
        <v>321958.79000000004</v>
      </c>
      <c r="AX31" s="6">
        <v>46217</v>
      </c>
      <c r="AY31" s="1">
        <v>3311</v>
      </c>
      <c r="AZ31" s="1">
        <v>5</v>
      </c>
      <c r="BA31" s="126"/>
      <c r="BB31" s="126">
        <v>4724.03</v>
      </c>
      <c r="BC31" s="4">
        <f t="shared" si="5"/>
        <v>317234.76</v>
      </c>
      <c r="BD31" s="9"/>
      <c r="BF31" s="1"/>
      <c r="BG31" s="4"/>
      <c r="BH31" s="8"/>
      <c r="BI31" s="4">
        <f t="shared" si="6"/>
        <v>317234.76</v>
      </c>
      <c r="BJ31" s="9"/>
      <c r="BL31" s="1"/>
      <c r="BM31" s="4"/>
      <c r="BN31" s="4"/>
      <c r="BO31" s="4">
        <f t="shared" si="7"/>
        <v>317234.76</v>
      </c>
      <c r="BP31" s="9"/>
      <c r="BR31" s="1"/>
      <c r="BS31" s="4"/>
      <c r="BT31" s="4"/>
      <c r="BU31" s="4">
        <f t="shared" si="8"/>
        <v>317234.76</v>
      </c>
      <c r="BV31" s="9"/>
      <c r="BX31" s="1"/>
      <c r="BY31" s="4"/>
      <c r="BZ31" s="4"/>
      <c r="CA31" s="4">
        <f t="shared" si="9"/>
        <v>317234.76</v>
      </c>
      <c r="CB31" s="9"/>
      <c r="CD31" s="1"/>
      <c r="CE31" s="4"/>
      <c r="CF31" s="4"/>
      <c r="CG31" s="4">
        <f t="shared" si="10"/>
        <v>317234.76</v>
      </c>
      <c r="CH31" s="4"/>
    </row>
    <row r="32" spans="1:100" s="3" customFormat="1" x14ac:dyDescent="0.3">
      <c r="A32" s="1" t="s">
        <v>176</v>
      </c>
      <c r="B32" s="3" t="s">
        <v>137</v>
      </c>
      <c r="C32" s="3" t="s">
        <v>34</v>
      </c>
      <c r="D32" s="3" t="s">
        <v>145</v>
      </c>
      <c r="E32" s="3" t="s">
        <v>56</v>
      </c>
      <c r="F32" s="4"/>
      <c r="H32" s="5" t="s">
        <v>249</v>
      </c>
      <c r="I32" s="5" t="s">
        <v>76</v>
      </c>
      <c r="J32" s="6">
        <v>46073</v>
      </c>
      <c r="K32" s="6">
        <v>47169</v>
      </c>
      <c r="L32" s="147">
        <v>227272.73</v>
      </c>
      <c r="M32" s="8"/>
      <c r="N32" s="9"/>
      <c r="O32" s="1"/>
      <c r="P32" s="10"/>
      <c r="Q32" s="4"/>
      <c r="R32" s="4"/>
      <c r="S32" s="4">
        <f t="shared" si="14"/>
        <v>0</v>
      </c>
      <c r="T32" s="9"/>
      <c r="U32" s="1"/>
      <c r="V32" s="10"/>
      <c r="W32" s="4">
        <v>227272.73</v>
      </c>
      <c r="X32" s="4"/>
      <c r="Y32" s="4">
        <f t="shared" si="17"/>
        <v>227272.73</v>
      </c>
      <c r="Z32" s="6">
        <v>46105</v>
      </c>
      <c r="AA32" s="1">
        <v>2658</v>
      </c>
      <c r="AB32" s="5" t="s">
        <v>97</v>
      </c>
      <c r="AC32" s="4"/>
      <c r="AD32" s="137">
        <v>6815.69</v>
      </c>
      <c r="AE32" s="4">
        <f t="shared" si="15"/>
        <v>220457.04</v>
      </c>
      <c r="AF32" s="9">
        <v>46132</v>
      </c>
      <c r="AG32" s="1">
        <v>2819</v>
      </c>
      <c r="AH32" s="5" t="s">
        <v>199</v>
      </c>
      <c r="AI32" s="4"/>
      <c r="AJ32" s="4">
        <v>6506.3</v>
      </c>
      <c r="AK32" s="4">
        <f t="shared" si="2"/>
        <v>213950.74000000002</v>
      </c>
      <c r="AL32" s="9">
        <v>46164</v>
      </c>
      <c r="AM32" s="1">
        <v>27102</v>
      </c>
      <c r="AN32" s="5" t="s">
        <v>275</v>
      </c>
      <c r="AO32" s="4"/>
      <c r="AP32" s="4">
        <v>5779.6</v>
      </c>
      <c r="AQ32" s="4">
        <f t="shared" si="3"/>
        <v>208171.14</v>
      </c>
      <c r="AR32" s="6" t="s">
        <v>402</v>
      </c>
      <c r="AS32" s="1" t="s">
        <v>401</v>
      </c>
      <c r="AT32" s="5" t="s">
        <v>400</v>
      </c>
      <c r="AU32" s="126"/>
      <c r="AV32" s="126">
        <f>5047.33+1200</f>
        <v>6247.33</v>
      </c>
      <c r="AW32" s="4">
        <f t="shared" si="13"/>
        <v>201923.81000000003</v>
      </c>
      <c r="AX32" s="6">
        <v>46226</v>
      </c>
      <c r="AY32" s="1">
        <v>3349</v>
      </c>
      <c r="AZ32" s="1">
        <v>6</v>
      </c>
      <c r="BB32" s="126">
        <v>6980.7</v>
      </c>
      <c r="BC32" s="4">
        <f>AW32+BA31-BB32</f>
        <v>194943.11000000002</v>
      </c>
      <c r="BD32" s="9"/>
      <c r="BF32" s="1"/>
      <c r="BG32" s="4"/>
      <c r="BH32" s="8"/>
      <c r="BI32" s="4">
        <f t="shared" si="6"/>
        <v>194943.11000000002</v>
      </c>
      <c r="BJ32" s="9"/>
      <c r="BL32" s="1"/>
      <c r="BM32" s="4"/>
      <c r="BN32" s="4"/>
      <c r="BO32" s="4">
        <f t="shared" si="7"/>
        <v>194943.11000000002</v>
      </c>
      <c r="BP32" s="9"/>
      <c r="BR32" s="1"/>
      <c r="BS32" s="4"/>
      <c r="BT32" s="4"/>
      <c r="BU32" s="4">
        <f t="shared" si="8"/>
        <v>194943.11000000002</v>
      </c>
      <c r="BV32" s="9"/>
      <c r="BX32" s="1"/>
      <c r="BY32" s="4"/>
      <c r="BZ32" s="4"/>
      <c r="CA32" s="4">
        <f t="shared" si="9"/>
        <v>194943.11000000002</v>
      </c>
      <c r="CB32" s="9"/>
      <c r="CD32" s="1"/>
      <c r="CE32" s="4"/>
      <c r="CF32" s="4"/>
      <c r="CG32" s="4">
        <f t="shared" si="10"/>
        <v>194943.11000000002</v>
      </c>
      <c r="CH32" s="4"/>
    </row>
    <row r="33" spans="1:168" s="3" customFormat="1" x14ac:dyDescent="0.3">
      <c r="A33" s="1" t="s">
        <v>268</v>
      </c>
      <c r="B33" s="3" t="s">
        <v>143</v>
      </c>
      <c r="C33" s="3" t="s">
        <v>34</v>
      </c>
      <c r="D33" s="3" t="s">
        <v>145</v>
      </c>
      <c r="E33" s="3" t="s">
        <v>56</v>
      </c>
      <c r="F33" s="4"/>
      <c r="G33" s="3" t="s">
        <v>206</v>
      </c>
      <c r="H33" s="5" t="s">
        <v>144</v>
      </c>
      <c r="I33" s="5" t="s">
        <v>78</v>
      </c>
      <c r="J33" s="6">
        <v>46087</v>
      </c>
      <c r="K33" s="6">
        <v>47913</v>
      </c>
      <c r="L33" s="147">
        <v>340909.09</v>
      </c>
      <c r="M33" s="8"/>
      <c r="N33" s="9"/>
      <c r="O33" s="1"/>
      <c r="P33" s="10"/>
      <c r="Q33" s="4"/>
      <c r="R33" s="4"/>
      <c r="S33" s="4">
        <f t="shared" si="14"/>
        <v>0</v>
      </c>
      <c r="T33" s="9"/>
      <c r="U33" s="1"/>
      <c r="V33" s="10"/>
      <c r="W33" s="4"/>
      <c r="X33" s="4"/>
      <c r="Y33" s="4">
        <f t="shared" si="17"/>
        <v>0</v>
      </c>
      <c r="Z33" s="6"/>
      <c r="AA33" s="1"/>
      <c r="AB33" s="5"/>
      <c r="AC33" s="4">
        <v>340909.09</v>
      </c>
      <c r="AD33" s="137"/>
      <c r="AE33" s="4">
        <f t="shared" si="15"/>
        <v>340909.09</v>
      </c>
      <c r="AF33" s="9">
        <v>46118</v>
      </c>
      <c r="AG33" s="1">
        <v>2717</v>
      </c>
      <c r="AH33" s="5" t="s">
        <v>97</v>
      </c>
      <c r="AI33" s="4"/>
      <c r="AJ33" s="4">
        <v>8051.06</v>
      </c>
      <c r="AK33" s="4">
        <f t="shared" si="2"/>
        <v>332858.03000000003</v>
      </c>
      <c r="AL33" s="9">
        <v>46148</v>
      </c>
      <c r="AM33" s="1">
        <v>2895</v>
      </c>
      <c r="AN33" s="5" t="s">
        <v>199</v>
      </c>
      <c r="AO33" s="4"/>
      <c r="AP33" s="4">
        <v>8434.0300000000007</v>
      </c>
      <c r="AQ33" s="4">
        <f t="shared" si="3"/>
        <v>324424</v>
      </c>
      <c r="AR33" s="6">
        <v>46178</v>
      </c>
      <c r="AS33" s="1">
        <v>3073</v>
      </c>
      <c r="AT33" s="5">
        <v>3</v>
      </c>
      <c r="AU33" s="126"/>
      <c r="AV33" s="126">
        <v>8387.08</v>
      </c>
      <c r="AW33" s="4">
        <f t="shared" si="13"/>
        <v>316036.92</v>
      </c>
      <c r="AX33" s="6">
        <v>46209</v>
      </c>
      <c r="AY33" s="1">
        <v>3262</v>
      </c>
      <c r="AZ33" s="1">
        <v>4</v>
      </c>
      <c r="BA33" s="126"/>
      <c r="BB33" s="126">
        <v>8765.85</v>
      </c>
      <c r="BC33" s="4">
        <f t="shared" si="5"/>
        <v>307271.07</v>
      </c>
      <c r="BD33" s="9"/>
      <c r="BF33" s="1"/>
      <c r="BG33" s="4"/>
      <c r="BH33" s="8"/>
      <c r="BI33" s="4">
        <f t="shared" si="6"/>
        <v>307271.07</v>
      </c>
      <c r="BJ33" s="9"/>
      <c r="BL33" s="1"/>
      <c r="BM33" s="4"/>
      <c r="BN33" s="4"/>
      <c r="BO33" s="4">
        <f t="shared" si="7"/>
        <v>307271.07</v>
      </c>
      <c r="BP33" s="9"/>
      <c r="BR33" s="1"/>
      <c r="BS33" s="4"/>
      <c r="BT33" s="4"/>
      <c r="BU33" s="4">
        <f t="shared" si="8"/>
        <v>307271.07</v>
      </c>
      <c r="BV33" s="9"/>
      <c r="BX33" s="1"/>
      <c r="BY33" s="4"/>
      <c r="BZ33" s="4"/>
      <c r="CA33" s="4">
        <f t="shared" si="9"/>
        <v>307271.07</v>
      </c>
      <c r="CB33" s="9"/>
      <c r="CD33" s="1"/>
      <c r="CE33" s="4"/>
      <c r="CF33" s="4"/>
      <c r="CG33" s="4">
        <f t="shared" si="10"/>
        <v>307271.07</v>
      </c>
      <c r="CH33" s="4"/>
    </row>
    <row r="34" spans="1:168" s="3" customFormat="1" x14ac:dyDescent="0.3">
      <c r="A34" s="1" t="s">
        <v>192</v>
      </c>
      <c r="B34" s="3" t="s">
        <v>326</v>
      </c>
      <c r="C34" s="3" t="s">
        <v>34</v>
      </c>
      <c r="D34" s="3" t="s">
        <v>162</v>
      </c>
      <c r="E34" s="3" t="s">
        <v>56</v>
      </c>
      <c r="F34" s="4"/>
      <c r="G34" s="3" t="s">
        <v>205</v>
      </c>
      <c r="H34" s="5" t="s">
        <v>150</v>
      </c>
      <c r="I34" s="5" t="s">
        <v>78</v>
      </c>
      <c r="J34" s="6">
        <v>46094</v>
      </c>
      <c r="K34" s="6">
        <v>47920</v>
      </c>
      <c r="L34" s="147">
        <v>200000</v>
      </c>
      <c r="M34" s="8"/>
      <c r="N34" s="9"/>
      <c r="O34" s="1"/>
      <c r="P34" s="10"/>
      <c r="Q34" s="4"/>
      <c r="R34" s="4"/>
      <c r="S34" s="4">
        <f t="shared" si="14"/>
        <v>0</v>
      </c>
      <c r="T34" s="9"/>
      <c r="U34" s="1"/>
      <c r="V34" s="10"/>
      <c r="W34" s="4"/>
      <c r="X34" s="4"/>
      <c r="Y34" s="4">
        <f t="shared" si="17"/>
        <v>0</v>
      </c>
      <c r="Z34" s="6"/>
      <c r="AA34" s="1"/>
      <c r="AB34" s="5"/>
      <c r="AC34" s="4">
        <v>200000</v>
      </c>
      <c r="AD34" s="137"/>
      <c r="AE34" s="4">
        <f t="shared" si="15"/>
        <v>200000</v>
      </c>
      <c r="AF34" s="9">
        <v>46119</v>
      </c>
      <c r="AG34" s="1">
        <v>2735</v>
      </c>
      <c r="AH34" s="5" t="s">
        <v>97</v>
      </c>
      <c r="AI34" s="4"/>
      <c r="AJ34" s="4">
        <v>4123.33</v>
      </c>
      <c r="AK34" s="4">
        <f t="shared" si="2"/>
        <v>195876.67</v>
      </c>
      <c r="AL34" s="9">
        <v>46158</v>
      </c>
      <c r="AM34" s="1">
        <v>27054</v>
      </c>
      <c r="AN34" s="5" t="s">
        <v>199</v>
      </c>
      <c r="AO34" s="4"/>
      <c r="AP34" s="4">
        <v>2563.36</v>
      </c>
      <c r="AQ34" s="4">
        <f t="shared" si="3"/>
        <v>193313.31000000003</v>
      </c>
      <c r="AR34" s="6">
        <v>46186</v>
      </c>
      <c r="AS34" s="1">
        <v>3135</v>
      </c>
      <c r="AT34" s="5" t="s">
        <v>275</v>
      </c>
      <c r="AU34" s="126"/>
      <c r="AV34" s="126">
        <v>3334.59</v>
      </c>
      <c r="AW34" s="4">
        <f t="shared" si="13"/>
        <v>189978.72000000003</v>
      </c>
      <c r="AX34" s="6">
        <v>46156</v>
      </c>
      <c r="AY34" s="1">
        <v>3307</v>
      </c>
      <c r="AZ34" s="1">
        <v>4</v>
      </c>
      <c r="BA34" s="126"/>
      <c r="BB34" s="126">
        <v>3337.47</v>
      </c>
      <c r="BC34" s="4">
        <f t="shared" si="5"/>
        <v>186641.25000000003</v>
      </c>
      <c r="BD34" s="9"/>
      <c r="BF34" s="1"/>
      <c r="BG34" s="4"/>
      <c r="BH34" s="8"/>
      <c r="BI34" s="4">
        <f t="shared" si="6"/>
        <v>186641.25000000003</v>
      </c>
      <c r="BJ34" s="9"/>
      <c r="BL34" s="1"/>
      <c r="BM34" s="4"/>
      <c r="BN34" s="4"/>
      <c r="BO34" s="4">
        <f t="shared" si="7"/>
        <v>186641.25000000003</v>
      </c>
      <c r="BP34" s="9"/>
      <c r="BR34" s="1"/>
      <c r="BS34" s="4"/>
      <c r="BT34" s="4"/>
      <c r="BU34" s="4">
        <f t="shared" si="8"/>
        <v>186641.25000000003</v>
      </c>
      <c r="BV34" s="9"/>
      <c r="BX34" s="1"/>
      <c r="BY34" s="4"/>
      <c r="BZ34" s="4"/>
      <c r="CA34" s="4">
        <f t="shared" si="9"/>
        <v>186641.25000000003</v>
      </c>
      <c r="CB34" s="9"/>
      <c r="CD34" s="1"/>
      <c r="CE34" s="4"/>
      <c r="CF34" s="4"/>
      <c r="CG34" s="4">
        <f t="shared" si="10"/>
        <v>186641.25000000003</v>
      </c>
      <c r="CH34" s="4"/>
    </row>
    <row r="35" spans="1:168" s="3" customFormat="1" x14ac:dyDescent="0.3">
      <c r="A35" s="1" t="s">
        <v>191</v>
      </c>
      <c r="B35" s="3" t="s">
        <v>238</v>
      </c>
      <c r="C35" s="3" t="s">
        <v>34</v>
      </c>
      <c r="D35" s="3" t="s">
        <v>161</v>
      </c>
      <c r="E35" s="3" t="s">
        <v>48</v>
      </c>
      <c r="F35" s="4" t="s">
        <v>445</v>
      </c>
      <c r="G35" s="3" t="s">
        <v>204</v>
      </c>
      <c r="H35" s="5" t="s">
        <v>151</v>
      </c>
      <c r="I35" s="5" t="s">
        <v>78</v>
      </c>
      <c r="J35" s="6">
        <v>46097</v>
      </c>
      <c r="K35" s="6">
        <v>47923</v>
      </c>
      <c r="L35" s="147">
        <v>150000</v>
      </c>
      <c r="M35" s="8"/>
      <c r="N35" s="9"/>
      <c r="O35" s="1"/>
      <c r="P35" s="10"/>
      <c r="Q35" s="4"/>
      <c r="R35" s="4"/>
      <c r="S35" s="4">
        <f t="shared" si="14"/>
        <v>0</v>
      </c>
      <c r="T35" s="9"/>
      <c r="U35" s="1"/>
      <c r="V35" s="10"/>
      <c r="W35" s="4"/>
      <c r="X35" s="4"/>
      <c r="Y35" s="4">
        <f t="shared" si="17"/>
        <v>0</v>
      </c>
      <c r="Z35" s="6"/>
      <c r="AA35" s="1"/>
      <c r="AB35" s="5"/>
      <c r="AC35" s="4">
        <v>150000</v>
      </c>
      <c r="AD35" s="137"/>
      <c r="AE35" s="4">
        <f t="shared" si="15"/>
        <v>150000</v>
      </c>
      <c r="AF35" s="9">
        <v>46128</v>
      </c>
      <c r="AG35" s="1">
        <v>2808</v>
      </c>
      <c r="AH35" s="5" t="s">
        <v>97</v>
      </c>
      <c r="AI35" s="4"/>
      <c r="AJ35" s="4">
        <v>2502.4699999999998</v>
      </c>
      <c r="AK35" s="4">
        <f t="shared" si="2"/>
        <v>147497.53</v>
      </c>
      <c r="AL35" s="9">
        <v>46158</v>
      </c>
      <c r="AM35" s="1">
        <v>2981</v>
      </c>
      <c r="AN35" s="5" t="s">
        <v>199</v>
      </c>
      <c r="AO35" s="4"/>
      <c r="AP35" s="4">
        <v>2498.46</v>
      </c>
      <c r="AQ35" s="4">
        <f t="shared" si="3"/>
        <v>144999.07</v>
      </c>
      <c r="AR35" s="6">
        <v>46190</v>
      </c>
      <c r="AS35" s="1">
        <v>3169</v>
      </c>
      <c r="AT35" s="5" t="s">
        <v>275</v>
      </c>
      <c r="AU35" s="126"/>
      <c r="AV35" s="126">
        <v>2499.4</v>
      </c>
      <c r="AW35" s="4">
        <f t="shared" si="13"/>
        <v>142499.67000000001</v>
      </c>
      <c r="AX35" s="6">
        <v>46219</v>
      </c>
      <c r="AY35" s="1">
        <v>3324</v>
      </c>
      <c r="AZ35" s="1">
        <v>4</v>
      </c>
      <c r="BA35" s="126"/>
      <c r="BB35" s="126">
        <v>2500.0500000000002</v>
      </c>
      <c r="BC35" s="4">
        <f t="shared" si="5"/>
        <v>139999.62000000002</v>
      </c>
      <c r="BD35" s="9"/>
      <c r="BF35" s="1"/>
      <c r="BG35" s="4"/>
      <c r="BH35" s="8"/>
      <c r="BI35" s="4">
        <f t="shared" si="6"/>
        <v>139999.62000000002</v>
      </c>
      <c r="BJ35" s="9"/>
      <c r="BL35" s="1"/>
      <c r="BM35" s="4"/>
      <c r="BN35" s="4"/>
      <c r="BO35" s="4">
        <f t="shared" si="7"/>
        <v>139999.62000000002</v>
      </c>
      <c r="BP35" s="9"/>
      <c r="BR35" s="1"/>
      <c r="BS35" s="4"/>
      <c r="BT35" s="4"/>
      <c r="BU35" s="4">
        <f t="shared" si="8"/>
        <v>139999.62000000002</v>
      </c>
      <c r="BV35" s="9"/>
      <c r="BX35" s="1"/>
      <c r="BY35" s="4"/>
      <c r="BZ35" s="4"/>
      <c r="CA35" s="4">
        <f t="shared" si="9"/>
        <v>139999.62000000002</v>
      </c>
      <c r="CB35" s="9"/>
      <c r="CD35" s="1"/>
      <c r="CE35" s="4"/>
      <c r="CF35" s="4"/>
      <c r="CG35" s="4">
        <f t="shared" si="10"/>
        <v>139999.62000000002</v>
      </c>
      <c r="CH35" s="4"/>
    </row>
    <row r="36" spans="1:168" s="3" customFormat="1" x14ac:dyDescent="0.3">
      <c r="A36" s="1" t="s">
        <v>203</v>
      </c>
      <c r="B36" s="3" t="s">
        <v>154</v>
      </c>
      <c r="C36" s="3" t="s">
        <v>34</v>
      </c>
      <c r="D36" s="3" t="s">
        <v>160</v>
      </c>
      <c r="E36" s="3" t="s">
        <v>153</v>
      </c>
      <c r="F36" s="4" t="s">
        <v>344</v>
      </c>
      <c r="G36" s="3" t="s">
        <v>159</v>
      </c>
      <c r="H36" s="5" t="s">
        <v>152</v>
      </c>
      <c r="I36" s="5" t="s">
        <v>76</v>
      </c>
      <c r="J36" s="6">
        <v>46098</v>
      </c>
      <c r="K36" s="6">
        <v>47194</v>
      </c>
      <c r="L36" s="147">
        <v>90909.09</v>
      </c>
      <c r="M36" s="8"/>
      <c r="N36" s="9"/>
      <c r="O36" s="1"/>
      <c r="P36" s="10"/>
      <c r="Q36" s="4"/>
      <c r="R36" s="4"/>
      <c r="S36" s="4">
        <f t="shared" si="14"/>
        <v>0</v>
      </c>
      <c r="T36" s="9"/>
      <c r="U36" s="1"/>
      <c r="V36" s="10"/>
      <c r="X36" s="4"/>
      <c r="Y36" s="4">
        <f t="shared" si="17"/>
        <v>0</v>
      </c>
      <c r="Z36" s="6"/>
      <c r="AA36" s="1"/>
      <c r="AB36" s="5"/>
      <c r="AC36" s="4">
        <v>90909.09</v>
      </c>
      <c r="AD36" s="137"/>
      <c r="AE36" s="4">
        <f t="shared" si="15"/>
        <v>90909.09</v>
      </c>
      <c r="AF36" s="9"/>
      <c r="AG36" s="1"/>
      <c r="AH36" s="5"/>
      <c r="AI36" s="4"/>
      <c r="AJ36" s="4"/>
      <c r="AK36" s="4">
        <f t="shared" si="2"/>
        <v>90909.09</v>
      </c>
      <c r="AL36" s="9" t="s">
        <v>327</v>
      </c>
      <c r="AM36" s="1" t="s">
        <v>328</v>
      </c>
      <c r="AN36" s="5" t="s">
        <v>255</v>
      </c>
      <c r="AO36" s="4"/>
      <c r="AP36" s="4">
        <f>2525.25+3571.62</f>
        <v>6096.87</v>
      </c>
      <c r="AQ36" s="4">
        <f t="shared" si="3"/>
        <v>84812.22</v>
      </c>
      <c r="AR36" s="6">
        <v>46190</v>
      </c>
      <c r="AS36" s="1">
        <v>3166</v>
      </c>
      <c r="AT36" s="5" t="s">
        <v>275</v>
      </c>
      <c r="AU36" s="126"/>
      <c r="AV36" s="126">
        <v>2547.2199999999998</v>
      </c>
      <c r="AW36" s="4">
        <f t="shared" si="13"/>
        <v>82265</v>
      </c>
      <c r="AX36" s="6">
        <v>46223</v>
      </c>
      <c r="AY36" s="1">
        <v>3333</v>
      </c>
      <c r="AZ36" s="1">
        <v>4</v>
      </c>
      <c r="BA36" s="126"/>
      <c r="BB36" s="126">
        <v>2547.2399999999998</v>
      </c>
      <c r="BC36" s="4">
        <f t="shared" si="5"/>
        <v>79717.759999999995</v>
      </c>
      <c r="BD36" s="9"/>
      <c r="BF36" s="1"/>
      <c r="BG36" s="4"/>
      <c r="BH36" s="8"/>
      <c r="BI36" s="4">
        <f t="shared" si="6"/>
        <v>79717.759999999995</v>
      </c>
      <c r="BJ36" s="9"/>
      <c r="BL36" s="1"/>
      <c r="BM36" s="4"/>
      <c r="BN36" s="4"/>
      <c r="BO36" s="4">
        <f t="shared" si="7"/>
        <v>79717.759999999995</v>
      </c>
      <c r="BP36" s="9"/>
      <c r="BR36" s="1"/>
      <c r="BS36" s="4"/>
      <c r="BT36" s="4"/>
      <c r="BU36" s="4">
        <f t="shared" si="8"/>
        <v>79717.759999999995</v>
      </c>
      <c r="BV36" s="9"/>
      <c r="BX36" s="1"/>
      <c r="BY36" s="4"/>
      <c r="BZ36" s="4"/>
      <c r="CA36" s="4">
        <f t="shared" si="9"/>
        <v>79717.759999999995</v>
      </c>
      <c r="CB36" s="9"/>
      <c r="CD36" s="1"/>
      <c r="CE36" s="4"/>
      <c r="CF36" s="4"/>
      <c r="CG36" s="4">
        <f t="shared" si="10"/>
        <v>79717.759999999995</v>
      </c>
      <c r="CH36" s="4"/>
    </row>
    <row r="37" spans="1:168" s="3" customFormat="1" x14ac:dyDescent="0.3">
      <c r="A37" s="1" t="s">
        <v>202</v>
      </c>
      <c r="B37" s="3" t="s">
        <v>200</v>
      </c>
      <c r="C37" s="3" t="s">
        <v>34</v>
      </c>
      <c r="D37" s="3" t="s">
        <v>201</v>
      </c>
      <c r="E37" s="3" t="s">
        <v>56</v>
      </c>
      <c r="F37" s="4"/>
      <c r="G37" s="3" t="s">
        <v>137</v>
      </c>
      <c r="H37" s="5" t="s">
        <v>197</v>
      </c>
      <c r="I37" s="5" t="s">
        <v>78</v>
      </c>
      <c r="J37" s="6">
        <v>46099</v>
      </c>
      <c r="K37" s="6">
        <v>47925</v>
      </c>
      <c r="L37" s="147">
        <v>397727.27</v>
      </c>
      <c r="M37" s="8"/>
      <c r="N37" s="9"/>
      <c r="O37" s="1"/>
      <c r="P37" s="10"/>
      <c r="Q37" s="4"/>
      <c r="R37" s="4"/>
      <c r="S37" s="4">
        <f t="shared" si="14"/>
        <v>0</v>
      </c>
      <c r="T37" s="9"/>
      <c r="U37" s="1"/>
      <c r="V37" s="10"/>
      <c r="X37" s="4"/>
      <c r="Y37" s="4">
        <f t="shared" si="17"/>
        <v>0</v>
      </c>
      <c r="Z37" s="119"/>
      <c r="AA37" s="1"/>
      <c r="AB37" s="5"/>
      <c r="AC37" s="4">
        <v>397727.27</v>
      </c>
      <c r="AD37" s="138"/>
      <c r="AE37" s="4">
        <f t="shared" si="15"/>
        <v>397727.27</v>
      </c>
      <c r="AF37" s="104">
        <v>46121</v>
      </c>
      <c r="AG37" s="1">
        <v>2753</v>
      </c>
      <c r="AH37" s="5" t="s">
        <v>97</v>
      </c>
      <c r="AI37" s="4"/>
      <c r="AJ37" s="4">
        <v>9246.58</v>
      </c>
      <c r="AK37" s="4">
        <f t="shared" si="2"/>
        <v>388480.69</v>
      </c>
      <c r="AL37" s="9">
        <v>46150</v>
      </c>
      <c r="AM37" s="1">
        <v>2917</v>
      </c>
      <c r="AN37" s="5" t="s">
        <v>199</v>
      </c>
      <c r="AO37" s="4"/>
      <c r="AP37" s="4">
        <v>6936.26</v>
      </c>
      <c r="AQ37" s="4">
        <f t="shared" si="3"/>
        <v>381544.43</v>
      </c>
      <c r="AR37" s="6">
        <v>46188</v>
      </c>
      <c r="AS37" s="1">
        <v>3139</v>
      </c>
      <c r="AT37" s="5" t="s">
        <v>275</v>
      </c>
      <c r="AU37" s="126"/>
      <c r="AV37" s="126">
        <v>4113.9799999999996</v>
      </c>
      <c r="AW37" s="4">
        <f t="shared" si="13"/>
        <v>377430.45</v>
      </c>
      <c r="AX37" s="6">
        <v>46217</v>
      </c>
      <c r="AY37" s="1">
        <v>3302</v>
      </c>
      <c r="AZ37" s="1">
        <v>4</v>
      </c>
      <c r="BA37" s="126"/>
      <c r="BB37" s="126">
        <v>7154.8</v>
      </c>
      <c r="BC37" s="4">
        <f t="shared" si="5"/>
        <v>370275.65</v>
      </c>
      <c r="BH37" s="143"/>
      <c r="BI37" s="4">
        <f t="shared" si="6"/>
        <v>370275.65</v>
      </c>
      <c r="BO37" s="4">
        <f t="shared" si="7"/>
        <v>370275.65</v>
      </c>
      <c r="BU37" s="4">
        <f t="shared" si="8"/>
        <v>370275.65</v>
      </c>
      <c r="CA37" s="4">
        <f t="shared" si="9"/>
        <v>370275.65</v>
      </c>
      <c r="CB37" s="9"/>
      <c r="CD37" s="1"/>
      <c r="CE37" s="4"/>
      <c r="CF37" s="4"/>
      <c r="CG37" s="4">
        <f t="shared" si="10"/>
        <v>370275.65</v>
      </c>
    </row>
    <row r="38" spans="1:168" s="3" customFormat="1" x14ac:dyDescent="0.3">
      <c r="A38" s="1" t="s">
        <v>241</v>
      </c>
      <c r="B38" s="3" t="s">
        <v>239</v>
      </c>
      <c r="C38" s="3" t="s">
        <v>34</v>
      </c>
      <c r="D38" s="3" t="s">
        <v>274</v>
      </c>
      <c r="E38" s="3" t="s">
        <v>50</v>
      </c>
      <c r="F38" s="4"/>
      <c r="G38" s="3" t="s">
        <v>73</v>
      </c>
      <c r="H38" s="5" t="s">
        <v>240</v>
      </c>
      <c r="I38" s="5" t="s">
        <v>78</v>
      </c>
      <c r="J38" s="6">
        <v>46105</v>
      </c>
      <c r="K38" s="6">
        <v>47931</v>
      </c>
      <c r="L38" s="147">
        <v>568181.81999999995</v>
      </c>
      <c r="M38" s="8"/>
      <c r="N38" s="9"/>
      <c r="O38" s="1"/>
      <c r="P38" s="10"/>
      <c r="Q38" s="4"/>
      <c r="R38" s="4"/>
      <c r="S38" s="4">
        <f t="shared" si="14"/>
        <v>0</v>
      </c>
      <c r="T38" s="9"/>
      <c r="U38" s="1"/>
      <c r="V38" s="10"/>
      <c r="X38" s="4"/>
      <c r="Y38" s="4">
        <f t="shared" si="17"/>
        <v>0</v>
      </c>
      <c r="Z38" s="119"/>
      <c r="AA38" s="1"/>
      <c r="AB38" s="5"/>
      <c r="AC38" s="4">
        <v>568181.81999999995</v>
      </c>
      <c r="AD38" s="138"/>
      <c r="AE38" s="4">
        <f t="shared" si="15"/>
        <v>568181.81999999995</v>
      </c>
      <c r="AF38" s="104">
        <v>46121</v>
      </c>
      <c r="AG38" s="1">
        <v>2757</v>
      </c>
      <c r="AH38" s="5" t="s">
        <v>97</v>
      </c>
      <c r="AI38" s="4"/>
      <c r="AJ38" s="4">
        <v>15073.69</v>
      </c>
      <c r="AK38" s="4">
        <f t="shared" si="2"/>
        <v>553108.13</v>
      </c>
      <c r="AL38" s="9">
        <v>46157</v>
      </c>
      <c r="AM38" s="1">
        <v>2972</v>
      </c>
      <c r="AN38" s="5" t="s">
        <v>199</v>
      </c>
      <c r="AO38" s="4"/>
      <c r="AP38" s="4">
        <v>9470.25</v>
      </c>
      <c r="AQ38" s="4">
        <f t="shared" si="3"/>
        <v>543637.88</v>
      </c>
      <c r="AR38" s="6"/>
      <c r="AS38" s="1"/>
      <c r="AT38" s="5"/>
      <c r="AU38" s="126"/>
      <c r="AV38" s="126"/>
      <c r="AW38" s="4">
        <f t="shared" si="13"/>
        <v>543637.88</v>
      </c>
      <c r="AX38" s="6">
        <v>46227</v>
      </c>
      <c r="AY38" s="1">
        <v>3372</v>
      </c>
      <c r="AZ38" s="1">
        <v>3</v>
      </c>
      <c r="BA38" s="126"/>
      <c r="BB38" s="126">
        <v>13334.86</v>
      </c>
      <c r="BC38" s="4">
        <f t="shared" si="5"/>
        <v>530303.02</v>
      </c>
      <c r="BH38" s="143"/>
      <c r="BI38" s="4">
        <f t="shared" si="6"/>
        <v>530303.02</v>
      </c>
      <c r="BO38" s="4">
        <f t="shared" si="7"/>
        <v>530303.02</v>
      </c>
      <c r="BU38" s="4">
        <f t="shared" si="8"/>
        <v>530303.02</v>
      </c>
      <c r="CA38" s="4">
        <f t="shared" si="9"/>
        <v>530303.02</v>
      </c>
      <c r="CB38" s="9"/>
      <c r="CD38" s="1"/>
      <c r="CE38" s="4"/>
      <c r="CF38" s="4"/>
      <c r="CG38" s="4">
        <f t="shared" si="10"/>
        <v>530303.02</v>
      </c>
    </row>
    <row r="39" spans="1:168" s="3" customFormat="1" x14ac:dyDescent="0.3">
      <c r="A39" s="1" t="s">
        <v>257</v>
      </c>
      <c r="B39" s="3" t="s">
        <v>258</v>
      </c>
      <c r="C39" s="3" t="s">
        <v>34</v>
      </c>
      <c r="D39" s="3" t="s">
        <v>259</v>
      </c>
      <c r="E39" s="3" t="s">
        <v>50</v>
      </c>
      <c r="F39" s="4" t="s">
        <v>340</v>
      </c>
      <c r="G39" s="3" t="s">
        <v>38</v>
      </c>
      <c r="H39" s="5" t="s">
        <v>260</v>
      </c>
      <c r="I39" s="5" t="s">
        <v>78</v>
      </c>
      <c r="J39" s="6">
        <v>46108</v>
      </c>
      <c r="K39" s="113">
        <v>47934</v>
      </c>
      <c r="L39" s="147">
        <v>284090.90999999997</v>
      </c>
      <c r="M39" s="8"/>
      <c r="N39" s="9"/>
      <c r="O39" s="1"/>
      <c r="P39" s="10"/>
      <c r="Q39" s="4"/>
      <c r="R39" s="4"/>
      <c r="S39" s="4">
        <f t="shared" si="14"/>
        <v>0</v>
      </c>
      <c r="T39" s="9"/>
      <c r="U39" s="1"/>
      <c r="V39" s="10"/>
      <c r="X39" s="4"/>
      <c r="Y39" s="4">
        <f t="shared" si="17"/>
        <v>0</v>
      </c>
      <c r="Z39" s="119"/>
      <c r="AA39" s="1"/>
      <c r="AB39" s="5"/>
      <c r="AC39" s="4">
        <v>284090.90999999997</v>
      </c>
      <c r="AD39" s="138"/>
      <c r="AE39" s="4">
        <f t="shared" si="15"/>
        <v>284090.90999999997</v>
      </c>
      <c r="AF39" s="104"/>
      <c r="AG39" s="1"/>
      <c r="AH39" s="5"/>
      <c r="AI39" s="4"/>
      <c r="AJ39" s="4"/>
      <c r="AK39" s="4">
        <f>AE39+AI39-AJ39</f>
        <v>284090.90999999997</v>
      </c>
      <c r="AL39" s="9">
        <v>46150</v>
      </c>
      <c r="AM39" s="1">
        <v>2923</v>
      </c>
      <c r="AN39" s="5" t="s">
        <v>97</v>
      </c>
      <c r="AO39" s="4"/>
      <c r="AP39" s="4">
        <v>99.42</v>
      </c>
      <c r="AQ39" s="4">
        <f t="shared" ref="AQ39:AQ63" si="18">AK39+AO39-AP39</f>
        <v>283991.49</v>
      </c>
      <c r="AR39" s="6">
        <v>46184</v>
      </c>
      <c r="AS39" s="1">
        <v>3128</v>
      </c>
      <c r="AT39" s="5" t="s">
        <v>199</v>
      </c>
      <c r="AU39" s="126"/>
      <c r="AV39" s="126">
        <v>9981.0400000000009</v>
      </c>
      <c r="AW39" s="4">
        <f>SUM(AQ39+AU39-AV39)</f>
        <v>274010.45</v>
      </c>
      <c r="AX39" s="6"/>
      <c r="AY39" s="1"/>
      <c r="AZ39" s="1"/>
      <c r="BA39" s="126"/>
      <c r="BB39" s="126"/>
      <c r="BC39" s="4">
        <f t="shared" si="5"/>
        <v>274010.45</v>
      </c>
      <c r="BH39" s="143"/>
      <c r="BI39" s="4">
        <f t="shared" ref="BI39:BI62" si="19">BC39+BG39-BH39</f>
        <v>274010.45</v>
      </c>
      <c r="BO39" s="4">
        <f t="shared" ref="BO39:BO51" si="20">BI39+BM39-BN39</f>
        <v>274010.45</v>
      </c>
      <c r="BP39" s="104"/>
      <c r="BU39" s="4">
        <f t="shared" si="8"/>
        <v>274010.45</v>
      </c>
      <c r="CA39" s="4">
        <f t="shared" si="9"/>
        <v>274010.45</v>
      </c>
      <c r="CB39" s="9"/>
      <c r="CD39" s="1"/>
      <c r="CE39" s="4"/>
      <c r="CF39" s="4"/>
      <c r="CG39" s="4">
        <f t="shared" ref="CG39:CG51" si="21">CA39+CE39-CF39</f>
        <v>274010.45</v>
      </c>
    </row>
    <row r="40" spans="1:168" s="3" customFormat="1" x14ac:dyDescent="0.3">
      <c r="A40" s="1" t="s">
        <v>270</v>
      </c>
      <c r="B40" s="3" t="s">
        <v>239</v>
      </c>
      <c r="C40" s="3" t="s">
        <v>34</v>
      </c>
      <c r="D40" s="3" t="s">
        <v>273</v>
      </c>
      <c r="E40" s="3" t="s">
        <v>50</v>
      </c>
      <c r="F40" s="4"/>
      <c r="G40" s="3" t="s">
        <v>73</v>
      </c>
      <c r="H40" s="5" t="s">
        <v>271</v>
      </c>
      <c r="I40" s="5" t="s">
        <v>272</v>
      </c>
      <c r="J40" s="6">
        <v>46121</v>
      </c>
      <c r="K40" s="6">
        <v>47947</v>
      </c>
      <c r="L40" s="147">
        <v>592103.72</v>
      </c>
      <c r="M40" s="8"/>
      <c r="N40" s="9"/>
      <c r="O40" s="1"/>
      <c r="P40" s="10"/>
      <c r="Q40" s="4"/>
      <c r="R40" s="4"/>
      <c r="S40" s="4">
        <f t="shared" si="14"/>
        <v>0</v>
      </c>
      <c r="T40" s="9"/>
      <c r="U40" s="1"/>
      <c r="V40" s="10"/>
      <c r="X40" s="4"/>
      <c r="Y40" s="4">
        <f t="shared" si="17"/>
        <v>0</v>
      </c>
      <c r="Z40" s="119"/>
      <c r="AA40" s="1"/>
      <c r="AB40" s="5"/>
      <c r="AD40" s="138"/>
      <c r="AE40" s="4">
        <f t="shared" si="15"/>
        <v>0</v>
      </c>
      <c r="AG40" s="1"/>
      <c r="AH40" s="5"/>
      <c r="AI40" s="4">
        <v>592103.72</v>
      </c>
      <c r="AJ40" s="4"/>
      <c r="AK40" s="4">
        <f>AE40+AI40-AJ40</f>
        <v>592103.72</v>
      </c>
      <c r="AL40" s="9">
        <v>46157</v>
      </c>
      <c r="AM40" s="1">
        <v>2971</v>
      </c>
      <c r="AN40" s="5" t="s">
        <v>97</v>
      </c>
      <c r="AO40" s="4"/>
      <c r="AP40" s="4">
        <v>9869.17</v>
      </c>
      <c r="AQ40" s="4">
        <f t="shared" si="18"/>
        <v>582234.54999999993</v>
      </c>
      <c r="AR40" s="6"/>
      <c r="AS40" s="1"/>
      <c r="AT40" s="5"/>
      <c r="AU40" s="126"/>
      <c r="AV40" s="126"/>
      <c r="AW40" s="4">
        <f>SUM(AQ40+AU40-AV40)</f>
        <v>582234.54999999993</v>
      </c>
      <c r="AX40" s="6">
        <v>46227</v>
      </c>
      <c r="AY40" s="1">
        <v>3373</v>
      </c>
      <c r="AZ40" s="1">
        <v>2</v>
      </c>
      <c r="BA40" s="126"/>
      <c r="BB40" s="126">
        <v>19736.03</v>
      </c>
      <c r="BC40" s="4">
        <f t="shared" si="5"/>
        <v>562498.5199999999</v>
      </c>
      <c r="BD40" s="104"/>
      <c r="BH40" s="143"/>
      <c r="BI40" s="4">
        <f t="shared" si="19"/>
        <v>562498.5199999999</v>
      </c>
      <c r="BJ40" s="104"/>
      <c r="BO40" s="4">
        <f t="shared" si="20"/>
        <v>562498.5199999999</v>
      </c>
      <c r="BU40" s="4">
        <f t="shared" si="8"/>
        <v>562498.5199999999</v>
      </c>
      <c r="CA40" s="4">
        <f t="shared" si="9"/>
        <v>562498.5199999999</v>
      </c>
      <c r="CB40" s="9"/>
      <c r="CD40" s="1"/>
      <c r="CE40" s="4"/>
      <c r="CF40" s="4"/>
      <c r="CG40" s="4">
        <f t="shared" si="21"/>
        <v>562498.5199999999</v>
      </c>
    </row>
    <row r="41" spans="1:168" s="3" customFormat="1" x14ac:dyDescent="0.3">
      <c r="A41" s="1" t="s">
        <v>285</v>
      </c>
      <c r="B41" s="3" t="s">
        <v>282</v>
      </c>
      <c r="C41" s="3" t="s">
        <v>34</v>
      </c>
      <c r="D41" s="3" t="s">
        <v>145</v>
      </c>
      <c r="E41" s="3" t="s">
        <v>50</v>
      </c>
      <c r="F41" s="4" t="s">
        <v>345</v>
      </c>
      <c r="G41" s="3" t="s">
        <v>284</v>
      </c>
      <c r="H41" s="5" t="s">
        <v>283</v>
      </c>
      <c r="I41" s="5" t="s">
        <v>44</v>
      </c>
      <c r="J41" s="6">
        <v>46135</v>
      </c>
      <c r="K41" s="6">
        <v>49788</v>
      </c>
      <c r="L41" s="147">
        <v>397727.27</v>
      </c>
      <c r="M41" s="8"/>
      <c r="N41" s="9"/>
      <c r="O41" s="1"/>
      <c r="P41" s="10"/>
      <c r="Q41" s="4"/>
      <c r="R41" s="4"/>
      <c r="S41" s="4">
        <f t="shared" si="14"/>
        <v>0</v>
      </c>
      <c r="T41" s="9"/>
      <c r="U41" s="1"/>
      <c r="V41" s="10"/>
      <c r="X41" s="4"/>
      <c r="Y41" s="4">
        <f t="shared" si="17"/>
        <v>0</v>
      </c>
      <c r="Z41" s="1"/>
      <c r="AA41" s="1"/>
      <c r="AB41" s="5"/>
      <c r="AD41" s="138"/>
      <c r="AE41" s="4">
        <f t="shared" si="15"/>
        <v>0</v>
      </c>
      <c r="AF41" s="104"/>
      <c r="AG41" s="1"/>
      <c r="AH41" s="5"/>
      <c r="AI41" s="4">
        <v>397727.27</v>
      </c>
      <c r="AJ41" s="4"/>
      <c r="AK41" s="4">
        <f t="shared" si="2"/>
        <v>397727.27</v>
      </c>
      <c r="AL41" s="9">
        <v>46164</v>
      </c>
      <c r="AM41" s="1">
        <v>2999</v>
      </c>
      <c r="AN41" s="5" t="s">
        <v>97</v>
      </c>
      <c r="AO41" s="4"/>
      <c r="AP41" s="4">
        <v>3314.42</v>
      </c>
      <c r="AQ41" s="4">
        <f t="shared" si="18"/>
        <v>394412.85000000003</v>
      </c>
      <c r="AR41" s="6">
        <v>46196</v>
      </c>
      <c r="AS41" s="1">
        <v>3186</v>
      </c>
      <c r="AT41" s="5" t="s">
        <v>199</v>
      </c>
      <c r="AU41" s="126"/>
      <c r="AV41" s="126">
        <v>3314.46</v>
      </c>
      <c r="AW41" s="4">
        <f t="shared" ref="AW41:AW51" si="22">SUM(AQ41+AU41-AV41)</f>
        <v>391098.39</v>
      </c>
      <c r="AX41" s="6">
        <v>46226</v>
      </c>
      <c r="AY41" s="1">
        <v>3352</v>
      </c>
      <c r="AZ41" s="1">
        <v>3</v>
      </c>
      <c r="BA41" s="126"/>
      <c r="BB41" s="126">
        <v>3315.18</v>
      </c>
      <c r="BC41" s="4">
        <f t="shared" si="5"/>
        <v>387783.21</v>
      </c>
      <c r="BD41" s="104"/>
      <c r="BH41" s="143"/>
      <c r="BI41" s="4">
        <f t="shared" si="19"/>
        <v>387783.21</v>
      </c>
      <c r="BO41" s="4">
        <f t="shared" si="20"/>
        <v>387783.21</v>
      </c>
      <c r="BP41" s="104"/>
      <c r="BU41" s="4">
        <f t="shared" si="8"/>
        <v>387783.21</v>
      </c>
      <c r="BV41" s="104"/>
      <c r="CA41" s="4">
        <f t="shared" si="9"/>
        <v>387783.21</v>
      </c>
      <c r="CB41" s="9"/>
      <c r="CD41" s="1"/>
      <c r="CE41" s="4"/>
      <c r="CF41" s="4"/>
      <c r="CG41" s="4">
        <f t="shared" si="21"/>
        <v>387783.21</v>
      </c>
    </row>
    <row r="42" spans="1:168" s="3" customFormat="1" x14ac:dyDescent="0.3">
      <c r="A42" s="1" t="s">
        <v>287</v>
      </c>
      <c r="B42" s="3" t="s">
        <v>416</v>
      </c>
      <c r="C42" s="3" t="s">
        <v>34</v>
      </c>
      <c r="D42" s="3" t="s">
        <v>145</v>
      </c>
      <c r="E42" s="3" t="s">
        <v>50</v>
      </c>
      <c r="F42" s="4" t="s">
        <v>338</v>
      </c>
      <c r="G42" s="3" t="s">
        <v>288</v>
      </c>
      <c r="H42" s="5" t="s">
        <v>286</v>
      </c>
      <c r="I42" s="5" t="s">
        <v>58</v>
      </c>
      <c r="J42" s="6">
        <v>46141</v>
      </c>
      <c r="K42" s="6">
        <v>47602</v>
      </c>
      <c r="L42" s="147">
        <v>170454.55</v>
      </c>
      <c r="M42" s="8"/>
      <c r="N42" s="9"/>
      <c r="O42" s="1"/>
      <c r="P42" s="10"/>
      <c r="Q42" s="4"/>
      <c r="R42" s="4"/>
      <c r="S42" s="4">
        <f t="shared" si="14"/>
        <v>0</v>
      </c>
      <c r="T42" s="9"/>
      <c r="U42" s="1"/>
      <c r="V42" s="10"/>
      <c r="X42" s="4"/>
      <c r="Y42" s="4">
        <f t="shared" si="17"/>
        <v>0</v>
      </c>
      <c r="Z42" s="119"/>
      <c r="AA42" s="1"/>
      <c r="AB42" s="5"/>
      <c r="AD42" s="138"/>
      <c r="AE42" s="4">
        <f>SUM(Y42+AC42-AD42)</f>
        <v>0</v>
      </c>
      <c r="AF42" s="104"/>
      <c r="AG42" s="1"/>
      <c r="AH42" s="5"/>
      <c r="AI42" s="4">
        <v>170454.55</v>
      </c>
      <c r="AJ42" s="4"/>
      <c r="AK42" s="4">
        <f>SUM(AE42+AI42-AJ42)</f>
        <v>170454.55</v>
      </c>
      <c r="AL42" s="9">
        <v>46170</v>
      </c>
      <c r="AM42" s="1">
        <v>3023</v>
      </c>
      <c r="AN42" s="5" t="s">
        <v>97</v>
      </c>
      <c r="AO42" s="4"/>
      <c r="AP42" s="4">
        <v>3637.61</v>
      </c>
      <c r="AQ42" s="4">
        <f t="shared" si="18"/>
        <v>166816.94</v>
      </c>
      <c r="AT42" s="5"/>
      <c r="AU42" s="126"/>
      <c r="AV42" s="126"/>
      <c r="AW42" s="4">
        <f t="shared" si="22"/>
        <v>166816.94</v>
      </c>
      <c r="AX42" s="6" t="s">
        <v>446</v>
      </c>
      <c r="AY42" s="1" t="s">
        <v>447</v>
      </c>
      <c r="AZ42" s="5" t="s">
        <v>245</v>
      </c>
      <c r="BA42" s="126"/>
      <c r="BB42" s="126">
        <f>3599.68+3780.37</f>
        <v>7380.0499999999993</v>
      </c>
      <c r="BC42" s="4">
        <f t="shared" si="5"/>
        <v>159436.89000000001</v>
      </c>
      <c r="BH42" s="143"/>
      <c r="BI42" s="4">
        <f t="shared" si="19"/>
        <v>159436.89000000001</v>
      </c>
      <c r="BO42" s="4">
        <f t="shared" si="20"/>
        <v>159436.89000000001</v>
      </c>
      <c r="BU42" s="4">
        <f t="shared" si="8"/>
        <v>159436.89000000001</v>
      </c>
      <c r="CA42" s="4">
        <f t="shared" si="9"/>
        <v>159436.89000000001</v>
      </c>
      <c r="CB42" s="9"/>
      <c r="CD42" s="1"/>
      <c r="CE42" s="4"/>
      <c r="CF42" s="4"/>
      <c r="CG42" s="4">
        <f t="shared" si="21"/>
        <v>159436.89000000001</v>
      </c>
    </row>
    <row r="43" spans="1:168" s="3" customFormat="1" x14ac:dyDescent="0.3">
      <c r="A43" s="1" t="s">
        <v>302</v>
      </c>
      <c r="B43" s="3" t="s">
        <v>303</v>
      </c>
      <c r="C43" s="3" t="s">
        <v>34</v>
      </c>
      <c r="D43" s="3" t="s">
        <v>305</v>
      </c>
      <c r="E43" s="3" t="s">
        <v>50</v>
      </c>
      <c r="F43" s="4"/>
      <c r="G43" s="3" t="s">
        <v>158</v>
      </c>
      <c r="H43" s="5" t="s">
        <v>304</v>
      </c>
      <c r="I43" s="5" t="s">
        <v>74</v>
      </c>
      <c r="J43" s="6">
        <v>46153</v>
      </c>
      <c r="K43" s="113">
        <v>46884</v>
      </c>
      <c r="L43" s="147">
        <v>34037.379999999997</v>
      </c>
      <c r="M43" s="8"/>
      <c r="N43" s="9"/>
      <c r="O43" s="1"/>
      <c r="P43" s="10"/>
      <c r="Q43" s="4"/>
      <c r="R43" s="4"/>
      <c r="S43" s="4">
        <f t="shared" si="14"/>
        <v>0</v>
      </c>
      <c r="T43" s="9"/>
      <c r="U43" s="1"/>
      <c r="V43" s="10"/>
      <c r="X43" s="4"/>
      <c r="Y43" s="4">
        <f t="shared" si="17"/>
        <v>0</v>
      </c>
      <c r="Z43" s="119"/>
      <c r="AA43" s="1"/>
      <c r="AB43" s="5"/>
      <c r="AD43" s="138"/>
      <c r="AE43" s="4">
        <f>Y43+AC43-AD43</f>
        <v>0</v>
      </c>
      <c r="AF43" s="104"/>
      <c r="AG43" s="1"/>
      <c r="AH43" s="5"/>
      <c r="AI43" s="4"/>
      <c r="AJ43" s="4"/>
      <c r="AK43" s="4">
        <f t="shared" ref="AK43:AK47" si="23">AE43+AI43-AJ43</f>
        <v>0</v>
      </c>
      <c r="AL43" s="9"/>
      <c r="AM43" s="1"/>
      <c r="AN43" s="5"/>
      <c r="AO43" s="4">
        <v>34037.379999999997</v>
      </c>
      <c r="AP43" s="4"/>
      <c r="AQ43" s="4">
        <f t="shared" si="18"/>
        <v>34037.379999999997</v>
      </c>
      <c r="AR43" s="6"/>
      <c r="AS43" s="1"/>
      <c r="AT43" s="5"/>
      <c r="AU43" s="126"/>
      <c r="AV43" s="126"/>
      <c r="AW43" s="4">
        <f t="shared" si="22"/>
        <v>34037.379999999997</v>
      </c>
      <c r="AX43" s="6"/>
      <c r="AY43" s="1"/>
      <c r="AZ43" s="1"/>
      <c r="BA43" s="126"/>
      <c r="BB43" s="126"/>
      <c r="BC43" s="4">
        <f t="shared" si="5"/>
        <v>34037.379999999997</v>
      </c>
      <c r="BH43" s="143"/>
      <c r="BI43" s="4">
        <f t="shared" si="19"/>
        <v>34037.379999999997</v>
      </c>
      <c r="BO43" s="4">
        <f t="shared" si="20"/>
        <v>34037.379999999997</v>
      </c>
      <c r="BU43" s="4">
        <f t="shared" si="8"/>
        <v>34037.379999999997</v>
      </c>
      <c r="CA43" s="4">
        <f t="shared" si="9"/>
        <v>34037.379999999997</v>
      </c>
      <c r="CB43" s="9"/>
      <c r="CD43" s="1"/>
      <c r="CE43" s="4"/>
      <c r="CF43" s="4"/>
      <c r="CG43" s="4">
        <f t="shared" si="21"/>
        <v>34037.379999999997</v>
      </c>
    </row>
    <row r="44" spans="1:168" s="3" customFormat="1" x14ac:dyDescent="0.3">
      <c r="A44" s="1" t="s">
        <v>306</v>
      </c>
      <c r="B44" s="3" t="s">
        <v>307</v>
      </c>
      <c r="C44" s="3" t="s">
        <v>34</v>
      </c>
      <c r="D44" s="3" t="s">
        <v>145</v>
      </c>
      <c r="E44" s="4" t="s">
        <v>50</v>
      </c>
      <c r="F44" s="3" t="s">
        <v>339</v>
      </c>
      <c r="G44" s="2" t="s">
        <v>309</v>
      </c>
      <c r="H44" s="6">
        <v>46153</v>
      </c>
      <c r="I44" s="6" t="s">
        <v>308</v>
      </c>
      <c r="J44" s="6">
        <v>46153</v>
      </c>
      <c r="K44" s="113">
        <v>46884</v>
      </c>
      <c r="L44" s="126">
        <v>340909.09</v>
      </c>
      <c r="M44" s="119"/>
      <c r="N44" s="1"/>
      <c r="O44" s="10"/>
      <c r="P44" s="4"/>
      <c r="Q44" s="4"/>
      <c r="R44" s="4">
        <f t="shared" ref="R44:S63" si="24">SUM(P44-Q44)</f>
        <v>0</v>
      </c>
      <c r="S44" s="9"/>
      <c r="T44" s="1"/>
      <c r="U44" s="10"/>
      <c r="W44" s="4"/>
      <c r="X44" s="4"/>
      <c r="Y44" s="4">
        <f t="shared" si="17"/>
        <v>0</v>
      </c>
      <c r="Z44" s="1"/>
      <c r="AA44" s="5"/>
      <c r="AC44" s="138"/>
      <c r="AD44" s="4"/>
      <c r="AE44" s="4">
        <f>Y44+AC44-AD44</f>
        <v>0</v>
      </c>
      <c r="AF44" s="1"/>
      <c r="AG44" s="5"/>
      <c r="AH44" s="4"/>
      <c r="AI44" s="4"/>
      <c r="AJ44" s="4"/>
      <c r="AK44" s="4">
        <f t="shared" si="23"/>
        <v>0</v>
      </c>
      <c r="AL44" s="1"/>
      <c r="AM44" s="10"/>
      <c r="AN44" s="5"/>
      <c r="AO44" s="4">
        <v>340909.09</v>
      </c>
      <c r="AP44" s="4"/>
      <c r="AQ44" s="4">
        <f t="shared" si="18"/>
        <v>340909.09</v>
      </c>
      <c r="AR44" s="119">
        <v>46182</v>
      </c>
      <c r="AS44" s="1">
        <v>3107</v>
      </c>
      <c r="AT44" s="164" t="s">
        <v>97</v>
      </c>
      <c r="AU44" s="126"/>
      <c r="AV44" s="126">
        <v>5051.0600000000004</v>
      </c>
      <c r="AW44" s="4">
        <f t="shared" si="22"/>
        <v>335858.03</v>
      </c>
      <c r="AX44" s="1"/>
      <c r="AY44" s="1" t="s">
        <v>72</v>
      </c>
      <c r="AZ44" s="13"/>
      <c r="BA44" s="126"/>
      <c r="BB44" s="126"/>
      <c r="BC44" s="4">
        <f t="shared" si="5"/>
        <v>335858.03</v>
      </c>
      <c r="BG44" s="8"/>
      <c r="BH44" s="4"/>
      <c r="BI44" s="4">
        <f t="shared" si="19"/>
        <v>335858.03</v>
      </c>
      <c r="BM44" s="4"/>
      <c r="BN44" s="4"/>
      <c r="BO44" s="4">
        <f t="shared" si="20"/>
        <v>335858.03</v>
      </c>
      <c r="BS44" s="4"/>
      <c r="BT44" s="4"/>
      <c r="BU44" s="4">
        <f t="shared" si="8"/>
        <v>335858.03</v>
      </c>
      <c r="BY44" s="4"/>
      <c r="BZ44" s="4"/>
      <c r="CA44" s="4">
        <f t="shared" si="9"/>
        <v>335858.03</v>
      </c>
      <c r="CB44" s="1"/>
      <c r="CC44" s="4"/>
      <c r="CD44" s="4"/>
      <c r="CE44" s="4"/>
      <c r="CF44" s="4"/>
      <c r="CG44" s="4">
        <f t="shared" si="21"/>
        <v>335858.03</v>
      </c>
      <c r="CI44" s="4"/>
      <c r="CK44" s="10"/>
      <c r="CL44" s="10"/>
      <c r="CM44" s="9"/>
      <c r="CN44" s="9"/>
      <c r="CO44" s="144"/>
      <c r="CP44" s="4"/>
      <c r="CQ44" s="9"/>
      <c r="CR44" s="1"/>
      <c r="CS44" s="10"/>
      <c r="CT44" s="4"/>
      <c r="CU44" s="4"/>
      <c r="CV44" s="4"/>
      <c r="CY44" s="10"/>
      <c r="DB44" s="4"/>
      <c r="DE44" s="10"/>
      <c r="DH44" s="4"/>
      <c r="DK44" s="10"/>
      <c r="DN44" s="4"/>
      <c r="DT44" s="4"/>
      <c r="DZ44" s="4"/>
      <c r="EF44" s="4"/>
      <c r="EL44" s="4"/>
      <c r="ER44" s="4"/>
      <c r="EX44" s="4"/>
      <c r="FD44" s="4"/>
      <c r="FE44" s="9"/>
      <c r="FG44" s="1"/>
      <c r="FH44" s="4"/>
      <c r="FI44" s="4"/>
      <c r="FJ44" s="4"/>
      <c r="FK44" s="4"/>
      <c r="FL44" s="4"/>
    </row>
    <row r="45" spans="1:168" s="3" customFormat="1" x14ac:dyDescent="0.3">
      <c r="A45" s="1" t="s">
        <v>310</v>
      </c>
      <c r="B45" s="3" t="s">
        <v>117</v>
      </c>
      <c r="C45" s="3" t="s">
        <v>34</v>
      </c>
      <c r="D45" s="3" t="s">
        <v>325</v>
      </c>
      <c r="E45" s="4" t="s">
        <v>48</v>
      </c>
      <c r="F45" s="3" t="s">
        <v>337</v>
      </c>
      <c r="G45" s="2" t="s">
        <v>119</v>
      </c>
      <c r="H45" s="6">
        <v>46155</v>
      </c>
      <c r="I45" s="6" t="s">
        <v>311</v>
      </c>
      <c r="J45" s="6">
        <v>46155</v>
      </c>
      <c r="K45" s="113">
        <v>46886</v>
      </c>
      <c r="L45" s="126">
        <v>135624.07999999999</v>
      </c>
      <c r="M45" s="119"/>
      <c r="N45" s="1"/>
      <c r="O45" s="10"/>
      <c r="P45" s="4"/>
      <c r="Q45" s="4"/>
      <c r="R45" s="4"/>
      <c r="S45" s="9"/>
      <c r="T45" s="1"/>
      <c r="U45" s="10"/>
      <c r="W45" s="4"/>
      <c r="X45" s="4"/>
      <c r="Y45" s="4"/>
      <c r="Z45" s="1"/>
      <c r="AA45" s="5"/>
      <c r="AC45" s="138"/>
      <c r="AD45" s="4"/>
      <c r="AE45" s="4"/>
      <c r="AF45" s="1"/>
      <c r="AG45" s="5"/>
      <c r="AH45" s="4"/>
      <c r="AI45" s="4"/>
      <c r="AJ45" s="4"/>
      <c r="AK45" s="4">
        <f t="shared" si="23"/>
        <v>0</v>
      </c>
      <c r="AL45" s="1"/>
      <c r="AM45" s="10"/>
      <c r="AN45" s="5"/>
      <c r="AO45" s="4">
        <v>135624.07999999999</v>
      </c>
      <c r="AP45" s="4"/>
      <c r="AQ45" s="4">
        <f t="shared" si="18"/>
        <v>135624.07999999999</v>
      </c>
      <c r="AR45" s="119">
        <v>46200</v>
      </c>
      <c r="AS45" s="1">
        <v>3226</v>
      </c>
      <c r="AT45" s="164" t="s">
        <v>97</v>
      </c>
      <c r="AU45" s="126"/>
      <c r="AV45" s="126">
        <v>1412.75</v>
      </c>
      <c r="AW45" s="4">
        <f t="shared" si="22"/>
        <v>134211.32999999999</v>
      </c>
      <c r="AY45" s="1"/>
      <c r="AZ45" s="13"/>
      <c r="BA45" s="126"/>
      <c r="BB45" s="126"/>
      <c r="BC45" s="4">
        <f t="shared" si="5"/>
        <v>134211.32999999999</v>
      </c>
      <c r="BG45" s="8"/>
      <c r="BH45" s="4"/>
      <c r="BI45" s="4">
        <f t="shared" si="19"/>
        <v>134211.32999999999</v>
      </c>
      <c r="BM45" s="4"/>
      <c r="BN45" s="4"/>
      <c r="BO45" s="4">
        <f t="shared" si="20"/>
        <v>134211.32999999999</v>
      </c>
      <c r="BS45" s="4"/>
      <c r="BT45" s="4"/>
      <c r="BU45" s="4">
        <f t="shared" si="8"/>
        <v>134211.32999999999</v>
      </c>
      <c r="BY45" s="4"/>
      <c r="BZ45" s="4"/>
      <c r="CA45" s="4">
        <f t="shared" si="9"/>
        <v>134211.32999999999</v>
      </c>
      <c r="CB45" s="1"/>
      <c r="CC45" s="4"/>
      <c r="CD45" s="4"/>
      <c r="CE45" s="4"/>
      <c r="CF45" s="4"/>
      <c r="CG45" s="4">
        <f t="shared" si="21"/>
        <v>134211.32999999999</v>
      </c>
      <c r="CI45" s="4"/>
      <c r="CK45" s="10"/>
      <c r="CL45" s="10"/>
      <c r="CM45" s="9"/>
      <c r="CN45" s="9"/>
      <c r="CO45" s="144"/>
      <c r="CP45" s="4"/>
      <c r="CQ45" s="9"/>
      <c r="CR45" s="1"/>
      <c r="CS45" s="10"/>
      <c r="CT45" s="4"/>
      <c r="CU45" s="4"/>
      <c r="CV45" s="4"/>
      <c r="CY45" s="10"/>
      <c r="DB45" s="4"/>
      <c r="DE45" s="10"/>
      <c r="DH45" s="4"/>
      <c r="DK45" s="10"/>
      <c r="DN45" s="4"/>
      <c r="DT45" s="4"/>
      <c r="DZ45" s="4"/>
      <c r="EF45" s="4"/>
      <c r="EL45" s="4"/>
      <c r="ER45" s="4"/>
      <c r="EX45" s="4"/>
      <c r="FD45" s="4"/>
      <c r="FE45" s="9"/>
      <c r="FG45" s="1"/>
      <c r="FH45" s="4"/>
      <c r="FI45" s="4"/>
      <c r="FJ45" s="4"/>
      <c r="FK45" s="4"/>
      <c r="FL45" s="4"/>
    </row>
    <row r="46" spans="1:168" s="3" customFormat="1" ht="13.5" customHeight="1" x14ac:dyDescent="0.3">
      <c r="A46" s="1" t="s">
        <v>312</v>
      </c>
      <c r="B46" s="3" t="s">
        <v>313</v>
      </c>
      <c r="C46" s="3" t="s">
        <v>34</v>
      </c>
      <c r="D46" s="3" t="s">
        <v>145</v>
      </c>
      <c r="E46" s="3" t="s">
        <v>50</v>
      </c>
      <c r="F46" s="4" t="s">
        <v>341</v>
      </c>
      <c r="G46" s="3" t="s">
        <v>317</v>
      </c>
      <c r="H46" s="5" t="s">
        <v>314</v>
      </c>
      <c r="I46" s="6" t="s">
        <v>44</v>
      </c>
      <c r="J46" s="6">
        <v>46156</v>
      </c>
      <c r="K46" s="6">
        <v>49806</v>
      </c>
      <c r="L46" s="147">
        <v>284090.90999999997</v>
      </c>
      <c r="M46" s="4"/>
      <c r="N46" s="1"/>
      <c r="O46" s="1"/>
      <c r="P46" s="10"/>
      <c r="Q46" s="4"/>
      <c r="R46" s="4"/>
      <c r="S46" s="4">
        <f t="shared" si="24"/>
        <v>0</v>
      </c>
      <c r="T46" s="9"/>
      <c r="U46" s="1"/>
      <c r="V46" s="10"/>
      <c r="Y46" s="4">
        <f t="shared" ref="Y46:Y63" si="25">S46+W46-X46</f>
        <v>0</v>
      </c>
      <c r="Z46" s="119"/>
      <c r="AA46" s="1"/>
      <c r="AB46" s="5"/>
      <c r="AD46" s="138"/>
      <c r="AE46" s="4">
        <f t="shared" ref="AE46:AE63" si="26">Y46+AC46-AD46</f>
        <v>0</v>
      </c>
      <c r="AG46" s="1"/>
      <c r="AH46" s="5"/>
      <c r="AI46" s="4"/>
      <c r="AJ46" s="4"/>
      <c r="AK46" s="4">
        <f t="shared" si="23"/>
        <v>0</v>
      </c>
      <c r="AL46" s="9"/>
      <c r="AM46" s="1"/>
      <c r="AN46" s="5"/>
      <c r="AO46" s="4">
        <v>284090.90999999997</v>
      </c>
      <c r="AP46" s="4"/>
      <c r="AQ46" s="4">
        <f t="shared" si="18"/>
        <v>284090.90999999997</v>
      </c>
      <c r="AR46" s="119">
        <v>46188</v>
      </c>
      <c r="AS46" s="1">
        <v>3146</v>
      </c>
      <c r="AT46" s="5" t="s">
        <v>97</v>
      </c>
      <c r="AU46" s="126"/>
      <c r="AV46" s="126">
        <v>2368.2199999999998</v>
      </c>
      <c r="AW46" s="4">
        <f t="shared" si="22"/>
        <v>281722.69</v>
      </c>
      <c r="AX46" s="6" t="s">
        <v>428</v>
      </c>
      <c r="AY46" s="1" t="s">
        <v>429</v>
      </c>
      <c r="AZ46" s="5" t="s">
        <v>245</v>
      </c>
      <c r="BA46" s="127"/>
      <c r="BB46" s="126">
        <f>1401.28+965.34</f>
        <v>2366.62</v>
      </c>
      <c r="BC46" s="4">
        <f t="shared" si="5"/>
        <v>279356.07</v>
      </c>
      <c r="BH46" s="143"/>
      <c r="BI46" s="4">
        <f t="shared" si="19"/>
        <v>279356.07</v>
      </c>
      <c r="BO46" s="4">
        <f t="shared" si="20"/>
        <v>279356.07</v>
      </c>
      <c r="BP46" s="104"/>
      <c r="BU46" s="4">
        <f t="shared" si="8"/>
        <v>279356.07</v>
      </c>
      <c r="BV46" s="104"/>
      <c r="CA46" s="4">
        <f t="shared" si="9"/>
        <v>279356.07</v>
      </c>
      <c r="CG46" s="4">
        <f t="shared" si="21"/>
        <v>279356.07</v>
      </c>
    </row>
    <row r="47" spans="1:168" s="3" customFormat="1" ht="13.5" customHeight="1" x14ac:dyDescent="0.3">
      <c r="A47" s="1" t="s">
        <v>315</v>
      </c>
      <c r="B47" s="3" t="s">
        <v>316</v>
      </c>
      <c r="C47" s="3" t="s">
        <v>34</v>
      </c>
      <c r="D47" s="3" t="s">
        <v>145</v>
      </c>
      <c r="E47" s="3" t="s">
        <v>48</v>
      </c>
      <c r="F47" s="4" t="s">
        <v>336</v>
      </c>
      <c r="H47" s="5" t="s">
        <v>314</v>
      </c>
      <c r="I47" s="6" t="s">
        <v>44</v>
      </c>
      <c r="J47" s="6">
        <v>46156</v>
      </c>
      <c r="K47" s="6">
        <v>49809</v>
      </c>
      <c r="L47" s="147">
        <v>256663.64</v>
      </c>
      <c r="M47" s="4"/>
      <c r="N47" s="1"/>
      <c r="O47" s="1"/>
      <c r="P47" s="10"/>
      <c r="Q47" s="4"/>
      <c r="R47" s="4"/>
      <c r="S47" s="4"/>
      <c r="T47" s="9"/>
      <c r="U47" s="1"/>
      <c r="V47" s="10"/>
      <c r="Y47" s="4"/>
      <c r="Z47" s="119"/>
      <c r="AA47" s="1"/>
      <c r="AB47" s="5"/>
      <c r="AD47" s="138"/>
      <c r="AE47" s="4"/>
      <c r="AG47" s="1"/>
      <c r="AH47" s="5"/>
      <c r="AI47" s="4"/>
      <c r="AJ47" s="4"/>
      <c r="AK47" s="4">
        <f t="shared" si="23"/>
        <v>0</v>
      </c>
      <c r="AL47" s="9"/>
      <c r="AM47" s="1"/>
      <c r="AN47" s="5"/>
      <c r="AO47" s="4">
        <v>256663.64</v>
      </c>
      <c r="AP47" s="4"/>
      <c r="AQ47" s="4">
        <f t="shared" si="18"/>
        <v>256663.64</v>
      </c>
      <c r="AR47" s="119">
        <v>46188</v>
      </c>
      <c r="AS47" s="1">
        <v>3145</v>
      </c>
      <c r="AT47" s="5" t="s">
        <v>97</v>
      </c>
      <c r="AU47" s="126"/>
      <c r="AV47" s="126">
        <v>4768.28</v>
      </c>
      <c r="AW47" s="4">
        <f>SUM(AQ47+AU47-AV47)</f>
        <v>251895.36000000002</v>
      </c>
      <c r="AX47" s="6">
        <v>46217</v>
      </c>
      <c r="AY47" s="1">
        <v>3306</v>
      </c>
      <c r="AZ47" s="1">
        <v>2</v>
      </c>
      <c r="BA47" s="127"/>
      <c r="BB47" s="126">
        <v>2231.11</v>
      </c>
      <c r="BC47" s="4">
        <f t="shared" si="5"/>
        <v>249664.25000000003</v>
      </c>
      <c r="BH47" s="143"/>
      <c r="BI47" s="4">
        <f t="shared" si="19"/>
        <v>249664.25000000003</v>
      </c>
      <c r="BO47" s="4">
        <f t="shared" si="20"/>
        <v>249664.25000000003</v>
      </c>
      <c r="BP47" s="104"/>
      <c r="BU47" s="4">
        <f t="shared" si="8"/>
        <v>249664.25000000003</v>
      </c>
      <c r="BV47" s="104"/>
      <c r="CA47" s="4">
        <f t="shared" si="9"/>
        <v>249664.25000000003</v>
      </c>
      <c r="CG47" s="4">
        <f t="shared" si="21"/>
        <v>249664.25000000003</v>
      </c>
    </row>
    <row r="48" spans="1:168" s="3" customFormat="1" ht="13.5" customHeight="1" x14ac:dyDescent="0.3">
      <c r="A48" s="1" t="s">
        <v>329</v>
      </c>
      <c r="B48" s="3" t="s">
        <v>330</v>
      </c>
      <c r="C48" s="3" t="s">
        <v>34</v>
      </c>
      <c r="D48" s="3" t="s">
        <v>145</v>
      </c>
      <c r="E48" s="3" t="s">
        <v>331</v>
      </c>
      <c r="F48" s="4" t="s">
        <v>335</v>
      </c>
      <c r="G48" s="3" t="s">
        <v>332</v>
      </c>
      <c r="H48" s="5" t="s">
        <v>333</v>
      </c>
      <c r="I48" s="6" t="s">
        <v>58</v>
      </c>
      <c r="J48" s="6">
        <v>46161</v>
      </c>
      <c r="K48" s="6">
        <v>47622</v>
      </c>
      <c r="L48" s="147">
        <v>113636.36</v>
      </c>
      <c r="M48" s="4"/>
      <c r="N48" s="1"/>
      <c r="O48" s="1"/>
      <c r="P48" s="10"/>
      <c r="Q48" s="4"/>
      <c r="R48" s="4"/>
      <c r="S48" s="4"/>
      <c r="T48" s="9"/>
      <c r="U48" s="1"/>
      <c r="V48" s="10"/>
      <c r="Y48" s="4"/>
      <c r="Z48" s="119"/>
      <c r="AA48" s="1"/>
      <c r="AB48" s="5"/>
      <c r="AD48" s="138"/>
      <c r="AE48" s="4"/>
      <c r="AG48" s="1"/>
      <c r="AH48" s="5"/>
      <c r="AI48" s="4"/>
      <c r="AJ48" s="4"/>
      <c r="AK48" s="4"/>
      <c r="AL48" s="9"/>
      <c r="AM48" s="1"/>
      <c r="AN48" s="5"/>
      <c r="AO48" s="4">
        <v>113636.36</v>
      </c>
      <c r="AP48" s="4"/>
      <c r="AQ48" s="4">
        <f t="shared" si="18"/>
        <v>113636.36</v>
      </c>
      <c r="AR48" s="119">
        <v>46203</v>
      </c>
      <c r="AS48" s="1">
        <v>3232</v>
      </c>
      <c r="AT48" s="5" t="s">
        <v>97</v>
      </c>
      <c r="AU48" s="126"/>
      <c r="AV48" s="126">
        <v>2806.77</v>
      </c>
      <c r="AW48" s="4">
        <f t="shared" si="22"/>
        <v>110829.59</v>
      </c>
      <c r="AX48" s="6"/>
      <c r="AY48" s="1"/>
      <c r="AZ48" s="1"/>
      <c r="BA48" s="127"/>
      <c r="BB48" s="126"/>
      <c r="BC48" s="4">
        <f t="shared" si="5"/>
        <v>110829.59</v>
      </c>
      <c r="BH48" s="143"/>
      <c r="BI48" s="4">
        <f t="shared" si="19"/>
        <v>110829.59</v>
      </c>
      <c r="BO48" s="4">
        <f t="shared" si="20"/>
        <v>110829.59</v>
      </c>
      <c r="BP48" s="104"/>
      <c r="BU48" s="4">
        <f t="shared" si="8"/>
        <v>110829.59</v>
      </c>
      <c r="BV48" s="104"/>
      <c r="CA48" s="4">
        <f t="shared" si="9"/>
        <v>110829.59</v>
      </c>
      <c r="CG48" s="4">
        <f t="shared" si="21"/>
        <v>110829.59</v>
      </c>
    </row>
    <row r="49" spans="1:100" s="3" customFormat="1" ht="13.5" customHeight="1" x14ac:dyDescent="0.3">
      <c r="A49" s="1" t="s">
        <v>366</v>
      </c>
      <c r="B49" s="3" t="s">
        <v>346</v>
      </c>
      <c r="C49" s="3" t="s">
        <v>34</v>
      </c>
      <c r="D49" s="3" t="s">
        <v>145</v>
      </c>
      <c r="E49" s="3" t="s">
        <v>48</v>
      </c>
      <c r="F49" s="4" t="s">
        <v>348</v>
      </c>
      <c r="G49" s="3" t="s">
        <v>350</v>
      </c>
      <c r="H49" s="5" t="s">
        <v>347</v>
      </c>
      <c r="I49" s="6" t="s">
        <v>349</v>
      </c>
      <c r="J49" s="6">
        <v>46163</v>
      </c>
      <c r="K49" s="6">
        <v>46712</v>
      </c>
      <c r="L49" s="147">
        <v>159090.91</v>
      </c>
      <c r="M49" s="4"/>
      <c r="N49" s="1"/>
      <c r="O49" s="1"/>
      <c r="P49" s="10"/>
      <c r="Q49" s="4"/>
      <c r="R49" s="4"/>
      <c r="S49" s="4"/>
      <c r="T49" s="9"/>
      <c r="U49" s="1"/>
      <c r="V49" s="10"/>
      <c r="Y49" s="4"/>
      <c r="Z49" s="119"/>
      <c r="AA49" s="1"/>
      <c r="AB49" s="5"/>
      <c r="AD49" s="138"/>
      <c r="AE49" s="4"/>
      <c r="AG49" s="1"/>
      <c r="AH49" s="5"/>
      <c r="AI49" s="4"/>
      <c r="AJ49" s="4"/>
      <c r="AK49" s="4"/>
      <c r="AL49" s="9"/>
      <c r="AM49" s="1"/>
      <c r="AN49" s="5"/>
      <c r="AO49" s="4">
        <v>159090.91</v>
      </c>
      <c r="AP49" s="4"/>
      <c r="AQ49" s="4">
        <f t="shared" si="18"/>
        <v>159090.91</v>
      </c>
      <c r="AR49" s="119">
        <v>46195</v>
      </c>
      <c r="AS49" s="1">
        <v>3180</v>
      </c>
      <c r="AT49" s="5" t="s">
        <v>97</v>
      </c>
      <c r="AU49" s="126"/>
      <c r="AV49" s="126">
        <v>11757.16</v>
      </c>
      <c r="AW49" s="4">
        <f t="shared" si="22"/>
        <v>147333.75</v>
      </c>
      <c r="AX49" s="6">
        <v>46227</v>
      </c>
      <c r="AY49" s="1">
        <v>3355</v>
      </c>
      <c r="AZ49" s="1">
        <v>2</v>
      </c>
      <c r="BA49" s="127"/>
      <c r="BB49" s="126">
        <v>12093.69</v>
      </c>
      <c r="BC49" s="4">
        <f t="shared" si="5"/>
        <v>135240.06</v>
      </c>
      <c r="BH49" s="143"/>
      <c r="BI49" s="4">
        <f t="shared" si="19"/>
        <v>135240.06</v>
      </c>
      <c r="BO49" s="4">
        <f t="shared" si="20"/>
        <v>135240.06</v>
      </c>
      <c r="BP49" s="104"/>
      <c r="BU49" s="4">
        <f t="shared" si="8"/>
        <v>135240.06</v>
      </c>
      <c r="BV49" s="104"/>
      <c r="CA49" s="4">
        <f t="shared" si="9"/>
        <v>135240.06</v>
      </c>
      <c r="CG49" s="4">
        <f t="shared" si="21"/>
        <v>135240.06</v>
      </c>
    </row>
    <row r="50" spans="1:100" s="3" customFormat="1" ht="13.5" customHeight="1" x14ac:dyDescent="0.3">
      <c r="A50" s="1" t="s">
        <v>364</v>
      </c>
      <c r="B50" s="3" t="s">
        <v>365</v>
      </c>
      <c r="C50" s="3" t="s">
        <v>34</v>
      </c>
      <c r="D50" s="3" t="s">
        <v>368</v>
      </c>
      <c r="E50" s="3" t="s">
        <v>50</v>
      </c>
      <c r="F50" s="4" t="s">
        <v>444</v>
      </c>
      <c r="G50" s="3" t="s">
        <v>40</v>
      </c>
      <c r="H50" s="5" t="s">
        <v>367</v>
      </c>
      <c r="I50" s="6" t="s">
        <v>78</v>
      </c>
      <c r="J50" s="6">
        <v>46176</v>
      </c>
      <c r="K50" s="6">
        <v>48002</v>
      </c>
      <c r="L50" s="147">
        <v>85227.27</v>
      </c>
      <c r="M50" s="4"/>
      <c r="N50" s="1"/>
      <c r="O50" s="1"/>
      <c r="P50" s="10"/>
      <c r="Q50" s="4"/>
      <c r="R50" s="4"/>
      <c r="S50" s="4"/>
      <c r="T50" s="9"/>
      <c r="U50" s="1"/>
      <c r="V50" s="10"/>
      <c r="Y50" s="4"/>
      <c r="Z50" s="119"/>
      <c r="AA50" s="1"/>
      <c r="AB50" s="5"/>
      <c r="AD50" s="138"/>
      <c r="AE50" s="4"/>
      <c r="AG50" s="1"/>
      <c r="AH50" s="5"/>
      <c r="AI50" s="4"/>
      <c r="AJ50" s="4"/>
      <c r="AK50" s="4"/>
      <c r="AL50" s="9"/>
      <c r="AM50" s="1"/>
      <c r="AN50" s="5"/>
      <c r="AO50" s="4"/>
      <c r="AP50" s="4"/>
      <c r="AQ50" s="4">
        <f t="shared" si="18"/>
        <v>0</v>
      </c>
      <c r="AR50" s="119"/>
      <c r="AS50" s="1"/>
      <c r="AT50" s="5"/>
      <c r="AU50" s="126">
        <v>85227.27</v>
      </c>
      <c r="AV50" s="126"/>
      <c r="AW50" s="4">
        <f t="shared" si="22"/>
        <v>85227.27</v>
      </c>
      <c r="AX50" s="6">
        <v>46207</v>
      </c>
      <c r="AY50" s="1">
        <v>3254</v>
      </c>
      <c r="AZ50" s="1">
        <v>1</v>
      </c>
      <c r="BA50" s="127"/>
      <c r="BB50" s="126">
        <v>1420.8</v>
      </c>
      <c r="BC50" s="4">
        <f t="shared" si="5"/>
        <v>83806.47</v>
      </c>
      <c r="BH50" s="143"/>
      <c r="BI50" s="4">
        <f t="shared" si="19"/>
        <v>83806.47</v>
      </c>
      <c r="BO50" s="4">
        <f t="shared" si="20"/>
        <v>83806.47</v>
      </c>
      <c r="BP50" s="104"/>
      <c r="BU50" s="4">
        <f t="shared" si="8"/>
        <v>83806.47</v>
      </c>
      <c r="BV50" s="104"/>
      <c r="CA50" s="4">
        <f t="shared" si="9"/>
        <v>83806.47</v>
      </c>
      <c r="CG50" s="4">
        <f t="shared" si="21"/>
        <v>83806.47</v>
      </c>
    </row>
    <row r="51" spans="1:100" s="3" customFormat="1" ht="13.5" customHeight="1" x14ac:dyDescent="0.3">
      <c r="A51" s="1" t="s">
        <v>377</v>
      </c>
      <c r="B51" s="3" t="s">
        <v>384</v>
      </c>
      <c r="C51" s="3" t="s">
        <v>34</v>
      </c>
      <c r="D51" s="3" t="s">
        <v>145</v>
      </c>
      <c r="E51" s="3" t="s">
        <v>48</v>
      </c>
      <c r="F51" s="4" t="s">
        <v>378</v>
      </c>
      <c r="G51" s="3" t="s">
        <v>379</v>
      </c>
      <c r="H51" s="5" t="s">
        <v>380</v>
      </c>
      <c r="I51" s="6" t="s">
        <v>76</v>
      </c>
      <c r="J51" s="6">
        <v>46183</v>
      </c>
      <c r="K51" s="6">
        <v>47279</v>
      </c>
      <c r="L51" s="147">
        <v>227272.72</v>
      </c>
      <c r="M51" s="4"/>
      <c r="N51" s="1"/>
      <c r="O51" s="1"/>
      <c r="P51" s="10"/>
      <c r="Q51" s="4"/>
      <c r="R51" s="4"/>
      <c r="S51" s="4"/>
      <c r="T51" s="9"/>
      <c r="U51" s="1"/>
      <c r="V51" s="10"/>
      <c r="Y51" s="4"/>
      <c r="Z51" s="119"/>
      <c r="AA51" s="1"/>
      <c r="AB51" s="5"/>
      <c r="AD51" s="138"/>
      <c r="AE51" s="4"/>
      <c r="AG51" s="1"/>
      <c r="AH51" s="5"/>
      <c r="AI51" s="4"/>
      <c r="AJ51" s="4"/>
      <c r="AK51" s="4"/>
      <c r="AL51" s="9"/>
      <c r="AM51" s="1"/>
      <c r="AN51" s="5"/>
      <c r="AO51" s="4"/>
      <c r="AP51" s="4"/>
      <c r="AQ51" s="4">
        <f t="shared" si="18"/>
        <v>0</v>
      </c>
      <c r="AR51" s="119"/>
      <c r="AS51" s="1"/>
      <c r="AT51" s="5" t="s">
        <v>72</v>
      </c>
      <c r="AU51" s="126">
        <v>227272.72</v>
      </c>
      <c r="AV51" s="126"/>
      <c r="AW51" s="4">
        <f t="shared" si="22"/>
        <v>227272.72</v>
      </c>
      <c r="AX51" s="6">
        <v>46216</v>
      </c>
      <c r="AY51" s="1">
        <v>3298</v>
      </c>
      <c r="AZ51" s="1">
        <v>1</v>
      </c>
      <c r="BA51" s="127"/>
      <c r="BB51" s="126">
        <v>6516.81</v>
      </c>
      <c r="BC51" s="4">
        <f t="shared" si="5"/>
        <v>220755.91</v>
      </c>
      <c r="BH51" s="143"/>
      <c r="BI51" s="4">
        <f t="shared" si="19"/>
        <v>220755.91</v>
      </c>
      <c r="BO51" s="4">
        <f t="shared" si="20"/>
        <v>220755.91</v>
      </c>
      <c r="BP51" s="104"/>
      <c r="BU51" s="4">
        <f t="shared" si="8"/>
        <v>220755.91</v>
      </c>
      <c r="BV51" s="104"/>
      <c r="CA51" s="4">
        <f t="shared" si="9"/>
        <v>220755.91</v>
      </c>
      <c r="CG51" s="4">
        <f t="shared" si="21"/>
        <v>220755.91</v>
      </c>
    </row>
    <row r="52" spans="1:100" s="3" customFormat="1" ht="15" customHeight="1" x14ac:dyDescent="0.3">
      <c r="A52" s="1" t="s">
        <v>382</v>
      </c>
      <c r="B52" s="3" t="s">
        <v>309</v>
      </c>
      <c r="C52" s="3" t="s">
        <v>34</v>
      </c>
      <c r="D52" s="3" t="s">
        <v>145</v>
      </c>
      <c r="E52" s="3" t="s">
        <v>48</v>
      </c>
      <c r="F52" s="4" t="s">
        <v>443</v>
      </c>
      <c r="G52" s="3" t="s">
        <v>383</v>
      </c>
      <c r="H52" s="5" t="s">
        <v>380</v>
      </c>
      <c r="I52" s="5" t="s">
        <v>44</v>
      </c>
      <c r="J52" s="6">
        <v>46183</v>
      </c>
      <c r="K52" s="6">
        <v>49836</v>
      </c>
      <c r="L52" s="147">
        <v>397727.27</v>
      </c>
      <c r="M52" s="4"/>
      <c r="N52" s="9"/>
      <c r="O52" s="1"/>
      <c r="P52" s="10"/>
      <c r="Q52" s="4"/>
      <c r="R52" s="4"/>
      <c r="S52" s="4">
        <f t="shared" si="24"/>
        <v>0</v>
      </c>
      <c r="T52" s="9"/>
      <c r="U52" s="1"/>
      <c r="V52" s="10"/>
      <c r="Y52" s="4">
        <f t="shared" si="25"/>
        <v>0</v>
      </c>
      <c r="Z52" s="1"/>
      <c r="AA52" s="1"/>
      <c r="AB52" s="5"/>
      <c r="AD52" s="138"/>
      <c r="AE52" s="4">
        <f t="shared" si="26"/>
        <v>0</v>
      </c>
      <c r="AH52" s="5"/>
      <c r="AK52" s="4">
        <f t="shared" ref="AK52:AK63" si="27">AE52+AI52-AJ52</f>
        <v>0</v>
      </c>
      <c r="AM52" s="1"/>
      <c r="AN52" s="5"/>
      <c r="AQ52" s="4">
        <f t="shared" si="18"/>
        <v>0</v>
      </c>
      <c r="AR52" s="119"/>
      <c r="AS52" s="1"/>
      <c r="AT52" s="5"/>
      <c r="AU52" s="127">
        <v>397727.27</v>
      </c>
      <c r="AV52" s="127"/>
      <c r="AW52" s="4">
        <f>AQ52+AU52-AV52</f>
        <v>397727.27</v>
      </c>
      <c r="AX52" s="6">
        <v>46227</v>
      </c>
      <c r="AY52" s="1">
        <v>3374</v>
      </c>
      <c r="AZ52" s="1">
        <v>1</v>
      </c>
      <c r="BA52" s="127"/>
      <c r="BB52" s="127">
        <v>3314.39</v>
      </c>
      <c r="BC52" s="4">
        <f t="shared" ref="BC52:BC63" si="28">AW52+BA52-BB52</f>
        <v>394412.88</v>
      </c>
      <c r="BH52" s="143"/>
      <c r="BI52" s="4">
        <f t="shared" si="19"/>
        <v>394412.88</v>
      </c>
      <c r="BO52" s="4">
        <f t="shared" ref="BO52:BO64" si="29">BI52+BM52-BN52</f>
        <v>394412.88</v>
      </c>
      <c r="BU52" s="4">
        <f t="shared" si="8"/>
        <v>394412.88</v>
      </c>
      <c r="BV52" s="104"/>
      <c r="CA52" s="4">
        <f t="shared" ref="CA52:CA64" si="30">BU52+BY52-BZ52</f>
        <v>394412.88</v>
      </c>
      <c r="CG52" s="4">
        <f t="shared" ref="CG52:CG64" si="31">CA52+CE52-CF52</f>
        <v>394412.88</v>
      </c>
    </row>
    <row r="53" spans="1:100" s="3" customFormat="1" ht="15" customHeight="1" x14ac:dyDescent="0.3">
      <c r="A53" s="1" t="s">
        <v>397</v>
      </c>
      <c r="B53" s="3" t="s">
        <v>398</v>
      </c>
      <c r="C53" s="3" t="s">
        <v>34</v>
      </c>
      <c r="D53" s="3" t="s">
        <v>145</v>
      </c>
      <c r="E53" s="3" t="s">
        <v>56</v>
      </c>
      <c r="F53" s="4" t="s">
        <v>442</v>
      </c>
      <c r="G53" s="3" t="s">
        <v>408</v>
      </c>
      <c r="H53" s="5" t="s">
        <v>399</v>
      </c>
      <c r="I53" s="5" t="s">
        <v>58</v>
      </c>
      <c r="J53" s="6">
        <v>46199</v>
      </c>
      <c r="K53" s="6">
        <v>47660</v>
      </c>
      <c r="L53" s="147">
        <v>227272.73</v>
      </c>
      <c r="M53" s="4"/>
      <c r="N53" s="9"/>
      <c r="O53" s="1"/>
      <c r="P53" s="10"/>
      <c r="Q53" s="4"/>
      <c r="R53" s="4"/>
      <c r="S53" s="4"/>
      <c r="T53" s="9"/>
      <c r="U53" s="1"/>
      <c r="V53" s="10"/>
      <c r="Y53" s="4"/>
      <c r="Z53" s="1"/>
      <c r="AA53" s="1"/>
      <c r="AB53" s="5"/>
      <c r="AD53" s="138"/>
      <c r="AE53" s="4"/>
      <c r="AH53" s="5"/>
      <c r="AK53" s="4"/>
      <c r="AM53" s="1"/>
      <c r="AN53" s="5"/>
      <c r="AQ53" s="4">
        <f t="shared" si="18"/>
        <v>0</v>
      </c>
      <c r="AR53" s="119"/>
      <c r="AS53" s="1"/>
      <c r="AT53" s="5"/>
      <c r="AU53" s="127">
        <v>227272.73</v>
      </c>
      <c r="AV53" s="127"/>
      <c r="AW53" s="4">
        <f t="shared" ref="AW53:AW63" si="32">AQ53+AU53-AV53</f>
        <v>227272.73</v>
      </c>
      <c r="AX53" s="6">
        <v>46227</v>
      </c>
      <c r="AY53" s="1">
        <v>3356</v>
      </c>
      <c r="AZ53" s="1">
        <v>1</v>
      </c>
      <c r="BA53" s="127"/>
      <c r="BB53" s="127">
        <v>5516.81</v>
      </c>
      <c r="BC53" s="4">
        <f t="shared" si="28"/>
        <v>221755.92</v>
      </c>
      <c r="BH53" s="143"/>
      <c r="BI53" s="4">
        <f t="shared" si="19"/>
        <v>221755.92</v>
      </c>
      <c r="BO53" s="4">
        <f t="shared" si="29"/>
        <v>221755.92</v>
      </c>
      <c r="BU53" s="4">
        <f t="shared" si="8"/>
        <v>221755.92</v>
      </c>
      <c r="BV53" s="104"/>
      <c r="CA53" s="4">
        <f t="shared" si="30"/>
        <v>221755.92</v>
      </c>
      <c r="CG53" s="4">
        <f t="shared" si="31"/>
        <v>221755.92</v>
      </c>
    </row>
    <row r="54" spans="1:100" s="3" customFormat="1" ht="15" customHeight="1" x14ac:dyDescent="0.3">
      <c r="A54" s="1" t="s">
        <v>406</v>
      </c>
      <c r="B54" s="3" t="s">
        <v>407</v>
      </c>
      <c r="C54" s="3" t="s">
        <v>34</v>
      </c>
      <c r="D54" s="3" t="s">
        <v>145</v>
      </c>
      <c r="E54" s="3" t="s">
        <v>50</v>
      </c>
      <c r="F54" s="4" t="s">
        <v>441</v>
      </c>
      <c r="G54" s="3" t="s">
        <v>409</v>
      </c>
      <c r="H54" s="5" t="s">
        <v>410</v>
      </c>
      <c r="I54" s="5" t="s">
        <v>78</v>
      </c>
      <c r="J54" s="6">
        <v>46204</v>
      </c>
      <c r="K54" s="6">
        <v>48030</v>
      </c>
      <c r="L54" s="147">
        <v>200000</v>
      </c>
      <c r="M54" s="4"/>
      <c r="N54" s="9"/>
      <c r="O54" s="1"/>
      <c r="P54" s="10"/>
      <c r="Q54" s="4"/>
      <c r="R54" s="4"/>
      <c r="S54" s="4"/>
      <c r="T54" s="9"/>
      <c r="U54" s="1"/>
      <c r="V54" s="10"/>
      <c r="Y54" s="4"/>
      <c r="Z54" s="1"/>
      <c r="AA54" s="1"/>
      <c r="AB54" s="5"/>
      <c r="AD54" s="138"/>
      <c r="AE54" s="4"/>
      <c r="AH54" s="5"/>
      <c r="AK54" s="4"/>
      <c r="AM54" s="1"/>
      <c r="AN54" s="5"/>
      <c r="AQ54" s="4">
        <f t="shared" si="18"/>
        <v>0</v>
      </c>
      <c r="AR54" s="119"/>
      <c r="AS54" s="1"/>
      <c r="AT54" s="5"/>
      <c r="AU54" s="127"/>
      <c r="AV54" s="127"/>
      <c r="AW54" s="4">
        <f t="shared" si="32"/>
        <v>0</v>
      </c>
      <c r="AX54" s="6"/>
      <c r="AY54" s="1"/>
      <c r="AZ54" s="1"/>
      <c r="BA54" s="127">
        <v>200000</v>
      </c>
      <c r="BB54" s="127"/>
      <c r="BC54" s="4">
        <f t="shared" si="28"/>
        <v>200000</v>
      </c>
      <c r="BH54" s="143"/>
      <c r="BI54" s="4">
        <f t="shared" si="19"/>
        <v>200000</v>
      </c>
      <c r="BO54" s="4">
        <f t="shared" si="29"/>
        <v>200000</v>
      </c>
      <c r="BU54" s="4">
        <f t="shared" si="8"/>
        <v>200000</v>
      </c>
      <c r="BV54" s="104"/>
      <c r="CA54" s="4">
        <f t="shared" si="30"/>
        <v>200000</v>
      </c>
      <c r="CG54" s="4">
        <f t="shared" si="31"/>
        <v>200000</v>
      </c>
    </row>
    <row r="55" spans="1:100" s="3" customFormat="1" ht="15" customHeight="1" x14ac:dyDescent="0.3">
      <c r="A55" s="1" t="s">
        <v>436</v>
      </c>
      <c r="B55" s="3" t="s">
        <v>437</v>
      </c>
      <c r="C55" s="3" t="s">
        <v>34</v>
      </c>
      <c r="D55" s="3" t="s">
        <v>145</v>
      </c>
      <c r="E55" s="3" t="s">
        <v>50</v>
      </c>
      <c r="F55" s="4" t="s">
        <v>438</v>
      </c>
      <c r="G55" s="3" t="s">
        <v>439</v>
      </c>
      <c r="H55" s="5" t="s">
        <v>440</v>
      </c>
      <c r="I55" s="5" t="s">
        <v>78</v>
      </c>
      <c r="J55" s="6">
        <v>46232</v>
      </c>
      <c r="K55" s="6">
        <v>48058</v>
      </c>
      <c r="L55" s="147">
        <v>200000</v>
      </c>
      <c r="M55" s="4"/>
      <c r="N55" s="9"/>
      <c r="O55" s="1"/>
      <c r="P55" s="10"/>
      <c r="Q55" s="4"/>
      <c r="R55" s="4"/>
      <c r="S55" s="4"/>
      <c r="T55" s="9"/>
      <c r="U55" s="1"/>
      <c r="V55" s="10"/>
      <c r="Y55" s="4"/>
      <c r="Z55" s="1"/>
      <c r="AA55" s="1"/>
      <c r="AB55" s="5"/>
      <c r="AD55" s="138"/>
      <c r="AE55" s="4"/>
      <c r="AH55" s="5"/>
      <c r="AK55" s="4"/>
      <c r="AM55" s="1"/>
      <c r="AN55" s="5"/>
      <c r="AQ55" s="4">
        <f t="shared" si="18"/>
        <v>0</v>
      </c>
      <c r="AR55" s="119"/>
      <c r="AS55" s="1"/>
      <c r="AT55" s="5"/>
      <c r="AU55" s="127"/>
      <c r="AV55" s="127"/>
      <c r="AW55" s="4">
        <f t="shared" si="32"/>
        <v>0</v>
      </c>
      <c r="AX55" s="6"/>
      <c r="AY55" s="1"/>
      <c r="AZ55" s="1"/>
      <c r="BA55" s="127">
        <v>200000</v>
      </c>
      <c r="BB55" s="127"/>
      <c r="BC55" s="4">
        <f t="shared" si="28"/>
        <v>200000</v>
      </c>
      <c r="BH55" s="143"/>
      <c r="BI55" s="4">
        <f t="shared" si="19"/>
        <v>200000</v>
      </c>
      <c r="BO55" s="4">
        <f t="shared" si="29"/>
        <v>200000</v>
      </c>
      <c r="BU55" s="4">
        <f t="shared" si="8"/>
        <v>200000</v>
      </c>
      <c r="BV55" s="104"/>
      <c r="CA55" s="4">
        <f t="shared" si="30"/>
        <v>200000</v>
      </c>
      <c r="CG55" s="4">
        <f t="shared" si="31"/>
        <v>200000</v>
      </c>
    </row>
    <row r="56" spans="1:100" s="3" customFormat="1" ht="15" customHeight="1" x14ac:dyDescent="0.3">
      <c r="A56" s="1"/>
      <c r="F56" s="4"/>
      <c r="H56" s="5"/>
      <c r="I56" s="5"/>
      <c r="J56" s="6"/>
      <c r="K56" s="6"/>
      <c r="L56" s="147"/>
      <c r="M56" s="4"/>
      <c r="N56" s="9"/>
      <c r="O56" s="1"/>
      <c r="P56" s="10"/>
      <c r="Q56" s="4"/>
      <c r="R56" s="4"/>
      <c r="S56" s="4"/>
      <c r="T56" s="9"/>
      <c r="U56" s="1"/>
      <c r="V56" s="10"/>
      <c r="Y56" s="4"/>
      <c r="Z56" s="1"/>
      <c r="AA56" s="1"/>
      <c r="AB56" s="5"/>
      <c r="AD56" s="138"/>
      <c r="AE56" s="4"/>
      <c r="AH56" s="5"/>
      <c r="AK56" s="4"/>
      <c r="AM56" s="1"/>
      <c r="AN56" s="5"/>
      <c r="AQ56" s="4">
        <f t="shared" si="18"/>
        <v>0</v>
      </c>
      <c r="AR56" s="119"/>
      <c r="AS56" s="1"/>
      <c r="AT56" s="5"/>
      <c r="AU56" s="127"/>
      <c r="AV56" s="127"/>
      <c r="AW56" s="4">
        <f t="shared" si="32"/>
        <v>0</v>
      </c>
      <c r="AX56" s="6"/>
      <c r="AY56" s="1"/>
      <c r="AZ56" s="1"/>
      <c r="BA56" s="127"/>
      <c r="BB56" s="127"/>
      <c r="BC56" s="4">
        <f>AW56+BA57-BB56</f>
        <v>0</v>
      </c>
      <c r="BH56" s="143"/>
      <c r="BI56" s="4">
        <f t="shared" si="19"/>
        <v>0</v>
      </c>
      <c r="BO56" s="4">
        <f t="shared" si="29"/>
        <v>0</v>
      </c>
      <c r="BU56" s="4">
        <f t="shared" si="8"/>
        <v>0</v>
      </c>
      <c r="BV56" s="104"/>
      <c r="CA56" s="4">
        <f t="shared" si="30"/>
        <v>0</v>
      </c>
      <c r="CG56" s="4">
        <f t="shared" si="31"/>
        <v>0</v>
      </c>
    </row>
    <row r="57" spans="1:100" s="3" customFormat="1" ht="15" customHeight="1" x14ac:dyDescent="0.3">
      <c r="A57" s="1"/>
      <c r="F57" s="4"/>
      <c r="H57" s="5"/>
      <c r="I57" s="5"/>
      <c r="J57" s="6"/>
      <c r="K57" s="6"/>
      <c r="L57" s="147"/>
      <c r="M57" s="4"/>
      <c r="N57" s="9"/>
      <c r="O57" s="1"/>
      <c r="P57" s="10"/>
      <c r="Q57" s="4"/>
      <c r="R57" s="4"/>
      <c r="S57" s="4"/>
      <c r="T57" s="9"/>
      <c r="U57" s="1"/>
      <c r="V57" s="10"/>
      <c r="Y57" s="4"/>
      <c r="Z57" s="1"/>
      <c r="AA57" s="1"/>
      <c r="AB57" s="5"/>
      <c r="AD57" s="138"/>
      <c r="AE57" s="4"/>
      <c r="AH57" s="5"/>
      <c r="AK57" s="4"/>
      <c r="AM57" s="1"/>
      <c r="AN57" s="5"/>
      <c r="AQ57" s="4">
        <f t="shared" si="18"/>
        <v>0</v>
      </c>
      <c r="AR57" s="119"/>
      <c r="AS57" s="1"/>
      <c r="AT57" s="5"/>
      <c r="AU57" s="127"/>
      <c r="AV57" s="127"/>
      <c r="AW57" s="4">
        <f t="shared" si="32"/>
        <v>0</v>
      </c>
      <c r="AX57" s="6"/>
      <c r="AY57" s="1"/>
      <c r="AZ57" s="1"/>
      <c r="BA57" s="127"/>
      <c r="BB57" s="127"/>
      <c r="BC57" s="4">
        <f t="shared" si="28"/>
        <v>0</v>
      </c>
      <c r="BH57" s="143"/>
      <c r="BI57" s="4">
        <f t="shared" si="19"/>
        <v>0</v>
      </c>
      <c r="BO57" s="4">
        <f t="shared" si="29"/>
        <v>0</v>
      </c>
      <c r="BU57" s="4">
        <f t="shared" si="8"/>
        <v>0</v>
      </c>
      <c r="BV57" s="104"/>
      <c r="CA57" s="4">
        <f t="shared" si="30"/>
        <v>0</v>
      </c>
      <c r="CG57" s="4">
        <f t="shared" si="31"/>
        <v>0</v>
      </c>
    </row>
    <row r="58" spans="1:100" s="3" customFormat="1" ht="15" customHeight="1" x14ac:dyDescent="0.3">
      <c r="A58" s="1"/>
      <c r="F58" s="4"/>
      <c r="H58" s="5"/>
      <c r="I58" s="5"/>
      <c r="J58" s="6"/>
      <c r="K58" s="6"/>
      <c r="L58" s="147"/>
      <c r="M58" s="4"/>
      <c r="N58" s="9"/>
      <c r="O58" s="1"/>
      <c r="P58" s="10"/>
      <c r="Q58" s="4"/>
      <c r="R58" s="4"/>
      <c r="S58" s="4"/>
      <c r="T58" s="9"/>
      <c r="U58" s="1"/>
      <c r="V58" s="10"/>
      <c r="Y58" s="4"/>
      <c r="Z58" s="1"/>
      <c r="AA58" s="1"/>
      <c r="AB58" s="5"/>
      <c r="AD58" s="138"/>
      <c r="AE58" s="4"/>
      <c r="AH58" s="5"/>
      <c r="AK58" s="4"/>
      <c r="AM58" s="1"/>
      <c r="AN58" s="5"/>
      <c r="AQ58" s="4">
        <f t="shared" si="18"/>
        <v>0</v>
      </c>
      <c r="AR58" s="119"/>
      <c r="AS58" s="1"/>
      <c r="AT58" s="5"/>
      <c r="AU58" s="127"/>
      <c r="AV58" s="127"/>
      <c r="AW58" s="4">
        <f t="shared" si="32"/>
        <v>0</v>
      </c>
      <c r="AX58" s="6"/>
      <c r="AY58" s="1"/>
      <c r="AZ58" s="1"/>
      <c r="BA58" s="127"/>
      <c r="BB58" s="127"/>
      <c r="BC58" s="4">
        <f t="shared" si="28"/>
        <v>0</v>
      </c>
      <c r="BH58" s="143"/>
      <c r="BI58" s="4">
        <f t="shared" si="19"/>
        <v>0</v>
      </c>
      <c r="BO58" s="4">
        <f t="shared" si="29"/>
        <v>0</v>
      </c>
      <c r="BU58" s="4">
        <f t="shared" si="8"/>
        <v>0</v>
      </c>
      <c r="BV58" s="104"/>
      <c r="CA58" s="4">
        <f t="shared" si="30"/>
        <v>0</v>
      </c>
      <c r="CG58" s="4">
        <f t="shared" si="31"/>
        <v>0</v>
      </c>
    </row>
    <row r="59" spans="1:100" s="3" customFormat="1" ht="15" customHeight="1" x14ac:dyDescent="0.3">
      <c r="A59" s="1"/>
      <c r="F59" s="4"/>
      <c r="H59" s="5"/>
      <c r="I59" s="5"/>
      <c r="J59" s="6"/>
      <c r="K59" s="6"/>
      <c r="L59" s="147"/>
      <c r="M59" s="4"/>
      <c r="N59" s="9"/>
      <c r="O59" s="1"/>
      <c r="P59" s="10"/>
      <c r="Q59" s="4"/>
      <c r="R59" s="4"/>
      <c r="S59" s="4"/>
      <c r="T59" s="9"/>
      <c r="U59" s="1"/>
      <c r="V59" s="10"/>
      <c r="Y59" s="4"/>
      <c r="Z59" s="1"/>
      <c r="AA59" s="1"/>
      <c r="AB59" s="5"/>
      <c r="AD59" s="138"/>
      <c r="AE59" s="4"/>
      <c r="AH59" s="5"/>
      <c r="AK59" s="4"/>
      <c r="AM59" s="1"/>
      <c r="AN59" s="5"/>
      <c r="AQ59" s="4">
        <f t="shared" si="18"/>
        <v>0</v>
      </c>
      <c r="AR59" s="119"/>
      <c r="AS59" s="1"/>
      <c r="AT59" s="5"/>
      <c r="AU59" s="127"/>
      <c r="AV59" s="127"/>
      <c r="AW59" s="4">
        <f t="shared" si="32"/>
        <v>0</v>
      </c>
      <c r="AX59" s="6"/>
      <c r="AY59" s="1"/>
      <c r="AZ59" s="1"/>
      <c r="BA59" s="127"/>
      <c r="BB59" s="127"/>
      <c r="BC59" s="4">
        <f t="shared" si="28"/>
        <v>0</v>
      </c>
      <c r="BH59" s="143"/>
      <c r="BI59" s="4">
        <f t="shared" si="19"/>
        <v>0</v>
      </c>
      <c r="BO59" s="4">
        <f t="shared" si="29"/>
        <v>0</v>
      </c>
      <c r="BU59" s="4">
        <f t="shared" si="8"/>
        <v>0</v>
      </c>
      <c r="BV59" s="104"/>
      <c r="CA59" s="4">
        <f t="shared" si="30"/>
        <v>0</v>
      </c>
      <c r="CG59" s="4">
        <f t="shared" si="31"/>
        <v>0</v>
      </c>
    </row>
    <row r="60" spans="1:100" s="3" customFormat="1" ht="15" customHeight="1" x14ac:dyDescent="0.3">
      <c r="A60" s="1"/>
      <c r="F60" s="4"/>
      <c r="H60" s="5"/>
      <c r="I60" s="5"/>
      <c r="J60" s="6"/>
      <c r="K60" s="6"/>
      <c r="L60" s="147"/>
      <c r="M60" s="4"/>
      <c r="N60" s="9"/>
      <c r="O60" s="1"/>
      <c r="P60" s="10"/>
      <c r="Q60" s="4"/>
      <c r="R60" s="4"/>
      <c r="S60" s="4"/>
      <c r="T60" s="9"/>
      <c r="U60" s="1"/>
      <c r="V60" s="10"/>
      <c r="Y60" s="4"/>
      <c r="Z60" s="1"/>
      <c r="AA60" s="1"/>
      <c r="AB60" s="5"/>
      <c r="AD60" s="138"/>
      <c r="AE60" s="4"/>
      <c r="AH60" s="5"/>
      <c r="AK60" s="4"/>
      <c r="AM60" s="1"/>
      <c r="AN60" s="5"/>
      <c r="AQ60" s="4">
        <f t="shared" si="18"/>
        <v>0</v>
      </c>
      <c r="AR60" s="119"/>
      <c r="AS60" s="1"/>
      <c r="AT60" s="5"/>
      <c r="AU60" s="127"/>
      <c r="AV60" s="127"/>
      <c r="AW60" s="4">
        <f t="shared" si="32"/>
        <v>0</v>
      </c>
      <c r="AX60" s="6"/>
      <c r="AY60" s="1"/>
      <c r="AZ60" s="1"/>
      <c r="BA60" s="127"/>
      <c r="BB60" s="127"/>
      <c r="BC60" s="4">
        <f t="shared" si="28"/>
        <v>0</v>
      </c>
      <c r="BH60" s="143"/>
      <c r="BI60" s="4">
        <f t="shared" si="19"/>
        <v>0</v>
      </c>
      <c r="BO60" s="4">
        <f t="shared" si="29"/>
        <v>0</v>
      </c>
      <c r="BU60" s="4">
        <f t="shared" si="8"/>
        <v>0</v>
      </c>
      <c r="BV60" s="104"/>
      <c r="CA60" s="4">
        <f t="shared" si="30"/>
        <v>0</v>
      </c>
      <c r="CG60" s="4">
        <f t="shared" si="31"/>
        <v>0</v>
      </c>
    </row>
    <row r="61" spans="1:100" s="3" customFormat="1" ht="15" customHeight="1" x14ac:dyDescent="0.3">
      <c r="A61" s="1"/>
      <c r="F61" s="4"/>
      <c r="H61" s="5"/>
      <c r="I61" s="5"/>
      <c r="J61" s="6"/>
      <c r="K61" s="6"/>
      <c r="L61" s="147"/>
      <c r="M61" s="4"/>
      <c r="N61" s="9"/>
      <c r="O61" s="1"/>
      <c r="P61" s="10"/>
      <c r="Q61" s="4"/>
      <c r="R61" s="4"/>
      <c r="S61" s="4"/>
      <c r="T61" s="9"/>
      <c r="U61" s="1"/>
      <c r="V61" s="10"/>
      <c r="Y61" s="4"/>
      <c r="Z61" s="1"/>
      <c r="AA61" s="1"/>
      <c r="AB61" s="5"/>
      <c r="AD61" s="138"/>
      <c r="AE61" s="4"/>
      <c r="AH61" s="5"/>
      <c r="AK61" s="4"/>
      <c r="AM61" s="1"/>
      <c r="AN61" s="5"/>
      <c r="AQ61" s="4">
        <f t="shared" si="18"/>
        <v>0</v>
      </c>
      <c r="AR61" s="119"/>
      <c r="AS61" s="1"/>
      <c r="AT61" s="5"/>
      <c r="AU61" s="127"/>
      <c r="AV61" s="127"/>
      <c r="AW61" s="4">
        <f t="shared" si="32"/>
        <v>0</v>
      </c>
      <c r="AX61" s="6"/>
      <c r="AY61" s="1"/>
      <c r="AZ61" s="1"/>
      <c r="BA61" s="127"/>
      <c r="BB61" s="127"/>
      <c r="BC61" s="4">
        <f t="shared" si="28"/>
        <v>0</v>
      </c>
      <c r="BH61" s="143"/>
      <c r="BI61" s="4">
        <f t="shared" si="19"/>
        <v>0</v>
      </c>
      <c r="BO61" s="4">
        <f t="shared" si="29"/>
        <v>0</v>
      </c>
      <c r="BU61" s="4">
        <f t="shared" si="8"/>
        <v>0</v>
      </c>
      <c r="BV61" s="104"/>
      <c r="CA61" s="4">
        <f t="shared" si="30"/>
        <v>0</v>
      </c>
      <c r="CG61" s="4">
        <f t="shared" si="31"/>
        <v>0</v>
      </c>
    </row>
    <row r="62" spans="1:100" s="3" customFormat="1" x14ac:dyDescent="0.3">
      <c r="A62" s="1"/>
      <c r="F62" s="4"/>
      <c r="H62" s="5"/>
      <c r="I62" s="5"/>
      <c r="J62" s="6"/>
      <c r="K62" s="6"/>
      <c r="L62" s="147"/>
      <c r="M62" s="4"/>
      <c r="N62" s="9"/>
      <c r="O62" s="1"/>
      <c r="P62" s="10"/>
      <c r="Q62" s="4"/>
      <c r="R62" s="4"/>
      <c r="S62" s="4"/>
      <c r="T62" s="9"/>
      <c r="U62" s="1"/>
      <c r="V62" s="10"/>
      <c r="Y62" s="4"/>
      <c r="Z62" s="1"/>
      <c r="AA62" s="1"/>
      <c r="AB62" s="5"/>
      <c r="AD62" s="138"/>
      <c r="AE62" s="4"/>
      <c r="AH62" s="5"/>
      <c r="AK62" s="4"/>
      <c r="AM62" s="1"/>
      <c r="AN62" s="5"/>
      <c r="AQ62" s="4">
        <f t="shared" si="18"/>
        <v>0</v>
      </c>
      <c r="AR62" s="119"/>
      <c r="AS62" s="1"/>
      <c r="AT62" s="5"/>
      <c r="AU62" s="127"/>
      <c r="AV62" s="127"/>
      <c r="AW62" s="4">
        <f t="shared" si="32"/>
        <v>0</v>
      </c>
      <c r="AX62" s="6"/>
      <c r="AY62" s="1"/>
      <c r="AZ62" s="1"/>
      <c r="BA62" s="127"/>
      <c r="BB62" s="127"/>
      <c r="BC62" s="4">
        <f t="shared" si="28"/>
        <v>0</v>
      </c>
      <c r="BH62" s="143"/>
      <c r="BI62" s="4">
        <f t="shared" si="19"/>
        <v>0</v>
      </c>
      <c r="BO62" s="4">
        <f t="shared" si="29"/>
        <v>0</v>
      </c>
      <c r="BU62" s="4">
        <f t="shared" si="8"/>
        <v>0</v>
      </c>
      <c r="BV62" s="104"/>
      <c r="CA62" s="4">
        <f t="shared" si="30"/>
        <v>0</v>
      </c>
      <c r="CG62" s="4">
        <f t="shared" si="31"/>
        <v>0</v>
      </c>
    </row>
    <row r="63" spans="1:100" ht="14.25" customHeight="1" x14ac:dyDescent="0.3">
      <c r="F63" s="17"/>
      <c r="M63" s="17"/>
      <c r="O63" s="1"/>
      <c r="Q63" s="17"/>
      <c r="R63" s="17"/>
      <c r="S63" s="4">
        <f t="shared" si="24"/>
        <v>0</v>
      </c>
      <c r="U63" s="1"/>
      <c r="V63" s="10"/>
      <c r="Y63" s="17">
        <f t="shared" si="25"/>
        <v>0</v>
      </c>
      <c r="AB63" s="1"/>
      <c r="AE63" s="4">
        <f t="shared" si="26"/>
        <v>0</v>
      </c>
      <c r="AK63" s="17">
        <f t="shared" si="27"/>
        <v>0</v>
      </c>
      <c r="AN63" s="5"/>
      <c r="AQ63" s="4">
        <f t="shared" si="18"/>
        <v>0</v>
      </c>
      <c r="AR63" s="86"/>
      <c r="AW63" s="4">
        <f t="shared" si="32"/>
        <v>0</v>
      </c>
      <c r="BC63" s="4">
        <f t="shared" si="28"/>
        <v>0</v>
      </c>
      <c r="BH63" s="83"/>
      <c r="BI63" s="17">
        <f t="shared" ref="BI63:BI64" si="33">BC63+BG63-BH63</f>
        <v>0</v>
      </c>
      <c r="BO63" s="17">
        <f t="shared" si="29"/>
        <v>0</v>
      </c>
      <c r="BU63" s="4">
        <f t="shared" si="8"/>
        <v>0</v>
      </c>
      <c r="BV63" s="82"/>
      <c r="CA63" s="75">
        <f t="shared" si="30"/>
        <v>0</v>
      </c>
      <c r="CG63" s="17">
        <f t="shared" si="31"/>
        <v>0</v>
      </c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 ht="13.8" x14ac:dyDescent="0.3">
      <c r="A64" s="74"/>
      <c r="B64" s="105" t="s">
        <v>16</v>
      </c>
      <c r="C64" s="93"/>
      <c r="D64" s="93"/>
      <c r="E64" s="93"/>
      <c r="F64" s="94"/>
      <c r="G64" s="93"/>
      <c r="H64" s="132"/>
      <c r="I64" s="132"/>
      <c r="J64" s="131"/>
      <c r="K64" s="131"/>
      <c r="L64" s="150">
        <f>SUM(L7:L63)</f>
        <v>15044790.750000002</v>
      </c>
      <c r="M64" s="106">
        <f>SUM(M7:M63)</f>
        <v>0</v>
      </c>
      <c r="N64" s="107"/>
      <c r="O64" s="74"/>
      <c r="P64" s="107"/>
      <c r="Q64" s="108">
        <f>SUM(Q7:Q63)</f>
        <v>5030218.5699999994</v>
      </c>
      <c r="R64" s="108">
        <f>SUM(R7:R63)</f>
        <v>147727.26999999999</v>
      </c>
      <c r="S64" s="108">
        <f>SUM(S7:S63)</f>
        <v>4882491.3</v>
      </c>
      <c r="T64" s="107"/>
      <c r="U64" s="107"/>
      <c r="V64" s="107"/>
      <c r="W64" s="108">
        <f>SUM(W7:W63)</f>
        <v>4160916.1</v>
      </c>
      <c r="X64" s="108">
        <f>SUM(X7:X63)</f>
        <v>74988.78</v>
      </c>
      <c r="Y64" s="107">
        <f>SUM(Y7:Y63)</f>
        <v>8968418.620000001</v>
      </c>
      <c r="Z64" s="120"/>
      <c r="AA64" s="120"/>
      <c r="AB64" s="74"/>
      <c r="AC64" s="108">
        <f>SUM(AC7:AC63)</f>
        <v>2031818.18</v>
      </c>
      <c r="AD64" s="140">
        <f>SUM(AD7:AD63)</f>
        <v>149297.21000000005</v>
      </c>
      <c r="AE64" s="107">
        <f>SUM(AE7:AE63)</f>
        <v>10850939.589999998</v>
      </c>
      <c r="AF64" s="107"/>
      <c r="AG64" s="107"/>
      <c r="AH64" s="120"/>
      <c r="AI64" s="108">
        <f>SUM(AI7:AI63)</f>
        <v>1160285.54</v>
      </c>
      <c r="AJ64" s="108">
        <f>SUM(AJ7:AJ63)</f>
        <v>125099.31000000001</v>
      </c>
      <c r="AK64" s="107">
        <f>SUM(AK7:AK63)</f>
        <v>11886125.820000002</v>
      </c>
      <c r="AL64" s="107"/>
      <c r="AM64" s="107"/>
      <c r="AN64" s="130"/>
      <c r="AO64" s="108">
        <f>SUM(AO7:AO63)</f>
        <v>1324052.3700000001</v>
      </c>
      <c r="AP64" s="108">
        <f>SUM(AP7:AP63)</f>
        <v>197963.54</v>
      </c>
      <c r="AQ64" s="108">
        <f>SUM(AQ7:AQ63)</f>
        <v>13012214.650000004</v>
      </c>
      <c r="AR64" s="120"/>
      <c r="AS64" s="120"/>
      <c r="AT64" s="165"/>
      <c r="AU64" s="163">
        <f>SUM(AU7:AU63)</f>
        <v>937499.99</v>
      </c>
      <c r="AV64" s="163">
        <f>SUM(AV7:AV63)</f>
        <v>305384.42999999993</v>
      </c>
      <c r="AW64" s="108">
        <f>SUM(AW7:AW63)</f>
        <v>13644330.210000003</v>
      </c>
      <c r="AX64" s="120"/>
      <c r="AY64" s="120"/>
      <c r="AZ64" s="120"/>
      <c r="BA64" s="163">
        <f>SUM(BA7:BA63)</f>
        <v>400000</v>
      </c>
      <c r="BB64" s="163">
        <f>SUM(BB7:BB63)</f>
        <v>214790.44999999998</v>
      </c>
      <c r="BC64" s="108">
        <f>SUM(BC7:BC63)</f>
        <v>13829539.760000002</v>
      </c>
      <c r="BD64" s="107"/>
      <c r="BE64" s="107"/>
      <c r="BF64" s="107"/>
      <c r="BG64" s="108">
        <f>SUM(BG7:BG63)</f>
        <v>0</v>
      </c>
      <c r="BH64" s="108">
        <f>SUM(BH7:BH63)</f>
        <v>0</v>
      </c>
      <c r="BI64" s="107">
        <f t="shared" si="33"/>
        <v>13829539.760000002</v>
      </c>
      <c r="BJ64" s="107"/>
      <c r="BK64" s="107"/>
      <c r="BL64" s="107"/>
      <c r="BM64" s="108">
        <f>SUM(BM7:BM63)</f>
        <v>0</v>
      </c>
      <c r="BN64" s="108">
        <f>SUM(BN7:BN63)</f>
        <v>0</v>
      </c>
      <c r="BO64" s="107">
        <f t="shared" si="29"/>
        <v>13829539.760000002</v>
      </c>
      <c r="BP64" s="107"/>
      <c r="BQ64" s="107"/>
      <c r="BR64" s="107"/>
      <c r="BS64" s="108">
        <f>SUM(BS7:BS63)</f>
        <v>0</v>
      </c>
      <c r="BT64" s="108">
        <f>SUM(BT7:BT63)</f>
        <v>0</v>
      </c>
      <c r="BU64" s="108">
        <f>SUM(BU7:BU63)</f>
        <v>13829539.760000002</v>
      </c>
      <c r="BV64" s="107"/>
      <c r="BW64" s="107"/>
      <c r="BX64" s="107"/>
      <c r="BY64" s="108">
        <f>SUM(BY7:BY63)</f>
        <v>0</v>
      </c>
      <c r="BZ64" s="108">
        <f>SUM(BZ7:BZ63)</f>
        <v>0</v>
      </c>
      <c r="CA64" s="107">
        <f t="shared" si="30"/>
        <v>13829539.760000002</v>
      </c>
      <c r="CB64" s="107"/>
      <c r="CC64" s="107"/>
      <c r="CD64" s="107"/>
      <c r="CE64" s="108">
        <f>SUM(CE7:CE63)</f>
        <v>0</v>
      </c>
      <c r="CF64" s="108">
        <f>SUM(CF7:CF63)</f>
        <v>0</v>
      </c>
      <c r="CG64" s="107">
        <f t="shared" si="31"/>
        <v>13829539.760000002</v>
      </c>
      <c r="CH64" s="73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85" s="95" customFormat="1" x14ac:dyDescent="0.3">
      <c r="A65" s="20"/>
      <c r="B65" s="16"/>
      <c r="C65" s="16"/>
      <c r="D65" s="16"/>
      <c r="E65" s="16"/>
      <c r="G65" s="16"/>
      <c r="H65" s="123"/>
      <c r="I65" s="123"/>
      <c r="J65" s="118"/>
      <c r="K65" s="118"/>
      <c r="L65" s="145"/>
      <c r="M65" s="16"/>
      <c r="N65" s="19"/>
      <c r="O65" s="1"/>
      <c r="P65" s="18"/>
      <c r="T65" s="16"/>
      <c r="U65" s="1"/>
      <c r="V65" s="18"/>
      <c r="W65" s="16"/>
      <c r="X65" s="16"/>
      <c r="Y65" s="16"/>
      <c r="Z65" s="20"/>
      <c r="AA65" s="20"/>
      <c r="AB65" s="1"/>
      <c r="AC65" s="16"/>
      <c r="AD65" s="135"/>
      <c r="AE65" s="16"/>
      <c r="AF65" s="16"/>
      <c r="AG65" s="16"/>
      <c r="AH65" s="123"/>
      <c r="AI65" s="16"/>
      <c r="AJ65" s="16"/>
      <c r="AK65" s="16"/>
      <c r="AL65" s="16"/>
      <c r="AM65" s="16"/>
      <c r="AN65" s="5"/>
      <c r="AO65" s="103"/>
      <c r="AP65" s="16"/>
      <c r="AQ65" s="16"/>
      <c r="AR65" s="20"/>
      <c r="AS65" s="20"/>
      <c r="AT65" s="123"/>
      <c r="AU65" s="124"/>
      <c r="AV65" s="124"/>
      <c r="AW65" s="96"/>
      <c r="AX65" s="20"/>
      <c r="AY65" s="20"/>
      <c r="AZ65" s="20"/>
      <c r="BA65" s="124"/>
      <c r="BB65" s="124"/>
      <c r="BC65" s="17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7"/>
    </row>
    <row r="66" spans="1:85" s="95" customFormat="1" ht="15" customHeight="1" x14ac:dyDescent="0.3">
      <c r="A66" s="97"/>
      <c r="H66" s="97"/>
      <c r="I66" s="97"/>
      <c r="J66" s="97"/>
      <c r="K66" s="97"/>
      <c r="L66" s="151"/>
      <c r="O66" s="1"/>
      <c r="U66" s="1"/>
      <c r="Z66" s="97"/>
      <c r="AA66" s="97"/>
      <c r="AB66" s="1"/>
      <c r="AD66" s="141"/>
      <c r="AH66" s="97"/>
      <c r="AN66" s="5"/>
      <c r="AR66" s="97"/>
      <c r="AS66" s="97"/>
      <c r="AT66" s="166"/>
      <c r="AU66" s="129"/>
      <c r="AV66" s="129"/>
      <c r="AX66" s="97" t="s">
        <v>412</v>
      </c>
      <c r="AY66" s="97">
        <f>AW64-BB64</f>
        <v>13429539.760000004</v>
      </c>
      <c r="AZ66" s="97" t="s">
        <v>72</v>
      </c>
      <c r="BA66" s="129"/>
      <c r="BB66" s="129"/>
      <c r="CA66" s="175" t="s">
        <v>20</v>
      </c>
      <c r="CB66" s="176"/>
      <c r="CC66" s="176"/>
      <c r="CD66" s="177"/>
      <c r="CE66" s="98"/>
      <c r="CG66" s="17"/>
    </row>
    <row r="67" spans="1:85" s="95" customFormat="1" x14ac:dyDescent="0.3">
      <c r="A67" s="97"/>
      <c r="H67" s="97"/>
      <c r="I67" s="97"/>
      <c r="J67" s="97"/>
      <c r="K67" s="97"/>
      <c r="L67" s="151"/>
      <c r="O67" s="1"/>
      <c r="U67" s="1"/>
      <c r="Z67" s="97"/>
      <c r="AA67" s="97"/>
      <c r="AB67" s="1"/>
      <c r="AD67" s="141" t="s">
        <v>72</v>
      </c>
      <c r="AH67" s="97"/>
      <c r="AN67" s="169"/>
      <c r="AQ67" s="156"/>
      <c r="AR67" s="97" t="s">
        <v>412</v>
      </c>
      <c r="AS67" s="171">
        <f>AQ64-AV64</f>
        <v>12706830.220000004</v>
      </c>
      <c r="AT67" s="169"/>
      <c r="AU67" s="129"/>
      <c r="AV67" s="129"/>
      <c r="AX67" s="97" t="s">
        <v>413</v>
      </c>
      <c r="AY67" s="169">
        <f>BB64/AW64</f>
        <v>1.5742102887731264E-2</v>
      </c>
      <c r="AZ67" s="97"/>
      <c r="BA67" s="129" t="s">
        <v>72</v>
      </c>
      <c r="BB67" s="129"/>
    </row>
    <row r="68" spans="1:85" x14ac:dyDescent="0.3">
      <c r="A68" s="97"/>
      <c r="B68" s="95"/>
      <c r="C68" s="95"/>
      <c r="D68" s="95"/>
      <c r="E68" s="95"/>
      <c r="G68" s="95"/>
      <c r="H68" s="97"/>
      <c r="I68" s="97"/>
      <c r="J68" s="97"/>
      <c r="K68" s="97"/>
      <c r="L68" s="151"/>
      <c r="N68" s="95"/>
      <c r="O68" s="1"/>
      <c r="P68" s="95"/>
      <c r="S68" s="99"/>
      <c r="T68" s="95"/>
      <c r="U68" s="100"/>
      <c r="V68" s="95"/>
      <c r="W68" s="95"/>
      <c r="X68" s="95"/>
      <c r="Y68" s="95"/>
      <c r="Z68" s="97"/>
      <c r="AA68" s="121"/>
      <c r="AB68" s="1"/>
      <c r="AC68" s="95"/>
      <c r="AD68" s="141"/>
      <c r="AE68" s="95"/>
      <c r="AF68" s="95"/>
      <c r="AG68" s="95"/>
      <c r="AH68" s="97"/>
      <c r="AI68" s="95"/>
      <c r="AJ68" s="95"/>
      <c r="AK68" s="95"/>
      <c r="AL68" s="95"/>
      <c r="AM68" s="95"/>
      <c r="AN68" s="97"/>
      <c r="AO68" s="95"/>
      <c r="AP68" s="95"/>
      <c r="AQ68" s="95"/>
      <c r="AR68" s="97" t="s">
        <v>411</v>
      </c>
      <c r="AS68" s="169">
        <f>AV64/AQ64</f>
        <v>2.3469058743201706E-2</v>
      </c>
      <c r="AT68" s="167"/>
      <c r="AU68" s="129"/>
      <c r="AV68" s="129"/>
      <c r="AW68" s="95"/>
      <c r="AX68" s="97"/>
      <c r="AY68" s="97"/>
      <c r="AZ68" s="97"/>
      <c r="BA68" s="129"/>
      <c r="BB68" s="129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</row>
    <row r="69" spans="1:85" x14ac:dyDescent="0.3">
      <c r="O69" s="1"/>
      <c r="AA69" s="122"/>
      <c r="AB69" s="1"/>
      <c r="AC69" s="142"/>
      <c r="AP69" s="95"/>
      <c r="AR69" s="168"/>
      <c r="BB69" s="124" t="s">
        <v>418</v>
      </c>
      <c r="BC69" s="16" t="s">
        <v>72</v>
      </c>
      <c r="CE69" s="103"/>
    </row>
    <row r="70" spans="1:85" x14ac:dyDescent="0.3">
      <c r="O70" s="1"/>
      <c r="AB70" s="1"/>
      <c r="AC70" s="142"/>
      <c r="AL70" s="124"/>
      <c r="AP70" s="95"/>
    </row>
    <row r="71" spans="1:85" x14ac:dyDescent="0.3">
      <c r="O71" s="1"/>
      <c r="U71" s="103"/>
      <c r="AB71" s="1"/>
      <c r="AP71" s="95"/>
      <c r="AS71" s="20" t="s">
        <v>72</v>
      </c>
    </row>
    <row r="72" spans="1:85" x14ac:dyDescent="0.3">
      <c r="AB72" s="1"/>
      <c r="AP72" s="95"/>
    </row>
    <row r="73" spans="1:85" x14ac:dyDescent="0.3">
      <c r="AB73" s="1"/>
      <c r="AC73" s="103"/>
      <c r="AF73" s="103"/>
      <c r="AI73" s="103"/>
      <c r="AO73" s="103"/>
      <c r="AP73" s="95"/>
    </row>
    <row r="74" spans="1:85" x14ac:dyDescent="0.3">
      <c r="AB74" s="1"/>
      <c r="AP74" s="95"/>
    </row>
    <row r="75" spans="1:85" x14ac:dyDescent="0.3">
      <c r="AB75" s="1"/>
      <c r="AL75" s="103"/>
      <c r="AP75" s="95"/>
    </row>
    <row r="76" spans="1:85" x14ac:dyDescent="0.3">
      <c r="AB76" s="5"/>
      <c r="AP76" s="95"/>
    </row>
    <row r="77" spans="1:85" x14ac:dyDescent="0.3">
      <c r="AB77" s="5"/>
      <c r="AP77" s="95"/>
    </row>
    <row r="78" spans="1:85" x14ac:dyDescent="0.3">
      <c r="AB78" s="5"/>
      <c r="AP78" s="95"/>
    </row>
    <row r="79" spans="1:85" x14ac:dyDescent="0.3">
      <c r="AP79" s="95"/>
    </row>
    <row r="80" spans="1:85" x14ac:dyDescent="0.3">
      <c r="AB80" s="120"/>
      <c r="AP80" s="95"/>
    </row>
    <row r="81" spans="18:42" x14ac:dyDescent="0.3">
      <c r="R81" s="95">
        <f ca="1">SUM(R7:R44)+Q+R81+R67</f>
        <v>0</v>
      </c>
      <c r="AP81" s="95"/>
    </row>
    <row r="82" spans="18:42" x14ac:dyDescent="0.3">
      <c r="AB82" s="97"/>
      <c r="AP82" s="95"/>
    </row>
    <row r="83" spans="18:42" x14ac:dyDescent="0.3">
      <c r="AB83" s="97"/>
      <c r="AP83" s="95"/>
    </row>
    <row r="84" spans="18:42" x14ac:dyDescent="0.3">
      <c r="AB84" s="97"/>
      <c r="AP84" s="95"/>
    </row>
    <row r="85" spans="18:42" x14ac:dyDescent="0.3">
      <c r="AP85" s="95"/>
    </row>
    <row r="86" spans="18:42" x14ac:dyDescent="0.3">
      <c r="AP86" s="95"/>
    </row>
    <row r="87" spans="18:42" x14ac:dyDescent="0.3">
      <c r="AP87" s="95"/>
    </row>
    <row r="88" spans="18:42" x14ac:dyDescent="0.3">
      <c r="AP88" s="95"/>
    </row>
    <row r="89" spans="18:42" x14ac:dyDescent="0.3">
      <c r="AP89" s="95"/>
    </row>
    <row r="90" spans="18:42" x14ac:dyDescent="0.3">
      <c r="AP90" s="95"/>
    </row>
    <row r="91" spans="18:42" x14ac:dyDescent="0.3">
      <c r="AP91" s="95"/>
    </row>
    <row r="92" spans="18:42" x14ac:dyDescent="0.3">
      <c r="AP92" s="95"/>
    </row>
    <row r="93" spans="18:42" x14ac:dyDescent="0.3">
      <c r="AP93" s="95"/>
    </row>
    <row r="94" spans="18:42" x14ac:dyDescent="0.3">
      <c r="AP94" s="95"/>
    </row>
    <row r="95" spans="18:42" x14ac:dyDescent="0.3">
      <c r="AP95" s="95"/>
    </row>
    <row r="96" spans="18:42" x14ac:dyDescent="0.3">
      <c r="AP96" s="95"/>
    </row>
    <row r="97" spans="42:42" x14ac:dyDescent="0.3">
      <c r="AP97" s="95"/>
    </row>
    <row r="98" spans="42:42" x14ac:dyDescent="0.3">
      <c r="AP98" s="95"/>
    </row>
    <row r="99" spans="42:42" x14ac:dyDescent="0.3">
      <c r="AP99" s="95"/>
    </row>
    <row r="100" spans="42:42" x14ac:dyDescent="0.3">
      <c r="AP100" s="95"/>
    </row>
    <row r="101" spans="42:42" x14ac:dyDescent="0.3">
      <c r="AP101" s="95"/>
    </row>
    <row r="102" spans="42:42" x14ac:dyDescent="0.3">
      <c r="AP102" s="95"/>
    </row>
    <row r="103" spans="42:42" x14ac:dyDescent="0.3">
      <c r="AP103" s="95"/>
    </row>
    <row r="104" spans="42:42" x14ac:dyDescent="0.3">
      <c r="AP104" s="95"/>
    </row>
    <row r="105" spans="42:42" x14ac:dyDescent="0.3">
      <c r="AP105" s="95"/>
    </row>
  </sheetData>
  <dataConsolidate/>
  <mergeCells count="13">
    <mergeCell ref="CA66:CD66"/>
    <mergeCell ref="N5:S5"/>
    <mergeCell ref="CB5:CG5"/>
    <mergeCell ref="T5:Y5"/>
    <mergeCell ref="Z5:AE5"/>
    <mergeCell ref="AF5:AK5"/>
    <mergeCell ref="AL5:AQ5"/>
    <mergeCell ref="AR5:AW5"/>
    <mergeCell ref="AX5:BC5"/>
    <mergeCell ref="BD5:BI5"/>
    <mergeCell ref="BJ5:BO5"/>
    <mergeCell ref="BP5:BU5"/>
    <mergeCell ref="BV5:CA5"/>
  </mergeCells>
  <phoneticPr fontId="13" type="noConversion"/>
  <pageMargins left="0.11811023622047245" right="0.11811023622047245" top="0.74803149606299213" bottom="0.74803149606299213" header="0.31496062992125984" footer="0.31496062992125984"/>
  <pageSetup scale="7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019C-65C1-4E92-8B2E-E28504662B00}">
  <dimension ref="A1:FL115"/>
  <sheetViews>
    <sheetView zoomScale="134" zoomScaleNormal="134" workbookViewId="0">
      <pane xSplit="11" ySplit="6" topLeftCell="AV21" activePane="bottomRight" state="frozen"/>
      <selection pane="topRight" activeCell="L1" sqref="L1"/>
      <selection pane="bottomLeft" activeCell="A7" sqref="A7"/>
      <selection pane="bottomRight" activeCell="AW8" sqref="AW8"/>
    </sheetView>
  </sheetViews>
  <sheetFormatPr baseColWidth="10" defaultRowHeight="13.2" outlineLevelCol="2" x14ac:dyDescent="0.3"/>
  <cols>
    <col min="1" max="1" width="9.6640625" style="20" customWidth="1"/>
    <col min="2" max="2" width="22.33203125" style="16" customWidth="1"/>
    <col min="3" max="3" width="8.6640625" style="16" hidden="1" customWidth="1" outlineLevel="2"/>
    <col min="4" max="4" width="8" style="16" hidden="1" customWidth="1" outlineLevel="2"/>
    <col min="5" max="5" width="12.5546875" style="16" hidden="1" customWidth="1" outlineLevel="2"/>
    <col min="6" max="6" width="20.88671875" style="16" hidden="1" customWidth="1" outlineLevel="2"/>
    <col min="7" max="7" width="10.109375" style="123" customWidth="1" outlineLevel="1" collapsed="1"/>
    <col min="8" max="8" width="7.88671875" style="123" customWidth="1" outlineLevel="1"/>
    <col min="9" max="9" width="10.6640625" style="118" customWidth="1" outlineLevel="1"/>
    <col min="10" max="10" width="8.5546875" style="118" customWidth="1" outlineLevel="1"/>
    <col min="11" max="11" width="14.109375" style="133" customWidth="1" outlineLevel="1"/>
    <col min="12" max="12" width="9.6640625" style="95" customWidth="1"/>
    <col min="13" max="13" width="9.88671875" style="19" customWidth="1" outlineLevel="1"/>
    <col min="14" max="14" width="9.109375" style="20" customWidth="1" outlineLevel="1"/>
    <col min="15" max="15" width="7" style="18" customWidth="1" outlineLevel="1"/>
    <col min="16" max="16" width="13.109375" style="95" customWidth="1" outlineLevel="1"/>
    <col min="17" max="17" width="15.44140625" style="95" customWidth="1" outlineLevel="1"/>
    <col min="18" max="18" width="15" style="95" customWidth="1" outlineLevel="1"/>
    <col min="19" max="19" width="12" style="16" customWidth="1" outlineLevel="1"/>
    <col min="20" max="20" width="11.88671875" style="16" customWidth="1" outlineLevel="1"/>
    <col min="21" max="21" width="9.109375" style="18" customWidth="1" outlineLevel="1"/>
    <col min="22" max="22" width="12.44140625" style="16" customWidth="1" outlineLevel="1"/>
    <col min="23" max="23" width="12.109375" style="16" customWidth="1" outlineLevel="1"/>
    <col min="24" max="25" width="11.44140625" style="16" outlineLevel="1"/>
    <col min="26" max="26" width="12.88671875" style="16" customWidth="1" outlineLevel="1"/>
    <col min="27" max="27" width="7.88671875" style="123" customWidth="1" outlineLevel="1"/>
    <col min="28" max="28" width="14.88671875" style="16" customWidth="1" outlineLevel="1"/>
    <col min="29" max="29" width="15.109375" style="124" customWidth="1" outlineLevel="1"/>
    <col min="30" max="30" width="12.33203125" style="16" customWidth="1" outlineLevel="1"/>
    <col min="31" max="31" width="12.6640625" style="16" customWidth="1" outlineLevel="1"/>
    <col min="32" max="32" width="7" style="16" customWidth="1" outlineLevel="1"/>
    <col min="33" max="33" width="7.5546875" style="123" customWidth="1" outlineLevel="1"/>
    <col min="34" max="37" width="11.44140625" style="16" outlineLevel="1"/>
    <col min="38" max="38" width="8.109375" style="16" customWidth="1" outlineLevel="1"/>
    <col min="39" max="39" width="11.44140625" style="20" outlineLevel="1"/>
    <col min="40" max="43" width="11.44140625" style="16" outlineLevel="1"/>
    <col min="44" max="45" width="11.44140625" style="20" outlineLevel="1"/>
    <col min="46" max="46" width="12.44140625" style="16" customWidth="1" outlineLevel="1"/>
    <col min="47" max="47" width="12.6640625" style="16" customWidth="1" outlineLevel="1"/>
    <col min="48" max="48" width="11.44140625" style="16" outlineLevel="1"/>
    <col min="49" max="50" width="11.44140625" style="20" outlineLevel="1"/>
    <col min="51" max="55" width="11.44140625" style="16" outlineLevel="1"/>
    <col min="56" max="56" width="10.5546875" style="16" customWidth="1" outlineLevel="1"/>
    <col min="57" max="63" width="11.44140625" style="16" outlineLevel="1"/>
    <col min="64" max="64" width="14.88671875" style="16" customWidth="1" outlineLevel="1"/>
    <col min="65" max="68" width="11.44140625" style="16" outlineLevel="1"/>
    <col min="69" max="69" width="7.44140625" style="16" customWidth="1" outlineLevel="1"/>
    <col min="70" max="78" width="11.44140625" style="16" outlineLevel="1"/>
    <col min="79" max="83" width="11.44140625" style="16"/>
    <col min="84" max="84" width="14.44140625" style="16" customWidth="1"/>
    <col min="85" max="85" width="11.44140625" style="16"/>
    <col min="86" max="99" width="11.44140625" style="102"/>
    <col min="100" max="255" width="11.44140625" style="16"/>
    <col min="256" max="256" width="9.6640625" style="16" customWidth="1"/>
    <col min="257" max="257" width="29.109375" style="16" customWidth="1"/>
    <col min="258" max="266" width="0" style="16" hidden="1" customWidth="1"/>
    <col min="267" max="267" width="12" style="16" customWidth="1"/>
    <col min="268" max="333" width="0" style="16" hidden="1" customWidth="1"/>
    <col min="334" max="511" width="11.44140625" style="16"/>
    <col min="512" max="512" width="9.6640625" style="16" customWidth="1"/>
    <col min="513" max="513" width="29.109375" style="16" customWidth="1"/>
    <col min="514" max="522" width="0" style="16" hidden="1" customWidth="1"/>
    <col min="523" max="523" width="12" style="16" customWidth="1"/>
    <col min="524" max="589" width="0" style="16" hidden="1" customWidth="1"/>
    <col min="590" max="767" width="11.44140625" style="16"/>
    <col min="768" max="768" width="9.6640625" style="16" customWidth="1"/>
    <col min="769" max="769" width="29.109375" style="16" customWidth="1"/>
    <col min="770" max="778" width="0" style="16" hidden="1" customWidth="1"/>
    <col min="779" max="779" width="12" style="16" customWidth="1"/>
    <col min="780" max="845" width="0" style="16" hidden="1" customWidth="1"/>
    <col min="846" max="1023" width="11.44140625" style="16"/>
    <col min="1024" max="1024" width="9.6640625" style="16" customWidth="1"/>
    <col min="1025" max="1025" width="29.109375" style="16" customWidth="1"/>
    <col min="1026" max="1034" width="0" style="16" hidden="1" customWidth="1"/>
    <col min="1035" max="1035" width="12" style="16" customWidth="1"/>
    <col min="1036" max="1101" width="0" style="16" hidden="1" customWidth="1"/>
    <col min="1102" max="1279" width="11.44140625" style="16"/>
    <col min="1280" max="1280" width="9.6640625" style="16" customWidth="1"/>
    <col min="1281" max="1281" width="29.109375" style="16" customWidth="1"/>
    <col min="1282" max="1290" width="0" style="16" hidden="1" customWidth="1"/>
    <col min="1291" max="1291" width="12" style="16" customWidth="1"/>
    <col min="1292" max="1357" width="0" style="16" hidden="1" customWidth="1"/>
    <col min="1358" max="1535" width="11.44140625" style="16"/>
    <col min="1536" max="1536" width="9.6640625" style="16" customWidth="1"/>
    <col min="1537" max="1537" width="29.109375" style="16" customWidth="1"/>
    <col min="1538" max="1546" width="0" style="16" hidden="1" customWidth="1"/>
    <col min="1547" max="1547" width="12" style="16" customWidth="1"/>
    <col min="1548" max="1613" width="0" style="16" hidden="1" customWidth="1"/>
    <col min="1614" max="1791" width="11.44140625" style="16"/>
    <col min="1792" max="1792" width="9.6640625" style="16" customWidth="1"/>
    <col min="1793" max="1793" width="29.109375" style="16" customWidth="1"/>
    <col min="1794" max="1802" width="0" style="16" hidden="1" customWidth="1"/>
    <col min="1803" max="1803" width="12" style="16" customWidth="1"/>
    <col min="1804" max="1869" width="0" style="16" hidden="1" customWidth="1"/>
    <col min="1870" max="2047" width="11.44140625" style="16"/>
    <col min="2048" max="2048" width="9.6640625" style="16" customWidth="1"/>
    <col min="2049" max="2049" width="29.109375" style="16" customWidth="1"/>
    <col min="2050" max="2058" width="0" style="16" hidden="1" customWidth="1"/>
    <col min="2059" max="2059" width="12" style="16" customWidth="1"/>
    <col min="2060" max="2125" width="0" style="16" hidden="1" customWidth="1"/>
    <col min="2126" max="2303" width="11.44140625" style="16"/>
    <col min="2304" max="2304" width="9.6640625" style="16" customWidth="1"/>
    <col min="2305" max="2305" width="29.109375" style="16" customWidth="1"/>
    <col min="2306" max="2314" width="0" style="16" hidden="1" customWidth="1"/>
    <col min="2315" max="2315" width="12" style="16" customWidth="1"/>
    <col min="2316" max="2381" width="0" style="16" hidden="1" customWidth="1"/>
    <col min="2382" max="2559" width="11.44140625" style="16"/>
    <col min="2560" max="2560" width="9.6640625" style="16" customWidth="1"/>
    <col min="2561" max="2561" width="29.109375" style="16" customWidth="1"/>
    <col min="2562" max="2570" width="0" style="16" hidden="1" customWidth="1"/>
    <col min="2571" max="2571" width="12" style="16" customWidth="1"/>
    <col min="2572" max="2637" width="0" style="16" hidden="1" customWidth="1"/>
    <col min="2638" max="2815" width="11.44140625" style="16"/>
    <col min="2816" max="2816" width="9.6640625" style="16" customWidth="1"/>
    <col min="2817" max="2817" width="29.109375" style="16" customWidth="1"/>
    <col min="2818" max="2826" width="0" style="16" hidden="1" customWidth="1"/>
    <col min="2827" max="2827" width="12" style="16" customWidth="1"/>
    <col min="2828" max="2893" width="0" style="16" hidden="1" customWidth="1"/>
    <col min="2894" max="3071" width="11.44140625" style="16"/>
    <col min="3072" max="3072" width="9.6640625" style="16" customWidth="1"/>
    <col min="3073" max="3073" width="29.109375" style="16" customWidth="1"/>
    <col min="3074" max="3082" width="0" style="16" hidden="1" customWidth="1"/>
    <col min="3083" max="3083" width="12" style="16" customWidth="1"/>
    <col min="3084" max="3149" width="0" style="16" hidden="1" customWidth="1"/>
    <col min="3150" max="3327" width="11.44140625" style="16"/>
    <col min="3328" max="3328" width="9.6640625" style="16" customWidth="1"/>
    <col min="3329" max="3329" width="29.109375" style="16" customWidth="1"/>
    <col min="3330" max="3338" width="0" style="16" hidden="1" customWidth="1"/>
    <col min="3339" max="3339" width="12" style="16" customWidth="1"/>
    <col min="3340" max="3405" width="0" style="16" hidden="1" customWidth="1"/>
    <col min="3406" max="3583" width="11.44140625" style="16"/>
    <col min="3584" max="3584" width="9.6640625" style="16" customWidth="1"/>
    <col min="3585" max="3585" width="29.109375" style="16" customWidth="1"/>
    <col min="3586" max="3594" width="0" style="16" hidden="1" customWidth="1"/>
    <col min="3595" max="3595" width="12" style="16" customWidth="1"/>
    <col min="3596" max="3661" width="0" style="16" hidden="1" customWidth="1"/>
    <col min="3662" max="3839" width="11.44140625" style="16"/>
    <col min="3840" max="3840" width="9.6640625" style="16" customWidth="1"/>
    <col min="3841" max="3841" width="29.109375" style="16" customWidth="1"/>
    <col min="3842" max="3850" width="0" style="16" hidden="1" customWidth="1"/>
    <col min="3851" max="3851" width="12" style="16" customWidth="1"/>
    <col min="3852" max="3917" width="0" style="16" hidden="1" customWidth="1"/>
    <col min="3918" max="4095" width="11.44140625" style="16"/>
    <col min="4096" max="4096" width="9.6640625" style="16" customWidth="1"/>
    <col min="4097" max="4097" width="29.109375" style="16" customWidth="1"/>
    <col min="4098" max="4106" width="0" style="16" hidden="1" customWidth="1"/>
    <col min="4107" max="4107" width="12" style="16" customWidth="1"/>
    <col min="4108" max="4173" width="0" style="16" hidden="1" customWidth="1"/>
    <col min="4174" max="4351" width="11.44140625" style="16"/>
    <col min="4352" max="4352" width="9.6640625" style="16" customWidth="1"/>
    <col min="4353" max="4353" width="29.109375" style="16" customWidth="1"/>
    <col min="4354" max="4362" width="0" style="16" hidden="1" customWidth="1"/>
    <col min="4363" max="4363" width="12" style="16" customWidth="1"/>
    <col min="4364" max="4429" width="0" style="16" hidden="1" customWidth="1"/>
    <col min="4430" max="4607" width="11.44140625" style="16"/>
    <col min="4608" max="4608" width="9.6640625" style="16" customWidth="1"/>
    <col min="4609" max="4609" width="29.109375" style="16" customWidth="1"/>
    <col min="4610" max="4618" width="0" style="16" hidden="1" customWidth="1"/>
    <col min="4619" max="4619" width="12" style="16" customWidth="1"/>
    <col min="4620" max="4685" width="0" style="16" hidden="1" customWidth="1"/>
    <col min="4686" max="4863" width="11.44140625" style="16"/>
    <col min="4864" max="4864" width="9.6640625" style="16" customWidth="1"/>
    <col min="4865" max="4865" width="29.109375" style="16" customWidth="1"/>
    <col min="4866" max="4874" width="0" style="16" hidden="1" customWidth="1"/>
    <col min="4875" max="4875" width="12" style="16" customWidth="1"/>
    <col min="4876" max="4941" width="0" style="16" hidden="1" customWidth="1"/>
    <col min="4942" max="5119" width="11.44140625" style="16"/>
    <col min="5120" max="5120" width="9.6640625" style="16" customWidth="1"/>
    <col min="5121" max="5121" width="29.109375" style="16" customWidth="1"/>
    <col min="5122" max="5130" width="0" style="16" hidden="1" customWidth="1"/>
    <col min="5131" max="5131" width="12" style="16" customWidth="1"/>
    <col min="5132" max="5197" width="0" style="16" hidden="1" customWidth="1"/>
    <col min="5198" max="5375" width="11.44140625" style="16"/>
    <col min="5376" max="5376" width="9.6640625" style="16" customWidth="1"/>
    <col min="5377" max="5377" width="29.109375" style="16" customWidth="1"/>
    <col min="5378" max="5386" width="0" style="16" hidden="1" customWidth="1"/>
    <col min="5387" max="5387" width="12" style="16" customWidth="1"/>
    <col min="5388" max="5453" width="0" style="16" hidden="1" customWidth="1"/>
    <col min="5454" max="5631" width="11.44140625" style="16"/>
    <col min="5632" max="5632" width="9.6640625" style="16" customWidth="1"/>
    <col min="5633" max="5633" width="29.109375" style="16" customWidth="1"/>
    <col min="5634" max="5642" width="0" style="16" hidden="1" customWidth="1"/>
    <col min="5643" max="5643" width="12" style="16" customWidth="1"/>
    <col min="5644" max="5709" width="0" style="16" hidden="1" customWidth="1"/>
    <col min="5710" max="5887" width="11.44140625" style="16"/>
    <col min="5888" max="5888" width="9.6640625" style="16" customWidth="1"/>
    <col min="5889" max="5889" width="29.109375" style="16" customWidth="1"/>
    <col min="5890" max="5898" width="0" style="16" hidden="1" customWidth="1"/>
    <col min="5899" max="5899" width="12" style="16" customWidth="1"/>
    <col min="5900" max="5965" width="0" style="16" hidden="1" customWidth="1"/>
    <col min="5966" max="6143" width="11.44140625" style="16"/>
    <col min="6144" max="6144" width="9.6640625" style="16" customWidth="1"/>
    <col min="6145" max="6145" width="29.109375" style="16" customWidth="1"/>
    <col min="6146" max="6154" width="0" style="16" hidden="1" customWidth="1"/>
    <col min="6155" max="6155" width="12" style="16" customWidth="1"/>
    <col min="6156" max="6221" width="0" style="16" hidden="1" customWidth="1"/>
    <col min="6222" max="6399" width="11.44140625" style="16"/>
    <col min="6400" max="6400" width="9.6640625" style="16" customWidth="1"/>
    <col min="6401" max="6401" width="29.109375" style="16" customWidth="1"/>
    <col min="6402" max="6410" width="0" style="16" hidden="1" customWidth="1"/>
    <col min="6411" max="6411" width="12" style="16" customWidth="1"/>
    <col min="6412" max="6477" width="0" style="16" hidden="1" customWidth="1"/>
    <col min="6478" max="6655" width="11.44140625" style="16"/>
    <col min="6656" max="6656" width="9.6640625" style="16" customWidth="1"/>
    <col min="6657" max="6657" width="29.109375" style="16" customWidth="1"/>
    <col min="6658" max="6666" width="0" style="16" hidden="1" customWidth="1"/>
    <col min="6667" max="6667" width="12" style="16" customWidth="1"/>
    <col min="6668" max="6733" width="0" style="16" hidden="1" customWidth="1"/>
    <col min="6734" max="6911" width="11.44140625" style="16"/>
    <col min="6912" max="6912" width="9.6640625" style="16" customWidth="1"/>
    <col min="6913" max="6913" width="29.109375" style="16" customWidth="1"/>
    <col min="6914" max="6922" width="0" style="16" hidden="1" customWidth="1"/>
    <col min="6923" max="6923" width="12" style="16" customWidth="1"/>
    <col min="6924" max="6989" width="0" style="16" hidden="1" customWidth="1"/>
    <col min="6990" max="7167" width="11.44140625" style="16"/>
    <col min="7168" max="7168" width="9.6640625" style="16" customWidth="1"/>
    <col min="7169" max="7169" width="29.109375" style="16" customWidth="1"/>
    <col min="7170" max="7178" width="0" style="16" hidden="1" customWidth="1"/>
    <col min="7179" max="7179" width="12" style="16" customWidth="1"/>
    <col min="7180" max="7245" width="0" style="16" hidden="1" customWidth="1"/>
    <col min="7246" max="7423" width="11.44140625" style="16"/>
    <col min="7424" max="7424" width="9.6640625" style="16" customWidth="1"/>
    <col min="7425" max="7425" width="29.109375" style="16" customWidth="1"/>
    <col min="7426" max="7434" width="0" style="16" hidden="1" customWidth="1"/>
    <col min="7435" max="7435" width="12" style="16" customWidth="1"/>
    <col min="7436" max="7501" width="0" style="16" hidden="1" customWidth="1"/>
    <col min="7502" max="7679" width="11.44140625" style="16"/>
    <col min="7680" max="7680" width="9.6640625" style="16" customWidth="1"/>
    <col min="7681" max="7681" width="29.109375" style="16" customWidth="1"/>
    <col min="7682" max="7690" width="0" style="16" hidden="1" customWidth="1"/>
    <col min="7691" max="7691" width="12" style="16" customWidth="1"/>
    <col min="7692" max="7757" width="0" style="16" hidden="1" customWidth="1"/>
    <col min="7758" max="7935" width="11.44140625" style="16"/>
    <col min="7936" max="7936" width="9.6640625" style="16" customWidth="1"/>
    <col min="7937" max="7937" width="29.109375" style="16" customWidth="1"/>
    <col min="7938" max="7946" width="0" style="16" hidden="1" customWidth="1"/>
    <col min="7947" max="7947" width="12" style="16" customWidth="1"/>
    <col min="7948" max="8013" width="0" style="16" hidden="1" customWidth="1"/>
    <col min="8014" max="8191" width="11.44140625" style="16"/>
    <col min="8192" max="8192" width="9.6640625" style="16" customWidth="1"/>
    <col min="8193" max="8193" width="29.109375" style="16" customWidth="1"/>
    <col min="8194" max="8202" width="0" style="16" hidden="1" customWidth="1"/>
    <col min="8203" max="8203" width="12" style="16" customWidth="1"/>
    <col min="8204" max="8269" width="0" style="16" hidden="1" customWidth="1"/>
    <col min="8270" max="8447" width="11.44140625" style="16"/>
    <col min="8448" max="8448" width="9.6640625" style="16" customWidth="1"/>
    <col min="8449" max="8449" width="29.109375" style="16" customWidth="1"/>
    <col min="8450" max="8458" width="0" style="16" hidden="1" customWidth="1"/>
    <col min="8459" max="8459" width="12" style="16" customWidth="1"/>
    <col min="8460" max="8525" width="0" style="16" hidden="1" customWidth="1"/>
    <col min="8526" max="8703" width="11.44140625" style="16"/>
    <col min="8704" max="8704" width="9.6640625" style="16" customWidth="1"/>
    <col min="8705" max="8705" width="29.109375" style="16" customWidth="1"/>
    <col min="8706" max="8714" width="0" style="16" hidden="1" customWidth="1"/>
    <col min="8715" max="8715" width="12" style="16" customWidth="1"/>
    <col min="8716" max="8781" width="0" style="16" hidden="1" customWidth="1"/>
    <col min="8782" max="8959" width="11.44140625" style="16"/>
    <col min="8960" max="8960" width="9.6640625" style="16" customWidth="1"/>
    <col min="8961" max="8961" width="29.109375" style="16" customWidth="1"/>
    <col min="8962" max="8970" width="0" style="16" hidden="1" customWidth="1"/>
    <col min="8971" max="8971" width="12" style="16" customWidth="1"/>
    <col min="8972" max="9037" width="0" style="16" hidden="1" customWidth="1"/>
    <col min="9038" max="9215" width="11.44140625" style="16"/>
    <col min="9216" max="9216" width="9.6640625" style="16" customWidth="1"/>
    <col min="9217" max="9217" width="29.109375" style="16" customWidth="1"/>
    <col min="9218" max="9226" width="0" style="16" hidden="1" customWidth="1"/>
    <col min="9227" max="9227" width="12" style="16" customWidth="1"/>
    <col min="9228" max="9293" width="0" style="16" hidden="1" customWidth="1"/>
    <col min="9294" max="9471" width="11.44140625" style="16"/>
    <col min="9472" max="9472" width="9.6640625" style="16" customWidth="1"/>
    <col min="9473" max="9473" width="29.109375" style="16" customWidth="1"/>
    <col min="9474" max="9482" width="0" style="16" hidden="1" customWidth="1"/>
    <col min="9483" max="9483" width="12" style="16" customWidth="1"/>
    <col min="9484" max="9549" width="0" style="16" hidden="1" customWidth="1"/>
    <col min="9550" max="9727" width="11.44140625" style="16"/>
    <col min="9728" max="9728" width="9.6640625" style="16" customWidth="1"/>
    <col min="9729" max="9729" width="29.109375" style="16" customWidth="1"/>
    <col min="9730" max="9738" width="0" style="16" hidden="1" customWidth="1"/>
    <col min="9739" max="9739" width="12" style="16" customWidth="1"/>
    <col min="9740" max="9805" width="0" style="16" hidden="1" customWidth="1"/>
    <col min="9806" max="9983" width="11.44140625" style="16"/>
    <col min="9984" max="9984" width="9.6640625" style="16" customWidth="1"/>
    <col min="9985" max="9985" width="29.109375" style="16" customWidth="1"/>
    <col min="9986" max="9994" width="0" style="16" hidden="1" customWidth="1"/>
    <col min="9995" max="9995" width="12" style="16" customWidth="1"/>
    <col min="9996" max="10061" width="0" style="16" hidden="1" customWidth="1"/>
    <col min="10062" max="10239" width="11.44140625" style="16"/>
    <col min="10240" max="10240" width="9.6640625" style="16" customWidth="1"/>
    <col min="10241" max="10241" width="29.109375" style="16" customWidth="1"/>
    <col min="10242" max="10250" width="0" style="16" hidden="1" customWidth="1"/>
    <col min="10251" max="10251" width="12" style="16" customWidth="1"/>
    <col min="10252" max="10317" width="0" style="16" hidden="1" customWidth="1"/>
    <col min="10318" max="10495" width="11.44140625" style="16"/>
    <col min="10496" max="10496" width="9.6640625" style="16" customWidth="1"/>
    <col min="10497" max="10497" width="29.109375" style="16" customWidth="1"/>
    <col min="10498" max="10506" width="0" style="16" hidden="1" customWidth="1"/>
    <col min="10507" max="10507" width="12" style="16" customWidth="1"/>
    <col min="10508" max="10573" width="0" style="16" hidden="1" customWidth="1"/>
    <col min="10574" max="10751" width="11.44140625" style="16"/>
    <col min="10752" max="10752" width="9.6640625" style="16" customWidth="1"/>
    <col min="10753" max="10753" width="29.109375" style="16" customWidth="1"/>
    <col min="10754" max="10762" width="0" style="16" hidden="1" customWidth="1"/>
    <col min="10763" max="10763" width="12" style="16" customWidth="1"/>
    <col min="10764" max="10829" width="0" style="16" hidden="1" customWidth="1"/>
    <col min="10830" max="11007" width="11.44140625" style="16"/>
    <col min="11008" max="11008" width="9.6640625" style="16" customWidth="1"/>
    <col min="11009" max="11009" width="29.109375" style="16" customWidth="1"/>
    <col min="11010" max="11018" width="0" style="16" hidden="1" customWidth="1"/>
    <col min="11019" max="11019" width="12" style="16" customWidth="1"/>
    <col min="11020" max="11085" width="0" style="16" hidden="1" customWidth="1"/>
    <col min="11086" max="11263" width="11.44140625" style="16"/>
    <col min="11264" max="11264" width="9.6640625" style="16" customWidth="1"/>
    <col min="11265" max="11265" width="29.109375" style="16" customWidth="1"/>
    <col min="11266" max="11274" width="0" style="16" hidden="1" customWidth="1"/>
    <col min="11275" max="11275" width="12" style="16" customWidth="1"/>
    <col min="11276" max="11341" width="0" style="16" hidden="1" customWidth="1"/>
    <col min="11342" max="11519" width="11.44140625" style="16"/>
    <col min="11520" max="11520" width="9.6640625" style="16" customWidth="1"/>
    <col min="11521" max="11521" width="29.109375" style="16" customWidth="1"/>
    <col min="11522" max="11530" width="0" style="16" hidden="1" customWidth="1"/>
    <col min="11531" max="11531" width="12" style="16" customWidth="1"/>
    <col min="11532" max="11597" width="0" style="16" hidden="1" customWidth="1"/>
    <col min="11598" max="11775" width="11.44140625" style="16"/>
    <col min="11776" max="11776" width="9.6640625" style="16" customWidth="1"/>
    <col min="11777" max="11777" width="29.109375" style="16" customWidth="1"/>
    <col min="11778" max="11786" width="0" style="16" hidden="1" customWidth="1"/>
    <col min="11787" max="11787" width="12" style="16" customWidth="1"/>
    <col min="11788" max="11853" width="0" style="16" hidden="1" customWidth="1"/>
    <col min="11854" max="12031" width="11.44140625" style="16"/>
    <col min="12032" max="12032" width="9.6640625" style="16" customWidth="1"/>
    <col min="12033" max="12033" width="29.109375" style="16" customWidth="1"/>
    <col min="12034" max="12042" width="0" style="16" hidden="1" customWidth="1"/>
    <col min="12043" max="12043" width="12" style="16" customWidth="1"/>
    <col min="12044" max="12109" width="0" style="16" hidden="1" customWidth="1"/>
    <col min="12110" max="12287" width="11.44140625" style="16"/>
    <col min="12288" max="12288" width="9.6640625" style="16" customWidth="1"/>
    <col min="12289" max="12289" width="29.109375" style="16" customWidth="1"/>
    <col min="12290" max="12298" width="0" style="16" hidden="1" customWidth="1"/>
    <col min="12299" max="12299" width="12" style="16" customWidth="1"/>
    <col min="12300" max="12365" width="0" style="16" hidden="1" customWidth="1"/>
    <col min="12366" max="12543" width="11.44140625" style="16"/>
    <col min="12544" max="12544" width="9.6640625" style="16" customWidth="1"/>
    <col min="12545" max="12545" width="29.109375" style="16" customWidth="1"/>
    <col min="12546" max="12554" width="0" style="16" hidden="1" customWidth="1"/>
    <col min="12555" max="12555" width="12" style="16" customWidth="1"/>
    <col min="12556" max="12621" width="0" style="16" hidden="1" customWidth="1"/>
    <col min="12622" max="12799" width="11.44140625" style="16"/>
    <col min="12800" max="12800" width="9.6640625" style="16" customWidth="1"/>
    <col min="12801" max="12801" width="29.109375" style="16" customWidth="1"/>
    <col min="12802" max="12810" width="0" style="16" hidden="1" customWidth="1"/>
    <col min="12811" max="12811" width="12" style="16" customWidth="1"/>
    <col min="12812" max="12877" width="0" style="16" hidden="1" customWidth="1"/>
    <col min="12878" max="13055" width="11.44140625" style="16"/>
    <col min="13056" max="13056" width="9.6640625" style="16" customWidth="1"/>
    <col min="13057" max="13057" width="29.109375" style="16" customWidth="1"/>
    <col min="13058" max="13066" width="0" style="16" hidden="1" customWidth="1"/>
    <col min="13067" max="13067" width="12" style="16" customWidth="1"/>
    <col min="13068" max="13133" width="0" style="16" hidden="1" customWidth="1"/>
    <col min="13134" max="13311" width="11.44140625" style="16"/>
    <col min="13312" max="13312" width="9.6640625" style="16" customWidth="1"/>
    <col min="13313" max="13313" width="29.109375" style="16" customWidth="1"/>
    <col min="13314" max="13322" width="0" style="16" hidden="1" customWidth="1"/>
    <col min="13323" max="13323" width="12" style="16" customWidth="1"/>
    <col min="13324" max="13389" width="0" style="16" hidden="1" customWidth="1"/>
    <col min="13390" max="13567" width="11.44140625" style="16"/>
    <col min="13568" max="13568" width="9.6640625" style="16" customWidth="1"/>
    <col min="13569" max="13569" width="29.109375" style="16" customWidth="1"/>
    <col min="13570" max="13578" width="0" style="16" hidden="1" customWidth="1"/>
    <col min="13579" max="13579" width="12" style="16" customWidth="1"/>
    <col min="13580" max="13645" width="0" style="16" hidden="1" customWidth="1"/>
    <col min="13646" max="13823" width="11.44140625" style="16"/>
    <col min="13824" max="13824" width="9.6640625" style="16" customWidth="1"/>
    <col min="13825" max="13825" width="29.109375" style="16" customWidth="1"/>
    <col min="13826" max="13834" width="0" style="16" hidden="1" customWidth="1"/>
    <col min="13835" max="13835" width="12" style="16" customWidth="1"/>
    <col min="13836" max="13901" width="0" style="16" hidden="1" customWidth="1"/>
    <col min="13902" max="14079" width="11.44140625" style="16"/>
    <col min="14080" max="14080" width="9.6640625" style="16" customWidth="1"/>
    <col min="14081" max="14081" width="29.109375" style="16" customWidth="1"/>
    <col min="14082" max="14090" width="0" style="16" hidden="1" customWidth="1"/>
    <col min="14091" max="14091" width="12" style="16" customWidth="1"/>
    <col min="14092" max="14157" width="0" style="16" hidden="1" customWidth="1"/>
    <col min="14158" max="14335" width="11.44140625" style="16"/>
    <col min="14336" max="14336" width="9.6640625" style="16" customWidth="1"/>
    <col min="14337" max="14337" width="29.109375" style="16" customWidth="1"/>
    <col min="14338" max="14346" width="0" style="16" hidden="1" customWidth="1"/>
    <col min="14347" max="14347" width="12" style="16" customWidth="1"/>
    <col min="14348" max="14413" width="0" style="16" hidden="1" customWidth="1"/>
    <col min="14414" max="14591" width="11.44140625" style="16"/>
    <col min="14592" max="14592" width="9.6640625" style="16" customWidth="1"/>
    <col min="14593" max="14593" width="29.109375" style="16" customWidth="1"/>
    <col min="14594" max="14602" width="0" style="16" hidden="1" customWidth="1"/>
    <col min="14603" max="14603" width="12" style="16" customWidth="1"/>
    <col min="14604" max="14669" width="0" style="16" hidden="1" customWidth="1"/>
    <col min="14670" max="14847" width="11.44140625" style="16"/>
    <col min="14848" max="14848" width="9.6640625" style="16" customWidth="1"/>
    <col min="14849" max="14849" width="29.109375" style="16" customWidth="1"/>
    <col min="14850" max="14858" width="0" style="16" hidden="1" customWidth="1"/>
    <col min="14859" max="14859" width="12" style="16" customWidth="1"/>
    <col min="14860" max="14925" width="0" style="16" hidden="1" customWidth="1"/>
    <col min="14926" max="15103" width="11.44140625" style="16"/>
    <col min="15104" max="15104" width="9.6640625" style="16" customWidth="1"/>
    <col min="15105" max="15105" width="29.109375" style="16" customWidth="1"/>
    <col min="15106" max="15114" width="0" style="16" hidden="1" customWidth="1"/>
    <col min="15115" max="15115" width="12" style="16" customWidth="1"/>
    <col min="15116" max="15181" width="0" style="16" hidden="1" customWidth="1"/>
    <col min="15182" max="15359" width="11.44140625" style="16"/>
    <col min="15360" max="15360" width="9.6640625" style="16" customWidth="1"/>
    <col min="15361" max="15361" width="29.109375" style="16" customWidth="1"/>
    <col min="15362" max="15370" width="0" style="16" hidden="1" customWidth="1"/>
    <col min="15371" max="15371" width="12" style="16" customWidth="1"/>
    <col min="15372" max="15437" width="0" style="16" hidden="1" customWidth="1"/>
    <col min="15438" max="15615" width="11.44140625" style="16"/>
    <col min="15616" max="15616" width="9.6640625" style="16" customWidth="1"/>
    <col min="15617" max="15617" width="29.109375" style="16" customWidth="1"/>
    <col min="15618" max="15626" width="0" style="16" hidden="1" customWidth="1"/>
    <col min="15627" max="15627" width="12" style="16" customWidth="1"/>
    <col min="15628" max="15693" width="0" style="16" hidden="1" customWidth="1"/>
    <col min="15694" max="15871" width="11.44140625" style="16"/>
    <col min="15872" max="15872" width="9.6640625" style="16" customWidth="1"/>
    <col min="15873" max="15873" width="29.109375" style="16" customWidth="1"/>
    <col min="15874" max="15882" width="0" style="16" hidden="1" customWidth="1"/>
    <col min="15883" max="15883" width="12" style="16" customWidth="1"/>
    <col min="15884" max="15949" width="0" style="16" hidden="1" customWidth="1"/>
    <col min="15950" max="16127" width="11.44140625" style="16"/>
    <col min="16128" max="16128" width="9.6640625" style="16" customWidth="1"/>
    <col min="16129" max="16129" width="29.109375" style="16" customWidth="1"/>
    <col min="16130" max="16138" width="0" style="16" hidden="1" customWidth="1"/>
    <col min="16139" max="16139" width="12" style="16" customWidth="1"/>
    <col min="16140" max="16205" width="0" style="16" hidden="1" customWidth="1"/>
    <col min="16206" max="16384" width="11.44140625" style="16"/>
  </cols>
  <sheetData>
    <row r="1" spans="1:99" ht="12.75" customHeight="1" x14ac:dyDescent="0.3">
      <c r="A1" s="15" t="str">
        <f>HIPOTECARIO!$A$1</f>
        <v>COOPERATIVA INTEGRAL DE AHORRO Y CREDITO MAYA INVERSIONES FUTURAS R.L.</v>
      </c>
      <c r="L1" s="17"/>
      <c r="P1" s="17"/>
      <c r="Q1" s="17"/>
      <c r="R1" s="17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</row>
    <row r="2" spans="1:99" hidden="1" x14ac:dyDescent="0.3">
      <c r="A2" s="15"/>
      <c r="L2" s="17"/>
      <c r="P2" s="17"/>
      <c r="Q2" s="17"/>
      <c r="R2" s="17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</row>
    <row r="3" spans="1:99" hidden="1" x14ac:dyDescent="0.3">
      <c r="A3" s="15"/>
      <c r="L3" s="17"/>
      <c r="P3" s="17"/>
      <c r="Q3" s="17"/>
      <c r="R3" s="17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</row>
    <row r="4" spans="1:99" ht="13.8" x14ac:dyDescent="0.3">
      <c r="A4" s="15"/>
      <c r="B4" s="21" t="s">
        <v>18</v>
      </c>
      <c r="L4" s="17"/>
      <c r="P4" s="17"/>
      <c r="Q4" s="17"/>
      <c r="R4" s="17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</row>
    <row r="5" spans="1:99" ht="12.75" customHeight="1" x14ac:dyDescent="0.3">
      <c r="L5" s="22"/>
      <c r="M5" s="178" t="s">
        <v>221</v>
      </c>
      <c r="N5" s="179"/>
      <c r="O5" s="179"/>
      <c r="P5" s="179"/>
      <c r="Q5" s="179"/>
      <c r="R5" s="180"/>
      <c r="S5" s="214" t="s">
        <v>222</v>
      </c>
      <c r="T5" s="214"/>
      <c r="U5" s="214"/>
      <c r="V5" s="214"/>
      <c r="W5" s="214"/>
      <c r="X5" s="214"/>
      <c r="Y5" s="219" t="s">
        <v>225</v>
      </c>
      <c r="Z5" s="219"/>
      <c r="AA5" s="219"/>
      <c r="AB5" s="219"/>
      <c r="AC5" s="219"/>
      <c r="AD5" s="219"/>
      <c r="AE5" s="220" t="s">
        <v>226</v>
      </c>
      <c r="AF5" s="220"/>
      <c r="AG5" s="220"/>
      <c r="AH5" s="220"/>
      <c r="AI5" s="220"/>
      <c r="AJ5" s="220"/>
      <c r="AK5" s="221" t="s">
        <v>228</v>
      </c>
      <c r="AL5" s="221"/>
      <c r="AM5" s="221"/>
      <c r="AN5" s="221"/>
      <c r="AO5" s="221"/>
      <c r="AP5" s="221"/>
      <c r="AQ5" s="218" t="s">
        <v>26</v>
      </c>
      <c r="AR5" s="218"/>
      <c r="AS5" s="218"/>
      <c r="AT5" s="218"/>
      <c r="AU5" s="218"/>
      <c r="AV5" s="218"/>
      <c r="AW5" s="212" t="s">
        <v>230</v>
      </c>
      <c r="AX5" s="212"/>
      <c r="AY5" s="212"/>
      <c r="AZ5" s="212"/>
      <c r="BA5" s="212"/>
      <c r="BB5" s="212"/>
      <c r="BC5" s="213" t="s">
        <v>28</v>
      </c>
      <c r="BD5" s="213"/>
      <c r="BE5" s="213"/>
      <c r="BF5" s="213"/>
      <c r="BG5" s="213"/>
      <c r="BH5" s="213"/>
      <c r="BI5" s="214" t="s">
        <v>29</v>
      </c>
      <c r="BJ5" s="214"/>
      <c r="BK5" s="214"/>
      <c r="BL5" s="214"/>
      <c r="BM5" s="214"/>
      <c r="BN5" s="214"/>
      <c r="BO5" s="215" t="s">
        <v>30</v>
      </c>
      <c r="BP5" s="215"/>
      <c r="BQ5" s="215"/>
      <c r="BR5" s="215"/>
      <c r="BS5" s="215"/>
      <c r="BT5" s="215"/>
      <c r="BU5" s="216" t="s">
        <v>231</v>
      </c>
      <c r="BV5" s="216"/>
      <c r="BW5" s="216"/>
      <c r="BX5" s="216"/>
      <c r="BY5" s="216"/>
      <c r="BZ5" s="216"/>
      <c r="CA5" s="217" t="s">
        <v>32</v>
      </c>
      <c r="CB5" s="217"/>
      <c r="CC5" s="217"/>
      <c r="CD5" s="217"/>
      <c r="CE5" s="217"/>
      <c r="CF5" s="217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</row>
    <row r="6" spans="1:99" s="23" customFormat="1" ht="64.5" customHeight="1" x14ac:dyDescent="0.3">
      <c r="A6" s="23" t="s">
        <v>2</v>
      </c>
      <c r="B6" s="23" t="str">
        <f>HIPOTECARIO!$B$6</f>
        <v>ASOCIADO</v>
      </c>
      <c r="C6" s="23" t="s">
        <v>3</v>
      </c>
      <c r="D6" s="23" t="s">
        <v>60</v>
      </c>
      <c r="E6" s="23" t="s">
        <v>4</v>
      </c>
      <c r="F6" s="23" t="s">
        <v>155</v>
      </c>
      <c r="G6" s="25" t="s">
        <v>43</v>
      </c>
      <c r="H6" s="25" t="s">
        <v>33</v>
      </c>
      <c r="I6" s="26" t="s">
        <v>11</v>
      </c>
      <c r="J6" s="26" t="s">
        <v>12</v>
      </c>
      <c r="K6" s="27" t="s">
        <v>5</v>
      </c>
      <c r="L6" s="24" t="s">
        <v>19</v>
      </c>
      <c r="M6" s="28" t="s">
        <v>1</v>
      </c>
      <c r="N6" s="29" t="s">
        <v>6</v>
      </c>
      <c r="O6" s="30" t="s">
        <v>7</v>
      </c>
      <c r="P6" s="31" t="s">
        <v>8</v>
      </c>
      <c r="Q6" s="31" t="s">
        <v>9</v>
      </c>
      <c r="R6" s="31" t="s">
        <v>37</v>
      </c>
      <c r="S6" s="32" t="s">
        <v>1</v>
      </c>
      <c r="T6" s="33" t="s">
        <v>223</v>
      </c>
      <c r="U6" s="34" t="s">
        <v>7</v>
      </c>
      <c r="V6" s="35" t="s">
        <v>8</v>
      </c>
      <c r="W6" s="35" t="s">
        <v>9</v>
      </c>
      <c r="X6" s="35" t="s">
        <v>61</v>
      </c>
      <c r="Y6" s="36" t="s">
        <v>1</v>
      </c>
      <c r="Z6" s="37" t="s">
        <v>223</v>
      </c>
      <c r="AA6" s="38" t="s">
        <v>7</v>
      </c>
      <c r="AB6" s="39" t="s">
        <v>224</v>
      </c>
      <c r="AC6" s="125" t="s">
        <v>9</v>
      </c>
      <c r="AD6" s="39" t="s">
        <v>62</v>
      </c>
      <c r="AE6" s="40" t="s">
        <v>1</v>
      </c>
      <c r="AF6" s="41" t="s">
        <v>223</v>
      </c>
      <c r="AG6" s="42" t="s">
        <v>227</v>
      </c>
      <c r="AH6" s="43" t="s">
        <v>8</v>
      </c>
      <c r="AI6" s="43" t="s">
        <v>9</v>
      </c>
      <c r="AJ6" s="43" t="s">
        <v>63</v>
      </c>
      <c r="AK6" s="44" t="s">
        <v>229</v>
      </c>
      <c r="AL6" s="45" t="s">
        <v>223</v>
      </c>
      <c r="AM6" s="46" t="s">
        <v>7</v>
      </c>
      <c r="AN6" s="47" t="s">
        <v>8</v>
      </c>
      <c r="AO6" s="47" t="s">
        <v>9</v>
      </c>
      <c r="AP6" s="47" t="s">
        <v>64</v>
      </c>
      <c r="AQ6" s="48" t="s">
        <v>229</v>
      </c>
      <c r="AR6" s="49" t="s">
        <v>223</v>
      </c>
      <c r="AS6" s="50" t="s">
        <v>7</v>
      </c>
      <c r="AT6" s="51" t="s">
        <v>8</v>
      </c>
      <c r="AU6" s="51" t="s">
        <v>9</v>
      </c>
      <c r="AV6" s="51" t="s">
        <v>65</v>
      </c>
      <c r="AW6" s="52" t="s">
        <v>1</v>
      </c>
      <c r="AX6" s="53" t="s">
        <v>223</v>
      </c>
      <c r="AY6" s="54" t="s">
        <v>7</v>
      </c>
      <c r="AZ6" s="55" t="s">
        <v>8</v>
      </c>
      <c r="BA6" s="55" t="s">
        <v>9</v>
      </c>
      <c r="BB6" s="55" t="s">
        <v>66</v>
      </c>
      <c r="BC6" s="56" t="s">
        <v>229</v>
      </c>
      <c r="BD6" s="57" t="s">
        <v>223</v>
      </c>
      <c r="BE6" s="58" t="s">
        <v>7</v>
      </c>
      <c r="BF6" s="59" t="s">
        <v>8</v>
      </c>
      <c r="BG6" s="59" t="s">
        <v>9</v>
      </c>
      <c r="BH6" s="59" t="s">
        <v>67</v>
      </c>
      <c r="BI6" s="32" t="s">
        <v>1</v>
      </c>
      <c r="BJ6" s="33" t="s">
        <v>223</v>
      </c>
      <c r="BK6" s="34" t="s">
        <v>7</v>
      </c>
      <c r="BL6" s="35" t="s">
        <v>8</v>
      </c>
      <c r="BM6" s="35" t="s">
        <v>9</v>
      </c>
      <c r="BN6" s="35" t="s">
        <v>68</v>
      </c>
      <c r="BO6" s="60" t="s">
        <v>229</v>
      </c>
      <c r="BP6" s="61" t="s">
        <v>223</v>
      </c>
      <c r="BQ6" s="62" t="s">
        <v>7</v>
      </c>
      <c r="BR6" s="63" t="s">
        <v>224</v>
      </c>
      <c r="BS6" s="63" t="s">
        <v>9</v>
      </c>
      <c r="BT6" s="63" t="s">
        <v>69</v>
      </c>
      <c r="BU6" s="64" t="s">
        <v>229</v>
      </c>
      <c r="BV6" s="65" t="s">
        <v>223</v>
      </c>
      <c r="BW6" s="66" t="s">
        <v>7</v>
      </c>
      <c r="BX6" s="67" t="s">
        <v>8</v>
      </c>
      <c r="BY6" s="67" t="s">
        <v>9</v>
      </c>
      <c r="BZ6" s="67" t="s">
        <v>70</v>
      </c>
      <c r="CA6" s="68" t="s">
        <v>229</v>
      </c>
      <c r="CB6" s="69" t="s">
        <v>223</v>
      </c>
      <c r="CC6" s="70" t="s">
        <v>7</v>
      </c>
      <c r="CD6" s="71" t="s">
        <v>8</v>
      </c>
      <c r="CE6" s="71" t="s">
        <v>9</v>
      </c>
      <c r="CF6" s="71" t="s">
        <v>232</v>
      </c>
    </row>
    <row r="7" spans="1:99" x14ac:dyDescent="0.3">
      <c r="A7" s="1" t="s">
        <v>193</v>
      </c>
      <c r="B7" s="2" t="s">
        <v>79</v>
      </c>
      <c r="C7" s="3" t="s">
        <v>82</v>
      </c>
      <c r="D7" s="3" t="s">
        <v>80</v>
      </c>
      <c r="E7" s="3" t="s">
        <v>50</v>
      </c>
      <c r="F7" s="3"/>
      <c r="G7" s="5" t="s">
        <v>84</v>
      </c>
      <c r="H7" s="5" t="s">
        <v>74</v>
      </c>
      <c r="I7" s="6">
        <v>46069</v>
      </c>
      <c r="J7" s="6">
        <v>46799</v>
      </c>
      <c r="K7" s="7">
        <v>11363.64</v>
      </c>
      <c r="L7" s="8"/>
      <c r="M7" s="9"/>
      <c r="N7" s="1"/>
      <c r="O7" s="10"/>
      <c r="P7" s="4"/>
      <c r="Q7" s="4"/>
      <c r="R7" s="4">
        <f>P7-Q7</f>
        <v>0</v>
      </c>
      <c r="S7" s="9"/>
      <c r="T7" s="1"/>
      <c r="U7" s="5"/>
      <c r="V7" s="4">
        <v>11363.64</v>
      </c>
      <c r="W7" s="4"/>
      <c r="X7" s="4">
        <f>R7+V7-W7</f>
        <v>11363.64</v>
      </c>
      <c r="Y7" s="9">
        <v>46094</v>
      </c>
      <c r="Z7" s="1">
        <v>2615</v>
      </c>
      <c r="AA7" s="5" t="s">
        <v>97</v>
      </c>
      <c r="AB7" s="4"/>
      <c r="AC7" s="126">
        <v>490.78</v>
      </c>
      <c r="AD7" s="4">
        <f>X7+AB7-AC7</f>
        <v>10872.859999999999</v>
      </c>
      <c r="AE7" s="9">
        <v>46127</v>
      </c>
      <c r="AF7" s="1">
        <v>2800</v>
      </c>
      <c r="AG7" s="5" t="s">
        <v>199</v>
      </c>
      <c r="AH7" s="4"/>
      <c r="AI7" s="4">
        <v>478.37</v>
      </c>
      <c r="AJ7" s="4">
        <f>AD7+AH7-AI7</f>
        <v>10394.489999999998</v>
      </c>
      <c r="AK7" s="9">
        <v>46160</v>
      </c>
      <c r="AL7" s="1">
        <v>2986</v>
      </c>
      <c r="AM7" s="5" t="s">
        <v>275</v>
      </c>
      <c r="AN7" s="4"/>
      <c r="AO7" s="4">
        <v>473.96</v>
      </c>
      <c r="AP7" s="4">
        <f>AJ7+AN7-AO7</f>
        <v>9920.5299999999988</v>
      </c>
      <c r="AQ7" s="9">
        <v>46191</v>
      </c>
      <c r="AR7" s="1">
        <v>3174</v>
      </c>
      <c r="AS7" s="5" t="s">
        <v>289</v>
      </c>
      <c r="AT7" s="4"/>
      <c r="AU7" s="4">
        <v>497.78</v>
      </c>
      <c r="AV7" s="4">
        <f>AP7+AT7-AU7</f>
        <v>9422.7499999999982</v>
      </c>
      <c r="AW7" s="6">
        <v>46219</v>
      </c>
      <c r="AX7" s="1">
        <v>3326</v>
      </c>
      <c r="AY7" s="5" t="s">
        <v>369</v>
      </c>
      <c r="AZ7" s="4"/>
      <c r="BA7" s="4">
        <v>514.13</v>
      </c>
      <c r="BB7" s="4">
        <f>AV7+AZ7-BA7</f>
        <v>8908.619999999999</v>
      </c>
      <c r="BC7" s="9"/>
      <c r="BD7" s="1"/>
      <c r="BE7" s="10"/>
      <c r="BF7" s="4"/>
      <c r="BG7" s="8"/>
      <c r="BH7" s="4">
        <f>BB7+BF7-BG7</f>
        <v>8908.619999999999</v>
      </c>
      <c r="BI7" s="9"/>
      <c r="BJ7" s="1"/>
      <c r="BK7" s="10"/>
      <c r="BL7" s="4"/>
      <c r="BM7" s="4"/>
      <c r="BN7" s="4">
        <f>BH7+BL7-BM7</f>
        <v>8908.619999999999</v>
      </c>
      <c r="BO7" s="9"/>
      <c r="BP7" s="1"/>
      <c r="BQ7" s="10"/>
      <c r="BR7" s="4"/>
      <c r="BS7" s="4"/>
      <c r="BT7" s="4">
        <f>BN7+BR7-BS7</f>
        <v>8908.619999999999</v>
      </c>
      <c r="BU7" s="9"/>
      <c r="BV7" s="1"/>
      <c r="BW7" s="10"/>
      <c r="BX7" s="4"/>
      <c r="BY7" s="4"/>
      <c r="BZ7" s="4">
        <f>BT7+BX7-BY7</f>
        <v>8908.619999999999</v>
      </c>
      <c r="CA7" s="9"/>
      <c r="CB7" s="3"/>
      <c r="CC7" s="1"/>
      <c r="CD7" s="4"/>
      <c r="CE7" s="4"/>
      <c r="CF7" s="4">
        <f>BZ7+CD7-CE7</f>
        <v>8908.619999999999</v>
      </c>
      <c r="CG7" s="4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</row>
    <row r="8" spans="1:99" x14ac:dyDescent="0.3">
      <c r="A8" s="1" t="s">
        <v>184</v>
      </c>
      <c r="B8" s="2" t="s">
        <v>92</v>
      </c>
      <c r="C8" s="3" t="s">
        <v>82</v>
      </c>
      <c r="D8" s="3" t="s">
        <v>94</v>
      </c>
      <c r="E8" s="3" t="s">
        <v>50</v>
      </c>
      <c r="F8" s="3"/>
      <c r="G8" s="5" t="s">
        <v>91</v>
      </c>
      <c r="H8" s="5" t="s">
        <v>112</v>
      </c>
      <c r="I8" s="6">
        <v>46071</v>
      </c>
      <c r="J8" s="6">
        <v>46436</v>
      </c>
      <c r="K8" s="7">
        <v>30000</v>
      </c>
      <c r="L8" s="8"/>
      <c r="M8" s="11"/>
      <c r="N8" s="1"/>
      <c r="O8" s="10"/>
      <c r="P8" s="4"/>
      <c r="Q8" s="4"/>
      <c r="R8" s="4">
        <f t="shared" ref="R8:R15" si="0">P8-Q8</f>
        <v>0</v>
      </c>
      <c r="S8" s="11"/>
      <c r="T8" s="1"/>
      <c r="U8" s="10"/>
      <c r="V8" s="4">
        <v>30000</v>
      </c>
      <c r="W8" s="4"/>
      <c r="X8" s="4">
        <f t="shared" ref="X8" si="1">R8+V8-W8</f>
        <v>30000</v>
      </c>
      <c r="Y8" s="9" t="s">
        <v>266</v>
      </c>
      <c r="Z8" s="1" t="s">
        <v>267</v>
      </c>
      <c r="AA8" s="5" t="s">
        <v>255</v>
      </c>
      <c r="AB8" s="4"/>
      <c r="AC8" s="126">
        <f>2843.56+2600.02</f>
        <v>5443.58</v>
      </c>
      <c r="AD8" s="4">
        <f>X8+AB8-AC8</f>
        <v>24556.42</v>
      </c>
      <c r="AE8" s="11">
        <v>46142</v>
      </c>
      <c r="AF8" s="1">
        <v>2863</v>
      </c>
      <c r="AG8" s="5" t="s">
        <v>275</v>
      </c>
      <c r="AH8" s="4"/>
      <c r="AI8" s="4">
        <v>2615.6</v>
      </c>
      <c r="AJ8" s="4">
        <f t="shared" ref="AJ8:AJ22" si="2">AD8+AH8-AI8</f>
        <v>21940.82</v>
      </c>
      <c r="AK8" s="11">
        <v>46172</v>
      </c>
      <c r="AL8" s="1">
        <v>3045</v>
      </c>
      <c r="AM8" s="5" t="s">
        <v>289</v>
      </c>
      <c r="AN8" s="4"/>
      <c r="AO8" s="4">
        <v>2667.19</v>
      </c>
      <c r="AP8" s="4">
        <f t="shared" ref="AP8:AP26" si="3">AJ8+AN8-AO8</f>
        <v>19273.63</v>
      </c>
      <c r="AQ8" s="11">
        <v>46199</v>
      </c>
      <c r="AR8" s="1">
        <v>3209</v>
      </c>
      <c r="AS8" s="5" t="s">
        <v>369</v>
      </c>
      <c r="AT8" s="4"/>
      <c r="AU8" s="4">
        <v>2757.83</v>
      </c>
      <c r="AV8" s="4">
        <f t="shared" ref="AV8:AV22" si="4">AP8+AT8-AU8</f>
        <v>16515.800000000003</v>
      </c>
      <c r="AW8" s="117">
        <v>46233</v>
      </c>
      <c r="AX8" s="1">
        <v>3417</v>
      </c>
      <c r="AY8" s="5" t="s">
        <v>403</v>
      </c>
      <c r="AZ8" s="4"/>
      <c r="BA8" s="4">
        <v>2730.77</v>
      </c>
      <c r="BB8" s="4">
        <f t="shared" ref="BB8:BB21" si="5">AV8+AZ8-BA8</f>
        <v>13785.030000000002</v>
      </c>
      <c r="BC8" s="11"/>
      <c r="BD8" s="1"/>
      <c r="BE8" s="10"/>
      <c r="BF8" s="4"/>
      <c r="BG8" s="8"/>
      <c r="BH8" s="4">
        <f t="shared" ref="BH8:BH26" si="6">BB8+BF8-BG8</f>
        <v>13785.030000000002</v>
      </c>
      <c r="BI8" s="11"/>
      <c r="BJ8" s="1"/>
      <c r="BK8" s="10"/>
      <c r="BL8" s="4"/>
      <c r="BM8" s="4"/>
      <c r="BN8" s="4">
        <f t="shared" ref="BN8:BN22" si="7">BH8+BL8-BM8</f>
        <v>13785.030000000002</v>
      </c>
      <c r="BO8" s="11"/>
      <c r="BP8" s="1"/>
      <c r="BQ8" s="10"/>
      <c r="BR8" s="4"/>
      <c r="BS8" s="4"/>
      <c r="BT8" s="4">
        <f t="shared" ref="BT8:BT22" si="8">BN8+BR8-BS8</f>
        <v>13785.030000000002</v>
      </c>
      <c r="BU8" s="9"/>
      <c r="BV8" s="1"/>
      <c r="BW8" s="10"/>
      <c r="BX8" s="4"/>
      <c r="BY8" s="4"/>
      <c r="BZ8" s="4">
        <f t="shared" ref="BZ8:BZ22" si="9">BT8+BX8-BY8</f>
        <v>13785.030000000002</v>
      </c>
      <c r="CA8" s="9"/>
      <c r="CB8" s="3"/>
      <c r="CC8" s="1"/>
      <c r="CD8" s="4"/>
      <c r="CE8" s="4"/>
      <c r="CF8" s="4">
        <f t="shared" ref="CF8:CF22" si="10">BZ8+CD8-CE8</f>
        <v>13785.030000000002</v>
      </c>
      <c r="CG8" s="4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</row>
    <row r="9" spans="1:99" s="3" customFormat="1" x14ac:dyDescent="0.3">
      <c r="A9" s="1" t="s">
        <v>179</v>
      </c>
      <c r="B9" s="2" t="s">
        <v>114</v>
      </c>
      <c r="C9" s="3" t="s">
        <v>82</v>
      </c>
      <c r="D9" s="3" t="s">
        <v>116</v>
      </c>
      <c r="E9" s="3" t="s">
        <v>50</v>
      </c>
      <c r="G9" s="5" t="s">
        <v>115</v>
      </c>
      <c r="H9" s="5" t="s">
        <v>112</v>
      </c>
      <c r="I9" s="6">
        <v>46078</v>
      </c>
      <c r="J9" s="6">
        <v>46443</v>
      </c>
      <c r="K9" s="7">
        <v>10227.27</v>
      </c>
      <c r="L9" s="8"/>
      <c r="M9" s="9"/>
      <c r="N9" s="1"/>
      <c r="O9" s="10"/>
      <c r="P9" s="4"/>
      <c r="Q9" s="4"/>
      <c r="R9" s="4">
        <f>P9-Q9</f>
        <v>0</v>
      </c>
      <c r="S9" s="9"/>
      <c r="T9" s="1"/>
      <c r="U9" s="10"/>
      <c r="V9" s="4">
        <v>10227.27</v>
      </c>
      <c r="W9" s="4"/>
      <c r="X9" s="4">
        <f>R9+V9-W9</f>
        <v>10227.27</v>
      </c>
      <c r="Y9" s="9">
        <v>46105</v>
      </c>
      <c r="Z9" s="1">
        <v>2662</v>
      </c>
      <c r="AA9" s="5" t="s">
        <v>97</v>
      </c>
      <c r="AB9" s="4"/>
      <c r="AC9" s="126">
        <v>1896.71</v>
      </c>
      <c r="AD9" s="4">
        <f>X9+AB9-AC9</f>
        <v>8330.5600000000013</v>
      </c>
      <c r="AE9" s="9">
        <v>46141</v>
      </c>
      <c r="AF9" s="1">
        <v>2849</v>
      </c>
      <c r="AG9" s="5" t="s">
        <v>199</v>
      </c>
      <c r="AH9" s="4"/>
      <c r="AI9" s="4">
        <v>829.28</v>
      </c>
      <c r="AJ9" s="4">
        <f>AD9+AH9-AI9</f>
        <v>7501.2800000000016</v>
      </c>
      <c r="AK9" s="9"/>
      <c r="AL9" s="1"/>
      <c r="AM9" s="5"/>
      <c r="AN9" s="4"/>
      <c r="AO9" s="4"/>
      <c r="AP9" s="4">
        <f>AJ9+AN9-AO9</f>
        <v>7501.2800000000016</v>
      </c>
      <c r="AQ9" s="9">
        <v>46195</v>
      </c>
      <c r="AR9" s="160">
        <v>3179</v>
      </c>
      <c r="AS9" s="1">
        <v>3</v>
      </c>
      <c r="AT9" s="4"/>
      <c r="AU9" s="4">
        <v>727.86</v>
      </c>
      <c r="AV9" s="4">
        <f>AP9+AT9-AU9</f>
        <v>6773.4200000000019</v>
      </c>
      <c r="AW9" s="6">
        <v>46230</v>
      </c>
      <c r="AX9" s="1">
        <v>3391</v>
      </c>
      <c r="AY9" s="1">
        <v>4</v>
      </c>
      <c r="AZ9" s="4"/>
      <c r="BA9" s="4">
        <v>853.39</v>
      </c>
      <c r="BB9" s="4">
        <f>AV9+AZ9-BA9</f>
        <v>5920.0300000000016</v>
      </c>
      <c r="BC9" s="9"/>
      <c r="BE9" s="1"/>
      <c r="BF9" s="4"/>
      <c r="BG9" s="8"/>
      <c r="BH9" s="4">
        <f>BB9+BF9-BG9</f>
        <v>5920.0300000000016</v>
      </c>
      <c r="BI9" s="9"/>
      <c r="BK9" s="1"/>
      <c r="BL9" s="4"/>
      <c r="BM9" s="4"/>
      <c r="BN9" s="4">
        <f>BH9+BL9-BM9</f>
        <v>5920.0300000000016</v>
      </c>
      <c r="BO9" s="9"/>
      <c r="BQ9" s="1"/>
      <c r="BR9" s="4"/>
      <c r="BS9" s="4"/>
      <c r="BT9" s="4">
        <f>BN9+BR9-BS9</f>
        <v>5920.0300000000016</v>
      </c>
      <c r="BU9" s="9"/>
      <c r="BW9" s="1"/>
      <c r="BX9" s="4"/>
      <c r="BY9" s="4"/>
      <c r="BZ9" s="4">
        <f>BT9+BX9-BY9</f>
        <v>5920.0300000000016</v>
      </c>
      <c r="CA9" s="9"/>
      <c r="CC9" s="1"/>
      <c r="CD9" s="4"/>
      <c r="CE9" s="4"/>
      <c r="CF9" s="4">
        <f>BZ9+CD9-CE9</f>
        <v>5920.0300000000016</v>
      </c>
      <c r="CG9" s="4"/>
    </row>
    <row r="10" spans="1:99" s="3" customFormat="1" x14ac:dyDescent="0.3">
      <c r="A10" s="1" t="s">
        <v>177</v>
      </c>
      <c r="B10" s="2" t="s">
        <v>93</v>
      </c>
      <c r="C10" s="3" t="s">
        <v>82</v>
      </c>
      <c r="D10" s="3" t="s">
        <v>95</v>
      </c>
      <c r="E10" s="3" t="s">
        <v>48</v>
      </c>
      <c r="G10" s="5" t="s">
        <v>96</v>
      </c>
      <c r="H10" s="5" t="s">
        <v>74</v>
      </c>
      <c r="I10" s="6">
        <v>46073</v>
      </c>
      <c r="J10" s="6">
        <v>46803</v>
      </c>
      <c r="K10" s="172">
        <v>11590.91</v>
      </c>
      <c r="L10" s="8"/>
      <c r="M10" s="11"/>
      <c r="N10" s="1"/>
      <c r="O10" s="10"/>
      <c r="P10" s="4"/>
      <c r="Q10" s="4"/>
      <c r="R10" s="4">
        <f t="shared" si="0"/>
        <v>0</v>
      </c>
      <c r="S10" s="11"/>
      <c r="T10" s="1"/>
      <c r="U10" s="10"/>
      <c r="V10" s="4">
        <v>11590.91</v>
      </c>
      <c r="W10" s="4"/>
      <c r="X10" s="4">
        <f>R10+V10-W10</f>
        <v>11590.91</v>
      </c>
      <c r="Y10" s="9" t="s">
        <v>220</v>
      </c>
      <c r="Z10" s="1" t="s">
        <v>215</v>
      </c>
      <c r="AA10" s="5" t="s">
        <v>233</v>
      </c>
      <c r="AB10" s="4"/>
      <c r="AC10" s="126">
        <f>10186.6 + 1000</f>
        <v>11186.6</v>
      </c>
      <c r="AD10" s="4">
        <f>X10+AB10-AC10</f>
        <v>404.30999999999949</v>
      </c>
      <c r="AE10" s="11">
        <v>46135</v>
      </c>
      <c r="AF10" s="1">
        <v>2829</v>
      </c>
      <c r="AG10" s="5" t="s">
        <v>275</v>
      </c>
      <c r="AH10" s="4"/>
      <c r="AI10" s="4">
        <v>404.31</v>
      </c>
      <c r="AJ10" s="4">
        <v>0</v>
      </c>
      <c r="AK10" s="11"/>
      <c r="AL10" s="1"/>
      <c r="AM10" s="5"/>
      <c r="AN10" s="4"/>
      <c r="AO10" s="4"/>
      <c r="AP10" s="4">
        <f t="shared" si="3"/>
        <v>0</v>
      </c>
      <c r="AQ10" s="11"/>
      <c r="AR10" s="1"/>
      <c r="AS10" s="5"/>
      <c r="AT10" s="4"/>
      <c r="AU10" s="4"/>
      <c r="AV10" s="4">
        <f t="shared" si="4"/>
        <v>0</v>
      </c>
      <c r="AW10" s="117"/>
      <c r="AX10" s="1"/>
      <c r="AY10" s="10"/>
      <c r="AZ10" s="4"/>
      <c r="BA10" s="4"/>
      <c r="BB10" s="4">
        <f t="shared" si="5"/>
        <v>0</v>
      </c>
      <c r="BC10" s="11"/>
      <c r="BD10" s="1"/>
      <c r="BE10" s="10"/>
      <c r="BF10" s="4"/>
      <c r="BG10" s="8"/>
      <c r="BH10" s="4">
        <f t="shared" si="6"/>
        <v>0</v>
      </c>
      <c r="BI10" s="11"/>
      <c r="BJ10" s="1"/>
      <c r="BK10" s="10"/>
      <c r="BL10" s="4"/>
      <c r="BM10" s="4"/>
      <c r="BN10" s="4">
        <f t="shared" si="7"/>
        <v>0</v>
      </c>
      <c r="BO10" s="11"/>
      <c r="BP10" s="1"/>
      <c r="BQ10" s="10"/>
      <c r="BR10" s="4"/>
      <c r="BS10" s="4"/>
      <c r="BT10" s="4">
        <f t="shared" si="8"/>
        <v>0</v>
      </c>
      <c r="BU10" s="11"/>
      <c r="BV10" s="1"/>
      <c r="BW10" s="10"/>
      <c r="BX10" s="4"/>
      <c r="BY10" s="4"/>
      <c r="BZ10" s="4">
        <f t="shared" si="9"/>
        <v>0</v>
      </c>
      <c r="CA10" s="9"/>
      <c r="CC10" s="1"/>
      <c r="CD10" s="4"/>
      <c r="CE10" s="4"/>
      <c r="CF10" s="4">
        <f t="shared" si="10"/>
        <v>0</v>
      </c>
      <c r="CG10" s="4" t="s">
        <v>113</v>
      </c>
    </row>
    <row r="11" spans="1:99" s="3" customFormat="1" x14ac:dyDescent="0.3">
      <c r="A11" s="1" t="s">
        <v>208</v>
      </c>
      <c r="B11" s="2" t="s">
        <v>104</v>
      </c>
      <c r="C11" s="3" t="s">
        <v>82</v>
      </c>
      <c r="D11" s="3" t="s">
        <v>105</v>
      </c>
      <c r="G11" s="5" t="s">
        <v>106</v>
      </c>
      <c r="H11" s="5" t="s">
        <v>74</v>
      </c>
      <c r="I11" s="6">
        <v>46039</v>
      </c>
      <c r="J11" s="6">
        <v>46769</v>
      </c>
      <c r="K11" s="172">
        <v>5937.5</v>
      </c>
      <c r="L11" s="8"/>
      <c r="M11" s="9"/>
      <c r="N11" s="1"/>
      <c r="O11" s="10"/>
      <c r="P11" s="4">
        <v>5937.5</v>
      </c>
      <c r="Q11" s="4"/>
      <c r="R11" s="4">
        <f t="shared" si="0"/>
        <v>5937.5</v>
      </c>
      <c r="S11" s="9">
        <v>46070</v>
      </c>
      <c r="T11" s="1">
        <v>2446</v>
      </c>
      <c r="U11" s="5" t="s">
        <v>97</v>
      </c>
      <c r="W11" s="4">
        <v>247.97</v>
      </c>
      <c r="X11" s="4">
        <f>R11+V11-W11</f>
        <v>5689.53</v>
      </c>
      <c r="Y11" s="9" t="s">
        <v>250</v>
      </c>
      <c r="Z11" s="1" t="s">
        <v>244</v>
      </c>
      <c r="AA11" s="5" t="s">
        <v>245</v>
      </c>
      <c r="AB11" s="4"/>
      <c r="AC11" s="126">
        <f>295.25+5394.28</f>
        <v>5689.53</v>
      </c>
      <c r="AD11" s="4">
        <f t="shared" ref="AD11:AD22" si="11">X11+AB11-AC11</f>
        <v>0</v>
      </c>
      <c r="AE11" s="9"/>
      <c r="AF11" s="1"/>
      <c r="AG11" s="5"/>
      <c r="AH11" s="4"/>
      <c r="AI11" s="4"/>
      <c r="AJ11" s="4">
        <f t="shared" si="2"/>
        <v>0</v>
      </c>
      <c r="AK11" s="9"/>
      <c r="AL11" s="1"/>
      <c r="AM11" s="5"/>
      <c r="AN11" s="4"/>
      <c r="AO11" s="4"/>
      <c r="AP11" s="4">
        <f t="shared" si="3"/>
        <v>0</v>
      </c>
      <c r="AQ11" s="9"/>
      <c r="AR11" s="1"/>
      <c r="AS11" s="1"/>
      <c r="AT11" s="4"/>
      <c r="AU11" s="4"/>
      <c r="AV11" s="4">
        <f t="shared" si="4"/>
        <v>0</v>
      </c>
      <c r="AW11" s="6"/>
      <c r="AX11" s="1"/>
      <c r="AY11" s="1"/>
      <c r="AZ11" s="4"/>
      <c r="BA11" s="4"/>
      <c r="BB11" s="4">
        <f t="shared" si="5"/>
        <v>0</v>
      </c>
      <c r="BC11" s="9"/>
      <c r="BE11" s="1"/>
      <c r="BF11" s="4"/>
      <c r="BG11" s="8"/>
      <c r="BH11" s="4">
        <f t="shared" si="6"/>
        <v>0</v>
      </c>
      <c r="BI11" s="9"/>
      <c r="BK11" s="1"/>
      <c r="BL11" s="4"/>
      <c r="BM11" s="4"/>
      <c r="BN11" s="4">
        <f t="shared" si="7"/>
        <v>0</v>
      </c>
      <c r="BO11" s="9"/>
      <c r="BQ11" s="1"/>
      <c r="BR11" s="4"/>
      <c r="BS11" s="4"/>
      <c r="BT11" s="4">
        <f t="shared" si="8"/>
        <v>0</v>
      </c>
      <c r="BU11" s="9"/>
      <c r="BW11" s="1"/>
      <c r="BX11" s="4"/>
      <c r="BY11" s="4"/>
      <c r="BZ11" s="4">
        <f t="shared" si="9"/>
        <v>0</v>
      </c>
      <c r="CA11" s="9"/>
      <c r="CC11" s="1"/>
      <c r="CD11" s="4"/>
      <c r="CE11" s="4"/>
      <c r="CF11" s="4">
        <f t="shared" si="10"/>
        <v>0</v>
      </c>
      <c r="CG11" s="4" t="s">
        <v>113</v>
      </c>
    </row>
    <row r="12" spans="1:99" s="3" customFormat="1" x14ac:dyDescent="0.3">
      <c r="A12" s="1" t="s">
        <v>180</v>
      </c>
      <c r="B12" s="2" t="s">
        <v>117</v>
      </c>
      <c r="C12" s="3" t="s">
        <v>82</v>
      </c>
      <c r="D12" s="3" t="s">
        <v>124</v>
      </c>
      <c r="E12" s="3" t="s">
        <v>234</v>
      </c>
      <c r="F12" s="3" t="s">
        <v>156</v>
      </c>
      <c r="G12" s="5" t="s">
        <v>118</v>
      </c>
      <c r="H12" s="5" t="s">
        <v>74</v>
      </c>
      <c r="I12" s="6">
        <v>46080</v>
      </c>
      <c r="J12" s="6">
        <v>46810</v>
      </c>
      <c r="K12" s="172">
        <v>11477.27</v>
      </c>
      <c r="L12" s="8"/>
      <c r="M12" s="9"/>
      <c r="N12" s="1"/>
      <c r="O12" s="10"/>
      <c r="P12" s="4"/>
      <c r="Q12" s="4"/>
      <c r="R12" s="4">
        <f t="shared" si="0"/>
        <v>0</v>
      </c>
      <c r="S12" s="9"/>
      <c r="T12" s="1"/>
      <c r="U12" s="5"/>
      <c r="V12" s="4">
        <v>11477.27</v>
      </c>
      <c r="W12" s="4"/>
      <c r="X12" s="4">
        <f t="shared" ref="X12:X22" si="12">R12+V12-W12</f>
        <v>11477.27</v>
      </c>
      <c r="Y12" s="9"/>
      <c r="Z12" s="1"/>
      <c r="AA12" s="5"/>
      <c r="AB12" s="4"/>
      <c r="AC12" s="126"/>
      <c r="AD12" s="4">
        <f t="shared" si="11"/>
        <v>11477.27</v>
      </c>
      <c r="AE12" s="9"/>
      <c r="AF12" s="1"/>
      <c r="AG12" s="5"/>
      <c r="AH12" s="4"/>
      <c r="AI12" s="4"/>
      <c r="AJ12" s="4">
        <f t="shared" si="2"/>
        <v>11477.27</v>
      </c>
      <c r="AK12" s="9" t="s">
        <v>318</v>
      </c>
      <c r="AL12" s="1" t="s">
        <v>322</v>
      </c>
      <c r="AM12" s="5" t="s">
        <v>319</v>
      </c>
      <c r="AN12" s="4"/>
      <c r="AO12" s="4">
        <f>428.34+11048.93</f>
        <v>11477.27</v>
      </c>
      <c r="AP12" s="4">
        <f t="shared" si="3"/>
        <v>0</v>
      </c>
      <c r="AQ12" s="9"/>
      <c r="AR12" s="1"/>
      <c r="AS12" s="1"/>
      <c r="AT12" s="4"/>
      <c r="AU12" s="4"/>
      <c r="AV12" s="4">
        <f t="shared" si="4"/>
        <v>0</v>
      </c>
      <c r="AW12" s="6"/>
      <c r="AX12" s="1"/>
      <c r="AY12" s="1"/>
      <c r="AZ12" s="4"/>
      <c r="BA12" s="4"/>
      <c r="BB12" s="4">
        <f t="shared" si="5"/>
        <v>0</v>
      </c>
      <c r="BC12" s="9"/>
      <c r="BE12" s="1"/>
      <c r="BF12" s="4"/>
      <c r="BG12" s="8"/>
      <c r="BH12" s="4">
        <f t="shared" si="6"/>
        <v>0</v>
      </c>
      <c r="BI12" s="9"/>
      <c r="BK12" s="1"/>
      <c r="BL12" s="4"/>
      <c r="BM12" s="4"/>
      <c r="BN12" s="4">
        <f t="shared" si="7"/>
        <v>0</v>
      </c>
      <c r="BO12" s="9"/>
      <c r="BQ12" s="1"/>
      <c r="BR12" s="4"/>
      <c r="BS12" s="4"/>
      <c r="BT12" s="4">
        <f t="shared" si="8"/>
        <v>0</v>
      </c>
      <c r="BU12" s="9"/>
      <c r="BW12" s="1"/>
      <c r="BX12" s="4"/>
      <c r="BY12" s="4"/>
      <c r="BZ12" s="4">
        <f t="shared" si="9"/>
        <v>0</v>
      </c>
      <c r="CA12" s="9"/>
      <c r="CC12" s="1"/>
      <c r="CD12" s="4"/>
      <c r="CE12" s="4"/>
      <c r="CF12" s="4">
        <f t="shared" si="10"/>
        <v>0</v>
      </c>
      <c r="CG12" s="4" t="s">
        <v>113</v>
      </c>
    </row>
    <row r="13" spans="1:99" s="3" customFormat="1" x14ac:dyDescent="0.3">
      <c r="A13" s="1" t="s">
        <v>165</v>
      </c>
      <c r="B13" s="2" t="s">
        <v>119</v>
      </c>
      <c r="C13" s="3" t="s">
        <v>82</v>
      </c>
      <c r="D13" s="3" t="s">
        <v>123</v>
      </c>
      <c r="E13" s="3" t="s">
        <v>234</v>
      </c>
      <c r="F13" s="3" t="s">
        <v>157</v>
      </c>
      <c r="G13" s="5" t="s">
        <v>118</v>
      </c>
      <c r="H13" s="5" t="s">
        <v>74</v>
      </c>
      <c r="I13" s="6">
        <v>46080</v>
      </c>
      <c r="J13" s="6">
        <v>46810</v>
      </c>
      <c r="K13" s="172">
        <v>11477.27</v>
      </c>
      <c r="L13" s="8"/>
      <c r="M13" s="9"/>
      <c r="N13" s="1"/>
      <c r="O13" s="10"/>
      <c r="P13" s="4"/>
      <c r="Q13" s="4"/>
      <c r="R13" s="4">
        <f t="shared" si="0"/>
        <v>0</v>
      </c>
      <c r="S13" s="9"/>
      <c r="T13" s="1"/>
      <c r="U13" s="5"/>
      <c r="V13" s="4">
        <v>11477.27</v>
      </c>
      <c r="W13" s="4"/>
      <c r="X13" s="4">
        <f t="shared" si="12"/>
        <v>11477.27</v>
      </c>
      <c r="Y13" s="9"/>
      <c r="Z13" s="1"/>
      <c r="AA13" s="5"/>
      <c r="AB13" s="4"/>
      <c r="AC13" s="126"/>
      <c r="AD13" s="4">
        <f t="shared" si="11"/>
        <v>11477.27</v>
      </c>
      <c r="AE13" s="9"/>
      <c r="AF13" s="1"/>
      <c r="AG13" s="5"/>
      <c r="AH13" s="4"/>
      <c r="AI13" s="4"/>
      <c r="AJ13" s="4">
        <f t="shared" si="2"/>
        <v>11477.27</v>
      </c>
      <c r="AK13" s="9" t="s">
        <v>320</v>
      </c>
      <c r="AL13" s="1" t="s">
        <v>321</v>
      </c>
      <c r="AM13" s="5" t="s">
        <v>255</v>
      </c>
      <c r="AN13" s="4"/>
      <c r="AO13" s="4">
        <f>428.34+11048.93</f>
        <v>11477.27</v>
      </c>
      <c r="AP13" s="4">
        <f t="shared" si="3"/>
        <v>0</v>
      </c>
      <c r="AQ13" s="9"/>
      <c r="AR13" s="1"/>
      <c r="AS13" s="1"/>
      <c r="AT13" s="4"/>
      <c r="AU13" s="4"/>
      <c r="AV13" s="4">
        <f t="shared" si="4"/>
        <v>0</v>
      </c>
      <c r="AW13" s="6"/>
      <c r="AX13" s="1"/>
      <c r="AY13" s="1"/>
      <c r="AZ13" s="4"/>
      <c r="BA13" s="4"/>
      <c r="BB13" s="4">
        <f t="shared" si="5"/>
        <v>0</v>
      </c>
      <c r="BC13" s="9"/>
      <c r="BE13" s="1"/>
      <c r="BF13" s="4"/>
      <c r="BG13" s="8"/>
      <c r="BH13" s="4">
        <f t="shared" si="6"/>
        <v>0</v>
      </c>
      <c r="BI13" s="9"/>
      <c r="BK13" s="1"/>
      <c r="BL13" s="4"/>
      <c r="BM13" s="4"/>
      <c r="BN13" s="4">
        <f t="shared" si="7"/>
        <v>0</v>
      </c>
      <c r="BO13" s="9"/>
      <c r="BQ13" s="1"/>
      <c r="BR13" s="4"/>
      <c r="BS13" s="4"/>
      <c r="BT13" s="4">
        <f t="shared" si="8"/>
        <v>0</v>
      </c>
      <c r="BU13" s="9"/>
      <c r="BW13" s="1"/>
      <c r="BX13" s="4"/>
      <c r="BY13" s="4"/>
      <c r="BZ13" s="4">
        <f t="shared" si="9"/>
        <v>0</v>
      </c>
      <c r="CA13" s="9"/>
      <c r="CC13" s="1"/>
      <c r="CD13" s="4"/>
      <c r="CE13" s="4"/>
      <c r="CF13" s="4">
        <f t="shared" si="10"/>
        <v>0</v>
      </c>
      <c r="CG13" s="4" t="s">
        <v>113</v>
      </c>
    </row>
    <row r="14" spans="1:99" s="3" customFormat="1" x14ac:dyDescent="0.3">
      <c r="A14" s="1" t="s">
        <v>186</v>
      </c>
      <c r="B14" s="3" t="s">
        <v>139</v>
      </c>
      <c r="C14" s="3" t="s">
        <v>82</v>
      </c>
      <c r="D14" s="3" t="s">
        <v>140</v>
      </c>
      <c r="E14" s="3" t="s">
        <v>234</v>
      </c>
      <c r="F14" s="3" t="s">
        <v>156</v>
      </c>
      <c r="G14" s="5" t="s">
        <v>141</v>
      </c>
      <c r="H14" s="5" t="s">
        <v>112</v>
      </c>
      <c r="I14" s="6">
        <v>46086</v>
      </c>
      <c r="J14" s="6">
        <v>46451</v>
      </c>
      <c r="K14" s="172">
        <v>11477.27</v>
      </c>
      <c r="L14" s="8"/>
      <c r="M14" s="9"/>
      <c r="N14" s="1"/>
      <c r="O14" s="10"/>
      <c r="P14" s="4"/>
      <c r="Q14" s="4"/>
      <c r="R14" s="4">
        <f t="shared" si="0"/>
        <v>0</v>
      </c>
      <c r="S14" s="9"/>
      <c r="T14" s="1"/>
      <c r="U14" s="10"/>
      <c r="V14" s="4"/>
      <c r="W14" s="4"/>
      <c r="X14" s="4">
        <f t="shared" si="12"/>
        <v>0</v>
      </c>
      <c r="Y14" s="9"/>
      <c r="Z14" s="1"/>
      <c r="AA14" s="5"/>
      <c r="AB14" s="4">
        <v>11477.27</v>
      </c>
      <c r="AC14" s="126">
        <v>0</v>
      </c>
      <c r="AD14" s="4">
        <f t="shared" si="11"/>
        <v>11477.27</v>
      </c>
      <c r="AE14" s="9"/>
      <c r="AF14" s="1"/>
      <c r="AG14" s="5"/>
      <c r="AH14" s="4"/>
      <c r="AI14" s="4"/>
      <c r="AJ14" s="4">
        <f t="shared" si="2"/>
        <v>11477.27</v>
      </c>
      <c r="AK14" s="9" t="s">
        <v>318</v>
      </c>
      <c r="AL14" s="1" t="s">
        <v>323</v>
      </c>
      <c r="AM14" s="5" t="s">
        <v>255</v>
      </c>
      <c r="AN14" s="4"/>
      <c r="AO14" s="4">
        <f>517.43+10959.84</f>
        <v>11477.27</v>
      </c>
      <c r="AP14" s="4">
        <f t="shared" si="3"/>
        <v>0</v>
      </c>
      <c r="AQ14" s="9"/>
      <c r="AR14" s="1"/>
      <c r="AS14" s="1"/>
      <c r="AT14" s="4"/>
      <c r="AU14" s="4"/>
      <c r="AV14" s="4">
        <f t="shared" si="4"/>
        <v>0</v>
      </c>
      <c r="AW14" s="6"/>
      <c r="AX14" s="1"/>
      <c r="AY14" s="1"/>
      <c r="AZ14" s="4"/>
      <c r="BA14" s="4"/>
      <c r="BB14" s="4">
        <f t="shared" si="5"/>
        <v>0</v>
      </c>
      <c r="BC14" s="9"/>
      <c r="BE14" s="1"/>
      <c r="BF14" s="4"/>
      <c r="BG14" s="8"/>
      <c r="BH14" s="4">
        <f t="shared" si="6"/>
        <v>0</v>
      </c>
      <c r="BI14" s="9"/>
      <c r="BK14" s="1"/>
      <c r="BL14" s="4"/>
      <c r="BM14" s="4"/>
      <c r="BN14" s="4">
        <f t="shared" si="7"/>
        <v>0</v>
      </c>
      <c r="BO14" s="9"/>
      <c r="BQ14" s="1"/>
      <c r="BR14" s="4"/>
      <c r="BS14" s="4"/>
      <c r="BT14" s="4">
        <f t="shared" si="8"/>
        <v>0</v>
      </c>
      <c r="BU14" s="9"/>
      <c r="BW14" s="1"/>
      <c r="BX14" s="4"/>
      <c r="BY14" s="4"/>
      <c r="BZ14" s="4">
        <f t="shared" si="9"/>
        <v>0</v>
      </c>
      <c r="CA14" s="9"/>
      <c r="CC14" s="1"/>
      <c r="CD14" s="4"/>
      <c r="CE14" s="4"/>
      <c r="CF14" s="4">
        <f t="shared" si="10"/>
        <v>0</v>
      </c>
      <c r="CG14" s="4" t="s">
        <v>113</v>
      </c>
    </row>
    <row r="15" spans="1:99" s="3" customFormat="1" x14ac:dyDescent="0.3">
      <c r="A15" s="1" t="s">
        <v>175</v>
      </c>
      <c r="B15" s="3" t="s">
        <v>237</v>
      </c>
      <c r="C15" s="3" t="s">
        <v>82</v>
      </c>
      <c r="D15" s="3" t="s">
        <v>147</v>
      </c>
      <c r="E15" s="3" t="s">
        <v>234</v>
      </c>
      <c r="F15" s="3" t="s">
        <v>156</v>
      </c>
      <c r="G15" s="5" t="s">
        <v>146</v>
      </c>
      <c r="H15" s="5" t="s">
        <v>112</v>
      </c>
      <c r="I15" s="6">
        <v>46091</v>
      </c>
      <c r="J15" s="6">
        <v>46456</v>
      </c>
      <c r="K15" s="172">
        <v>11477.27</v>
      </c>
      <c r="L15" s="8"/>
      <c r="M15" s="9"/>
      <c r="N15" s="1"/>
      <c r="O15" s="10"/>
      <c r="P15" s="4"/>
      <c r="Q15" s="4"/>
      <c r="R15" s="4">
        <f t="shared" si="0"/>
        <v>0</v>
      </c>
      <c r="S15" s="9"/>
      <c r="T15" s="1"/>
      <c r="U15" s="10"/>
      <c r="V15" s="4"/>
      <c r="W15" s="4"/>
      <c r="X15" s="4">
        <f t="shared" si="12"/>
        <v>0</v>
      </c>
      <c r="Y15" s="9"/>
      <c r="Z15" s="1"/>
      <c r="AA15" s="5"/>
      <c r="AB15" s="4">
        <v>11477.27</v>
      </c>
      <c r="AC15" s="126"/>
      <c r="AD15" s="4">
        <f t="shared" si="11"/>
        <v>11477.27</v>
      </c>
      <c r="AE15" s="9"/>
      <c r="AF15" s="1"/>
      <c r="AG15" s="5"/>
      <c r="AH15" s="4"/>
      <c r="AI15" s="4"/>
      <c r="AJ15" s="4">
        <f t="shared" si="2"/>
        <v>11477.27</v>
      </c>
      <c r="AK15" s="9" t="s">
        <v>320</v>
      </c>
      <c r="AL15" s="1" t="s">
        <v>324</v>
      </c>
      <c r="AM15" s="5" t="s">
        <v>255</v>
      </c>
      <c r="AN15" s="4"/>
      <c r="AO15" s="4">
        <f>579.2+10898.07</f>
        <v>11477.27</v>
      </c>
      <c r="AP15" s="4">
        <f t="shared" si="3"/>
        <v>0</v>
      </c>
      <c r="AQ15" s="9"/>
      <c r="AR15" s="1"/>
      <c r="AS15" s="1"/>
      <c r="AT15" s="4"/>
      <c r="AU15" s="4"/>
      <c r="AV15" s="4">
        <f t="shared" si="4"/>
        <v>0</v>
      </c>
      <c r="AW15" s="6"/>
      <c r="AX15" s="1"/>
      <c r="AY15" s="1"/>
      <c r="AZ15" s="4"/>
      <c r="BA15" s="4"/>
      <c r="BB15" s="4">
        <f t="shared" si="5"/>
        <v>0</v>
      </c>
      <c r="BC15" s="9"/>
      <c r="BE15" s="1"/>
      <c r="BF15" s="4"/>
      <c r="BG15" s="8"/>
      <c r="BH15" s="4">
        <f t="shared" si="6"/>
        <v>0</v>
      </c>
      <c r="BI15" s="9"/>
      <c r="BK15" s="1"/>
      <c r="BL15" s="4"/>
      <c r="BM15" s="4"/>
      <c r="BN15" s="4">
        <f t="shared" si="7"/>
        <v>0</v>
      </c>
      <c r="BO15" s="9"/>
      <c r="BQ15" s="1"/>
      <c r="BR15" s="4"/>
      <c r="BS15" s="4"/>
      <c r="BT15" s="4">
        <f t="shared" si="8"/>
        <v>0</v>
      </c>
      <c r="BU15" s="9"/>
      <c r="BW15" s="1"/>
      <c r="BX15" s="4"/>
      <c r="BY15" s="4"/>
      <c r="BZ15" s="4">
        <f t="shared" si="9"/>
        <v>0</v>
      </c>
      <c r="CA15" s="9"/>
      <c r="CC15" s="1"/>
      <c r="CD15" s="4"/>
      <c r="CE15" s="4"/>
      <c r="CF15" s="4">
        <f t="shared" si="10"/>
        <v>0</v>
      </c>
      <c r="CG15" s="4" t="s">
        <v>113</v>
      </c>
    </row>
    <row r="16" spans="1:99" x14ac:dyDescent="0.3">
      <c r="A16" s="1" t="s">
        <v>210</v>
      </c>
      <c r="B16" s="3" t="s">
        <v>211</v>
      </c>
      <c r="C16" s="3" t="s">
        <v>82</v>
      </c>
      <c r="D16" s="3" t="s">
        <v>213</v>
      </c>
      <c r="E16" s="3" t="s">
        <v>50</v>
      </c>
      <c r="F16" s="3"/>
      <c r="G16" s="5" t="s">
        <v>246</v>
      </c>
      <c r="H16" s="5" t="s">
        <v>212</v>
      </c>
      <c r="I16" s="6">
        <v>46101</v>
      </c>
      <c r="J16" s="6">
        <v>46558</v>
      </c>
      <c r="K16" s="7">
        <v>11363.64</v>
      </c>
      <c r="L16" s="8"/>
      <c r="M16" s="9"/>
      <c r="N16" s="1"/>
      <c r="O16" s="10"/>
      <c r="P16" s="4"/>
      <c r="Q16" s="4"/>
      <c r="R16" s="4"/>
      <c r="S16" s="9"/>
      <c r="T16" s="1"/>
      <c r="U16" s="10"/>
      <c r="V16" s="4"/>
      <c r="W16" s="4"/>
      <c r="X16" s="4">
        <f t="shared" si="12"/>
        <v>0</v>
      </c>
      <c r="Y16" s="9"/>
      <c r="Z16" s="1"/>
      <c r="AA16" s="5"/>
      <c r="AB16" s="4">
        <v>11363.64</v>
      </c>
      <c r="AC16" s="126"/>
      <c r="AD16" s="4">
        <f t="shared" si="11"/>
        <v>11363.64</v>
      </c>
      <c r="AE16" s="9">
        <v>46135</v>
      </c>
      <c r="AF16" s="1">
        <v>2828</v>
      </c>
      <c r="AG16" s="5" t="s">
        <v>97</v>
      </c>
      <c r="AH16" s="4"/>
      <c r="AI16" s="4">
        <v>768.37</v>
      </c>
      <c r="AJ16" s="4">
        <f t="shared" si="2"/>
        <v>10595.269999999999</v>
      </c>
      <c r="AK16" s="9">
        <v>46165</v>
      </c>
      <c r="AL16" s="1">
        <v>3000</v>
      </c>
      <c r="AM16" s="5" t="s">
        <v>199</v>
      </c>
      <c r="AN16" s="4"/>
      <c r="AO16" s="4">
        <v>758</v>
      </c>
      <c r="AP16" s="4">
        <f t="shared" si="3"/>
        <v>9837.2699999999986</v>
      </c>
      <c r="AQ16" s="9">
        <v>46197</v>
      </c>
      <c r="AR16" s="1">
        <v>3193</v>
      </c>
      <c r="AS16" s="1">
        <v>3</v>
      </c>
      <c r="AT16" s="4"/>
      <c r="AU16" s="4">
        <v>746.48</v>
      </c>
      <c r="AV16" s="4">
        <f t="shared" si="4"/>
        <v>9090.7899999999991</v>
      </c>
      <c r="AW16" s="6">
        <v>46228</v>
      </c>
      <c r="AX16" s="1">
        <v>3382</v>
      </c>
      <c r="AY16" s="1">
        <v>4</v>
      </c>
      <c r="AZ16" s="4"/>
      <c r="BA16" s="4">
        <v>757.79</v>
      </c>
      <c r="BB16" s="4">
        <f t="shared" si="5"/>
        <v>8333</v>
      </c>
      <c r="BC16" s="9"/>
      <c r="BD16" s="3"/>
      <c r="BE16" s="1"/>
      <c r="BF16" s="4"/>
      <c r="BG16" s="8"/>
      <c r="BH16" s="4">
        <f t="shared" si="6"/>
        <v>8333</v>
      </c>
      <c r="BI16" s="9"/>
      <c r="BJ16" s="3"/>
      <c r="BK16" s="1"/>
      <c r="BL16" s="4"/>
      <c r="BM16" s="4"/>
      <c r="BN16" s="4">
        <f t="shared" si="7"/>
        <v>8333</v>
      </c>
      <c r="BO16" s="9"/>
      <c r="BP16" s="3"/>
      <c r="BQ16" s="1"/>
      <c r="BR16" s="4"/>
      <c r="BS16" s="4"/>
      <c r="BT16" s="4">
        <f t="shared" si="8"/>
        <v>8333</v>
      </c>
      <c r="BU16" s="9"/>
      <c r="BV16" s="3"/>
      <c r="BW16" s="1"/>
      <c r="BX16" s="4"/>
      <c r="BY16" s="4"/>
      <c r="BZ16" s="4">
        <f t="shared" si="9"/>
        <v>8333</v>
      </c>
      <c r="CA16" s="9"/>
      <c r="CB16" s="3"/>
      <c r="CC16" s="1"/>
      <c r="CD16" s="4"/>
      <c r="CE16" s="4"/>
      <c r="CF16" s="4">
        <f t="shared" si="10"/>
        <v>8333</v>
      </c>
      <c r="CG16" s="4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</row>
    <row r="17" spans="1:102" x14ac:dyDescent="0.3">
      <c r="A17" s="1" t="s">
        <v>242</v>
      </c>
      <c r="B17" s="2" t="s">
        <v>104</v>
      </c>
      <c r="C17" s="3" t="s">
        <v>82</v>
      </c>
      <c r="D17" s="3" t="s">
        <v>277</v>
      </c>
      <c r="E17" s="3" t="s">
        <v>50</v>
      </c>
      <c r="F17" s="3"/>
      <c r="G17" s="5" t="s">
        <v>240</v>
      </c>
      <c r="H17" s="5" t="s">
        <v>112</v>
      </c>
      <c r="I17" s="6">
        <v>46105</v>
      </c>
      <c r="J17" s="6">
        <v>46470</v>
      </c>
      <c r="K17" s="7">
        <v>6550.11</v>
      </c>
      <c r="L17" s="8"/>
      <c r="M17" s="9"/>
      <c r="N17" s="1"/>
      <c r="O17" s="10"/>
      <c r="P17" s="4"/>
      <c r="Q17" s="4"/>
      <c r="R17" s="4"/>
      <c r="S17" s="9"/>
      <c r="T17" s="1"/>
      <c r="U17" s="10"/>
      <c r="V17" s="4"/>
      <c r="W17" s="4"/>
      <c r="X17" s="4">
        <f t="shared" si="12"/>
        <v>0</v>
      </c>
      <c r="Y17" s="9"/>
      <c r="Z17" s="1"/>
      <c r="AA17" s="5"/>
      <c r="AB17" s="4">
        <v>6550.11</v>
      </c>
      <c r="AC17" s="126"/>
      <c r="AD17" s="4">
        <f t="shared" si="11"/>
        <v>6550.11</v>
      </c>
      <c r="AE17" s="9">
        <v>46141</v>
      </c>
      <c r="AF17" s="1">
        <v>2855</v>
      </c>
      <c r="AG17" s="5" t="s">
        <v>97</v>
      </c>
      <c r="AH17" s="4"/>
      <c r="AI17" s="4">
        <v>499.95</v>
      </c>
      <c r="AJ17" s="4">
        <f t="shared" si="2"/>
        <v>6050.16</v>
      </c>
      <c r="AK17" s="9">
        <v>46170</v>
      </c>
      <c r="AL17" s="1">
        <v>3027</v>
      </c>
      <c r="AM17" s="5" t="s">
        <v>199</v>
      </c>
      <c r="AN17" s="4"/>
      <c r="AO17" s="4">
        <v>592.63</v>
      </c>
      <c r="AP17" s="4">
        <f t="shared" si="3"/>
        <v>5457.53</v>
      </c>
      <c r="AQ17" s="9">
        <v>46198</v>
      </c>
      <c r="AR17" s="1">
        <v>3201</v>
      </c>
      <c r="AS17" s="1">
        <v>3</v>
      </c>
      <c r="AT17" s="4"/>
      <c r="AU17" s="4">
        <v>545.11</v>
      </c>
      <c r="AV17" s="4">
        <f t="shared" si="4"/>
        <v>4912.42</v>
      </c>
      <c r="AW17" s="6">
        <v>46231</v>
      </c>
      <c r="AX17" s="1">
        <v>3406</v>
      </c>
      <c r="AY17" s="1">
        <v>4</v>
      </c>
      <c r="AZ17" s="4"/>
      <c r="BA17" s="4">
        <v>546.1</v>
      </c>
      <c r="BB17" s="4">
        <f t="shared" si="5"/>
        <v>4366.32</v>
      </c>
      <c r="BC17" s="9"/>
      <c r="BD17" s="3"/>
      <c r="BE17" s="1"/>
      <c r="BF17" s="4"/>
      <c r="BG17" s="8"/>
      <c r="BH17" s="4">
        <f t="shared" si="6"/>
        <v>4366.32</v>
      </c>
      <c r="BI17" s="9"/>
      <c r="BJ17" s="3"/>
      <c r="BK17" s="1"/>
      <c r="BL17" s="4"/>
      <c r="BM17" s="4"/>
      <c r="BN17" s="4">
        <f t="shared" si="7"/>
        <v>4366.32</v>
      </c>
      <c r="BO17" s="9"/>
      <c r="BP17" s="3"/>
      <c r="BQ17" s="1"/>
      <c r="BR17" s="4"/>
      <c r="BS17" s="4"/>
      <c r="BT17" s="4">
        <f t="shared" si="8"/>
        <v>4366.32</v>
      </c>
      <c r="BU17" s="9"/>
      <c r="BV17" s="3"/>
      <c r="BW17" s="1"/>
      <c r="BX17" s="4"/>
      <c r="BY17" s="4"/>
      <c r="BZ17" s="4">
        <f t="shared" si="9"/>
        <v>4366.32</v>
      </c>
      <c r="CA17" s="9"/>
      <c r="CB17" s="3"/>
      <c r="CC17" s="1"/>
      <c r="CD17" s="4"/>
      <c r="CE17" s="4"/>
      <c r="CF17" s="4">
        <f t="shared" si="10"/>
        <v>4366.32</v>
      </c>
      <c r="CG17" s="4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</row>
    <row r="18" spans="1:102" x14ac:dyDescent="0.3">
      <c r="A18" s="1" t="s">
        <v>194</v>
      </c>
      <c r="B18" s="2" t="s">
        <v>85</v>
      </c>
      <c r="C18" s="16" t="s">
        <v>82</v>
      </c>
      <c r="D18" s="16" t="s">
        <v>292</v>
      </c>
      <c r="E18" s="16" t="s">
        <v>50</v>
      </c>
      <c r="F18" s="3"/>
      <c r="G18" s="5" t="s">
        <v>86</v>
      </c>
      <c r="H18" s="123" t="s">
        <v>112</v>
      </c>
      <c r="I18" s="118">
        <v>46067</v>
      </c>
      <c r="J18" s="118">
        <v>46432</v>
      </c>
      <c r="K18" s="7">
        <v>2528.41</v>
      </c>
      <c r="L18" s="8"/>
      <c r="M18" s="9"/>
      <c r="N18" s="1"/>
      <c r="O18" s="10"/>
      <c r="P18" s="4"/>
      <c r="Q18" s="4"/>
      <c r="R18" s="4">
        <f>SUM(P18-Q18)</f>
        <v>0</v>
      </c>
      <c r="S18" s="9"/>
      <c r="T18" s="1"/>
      <c r="U18" s="10"/>
      <c r="V18" s="16">
        <v>2528.41</v>
      </c>
      <c r="W18" s="4"/>
      <c r="X18" s="4">
        <f>R18+V18-W18</f>
        <v>2528.41</v>
      </c>
      <c r="Y18" s="9">
        <v>46094</v>
      </c>
      <c r="Z18" s="1">
        <v>2616</v>
      </c>
      <c r="AA18" s="5" t="s">
        <v>97</v>
      </c>
      <c r="AB18" s="4"/>
      <c r="AC18" s="126">
        <v>211.45</v>
      </c>
      <c r="AD18" s="4">
        <f>X18+AB18-AC18</f>
        <v>2316.96</v>
      </c>
      <c r="AE18" s="9">
        <v>46126</v>
      </c>
      <c r="AF18" s="1">
        <v>2799</v>
      </c>
      <c r="AG18" s="5" t="s">
        <v>199</v>
      </c>
      <c r="AH18" s="4"/>
      <c r="AI18" s="4">
        <v>252.77</v>
      </c>
      <c r="AJ18" s="4">
        <f>AD18+AH18-AI18</f>
        <v>2064.19</v>
      </c>
      <c r="AK18" s="9">
        <v>46157</v>
      </c>
      <c r="AL18" s="1">
        <v>2975</v>
      </c>
      <c r="AM18" s="5" t="s">
        <v>275</v>
      </c>
      <c r="AN18" s="4"/>
      <c r="AO18" s="4">
        <v>168.28</v>
      </c>
      <c r="AP18" s="4">
        <f>AJ18+AN18-AO18</f>
        <v>1895.91</v>
      </c>
      <c r="AQ18" s="9">
        <v>46188</v>
      </c>
      <c r="AR18" s="1">
        <v>3143</v>
      </c>
      <c r="AS18" s="1">
        <v>4</v>
      </c>
      <c r="AT18" s="4"/>
      <c r="AU18" s="4">
        <v>210.35</v>
      </c>
      <c r="AV18" s="4">
        <f>AP18+AT18-AU18</f>
        <v>1685.5600000000002</v>
      </c>
      <c r="AW18" s="6">
        <v>46219</v>
      </c>
      <c r="AX18" s="1">
        <v>3328</v>
      </c>
      <c r="AY18" s="1">
        <v>5</v>
      </c>
      <c r="AZ18" s="4"/>
      <c r="BA18" s="4">
        <v>210.75</v>
      </c>
      <c r="BB18" s="4">
        <f>AV18+AZ18-BA18</f>
        <v>1474.8100000000002</v>
      </c>
      <c r="BC18" s="9"/>
      <c r="BD18" s="3"/>
      <c r="BE18" s="1"/>
      <c r="BF18" s="4"/>
      <c r="BG18" s="8"/>
      <c r="BH18" s="4">
        <f>BB18+BF18-BG18</f>
        <v>1474.8100000000002</v>
      </c>
      <c r="BI18" s="9"/>
      <c r="BJ18" s="3"/>
      <c r="BK18" s="1"/>
      <c r="BL18" s="4"/>
      <c r="BM18" s="4"/>
      <c r="BN18" s="4">
        <f>BH18+BL18-BM18</f>
        <v>1474.8100000000002</v>
      </c>
      <c r="BO18" s="9"/>
      <c r="BP18" s="3"/>
      <c r="BQ18" s="1"/>
      <c r="BR18" s="4"/>
      <c r="BS18" s="4"/>
      <c r="BT18" s="4">
        <f>BN18+BR18-BS18</f>
        <v>1474.8100000000002</v>
      </c>
      <c r="BU18" s="9"/>
      <c r="BV18" s="3"/>
      <c r="BW18" s="1"/>
      <c r="BX18" s="4"/>
      <c r="BY18" s="4"/>
      <c r="BZ18" s="4">
        <f>BT18+BX18-BY18</f>
        <v>1474.8100000000002</v>
      </c>
      <c r="CA18" s="9"/>
      <c r="CB18" s="3"/>
      <c r="CC18" s="1"/>
      <c r="CD18" s="4"/>
      <c r="CE18" s="4"/>
      <c r="CF18" s="4">
        <f>BZ18+CD18-CE18</f>
        <v>1474.8100000000002</v>
      </c>
      <c r="CG18" s="4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</row>
    <row r="19" spans="1:102" x14ac:dyDescent="0.3">
      <c r="A19" s="1" t="s">
        <v>290</v>
      </c>
      <c r="B19" s="2" t="s">
        <v>291</v>
      </c>
      <c r="C19" s="3" t="s">
        <v>82</v>
      </c>
      <c r="D19" s="3" t="s">
        <v>298</v>
      </c>
      <c r="E19" s="16" t="s">
        <v>50</v>
      </c>
      <c r="F19" s="3"/>
      <c r="G19" s="5" t="s">
        <v>293</v>
      </c>
      <c r="H19" s="5" t="s">
        <v>112</v>
      </c>
      <c r="I19" s="6">
        <v>46144</v>
      </c>
      <c r="J19" s="6">
        <v>46509</v>
      </c>
      <c r="K19" s="7" t="s">
        <v>294</v>
      </c>
      <c r="L19" s="8"/>
      <c r="M19" s="9"/>
      <c r="N19" s="1"/>
      <c r="O19" s="10"/>
      <c r="P19" s="4"/>
      <c r="Q19" s="4"/>
      <c r="R19" s="4"/>
      <c r="S19" s="9"/>
      <c r="T19" s="1"/>
      <c r="U19" s="10"/>
      <c r="V19" s="4"/>
      <c r="W19" s="4"/>
      <c r="X19" s="4">
        <f t="shared" si="12"/>
        <v>0</v>
      </c>
      <c r="Y19" s="9"/>
      <c r="Z19" s="1"/>
      <c r="AA19" s="5"/>
      <c r="AB19" s="4"/>
      <c r="AC19" s="126"/>
      <c r="AD19" s="4">
        <f t="shared" si="11"/>
        <v>0</v>
      </c>
      <c r="AE19" s="9"/>
      <c r="AF19" s="1"/>
      <c r="AG19" s="5"/>
      <c r="AH19" s="4"/>
      <c r="AI19" s="4"/>
      <c r="AJ19" s="4">
        <f t="shared" si="2"/>
        <v>0</v>
      </c>
      <c r="AK19" s="9"/>
      <c r="AL19" s="1"/>
      <c r="AM19" s="5"/>
      <c r="AN19" s="4">
        <v>4801.1400000000003</v>
      </c>
      <c r="AO19" s="4"/>
      <c r="AP19" s="4">
        <f t="shared" si="3"/>
        <v>4801.1400000000003</v>
      </c>
      <c r="AQ19" s="82" t="s">
        <v>386</v>
      </c>
      <c r="AR19" s="1" t="s">
        <v>387</v>
      </c>
      <c r="AS19" s="5" t="s">
        <v>255</v>
      </c>
      <c r="AT19" s="4"/>
      <c r="AU19" s="4">
        <f>345.04+55.49</f>
        <v>400.53000000000003</v>
      </c>
      <c r="AV19" s="4">
        <f t="shared" si="4"/>
        <v>4400.6100000000006</v>
      </c>
      <c r="AW19" s="6">
        <v>46207</v>
      </c>
      <c r="AX19" s="1">
        <v>3253</v>
      </c>
      <c r="AY19" s="1">
        <v>2</v>
      </c>
      <c r="AZ19" s="4"/>
      <c r="BA19" s="4">
        <v>403.7</v>
      </c>
      <c r="BB19" s="4">
        <f t="shared" si="5"/>
        <v>3996.9100000000008</v>
      </c>
      <c r="BC19" s="9"/>
      <c r="BD19" s="3"/>
      <c r="BE19" s="1"/>
      <c r="BF19" s="4"/>
      <c r="BG19" s="8"/>
      <c r="BH19" s="4">
        <f t="shared" si="6"/>
        <v>3996.9100000000008</v>
      </c>
      <c r="BI19" s="9"/>
      <c r="BJ19" s="3"/>
      <c r="BK19" s="1"/>
      <c r="BL19" s="4"/>
      <c r="BM19" s="4"/>
      <c r="BN19" s="4">
        <f t="shared" si="7"/>
        <v>3996.9100000000008</v>
      </c>
      <c r="BO19" s="9"/>
      <c r="BP19" s="3"/>
      <c r="BQ19" s="1"/>
      <c r="BR19" s="4"/>
      <c r="BS19" s="4"/>
      <c r="BT19" s="4">
        <f t="shared" si="8"/>
        <v>3996.9100000000008</v>
      </c>
      <c r="BU19" s="9"/>
      <c r="BV19" s="3"/>
      <c r="BW19" s="1"/>
      <c r="BX19" s="4"/>
      <c r="BY19" s="4"/>
      <c r="BZ19" s="4">
        <f t="shared" si="9"/>
        <v>3996.9100000000008</v>
      </c>
      <c r="CA19" s="9"/>
      <c r="CB19" s="3"/>
      <c r="CC19" s="1"/>
      <c r="CD19" s="4"/>
      <c r="CE19" s="4"/>
      <c r="CF19" s="4">
        <f t="shared" si="10"/>
        <v>3996.9100000000008</v>
      </c>
      <c r="CG19" s="4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</row>
    <row r="20" spans="1:102" s="3" customFormat="1" x14ac:dyDescent="0.3">
      <c r="A20" s="1" t="s">
        <v>295</v>
      </c>
      <c r="B20" s="3" t="s">
        <v>85</v>
      </c>
      <c r="C20" s="3" t="s">
        <v>82</v>
      </c>
      <c r="D20" s="3" t="s">
        <v>297</v>
      </c>
      <c r="E20" s="16" t="s">
        <v>50</v>
      </c>
      <c r="G20" s="5" t="s">
        <v>293</v>
      </c>
      <c r="H20" s="5" t="s">
        <v>296</v>
      </c>
      <c r="I20" s="6">
        <v>46144</v>
      </c>
      <c r="J20" s="6">
        <v>46693</v>
      </c>
      <c r="K20" s="7">
        <v>5767.04</v>
      </c>
      <c r="L20" s="8"/>
      <c r="M20" s="9"/>
      <c r="N20" s="1"/>
      <c r="O20" s="10"/>
      <c r="P20" s="4"/>
      <c r="Q20" s="4"/>
      <c r="R20" s="4"/>
      <c r="S20" s="9"/>
      <c r="T20" s="1"/>
      <c r="U20" s="10"/>
      <c r="V20" s="4"/>
      <c r="W20" s="4"/>
      <c r="X20" s="4">
        <f t="shared" si="12"/>
        <v>0</v>
      </c>
      <c r="Y20" s="9"/>
      <c r="Z20" s="1"/>
      <c r="AA20" s="5"/>
      <c r="AB20" s="4"/>
      <c r="AC20" s="126"/>
      <c r="AD20" s="4">
        <f t="shared" si="11"/>
        <v>0</v>
      </c>
      <c r="AE20" s="9"/>
      <c r="AF20" s="1"/>
      <c r="AG20" s="5"/>
      <c r="AH20" s="4"/>
      <c r="AI20" s="4"/>
      <c r="AJ20" s="4">
        <f t="shared" si="2"/>
        <v>0</v>
      </c>
      <c r="AK20" s="9"/>
      <c r="AL20" s="1"/>
      <c r="AM20" s="5"/>
      <c r="AN20" s="4">
        <v>5767.04</v>
      </c>
      <c r="AO20" s="4"/>
      <c r="AP20" s="4">
        <f t="shared" si="3"/>
        <v>5767.04</v>
      </c>
      <c r="AQ20" s="104">
        <v>46175</v>
      </c>
      <c r="AR20" s="1">
        <v>3051</v>
      </c>
      <c r="AS20" s="1">
        <v>1</v>
      </c>
      <c r="AT20" s="4"/>
      <c r="AU20" s="4">
        <v>320.45</v>
      </c>
      <c r="AV20" s="4">
        <f t="shared" si="4"/>
        <v>5446.59</v>
      </c>
      <c r="AW20" s="6">
        <v>46205</v>
      </c>
      <c r="AX20" s="1">
        <v>3274</v>
      </c>
      <c r="AY20" s="1">
        <v>2</v>
      </c>
      <c r="AZ20" s="4"/>
      <c r="BA20" s="4">
        <v>322.56</v>
      </c>
      <c r="BB20" s="4">
        <f t="shared" si="5"/>
        <v>5124.03</v>
      </c>
      <c r="BC20" s="9"/>
      <c r="BE20" s="1"/>
      <c r="BF20" s="4"/>
      <c r="BG20" s="8"/>
      <c r="BH20" s="4">
        <f t="shared" si="6"/>
        <v>5124.03</v>
      </c>
      <c r="BI20" s="9"/>
      <c r="BK20" s="1"/>
      <c r="BL20" s="4"/>
      <c r="BM20" s="4"/>
      <c r="BN20" s="4">
        <f t="shared" si="7"/>
        <v>5124.03</v>
      </c>
      <c r="BO20" s="9"/>
      <c r="BQ20" s="1"/>
      <c r="BR20" s="4"/>
      <c r="BS20" s="4"/>
      <c r="BT20" s="4">
        <f t="shared" si="8"/>
        <v>5124.03</v>
      </c>
      <c r="BU20" s="9"/>
      <c r="BW20" s="1"/>
      <c r="BX20" s="4"/>
      <c r="BY20" s="4"/>
      <c r="BZ20" s="4">
        <f t="shared" si="9"/>
        <v>5124.03</v>
      </c>
      <c r="CA20" s="9"/>
      <c r="CC20" s="1"/>
      <c r="CD20" s="4"/>
      <c r="CE20" s="4"/>
      <c r="CF20" s="4">
        <f t="shared" si="10"/>
        <v>5124.03</v>
      </c>
      <c r="CG20" s="4"/>
    </row>
    <row r="21" spans="1:102" s="3" customFormat="1" x14ac:dyDescent="0.3">
      <c r="A21" s="1" t="s">
        <v>374</v>
      </c>
      <c r="B21" s="3" t="s">
        <v>375</v>
      </c>
      <c r="C21" s="3" t="s">
        <v>82</v>
      </c>
      <c r="D21" s="3" t="s">
        <v>376</v>
      </c>
      <c r="E21" s="16" t="s">
        <v>50</v>
      </c>
      <c r="F21" s="3" t="s">
        <v>372</v>
      </c>
      <c r="G21" s="5" t="s">
        <v>373</v>
      </c>
      <c r="H21" s="5" t="s">
        <v>112</v>
      </c>
      <c r="I21" s="6">
        <v>46179</v>
      </c>
      <c r="J21" s="6">
        <v>46544</v>
      </c>
      <c r="K21" s="7">
        <v>11363.64</v>
      </c>
      <c r="L21" s="8"/>
      <c r="M21" s="9"/>
      <c r="N21" s="1"/>
      <c r="O21" s="10"/>
      <c r="P21" s="4"/>
      <c r="Q21" s="4"/>
      <c r="R21" s="4"/>
      <c r="S21" s="9"/>
      <c r="T21" s="1"/>
      <c r="U21" s="10"/>
      <c r="V21" s="4"/>
      <c r="W21" s="4"/>
      <c r="X21" s="4"/>
      <c r="Y21" s="9"/>
      <c r="Z21" s="1"/>
      <c r="AA21" s="5"/>
      <c r="AB21" s="4"/>
      <c r="AC21" s="126"/>
      <c r="AD21" s="4"/>
      <c r="AE21" s="9"/>
      <c r="AF21" s="1"/>
      <c r="AG21" s="5"/>
      <c r="AH21" s="4"/>
      <c r="AI21" s="4"/>
      <c r="AJ21" s="4"/>
      <c r="AK21" s="9"/>
      <c r="AL21" s="1"/>
      <c r="AM21" s="5"/>
      <c r="AN21" s="4"/>
      <c r="AO21" s="4"/>
      <c r="AP21" s="4">
        <f t="shared" si="3"/>
        <v>0</v>
      </c>
      <c r="AQ21" s="9"/>
      <c r="AR21" s="1"/>
      <c r="AS21" s="1"/>
      <c r="AT21" s="4">
        <v>11363.64</v>
      </c>
      <c r="AU21" s="4"/>
      <c r="AV21" s="4">
        <f t="shared" si="4"/>
        <v>11363.64</v>
      </c>
      <c r="AW21" s="6">
        <v>46210</v>
      </c>
      <c r="AX21" s="1">
        <v>3267</v>
      </c>
      <c r="AY21" s="1">
        <v>1</v>
      </c>
      <c r="AZ21" s="4"/>
      <c r="BA21" s="4">
        <v>947.84</v>
      </c>
      <c r="BB21" s="4">
        <f t="shared" si="5"/>
        <v>10415.799999999999</v>
      </c>
      <c r="BC21" s="9"/>
      <c r="BE21" s="1"/>
      <c r="BF21" s="4"/>
      <c r="BG21" s="8"/>
      <c r="BH21" s="4">
        <f t="shared" si="6"/>
        <v>10415.799999999999</v>
      </c>
      <c r="BI21" s="9"/>
      <c r="BK21" s="1"/>
      <c r="BL21" s="4"/>
      <c r="BM21" s="4"/>
      <c r="BN21" s="4">
        <f t="shared" si="7"/>
        <v>10415.799999999999</v>
      </c>
      <c r="BO21" s="9"/>
      <c r="BQ21" s="1"/>
      <c r="BR21" s="4"/>
      <c r="BS21" s="4"/>
      <c r="BT21" s="4">
        <f t="shared" si="8"/>
        <v>10415.799999999999</v>
      </c>
      <c r="BU21" s="9"/>
      <c r="BW21" s="1"/>
      <c r="BX21" s="4"/>
      <c r="BY21" s="4"/>
      <c r="BZ21" s="4">
        <f t="shared" si="9"/>
        <v>10415.799999999999</v>
      </c>
      <c r="CA21" s="9"/>
      <c r="CC21" s="1"/>
      <c r="CD21" s="4"/>
      <c r="CE21" s="4"/>
      <c r="CF21" s="4">
        <f t="shared" si="10"/>
        <v>10415.799999999999</v>
      </c>
      <c r="CG21" s="4"/>
    </row>
    <row r="22" spans="1:102" x14ac:dyDescent="0.3">
      <c r="A22" s="1" t="s">
        <v>242</v>
      </c>
      <c r="B22" s="2" t="s">
        <v>388</v>
      </c>
      <c r="C22" s="3" t="s">
        <v>82</v>
      </c>
      <c r="D22" s="3" t="s">
        <v>389</v>
      </c>
      <c r="E22" s="16" t="s">
        <v>48</v>
      </c>
      <c r="F22" s="3" t="s">
        <v>390</v>
      </c>
      <c r="G22" s="5" t="s">
        <v>391</v>
      </c>
      <c r="H22" s="5" t="s">
        <v>112</v>
      </c>
      <c r="I22" s="6">
        <v>46189</v>
      </c>
      <c r="J22" s="6">
        <v>46554</v>
      </c>
      <c r="K22" s="174">
        <v>5681.82</v>
      </c>
      <c r="L22" s="8"/>
      <c r="M22" s="9"/>
      <c r="N22" s="1"/>
      <c r="O22" s="10"/>
      <c r="P22" s="4"/>
      <c r="Q22" s="4"/>
      <c r="R22" s="4"/>
      <c r="S22" s="9"/>
      <c r="T22" s="1"/>
      <c r="U22" s="5"/>
      <c r="V22" s="4"/>
      <c r="W22" s="4"/>
      <c r="X22" s="4">
        <f t="shared" si="12"/>
        <v>0</v>
      </c>
      <c r="Y22" s="9"/>
      <c r="Z22" s="1"/>
      <c r="AA22" s="5"/>
      <c r="AB22" s="4"/>
      <c r="AC22" s="126"/>
      <c r="AD22" s="4">
        <f t="shared" si="11"/>
        <v>0</v>
      </c>
      <c r="AE22" s="9"/>
      <c r="AF22" s="1"/>
      <c r="AG22" s="5"/>
      <c r="AH22" s="4"/>
      <c r="AI22" s="4"/>
      <c r="AJ22" s="4">
        <f t="shared" si="2"/>
        <v>0</v>
      </c>
      <c r="AK22" s="9"/>
      <c r="AL22" s="1"/>
      <c r="AM22" s="5"/>
      <c r="AN22" s="4"/>
      <c r="AO22" s="4"/>
      <c r="AP22" s="4">
        <f t="shared" si="3"/>
        <v>0</v>
      </c>
      <c r="AQ22" s="9"/>
      <c r="AR22" s="1"/>
      <c r="AS22" s="1"/>
      <c r="AT22" s="4">
        <v>5681.82</v>
      </c>
      <c r="AU22" s="4"/>
      <c r="AV22" s="4">
        <f t="shared" si="4"/>
        <v>5681.82</v>
      </c>
      <c r="AW22" s="6" t="s">
        <v>425</v>
      </c>
      <c r="AX22" s="1" t="s">
        <v>426</v>
      </c>
      <c r="AY22" s="5" t="s">
        <v>427</v>
      </c>
      <c r="AZ22" s="4"/>
      <c r="BA22" s="4">
        <f>457.48+526.95+4697.39</f>
        <v>5681.8200000000006</v>
      </c>
      <c r="BB22" s="4">
        <f>AV22+AZ22-BA22</f>
        <v>0</v>
      </c>
      <c r="BC22" s="9"/>
      <c r="BD22" s="3"/>
      <c r="BE22" s="1"/>
      <c r="BF22" s="4"/>
      <c r="BG22" s="8"/>
      <c r="BH22" s="4">
        <f t="shared" si="6"/>
        <v>0</v>
      </c>
      <c r="BI22" s="9"/>
      <c r="BJ22" s="3"/>
      <c r="BK22" s="1"/>
      <c r="BL22" s="4"/>
      <c r="BM22" s="4"/>
      <c r="BN22" s="4">
        <f t="shared" si="7"/>
        <v>0</v>
      </c>
      <c r="BO22" s="9"/>
      <c r="BP22" s="3"/>
      <c r="BQ22" s="1"/>
      <c r="BR22" s="4"/>
      <c r="BS22" s="4"/>
      <c r="BT22" s="4">
        <f t="shared" si="8"/>
        <v>0</v>
      </c>
      <c r="BU22" s="9"/>
      <c r="BV22" s="3"/>
      <c r="BW22" s="1"/>
      <c r="BX22" s="4"/>
      <c r="BY22" s="4"/>
      <c r="BZ22" s="4">
        <f t="shared" si="9"/>
        <v>0</v>
      </c>
      <c r="CA22" s="9"/>
      <c r="CB22" s="3"/>
      <c r="CC22" s="1"/>
      <c r="CD22" s="4"/>
      <c r="CE22" s="4"/>
      <c r="CF22" s="4">
        <f t="shared" si="10"/>
        <v>0</v>
      </c>
      <c r="CG22" s="4" t="s">
        <v>113</v>
      </c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</row>
    <row r="23" spans="1:102" x14ac:dyDescent="0.3">
      <c r="A23" s="1" t="s">
        <v>419</v>
      </c>
      <c r="B23" s="3" t="s">
        <v>420</v>
      </c>
      <c r="C23" s="3" t="s">
        <v>82</v>
      </c>
      <c r="D23" s="3" t="s">
        <v>424</v>
      </c>
      <c r="E23" s="16" t="s">
        <v>48</v>
      </c>
      <c r="F23" s="3" t="s">
        <v>421</v>
      </c>
      <c r="G23" s="5" t="s">
        <v>422</v>
      </c>
      <c r="H23" s="5" t="s">
        <v>423</v>
      </c>
      <c r="I23" s="6">
        <v>46227</v>
      </c>
      <c r="J23" s="6">
        <v>46592</v>
      </c>
      <c r="K23" s="7">
        <v>11363.36</v>
      </c>
      <c r="L23" s="8"/>
      <c r="M23" s="9"/>
      <c r="N23" s="1"/>
      <c r="O23" s="10"/>
      <c r="P23" s="4"/>
      <c r="Q23" s="4"/>
      <c r="R23" s="4"/>
      <c r="S23" s="9"/>
      <c r="T23" s="1"/>
      <c r="U23" s="10"/>
      <c r="V23" s="3"/>
      <c r="W23" s="17"/>
      <c r="X23" s="4">
        <f>R23+V23-W23</f>
        <v>0</v>
      </c>
      <c r="Y23" s="104"/>
      <c r="Z23" s="3"/>
      <c r="AA23" s="5"/>
      <c r="AB23" s="3"/>
      <c r="AC23" s="127"/>
      <c r="AD23" s="4">
        <f>X23+AB23-AC23</f>
        <v>0</v>
      </c>
      <c r="AE23" s="104"/>
      <c r="AF23" s="1"/>
      <c r="AG23" s="5"/>
      <c r="AH23" s="4"/>
      <c r="AI23" s="17"/>
      <c r="AJ23" s="4">
        <f>AD23+AH23-AI23</f>
        <v>0</v>
      </c>
      <c r="AK23" s="9"/>
      <c r="AL23" s="1"/>
      <c r="AM23" s="123"/>
      <c r="AN23" s="4"/>
      <c r="AO23" s="4"/>
      <c r="AP23" s="4">
        <f>AJ23+AN23-AO23</f>
        <v>0</v>
      </c>
      <c r="AQ23" s="4"/>
      <c r="AR23" s="13"/>
      <c r="AS23" s="13"/>
      <c r="AT23" s="4"/>
      <c r="AU23" s="4"/>
      <c r="AV23" s="4">
        <f>AP23+AT23-AU23</f>
        <v>0</v>
      </c>
      <c r="AW23" s="13"/>
      <c r="AX23" s="13"/>
      <c r="AY23" s="4"/>
      <c r="AZ23" s="4">
        <v>11363.36</v>
      </c>
      <c r="BA23" s="4"/>
      <c r="BB23" s="4">
        <f>AV23+AZ23-BA23</f>
        <v>11363.36</v>
      </c>
      <c r="BC23" s="4"/>
      <c r="BD23" s="4"/>
      <c r="BE23" s="4"/>
      <c r="BF23" s="4"/>
      <c r="BG23" s="4"/>
      <c r="BH23" s="4">
        <f>BB23+BF23-BG23</f>
        <v>11363.36</v>
      </c>
      <c r="BI23" s="4"/>
      <c r="BJ23" s="4"/>
      <c r="BK23" s="4"/>
      <c r="BL23" s="4"/>
      <c r="BM23" s="4"/>
      <c r="BN23" s="4">
        <f>BH23+BL23-BM23</f>
        <v>11363.36</v>
      </c>
      <c r="BO23" s="4"/>
      <c r="BP23" s="4"/>
      <c r="BQ23" s="19"/>
      <c r="BR23" s="19"/>
      <c r="BS23" s="19"/>
      <c r="BT23" s="4">
        <f>BN23+BR23-BS23</f>
        <v>11363.36</v>
      </c>
      <c r="BU23" s="19"/>
      <c r="BV23" s="19"/>
      <c r="BW23" s="5"/>
      <c r="BX23" s="5"/>
      <c r="BY23" s="4"/>
      <c r="BZ23" s="4">
        <f>BT23+BX23-BY23</f>
        <v>11363.36</v>
      </c>
      <c r="CA23" s="9"/>
      <c r="CB23" s="19"/>
      <c r="CC23" s="1"/>
      <c r="CD23" s="17"/>
      <c r="CE23" s="17"/>
      <c r="CF23" s="4">
        <f>BZ23+CD23-CE23</f>
        <v>11363.36</v>
      </c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</row>
    <row r="24" spans="1:102" x14ac:dyDescent="0.3">
      <c r="A24" s="1"/>
      <c r="B24" s="2"/>
      <c r="C24" s="3"/>
      <c r="D24" s="3"/>
      <c r="F24" s="3"/>
      <c r="G24" s="5"/>
      <c r="H24" s="5"/>
      <c r="I24" s="6"/>
      <c r="J24" s="6"/>
      <c r="K24" s="7"/>
      <c r="L24" s="8"/>
      <c r="M24" s="9"/>
      <c r="N24" s="1"/>
      <c r="O24" s="10"/>
      <c r="P24" s="4"/>
      <c r="Q24" s="4"/>
      <c r="R24" s="4"/>
      <c r="S24" s="9"/>
      <c r="T24" s="1"/>
      <c r="U24" s="5"/>
      <c r="V24" s="4"/>
      <c r="W24" s="4"/>
      <c r="X24" s="4"/>
      <c r="Y24" s="9"/>
      <c r="Z24" s="1"/>
      <c r="AA24" s="5"/>
      <c r="AB24" s="4"/>
      <c r="AC24" s="126"/>
      <c r="AD24" s="4"/>
      <c r="AE24" s="9"/>
      <c r="AF24" s="1"/>
      <c r="AG24" s="5"/>
      <c r="AH24" s="4"/>
      <c r="AI24" s="4"/>
      <c r="AJ24" s="4"/>
      <c r="AK24" s="9"/>
      <c r="AL24" s="1"/>
      <c r="AM24" s="5"/>
      <c r="AN24" s="4"/>
      <c r="AO24" s="4"/>
      <c r="AP24" s="4"/>
      <c r="AQ24" s="9"/>
      <c r="AR24" s="1"/>
      <c r="AS24" s="1"/>
      <c r="AT24" s="4"/>
      <c r="AU24" s="4"/>
      <c r="AV24" s="4">
        <f t="shared" ref="AV24:AV25" si="13">AP24+AT24-AU24</f>
        <v>0</v>
      </c>
      <c r="AW24" s="6"/>
      <c r="AX24" s="1"/>
      <c r="AY24" s="1"/>
      <c r="AZ24" s="4"/>
      <c r="BA24" s="4"/>
      <c r="BB24" s="4"/>
      <c r="BC24" s="9"/>
      <c r="BD24" s="3"/>
      <c r="BE24" s="1"/>
      <c r="BF24" s="4"/>
      <c r="BG24" s="8"/>
      <c r="BH24" s="4"/>
      <c r="BI24" s="9"/>
      <c r="BJ24" s="3"/>
      <c r="BK24" s="1"/>
      <c r="BL24" s="4"/>
      <c r="BM24" s="4"/>
      <c r="BN24" s="4"/>
      <c r="BO24" s="9"/>
      <c r="BP24" s="3"/>
      <c r="BQ24" s="1"/>
      <c r="BR24" s="4"/>
      <c r="BS24" s="4"/>
      <c r="BT24" s="4"/>
      <c r="BU24" s="9"/>
      <c r="BV24" s="3"/>
      <c r="BW24" s="1"/>
      <c r="BX24" s="4"/>
      <c r="BY24" s="4"/>
      <c r="BZ24" s="4"/>
      <c r="CA24" s="9"/>
      <c r="CB24" s="3"/>
      <c r="CC24" s="1"/>
      <c r="CD24" s="4"/>
      <c r="CE24" s="4"/>
      <c r="CF24" s="4"/>
      <c r="CG24" s="4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</row>
    <row r="25" spans="1:102" x14ac:dyDescent="0.3">
      <c r="AV25" s="4">
        <f t="shared" si="13"/>
        <v>0</v>
      </c>
    </row>
    <row r="26" spans="1:102" s="73" customFormat="1" x14ac:dyDescent="0.3">
      <c r="A26" s="74"/>
      <c r="B26" s="105" t="s">
        <v>236</v>
      </c>
      <c r="G26" s="130"/>
      <c r="H26" s="130"/>
      <c r="I26" s="113"/>
      <c r="J26" s="113"/>
      <c r="K26" s="134">
        <f>SUM(K7:K24)</f>
        <v>169646.42000000004</v>
      </c>
      <c r="L26" s="76"/>
      <c r="M26" s="77"/>
      <c r="N26" s="74"/>
      <c r="O26" s="78"/>
      <c r="P26" s="107">
        <f>SUM(P7:P24)</f>
        <v>5937.5</v>
      </c>
      <c r="Q26" s="75"/>
      <c r="R26" s="107">
        <f>SUM(R7:R22)</f>
        <v>5937.5</v>
      </c>
      <c r="S26" s="77"/>
      <c r="T26" s="74"/>
      <c r="U26" s="78"/>
      <c r="V26" s="115">
        <f>SUM(V7:V24)</f>
        <v>88664.770000000019</v>
      </c>
      <c r="W26" s="107">
        <f>SUM(W7:W24)</f>
        <v>247.97</v>
      </c>
      <c r="X26" s="107">
        <f>SUM(X7:X22)</f>
        <v>94354.300000000017</v>
      </c>
      <c r="Y26" s="84"/>
      <c r="AA26" s="130"/>
      <c r="AB26" s="115">
        <f>SUM(AB7:AB24)</f>
        <v>40868.29</v>
      </c>
      <c r="AC26" s="128">
        <f>SUM(AC7:AC24)</f>
        <v>24918.649999999998</v>
      </c>
      <c r="AD26" s="107">
        <f>SUM(AD7:AD22)</f>
        <v>110303.94000000002</v>
      </c>
      <c r="AE26" s="84"/>
      <c r="AF26" s="74"/>
      <c r="AG26" s="130"/>
      <c r="AH26" s="75">
        <f>SUM(AH7:AH24)</f>
        <v>0</v>
      </c>
      <c r="AI26" s="107">
        <f>SUM(AI7:AI22)</f>
        <v>5848.6500000000005</v>
      </c>
      <c r="AJ26" s="107">
        <f>SUM(AJ7:AJ22)</f>
        <v>104455.29000000002</v>
      </c>
      <c r="AK26" s="77"/>
      <c r="AL26" s="74"/>
      <c r="AM26" s="130"/>
      <c r="AN26" s="107">
        <f>SUM(AN7:AN24)</f>
        <v>10568.18</v>
      </c>
      <c r="AO26" s="107">
        <f>SUM(AO7:AO24)</f>
        <v>50569.140000000007</v>
      </c>
      <c r="AP26" s="107">
        <f t="shared" si="3"/>
        <v>64454.330000000024</v>
      </c>
      <c r="AQ26" s="77"/>
      <c r="AR26" s="74"/>
      <c r="AS26" s="74"/>
      <c r="AT26" s="107">
        <f>SUM(AT7:AT24)</f>
        <v>17045.46</v>
      </c>
      <c r="AU26" s="107">
        <f>SUM(AU7:AU24)</f>
        <v>6206.3899999999994</v>
      </c>
      <c r="AV26" s="107">
        <f>SUM(AV7:AV22)</f>
        <v>75293.399999999994</v>
      </c>
      <c r="AW26" s="113"/>
      <c r="AX26" s="74"/>
      <c r="AY26" s="74"/>
      <c r="AZ26" s="107">
        <f>SUM(AZ7:AZ24)</f>
        <v>11363.36</v>
      </c>
      <c r="BA26" s="107">
        <f>SUM(BA7:BA24)</f>
        <v>12968.850000000002</v>
      </c>
      <c r="BB26" s="107">
        <f>SUM(BB7:BB22)</f>
        <v>62324.55</v>
      </c>
      <c r="BC26" s="84"/>
      <c r="BF26" s="114">
        <f>SUM(BF7:BF24)</f>
        <v>0</v>
      </c>
      <c r="BG26" s="85">
        <f>SUM(BG7:BG24)</f>
        <v>0</v>
      </c>
      <c r="BH26" s="107">
        <f t="shared" si="6"/>
        <v>62324.55</v>
      </c>
      <c r="BI26" s="84"/>
      <c r="BL26" s="114">
        <f>SUM(BL7:BL24)</f>
        <v>0</v>
      </c>
      <c r="BM26" s="114">
        <f>SUM(BM7:BM24)</f>
        <v>0</v>
      </c>
      <c r="BN26" s="107">
        <f>SUM(BN7:BN22)</f>
        <v>62324.55</v>
      </c>
      <c r="BO26" s="107"/>
      <c r="BR26" s="114">
        <f>SUM(BR7:BR24)</f>
        <v>0</v>
      </c>
      <c r="BS26" s="114">
        <f>SUM(BS7:BS24)</f>
        <v>0</v>
      </c>
      <c r="BT26" s="107">
        <f>SUM(BT7:BT22)</f>
        <v>62324.55</v>
      </c>
      <c r="BU26" s="84"/>
      <c r="BX26" s="114">
        <f>SUM(BX7:BX24)</f>
        <v>0</v>
      </c>
      <c r="BY26" s="114">
        <f>SUM(BY7:BY24)</f>
        <v>0</v>
      </c>
      <c r="BZ26" s="107">
        <f>SUM( BZ7:BZ22)</f>
        <v>62324.55</v>
      </c>
      <c r="CA26" s="107"/>
      <c r="CB26" s="107"/>
      <c r="CC26" s="74"/>
      <c r="CD26" s="75">
        <f>SUM(CD7:CD24)</f>
        <v>0</v>
      </c>
      <c r="CE26" s="75">
        <f>SUM(CE7:CE24)</f>
        <v>0</v>
      </c>
      <c r="CF26" s="107">
        <f>SUM(CF7:CF22)</f>
        <v>62324.55</v>
      </c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</row>
    <row r="27" spans="1:102" x14ac:dyDescent="0.3">
      <c r="A27" s="1"/>
      <c r="B27" s="3"/>
      <c r="C27" s="3"/>
      <c r="D27" s="3"/>
      <c r="E27" s="3"/>
      <c r="F27" s="3"/>
      <c r="G27" s="5"/>
      <c r="H27" s="5"/>
      <c r="I27" s="6"/>
      <c r="J27" s="6"/>
      <c r="K27" s="7"/>
      <c r="L27" s="8"/>
      <c r="M27" s="9"/>
      <c r="N27" s="1"/>
      <c r="O27" s="10"/>
      <c r="P27" s="4"/>
      <c r="Q27" s="4"/>
      <c r="R27" s="4"/>
      <c r="S27" s="9"/>
      <c r="T27" s="1"/>
      <c r="U27" s="10"/>
      <c r="V27" s="3"/>
      <c r="W27" s="17"/>
      <c r="X27" s="17"/>
      <c r="Y27" s="104"/>
      <c r="Z27" s="3"/>
      <c r="AA27" s="5"/>
      <c r="AB27" s="3"/>
      <c r="AC27" s="127"/>
      <c r="AD27" s="4"/>
      <c r="AE27" s="104"/>
      <c r="AF27" s="1"/>
      <c r="AG27" s="5"/>
      <c r="AH27" s="4"/>
      <c r="AI27" s="17"/>
      <c r="AJ27" s="17"/>
      <c r="AK27" s="9"/>
      <c r="AL27" s="1"/>
      <c r="AM27" s="123"/>
      <c r="AN27" s="4"/>
      <c r="AO27" s="4"/>
      <c r="AP27" s="17"/>
      <c r="AQ27" s="19"/>
      <c r="AT27" s="17"/>
      <c r="AU27" s="17"/>
      <c r="AV27" s="4"/>
      <c r="AW27" s="118"/>
      <c r="AY27" s="20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19"/>
      <c r="BT27" s="19"/>
      <c r="BU27" s="19"/>
      <c r="BV27" s="19"/>
      <c r="BW27" s="19"/>
      <c r="BX27" s="19"/>
      <c r="BY27" s="19"/>
      <c r="BZ27" s="19"/>
      <c r="CA27" s="9"/>
      <c r="CB27" s="19"/>
      <c r="CC27" s="19"/>
      <c r="CD27" s="19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</row>
    <row r="28" spans="1:102" s="73" customFormat="1" x14ac:dyDescent="0.3">
      <c r="A28" s="1"/>
      <c r="B28" s="3"/>
      <c r="C28" s="3"/>
      <c r="D28" s="3"/>
      <c r="E28" s="3"/>
      <c r="F28" s="3"/>
      <c r="G28" s="5"/>
      <c r="H28" s="5"/>
      <c r="I28" s="6"/>
      <c r="J28" s="6"/>
      <c r="K28" s="7"/>
      <c r="L28" s="8"/>
      <c r="M28" s="9"/>
      <c r="N28" s="1"/>
      <c r="O28" s="10"/>
      <c r="P28" s="4"/>
      <c r="Q28" s="4"/>
      <c r="R28" s="4"/>
      <c r="S28" s="9"/>
      <c r="T28" s="1"/>
      <c r="U28" s="10"/>
      <c r="V28" s="3"/>
      <c r="W28" s="17"/>
      <c r="X28" s="17"/>
      <c r="Y28" s="104"/>
      <c r="Z28" s="3"/>
      <c r="AA28" s="5"/>
      <c r="AB28" s="3"/>
      <c r="AC28" s="127"/>
      <c r="AD28" s="4"/>
      <c r="AE28" s="104"/>
      <c r="AF28" s="1"/>
      <c r="AG28" s="5"/>
      <c r="AH28" s="4"/>
      <c r="AI28" s="17"/>
      <c r="AJ28" s="17"/>
      <c r="AK28" s="9"/>
      <c r="AL28" s="1"/>
      <c r="AM28" s="123"/>
      <c r="AN28" s="4"/>
      <c r="AO28" s="4"/>
      <c r="AP28" s="17"/>
      <c r="AQ28" s="19"/>
      <c r="AR28" s="20"/>
      <c r="AS28" s="20"/>
      <c r="AT28" s="17"/>
      <c r="AU28" s="17"/>
      <c r="AV28" s="4"/>
      <c r="AW28" s="118"/>
      <c r="AX28" s="20"/>
      <c r="AY28" s="20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19"/>
      <c r="BT28" s="19"/>
      <c r="BU28" s="19"/>
      <c r="BV28" s="19"/>
      <c r="BW28" s="19"/>
      <c r="BX28" s="19"/>
      <c r="BY28" s="19"/>
      <c r="BZ28" s="19"/>
      <c r="CA28" s="9"/>
      <c r="CB28" s="19"/>
      <c r="CC28" s="19"/>
      <c r="CD28" s="19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</row>
    <row r="29" spans="1:102" x14ac:dyDescent="0.3">
      <c r="A29" s="1"/>
      <c r="B29" s="3"/>
      <c r="C29" s="3"/>
      <c r="D29" s="3"/>
      <c r="E29" s="3"/>
      <c r="F29" s="3"/>
      <c r="G29" s="5"/>
      <c r="H29" s="5"/>
      <c r="I29" s="6"/>
      <c r="J29" s="6"/>
      <c r="K29" s="7"/>
      <c r="L29" s="8"/>
      <c r="M29" s="9"/>
      <c r="N29" s="1"/>
      <c r="O29" s="10"/>
      <c r="P29" s="4"/>
      <c r="Q29" s="4"/>
      <c r="R29" s="4"/>
      <c r="S29" s="9"/>
      <c r="T29" s="1"/>
      <c r="U29" s="10"/>
      <c r="V29" s="3"/>
      <c r="W29" s="17"/>
      <c r="X29" s="17"/>
      <c r="Y29" s="104"/>
      <c r="Z29" s="3"/>
      <c r="AA29" s="5"/>
      <c r="AB29" s="3"/>
      <c r="AC29" s="127"/>
      <c r="AD29" s="4"/>
      <c r="AE29" s="104"/>
      <c r="AF29" s="1"/>
      <c r="AG29" s="5"/>
      <c r="AH29" s="4"/>
      <c r="AI29" s="17"/>
      <c r="AJ29" s="17"/>
      <c r="AK29" s="9"/>
      <c r="AL29" s="1"/>
      <c r="AM29" s="123"/>
      <c r="AN29" s="4"/>
      <c r="AO29" s="4"/>
      <c r="AP29" s="17"/>
      <c r="AQ29" s="19"/>
      <c r="AT29" s="17"/>
      <c r="AU29" s="17"/>
      <c r="AV29" s="4"/>
      <c r="AW29" s="118"/>
      <c r="AY29" s="20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19"/>
      <c r="BT29" s="19"/>
      <c r="BU29" s="19"/>
      <c r="BV29" s="19"/>
      <c r="BW29" s="19"/>
      <c r="BX29" s="19"/>
      <c r="BY29" s="19"/>
      <c r="BZ29" s="19"/>
      <c r="CA29" s="9"/>
      <c r="CB29" s="19"/>
      <c r="CC29" s="19"/>
      <c r="CD29" s="19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</row>
    <row r="30" spans="1:102" s="73" customFormat="1" x14ac:dyDescent="0.3">
      <c r="A30" s="1"/>
      <c r="B30" s="3"/>
      <c r="C30" s="3"/>
      <c r="D30" s="3"/>
      <c r="E30" s="3"/>
      <c r="F30" s="3"/>
      <c r="G30" s="5"/>
      <c r="H30" s="5"/>
      <c r="I30" s="6"/>
      <c r="J30" s="6"/>
      <c r="K30" s="7"/>
      <c r="L30" s="8"/>
      <c r="M30" s="9"/>
      <c r="N30" s="1"/>
      <c r="O30" s="10"/>
      <c r="P30" s="4"/>
      <c r="Q30" s="4"/>
      <c r="R30" s="4"/>
      <c r="S30" s="9"/>
      <c r="T30" s="1"/>
      <c r="U30" s="10"/>
      <c r="V30" s="3"/>
      <c r="W30" s="17"/>
      <c r="X30" s="17"/>
      <c r="Y30" s="104"/>
      <c r="Z30" s="116">
        <f>AB26/V26</f>
        <v>0.46093042366206999</v>
      </c>
      <c r="AA30" s="5"/>
      <c r="AB30" s="3"/>
      <c r="AC30" s="127"/>
      <c r="AD30" s="4"/>
      <c r="AE30" s="104"/>
      <c r="AF30" s="1"/>
      <c r="AG30" s="5"/>
      <c r="AH30" s="4"/>
      <c r="AI30" s="17"/>
      <c r="AJ30" s="17"/>
      <c r="AK30" s="9"/>
      <c r="AL30" s="1"/>
      <c r="AM30" s="123"/>
      <c r="AN30" s="4"/>
      <c r="AO30" s="4"/>
      <c r="AP30" s="17"/>
      <c r="AQ30" s="19"/>
      <c r="AR30" s="20"/>
      <c r="AS30" s="20"/>
      <c r="AT30" s="17"/>
      <c r="AU30" s="17"/>
      <c r="AV30" s="4"/>
      <c r="AW30" s="118"/>
      <c r="AX30" s="20"/>
      <c r="AY30" s="20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19"/>
      <c r="BT30" s="19"/>
      <c r="BU30" s="19"/>
      <c r="BV30" s="19"/>
      <c r="BW30" s="19"/>
      <c r="BX30" s="19"/>
      <c r="BY30" s="19"/>
      <c r="BZ30" s="19"/>
      <c r="CA30" s="9"/>
      <c r="CB30" s="19"/>
      <c r="CC30" s="19"/>
      <c r="CD30" s="19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</row>
    <row r="31" spans="1:102" s="73" customFormat="1" x14ac:dyDescent="0.3">
      <c r="A31" s="1"/>
      <c r="B31" s="3"/>
      <c r="C31" s="3"/>
      <c r="D31" s="3"/>
      <c r="E31" s="3"/>
      <c r="F31" s="3"/>
      <c r="G31" s="5"/>
      <c r="H31" s="5"/>
      <c r="I31" s="6"/>
      <c r="J31" s="6"/>
      <c r="K31" s="7"/>
      <c r="L31" s="8"/>
      <c r="M31" s="9"/>
      <c r="N31" s="1"/>
      <c r="O31" s="10"/>
      <c r="P31" s="4"/>
      <c r="Q31" s="4"/>
      <c r="R31" s="4"/>
      <c r="S31" s="9"/>
      <c r="T31" s="1"/>
      <c r="U31" s="10"/>
      <c r="V31" s="3"/>
      <c r="W31" s="17"/>
      <c r="X31" s="17"/>
      <c r="Y31" s="104"/>
      <c r="Z31" s="3"/>
      <c r="AA31" s="5"/>
      <c r="AB31" s="3"/>
      <c r="AC31" s="127"/>
      <c r="AD31" s="4"/>
      <c r="AE31" s="104"/>
      <c r="AF31" s="1"/>
      <c r="AG31" s="5"/>
      <c r="AH31" s="4"/>
      <c r="AI31" s="17"/>
      <c r="AJ31" s="17"/>
      <c r="AK31" s="9"/>
      <c r="AL31" s="1"/>
      <c r="AM31" s="123"/>
      <c r="AN31" s="4"/>
      <c r="AO31" s="4"/>
      <c r="AP31" s="17"/>
      <c r="AQ31" s="19"/>
      <c r="AR31" s="20"/>
      <c r="AS31" s="20"/>
      <c r="AT31" s="17"/>
      <c r="AU31" s="17"/>
      <c r="AV31" s="4"/>
      <c r="AW31" s="118"/>
      <c r="AX31" s="20"/>
      <c r="AY31" s="20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19"/>
      <c r="BT31" s="19"/>
      <c r="BU31" s="19"/>
      <c r="BV31" s="19"/>
      <c r="BW31" s="19"/>
      <c r="BX31" s="19"/>
      <c r="BY31" s="19"/>
      <c r="BZ31" s="19"/>
      <c r="CA31" s="9"/>
      <c r="CB31" s="19"/>
      <c r="CC31" s="19"/>
      <c r="CD31" s="19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</row>
    <row r="32" spans="1:102" s="73" customFormat="1" x14ac:dyDescent="0.3">
      <c r="A32" s="1"/>
      <c r="B32" s="3"/>
      <c r="C32" s="3"/>
      <c r="D32" s="3"/>
      <c r="E32" s="3"/>
      <c r="F32" s="3"/>
      <c r="G32" s="5"/>
      <c r="H32" s="5"/>
      <c r="I32" s="6"/>
      <c r="J32" s="6"/>
      <c r="K32" s="7"/>
      <c r="L32" s="8"/>
      <c r="M32" s="9"/>
      <c r="N32" s="1"/>
      <c r="O32" s="10"/>
      <c r="P32" s="4"/>
      <c r="Q32" s="4"/>
      <c r="R32" s="4"/>
      <c r="S32" s="9"/>
      <c r="T32" s="1"/>
      <c r="U32" s="10"/>
      <c r="V32" s="3"/>
      <c r="W32" s="17"/>
      <c r="X32" s="17"/>
      <c r="Y32" s="104"/>
      <c r="Z32" s="3"/>
      <c r="AA32" s="5"/>
      <c r="AB32" s="3"/>
      <c r="AC32" s="127"/>
      <c r="AD32" s="4"/>
      <c r="AE32" s="104"/>
      <c r="AF32" s="1"/>
      <c r="AG32" s="5"/>
      <c r="AH32" s="4"/>
      <c r="AI32" s="17"/>
      <c r="AJ32" s="17"/>
      <c r="AK32" s="9"/>
      <c r="AL32" s="1"/>
      <c r="AM32" s="123"/>
      <c r="AN32" s="4"/>
      <c r="AO32" s="4"/>
      <c r="AP32" s="17"/>
      <c r="AQ32" s="19"/>
      <c r="AR32" s="20"/>
      <c r="AS32" s="20"/>
      <c r="AT32" s="17"/>
      <c r="AU32" s="17"/>
      <c r="AV32" s="4"/>
      <c r="AW32" s="118"/>
      <c r="AX32" s="20"/>
      <c r="AY32" s="20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19"/>
      <c r="BT32" s="19"/>
      <c r="BU32" s="19"/>
      <c r="BV32" s="19"/>
      <c r="BW32" s="19"/>
      <c r="BX32" s="19"/>
      <c r="BY32" s="19"/>
      <c r="BZ32" s="19"/>
      <c r="CA32" s="9"/>
      <c r="CB32" s="19"/>
      <c r="CC32" s="19"/>
      <c r="CD32" s="19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73" customFormat="1" x14ac:dyDescent="0.3">
      <c r="A33" s="1"/>
      <c r="B33" s="3"/>
      <c r="C33" s="3"/>
      <c r="D33" s="3"/>
      <c r="E33" s="3"/>
      <c r="F33" s="3"/>
      <c r="G33" s="5"/>
      <c r="H33" s="5"/>
      <c r="I33" s="6"/>
      <c r="J33" s="6"/>
      <c r="K33" s="7"/>
      <c r="L33" s="8"/>
      <c r="M33" s="9"/>
      <c r="N33" s="1"/>
      <c r="O33" s="10"/>
      <c r="P33" s="4"/>
      <c r="Q33" s="4"/>
      <c r="R33" s="4"/>
      <c r="S33" s="9"/>
      <c r="T33" s="1"/>
      <c r="U33" s="10"/>
      <c r="V33" s="3"/>
      <c r="W33" s="17"/>
      <c r="X33" s="17"/>
      <c r="Y33" s="104"/>
      <c r="Z33" s="3"/>
      <c r="AA33" s="5"/>
      <c r="AB33" s="3"/>
      <c r="AC33" s="127"/>
      <c r="AD33" s="4"/>
      <c r="AE33" s="104"/>
      <c r="AF33" s="1"/>
      <c r="AG33" s="5"/>
      <c r="AH33" s="4"/>
      <c r="AI33" s="17"/>
      <c r="AJ33" s="17"/>
      <c r="AK33" s="9"/>
      <c r="AL33" s="1"/>
      <c r="AM33" s="123"/>
      <c r="AN33" s="4"/>
      <c r="AO33" s="4"/>
      <c r="AP33" s="17"/>
      <c r="AQ33" s="19"/>
      <c r="AR33" s="20"/>
      <c r="AS33" s="20"/>
      <c r="AT33" s="17"/>
      <c r="AU33" s="17"/>
      <c r="AV33" s="4"/>
      <c r="AW33" s="118"/>
      <c r="AX33" s="20"/>
      <c r="AY33" s="20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19"/>
      <c r="BT33" s="19"/>
      <c r="BU33" s="19"/>
      <c r="BV33" s="19"/>
      <c r="BW33" s="19"/>
      <c r="BX33" s="19"/>
      <c r="BY33" s="19"/>
      <c r="BZ33" s="19"/>
      <c r="CA33" s="9"/>
      <c r="CB33" s="19"/>
      <c r="CC33" s="19"/>
      <c r="CD33" s="19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</row>
    <row r="34" spans="1:102" s="73" customFormat="1" x14ac:dyDescent="0.3">
      <c r="A34" s="1"/>
      <c r="B34" s="3"/>
      <c r="C34" s="3"/>
      <c r="D34" s="3"/>
      <c r="E34" s="3"/>
      <c r="F34" s="3"/>
      <c r="G34" s="5"/>
      <c r="H34" s="5"/>
      <c r="I34" s="6"/>
      <c r="J34" s="6"/>
      <c r="K34" s="7"/>
      <c r="L34" s="8"/>
      <c r="M34" s="9"/>
      <c r="N34" s="1"/>
      <c r="O34" s="10"/>
      <c r="P34" s="4"/>
      <c r="Q34" s="4"/>
      <c r="R34" s="4"/>
      <c r="S34" s="9"/>
      <c r="T34" s="1"/>
      <c r="U34" s="10"/>
      <c r="V34" s="3"/>
      <c r="W34" s="17"/>
      <c r="X34" s="17"/>
      <c r="Y34" s="104"/>
      <c r="Z34" s="3"/>
      <c r="AA34" s="5"/>
      <c r="AB34" s="3"/>
      <c r="AC34" s="127"/>
      <c r="AD34" s="4"/>
      <c r="AE34" s="104"/>
      <c r="AF34" s="1"/>
      <c r="AG34" s="5"/>
      <c r="AH34" s="4"/>
      <c r="AI34" s="17"/>
      <c r="AJ34" s="17"/>
      <c r="AK34" s="9"/>
      <c r="AL34" s="1"/>
      <c r="AM34" s="123"/>
      <c r="AN34" s="4"/>
      <c r="AO34" s="4"/>
      <c r="AP34" s="17"/>
      <c r="AQ34" s="19"/>
      <c r="AR34" s="20"/>
      <c r="AS34" s="20"/>
      <c r="AT34" s="17"/>
      <c r="AU34" s="17"/>
      <c r="AV34" s="4"/>
      <c r="AW34" s="118"/>
      <c r="AX34" s="20"/>
      <c r="AY34" s="20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19"/>
      <c r="BT34" s="19"/>
      <c r="BU34" s="19"/>
      <c r="BV34" s="19"/>
      <c r="BW34" s="19"/>
      <c r="BX34" s="19"/>
      <c r="BY34" s="19"/>
      <c r="BZ34" s="19"/>
      <c r="CA34" s="9"/>
      <c r="CB34" s="19"/>
      <c r="CC34" s="19"/>
      <c r="CD34" s="19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</row>
    <row r="35" spans="1:102" s="73" customFormat="1" x14ac:dyDescent="0.3">
      <c r="A35" s="1"/>
      <c r="B35" s="3"/>
      <c r="C35" s="3"/>
      <c r="D35" s="3"/>
      <c r="E35" s="3"/>
      <c r="F35" s="3"/>
      <c r="G35" s="5"/>
      <c r="H35" s="5"/>
      <c r="I35" s="6"/>
      <c r="J35" s="6"/>
      <c r="K35" s="7"/>
      <c r="L35" s="8"/>
      <c r="M35" s="9"/>
      <c r="N35" s="1"/>
      <c r="O35" s="10"/>
      <c r="P35" s="4"/>
      <c r="Q35" s="4"/>
      <c r="R35" s="4"/>
      <c r="S35" s="9"/>
      <c r="T35" s="1"/>
      <c r="U35" s="10"/>
      <c r="V35" s="3"/>
      <c r="W35" s="17"/>
      <c r="X35" s="17"/>
      <c r="Y35" s="104"/>
      <c r="Z35" s="3"/>
      <c r="AA35" s="5"/>
      <c r="AB35" s="3"/>
      <c r="AC35" s="127"/>
      <c r="AD35" s="4"/>
      <c r="AE35" s="104"/>
      <c r="AF35" s="1"/>
      <c r="AG35" s="5"/>
      <c r="AH35" s="4"/>
      <c r="AI35" s="17"/>
      <c r="AJ35" s="17"/>
      <c r="AK35" s="9"/>
      <c r="AL35" s="1"/>
      <c r="AM35" s="123"/>
      <c r="AN35" s="4"/>
      <c r="AO35" s="4"/>
      <c r="AP35" s="17"/>
      <c r="AQ35" s="19"/>
      <c r="AR35" s="20"/>
      <c r="AS35" s="20"/>
      <c r="AT35" s="17"/>
      <c r="AU35" s="17"/>
      <c r="AV35" s="4"/>
      <c r="AW35" s="118"/>
      <c r="AX35" s="20"/>
      <c r="AY35" s="20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19"/>
      <c r="BT35" s="19"/>
      <c r="BU35" s="19"/>
      <c r="BV35" s="19"/>
      <c r="BW35" s="19"/>
      <c r="BX35" s="19"/>
      <c r="BY35" s="19"/>
      <c r="BZ35" s="19"/>
      <c r="CA35" s="9"/>
      <c r="CB35" s="19"/>
      <c r="CC35" s="19"/>
      <c r="CD35" s="19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</row>
    <row r="36" spans="1:102" s="73" customFormat="1" x14ac:dyDescent="0.3">
      <c r="A36" s="1"/>
      <c r="B36" s="3"/>
      <c r="C36" s="3"/>
      <c r="D36" s="3"/>
      <c r="E36" s="3"/>
      <c r="F36" s="3"/>
      <c r="G36" s="5"/>
      <c r="H36" s="5"/>
      <c r="I36" s="6"/>
      <c r="J36" s="6"/>
      <c r="K36" s="7"/>
      <c r="L36" s="8"/>
      <c r="M36" s="9"/>
      <c r="N36" s="1"/>
      <c r="O36" s="10"/>
      <c r="P36" s="4"/>
      <c r="Q36" s="4"/>
      <c r="R36" s="4"/>
      <c r="S36" s="9"/>
      <c r="T36" s="1"/>
      <c r="U36" s="10"/>
      <c r="V36" s="3"/>
      <c r="W36" s="17"/>
      <c r="X36" s="17"/>
      <c r="Y36" s="104"/>
      <c r="Z36" s="3"/>
      <c r="AA36" s="5"/>
      <c r="AB36" s="3"/>
      <c r="AC36" s="127"/>
      <c r="AD36" s="4"/>
      <c r="AE36" s="104"/>
      <c r="AF36" s="1"/>
      <c r="AG36" s="5"/>
      <c r="AH36" s="4"/>
      <c r="AI36" s="17"/>
      <c r="AJ36" s="17"/>
      <c r="AK36" s="9"/>
      <c r="AL36" s="1"/>
      <c r="AM36" s="123"/>
      <c r="AN36" s="4"/>
      <c r="AO36" s="4"/>
      <c r="AP36" s="17"/>
      <c r="AQ36" s="19"/>
      <c r="AR36" s="20"/>
      <c r="AS36" s="20"/>
      <c r="AT36" s="17"/>
      <c r="AU36" s="17"/>
      <c r="AV36" s="4"/>
      <c r="AW36" s="118"/>
      <c r="AX36" s="20"/>
      <c r="AY36" s="20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19"/>
      <c r="BT36" s="19"/>
      <c r="BU36" s="19"/>
      <c r="BV36" s="19"/>
      <c r="BW36" s="19"/>
      <c r="BX36" s="19"/>
      <c r="BY36" s="19"/>
      <c r="BZ36" s="19"/>
      <c r="CA36" s="9"/>
      <c r="CB36" s="19"/>
      <c r="CC36" s="19"/>
      <c r="CD36" s="19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</row>
    <row r="37" spans="1:102" s="73" customFormat="1" x14ac:dyDescent="0.3">
      <c r="A37" s="1"/>
      <c r="B37" s="3"/>
      <c r="C37" s="3"/>
      <c r="D37" s="3"/>
      <c r="E37" s="3"/>
      <c r="F37" s="3"/>
      <c r="G37" s="5"/>
      <c r="H37" s="5"/>
      <c r="I37" s="6"/>
      <c r="J37" s="6"/>
      <c r="K37" s="7"/>
      <c r="L37" s="8"/>
      <c r="M37" s="9"/>
      <c r="N37" s="1"/>
      <c r="O37" s="10"/>
      <c r="P37" s="4"/>
      <c r="Q37" s="4"/>
      <c r="R37" s="4"/>
      <c r="S37" s="9"/>
      <c r="T37" s="1"/>
      <c r="U37" s="10"/>
      <c r="V37" s="3"/>
      <c r="W37" s="17"/>
      <c r="X37" s="17"/>
      <c r="Y37" s="104"/>
      <c r="Z37" s="3"/>
      <c r="AA37" s="5"/>
      <c r="AB37" s="3"/>
      <c r="AC37" s="127"/>
      <c r="AD37" s="4"/>
      <c r="AE37" s="104"/>
      <c r="AF37" s="1"/>
      <c r="AG37" s="5"/>
      <c r="AH37" s="4"/>
      <c r="AI37" s="17"/>
      <c r="AJ37" s="17"/>
      <c r="AK37" s="9"/>
      <c r="AL37" s="1"/>
      <c r="AM37" s="123"/>
      <c r="AN37" s="4"/>
      <c r="AO37" s="4"/>
      <c r="AP37" s="17"/>
      <c r="AQ37" s="19"/>
      <c r="AR37" s="20"/>
      <c r="AS37" s="20"/>
      <c r="AT37" s="17"/>
      <c r="AU37" s="17"/>
      <c r="AV37" s="4"/>
      <c r="AW37" s="118"/>
      <c r="AX37" s="20"/>
      <c r="AY37" s="20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19"/>
      <c r="BT37" s="19"/>
      <c r="BU37" s="19"/>
      <c r="BV37" s="19"/>
      <c r="BW37" s="19"/>
      <c r="BX37" s="19"/>
      <c r="BY37" s="19"/>
      <c r="BZ37" s="19"/>
      <c r="CA37" s="9"/>
      <c r="CB37" s="19"/>
      <c r="CC37" s="19"/>
      <c r="CD37" s="19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</row>
    <row r="38" spans="1:102" s="73" customFormat="1" x14ac:dyDescent="0.3">
      <c r="A38" s="1"/>
      <c r="B38" s="3"/>
      <c r="C38" s="3"/>
      <c r="D38" s="3"/>
      <c r="E38" s="3"/>
      <c r="F38" s="3"/>
      <c r="G38" s="5"/>
      <c r="H38" s="5"/>
      <c r="I38" s="6"/>
      <c r="J38" s="6"/>
      <c r="K38" s="7"/>
      <c r="L38" s="8"/>
      <c r="M38" s="9"/>
      <c r="N38" s="1"/>
      <c r="O38" s="10"/>
      <c r="P38" s="4"/>
      <c r="Q38" s="4"/>
      <c r="R38" s="4"/>
      <c r="S38" s="9"/>
      <c r="T38" s="1"/>
      <c r="U38" s="10"/>
      <c r="V38" s="3"/>
      <c r="W38" s="17"/>
      <c r="X38" s="17"/>
      <c r="Y38" s="104"/>
      <c r="Z38" s="3"/>
      <c r="AA38" s="5"/>
      <c r="AB38" s="3"/>
      <c r="AC38" s="127"/>
      <c r="AD38" s="4"/>
      <c r="AE38" s="104"/>
      <c r="AF38" s="1"/>
      <c r="AG38" s="5"/>
      <c r="AH38" s="4"/>
      <c r="AI38" s="17"/>
      <c r="AJ38" s="17"/>
      <c r="AK38" s="9"/>
      <c r="AL38" s="1"/>
      <c r="AM38" s="123"/>
      <c r="AN38" s="4"/>
      <c r="AO38" s="4"/>
      <c r="AP38" s="17"/>
      <c r="AQ38" s="19"/>
      <c r="AR38" s="20"/>
      <c r="AS38" s="20"/>
      <c r="AT38" s="17"/>
      <c r="AU38" s="17"/>
      <c r="AV38" s="4"/>
      <c r="AW38" s="118"/>
      <c r="AX38" s="20"/>
      <c r="AY38" s="20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19"/>
      <c r="BT38" s="19"/>
      <c r="BU38" s="19"/>
      <c r="BV38" s="19"/>
      <c r="BW38" s="19"/>
      <c r="BX38" s="19"/>
      <c r="BY38" s="19"/>
      <c r="BZ38" s="19"/>
      <c r="CA38" s="9"/>
      <c r="CB38" s="19"/>
      <c r="CC38" s="19"/>
      <c r="CD38" s="19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</row>
    <row r="39" spans="1:102" x14ac:dyDescent="0.3">
      <c r="A39" s="1"/>
      <c r="B39" s="3"/>
      <c r="C39" s="3"/>
      <c r="D39" s="3"/>
      <c r="E39" s="3"/>
      <c r="F39" s="3"/>
      <c r="G39" s="5"/>
      <c r="H39" s="5"/>
      <c r="I39" s="6"/>
      <c r="J39" s="6"/>
      <c r="K39" s="7"/>
      <c r="L39" s="8"/>
      <c r="M39" s="9"/>
      <c r="N39" s="1"/>
      <c r="O39" s="10"/>
      <c r="P39" s="4"/>
      <c r="Q39" s="4"/>
      <c r="R39" s="4"/>
      <c r="S39" s="9"/>
      <c r="T39" s="1"/>
      <c r="U39" s="10"/>
      <c r="V39" s="3"/>
      <c r="W39" s="17"/>
      <c r="X39" s="17"/>
      <c r="Y39" s="104"/>
      <c r="Z39" s="3"/>
      <c r="AA39" s="5"/>
      <c r="AB39" s="3"/>
      <c r="AC39" s="127"/>
      <c r="AD39" s="4"/>
      <c r="AE39" s="104"/>
      <c r="AF39" s="1"/>
      <c r="AG39" s="5"/>
      <c r="AH39" s="4"/>
      <c r="AI39" s="17"/>
      <c r="AJ39" s="17"/>
      <c r="AK39" s="9"/>
      <c r="AL39" s="1"/>
      <c r="AM39" s="123"/>
      <c r="AN39" s="4"/>
      <c r="AO39" s="4"/>
      <c r="AP39" s="17"/>
      <c r="AQ39" s="19"/>
      <c r="AT39" s="17"/>
      <c r="AU39" s="17"/>
      <c r="AV39" s="4"/>
      <c r="AW39" s="118"/>
      <c r="AY39" s="20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19"/>
      <c r="BT39" s="19"/>
      <c r="BU39" s="19"/>
      <c r="BV39" s="19"/>
      <c r="BW39" s="19"/>
      <c r="BX39" s="19"/>
      <c r="BY39" s="19"/>
      <c r="BZ39" s="19"/>
      <c r="CA39" s="9"/>
      <c r="CB39" s="19"/>
      <c r="CC39" s="19"/>
      <c r="CD39" s="19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</row>
    <row r="40" spans="1:102" s="73" customFormat="1" x14ac:dyDescent="0.3">
      <c r="A40" s="1"/>
      <c r="B40" s="3"/>
      <c r="C40" s="3"/>
      <c r="D40" s="3"/>
      <c r="E40" s="3"/>
      <c r="F40" s="3"/>
      <c r="G40" s="5"/>
      <c r="H40" s="5"/>
      <c r="I40" s="6"/>
      <c r="J40" s="6"/>
      <c r="K40" s="7"/>
      <c r="L40" s="8"/>
      <c r="M40" s="9"/>
      <c r="N40" s="1"/>
      <c r="O40" s="10"/>
      <c r="P40" s="4"/>
      <c r="Q40" s="4"/>
      <c r="R40" s="4"/>
      <c r="S40" s="9"/>
      <c r="T40" s="1"/>
      <c r="U40" s="10"/>
      <c r="V40" s="3"/>
      <c r="W40" s="17"/>
      <c r="X40" s="17"/>
      <c r="Y40" s="104"/>
      <c r="Z40" s="3"/>
      <c r="AA40" s="5"/>
      <c r="AB40" s="3"/>
      <c r="AC40" s="127"/>
      <c r="AD40" s="4"/>
      <c r="AE40" s="104"/>
      <c r="AF40" s="1"/>
      <c r="AG40" s="5"/>
      <c r="AH40" s="4"/>
      <c r="AI40" s="17"/>
      <c r="AJ40" s="17"/>
      <c r="AK40" s="9"/>
      <c r="AL40" s="1"/>
      <c r="AM40" s="123"/>
      <c r="AN40" s="4"/>
      <c r="AO40" s="4"/>
      <c r="AP40" s="17"/>
      <c r="AQ40" s="19"/>
      <c r="AR40" s="20"/>
      <c r="AS40" s="20"/>
      <c r="AT40" s="17"/>
      <c r="AU40" s="17"/>
      <c r="AV40" s="4"/>
      <c r="AW40" s="118"/>
      <c r="AX40" s="20"/>
      <c r="AY40" s="2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19"/>
      <c r="BT40" s="19"/>
      <c r="BU40" s="19"/>
      <c r="BV40" s="19"/>
      <c r="BW40" s="19"/>
      <c r="BX40" s="19"/>
      <c r="BY40" s="19"/>
      <c r="BZ40" s="19"/>
      <c r="CA40" s="9"/>
      <c r="CB40" s="19"/>
      <c r="CC40" s="19"/>
      <c r="CD40" s="19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</row>
    <row r="41" spans="1:102" x14ac:dyDescent="0.3">
      <c r="A41" s="1"/>
      <c r="B41" s="3"/>
      <c r="C41" s="3"/>
      <c r="D41" s="3"/>
      <c r="E41" s="3"/>
      <c r="F41" s="3"/>
      <c r="G41" s="5"/>
      <c r="H41" s="5"/>
      <c r="I41" s="6"/>
      <c r="J41" s="6"/>
      <c r="K41" s="7"/>
      <c r="L41" s="8"/>
      <c r="M41" s="9"/>
      <c r="N41" s="1"/>
      <c r="O41" s="10"/>
      <c r="P41" s="4"/>
      <c r="Q41" s="4"/>
      <c r="R41" s="4"/>
      <c r="S41" s="9"/>
      <c r="T41" s="1"/>
      <c r="U41" s="10"/>
      <c r="V41" s="3"/>
      <c r="W41" s="17"/>
      <c r="X41" s="17"/>
      <c r="Y41" s="104"/>
      <c r="Z41" s="3"/>
      <c r="AA41" s="5"/>
      <c r="AB41" s="3"/>
      <c r="AC41" s="127"/>
      <c r="AD41" s="4"/>
      <c r="AE41" s="104"/>
      <c r="AF41" s="1"/>
      <c r="AG41" s="5"/>
      <c r="AH41" s="4"/>
      <c r="AI41" s="17"/>
      <c r="AJ41" s="17"/>
      <c r="AK41" s="9"/>
      <c r="AL41" s="1"/>
      <c r="AM41" s="123"/>
      <c r="AN41" s="4"/>
      <c r="AO41" s="4"/>
      <c r="AP41" s="17"/>
      <c r="AQ41" s="19"/>
      <c r="AT41" s="17"/>
      <c r="AU41" s="17"/>
      <c r="AV41" s="4"/>
      <c r="AW41" s="118"/>
      <c r="AY41" s="2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19"/>
      <c r="BT41" s="19"/>
      <c r="BU41" s="19"/>
      <c r="BV41" s="19"/>
      <c r="BW41" s="19"/>
      <c r="BX41" s="19"/>
      <c r="BY41" s="19"/>
      <c r="BZ41" s="19"/>
      <c r="CA41" s="9"/>
      <c r="CB41" s="19"/>
      <c r="CC41" s="19"/>
      <c r="CD41" s="19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</row>
    <row r="42" spans="1:102" s="73" customFormat="1" x14ac:dyDescent="0.3">
      <c r="A42" s="1"/>
      <c r="B42" s="3"/>
      <c r="C42" s="3"/>
      <c r="D42" s="3"/>
      <c r="E42" s="3"/>
      <c r="F42" s="3"/>
      <c r="G42" s="5"/>
      <c r="H42" s="5"/>
      <c r="I42" s="6"/>
      <c r="J42" s="6"/>
      <c r="K42" s="7"/>
      <c r="L42" s="8"/>
      <c r="M42" s="9"/>
      <c r="N42" s="1"/>
      <c r="O42" s="10"/>
      <c r="P42" s="4"/>
      <c r="Q42" s="4"/>
      <c r="R42" s="4"/>
      <c r="S42" s="9"/>
      <c r="T42" s="1"/>
      <c r="U42" s="10"/>
      <c r="V42" s="3"/>
      <c r="W42" s="17"/>
      <c r="X42" s="17"/>
      <c r="Y42" s="104"/>
      <c r="Z42" s="3"/>
      <c r="AA42" s="5"/>
      <c r="AB42" s="3"/>
      <c r="AC42" s="127"/>
      <c r="AD42" s="4"/>
      <c r="AE42" s="104"/>
      <c r="AF42" s="1"/>
      <c r="AG42" s="5"/>
      <c r="AH42" s="4"/>
      <c r="AI42" s="17"/>
      <c r="AJ42" s="17"/>
      <c r="AK42" s="9"/>
      <c r="AL42" s="1"/>
      <c r="AM42" s="123"/>
      <c r="AN42" s="4"/>
      <c r="AO42" s="4"/>
      <c r="AP42" s="17"/>
      <c r="AQ42" s="19"/>
      <c r="AR42" s="20"/>
      <c r="AS42" s="20"/>
      <c r="AT42" s="17"/>
      <c r="AU42" s="17"/>
      <c r="AV42" s="4"/>
      <c r="AW42" s="118"/>
      <c r="AX42" s="20"/>
      <c r="AY42" s="20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19"/>
      <c r="BT42" s="19"/>
      <c r="BU42" s="19"/>
      <c r="BV42" s="19"/>
      <c r="BW42" s="19"/>
      <c r="BX42" s="19"/>
      <c r="BY42" s="19"/>
      <c r="BZ42" s="19"/>
      <c r="CA42" s="9"/>
      <c r="CB42" s="19"/>
      <c r="CC42" s="19"/>
      <c r="CD42" s="19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</row>
    <row r="43" spans="1:102" s="73" customFormat="1" x14ac:dyDescent="0.3">
      <c r="A43" s="1"/>
      <c r="B43" s="3"/>
      <c r="C43" s="3"/>
      <c r="D43" s="3"/>
      <c r="E43" s="3"/>
      <c r="F43" s="3"/>
      <c r="G43" s="5"/>
      <c r="H43" s="5"/>
      <c r="I43" s="6"/>
      <c r="J43" s="6"/>
      <c r="K43" s="7"/>
      <c r="L43" s="8"/>
      <c r="M43" s="9"/>
      <c r="N43" s="1"/>
      <c r="O43" s="10"/>
      <c r="P43" s="4"/>
      <c r="Q43" s="4"/>
      <c r="R43" s="4"/>
      <c r="S43" s="9"/>
      <c r="T43" s="1"/>
      <c r="U43" s="10"/>
      <c r="V43" s="3"/>
      <c r="W43" s="17"/>
      <c r="X43" s="17"/>
      <c r="Y43" s="104"/>
      <c r="Z43" s="3"/>
      <c r="AA43" s="5"/>
      <c r="AB43" s="3"/>
      <c r="AC43" s="127"/>
      <c r="AD43" s="4"/>
      <c r="AE43" s="104"/>
      <c r="AF43" s="1"/>
      <c r="AG43" s="5"/>
      <c r="AH43" s="4"/>
      <c r="AI43" s="17"/>
      <c r="AJ43" s="17"/>
      <c r="AK43" s="9"/>
      <c r="AL43" s="1"/>
      <c r="AM43" s="123"/>
      <c r="AN43" s="4"/>
      <c r="AO43" s="4"/>
      <c r="AP43" s="17"/>
      <c r="AQ43" s="19"/>
      <c r="AR43" s="20"/>
      <c r="AS43" s="20"/>
      <c r="AT43" s="17"/>
      <c r="AU43" s="17"/>
      <c r="AV43" s="4"/>
      <c r="AW43" s="118"/>
      <c r="AX43" s="20"/>
      <c r="AY43" s="20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19"/>
      <c r="BT43" s="19"/>
      <c r="BU43" s="19"/>
      <c r="BV43" s="19"/>
      <c r="BW43" s="19"/>
      <c r="BX43" s="19"/>
      <c r="BY43" s="19"/>
      <c r="BZ43" s="19"/>
      <c r="CA43" s="9"/>
      <c r="CB43" s="19"/>
      <c r="CC43" s="19"/>
      <c r="CD43" s="19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</row>
    <row r="44" spans="1:102" x14ac:dyDescent="0.3">
      <c r="A44" s="1"/>
      <c r="B44" s="3"/>
      <c r="C44" s="3"/>
      <c r="D44" s="3"/>
      <c r="E44" s="3"/>
      <c r="F44" s="3"/>
      <c r="G44" s="5"/>
      <c r="H44" s="5"/>
      <c r="I44" s="6"/>
      <c r="J44" s="6"/>
      <c r="K44" s="7"/>
      <c r="L44" s="8"/>
      <c r="M44" s="9"/>
      <c r="N44" s="1"/>
      <c r="O44" s="10"/>
      <c r="P44" s="4"/>
      <c r="Q44" s="4"/>
      <c r="R44" s="4"/>
      <c r="S44" s="9"/>
      <c r="T44" s="1"/>
      <c r="U44" s="10"/>
      <c r="V44" s="3"/>
      <c r="W44" s="17"/>
      <c r="X44" s="17"/>
      <c r="Y44" s="104"/>
      <c r="Z44" s="3"/>
      <c r="AA44" s="5"/>
      <c r="AB44" s="3"/>
      <c r="AC44" s="127"/>
      <c r="AD44" s="4"/>
      <c r="AE44" s="104"/>
      <c r="AF44" s="1"/>
      <c r="AG44" s="5"/>
      <c r="AH44" s="4"/>
      <c r="AI44" s="17"/>
      <c r="AJ44" s="17"/>
      <c r="AK44" s="9"/>
      <c r="AL44" s="1"/>
      <c r="AM44" s="123"/>
      <c r="AN44" s="4"/>
      <c r="AO44" s="4"/>
      <c r="AP44" s="17"/>
      <c r="AQ44" s="19"/>
      <c r="AT44" s="17"/>
      <c r="AU44" s="17"/>
      <c r="AV44" s="4"/>
      <c r="AW44" s="118"/>
      <c r="AY44" s="20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19"/>
      <c r="BT44" s="19"/>
      <c r="BU44" s="19"/>
      <c r="BV44" s="19"/>
      <c r="BW44" s="19"/>
      <c r="BX44" s="19"/>
      <c r="BY44" s="19"/>
      <c r="BZ44" s="19"/>
      <c r="CA44" s="9"/>
      <c r="CB44" s="19"/>
      <c r="CC44" s="19"/>
      <c r="CD44" s="19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</row>
    <row r="45" spans="1:102" x14ac:dyDescent="0.3">
      <c r="A45" s="1"/>
      <c r="B45" s="3"/>
      <c r="C45" s="3"/>
      <c r="D45" s="3"/>
      <c r="E45" s="3"/>
      <c r="F45" s="3"/>
      <c r="G45" s="5"/>
      <c r="H45" s="5"/>
      <c r="I45" s="6"/>
      <c r="J45" s="6"/>
      <c r="K45" s="7"/>
      <c r="L45" s="8"/>
      <c r="M45" s="9"/>
      <c r="N45" s="1"/>
      <c r="O45" s="10"/>
      <c r="P45" s="4"/>
      <c r="Q45" s="4"/>
      <c r="R45" s="4"/>
      <c r="S45" s="9"/>
      <c r="T45" s="1"/>
      <c r="U45" s="10"/>
      <c r="V45" s="3"/>
      <c r="W45" s="17"/>
      <c r="X45" s="17"/>
      <c r="Y45" s="104"/>
      <c r="Z45" s="3"/>
      <c r="AA45" s="5"/>
      <c r="AB45" s="3"/>
      <c r="AC45" s="127"/>
      <c r="AD45" s="4"/>
      <c r="AE45" s="104"/>
      <c r="AF45" s="1"/>
      <c r="AG45" s="5"/>
      <c r="AH45" s="4"/>
      <c r="AI45" s="17"/>
      <c r="AJ45" s="17"/>
      <c r="AK45" s="9"/>
      <c r="AL45" s="1"/>
      <c r="AM45" s="123"/>
      <c r="AN45" s="4"/>
      <c r="AO45" s="4"/>
      <c r="AP45" s="17"/>
      <c r="AQ45" s="19"/>
      <c r="AT45" s="17"/>
      <c r="AU45" s="17"/>
      <c r="AV45" s="4"/>
      <c r="AW45" s="118"/>
      <c r="AY45" s="20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19"/>
      <c r="BT45" s="19"/>
      <c r="BU45" s="19"/>
      <c r="BV45" s="19"/>
      <c r="BW45" s="19"/>
      <c r="BX45" s="19"/>
      <c r="BY45" s="19"/>
      <c r="BZ45" s="19"/>
      <c r="CA45" s="9"/>
      <c r="CB45" s="19"/>
      <c r="CC45" s="19"/>
      <c r="CD45" s="19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</row>
    <row r="46" spans="1:102" s="73" customFormat="1" x14ac:dyDescent="0.3">
      <c r="A46" s="1"/>
      <c r="B46" s="3"/>
      <c r="C46" s="3"/>
      <c r="D46" s="3"/>
      <c r="E46" s="3"/>
      <c r="F46" s="3"/>
      <c r="G46" s="5"/>
      <c r="H46" s="5"/>
      <c r="I46" s="6"/>
      <c r="J46" s="6"/>
      <c r="K46" s="7"/>
      <c r="L46" s="8"/>
      <c r="M46" s="9"/>
      <c r="N46" s="1"/>
      <c r="O46" s="10"/>
      <c r="P46" s="4"/>
      <c r="Q46" s="4"/>
      <c r="R46" s="4"/>
      <c r="S46" s="9"/>
      <c r="T46" s="1"/>
      <c r="U46" s="10"/>
      <c r="V46" s="3"/>
      <c r="W46" s="17"/>
      <c r="X46" s="17"/>
      <c r="Y46" s="104"/>
      <c r="Z46" s="3"/>
      <c r="AA46" s="5"/>
      <c r="AB46" s="3"/>
      <c r="AC46" s="127"/>
      <c r="AD46" s="4"/>
      <c r="AE46" s="104"/>
      <c r="AF46" s="1"/>
      <c r="AG46" s="5"/>
      <c r="AH46" s="4"/>
      <c r="AI46" s="17"/>
      <c r="AJ46" s="17"/>
      <c r="AK46" s="9"/>
      <c r="AL46" s="1"/>
      <c r="AM46" s="123"/>
      <c r="AN46" s="4"/>
      <c r="AO46" s="4"/>
      <c r="AP46" s="17"/>
      <c r="AQ46" s="19"/>
      <c r="AR46" s="20"/>
      <c r="AS46" s="20"/>
      <c r="AT46" s="17"/>
      <c r="AU46" s="17"/>
      <c r="AV46" s="4"/>
      <c r="AW46" s="118"/>
      <c r="AX46" s="20"/>
      <c r="AY46" s="20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19"/>
      <c r="BT46" s="19"/>
      <c r="BU46" s="19"/>
      <c r="BV46" s="19"/>
      <c r="BW46" s="19"/>
      <c r="BX46" s="19"/>
      <c r="BY46" s="19"/>
      <c r="BZ46" s="19"/>
      <c r="CA46" s="9"/>
      <c r="CB46" s="19"/>
      <c r="CC46" s="19"/>
      <c r="CD46" s="19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</row>
    <row r="47" spans="1:102" x14ac:dyDescent="0.3">
      <c r="A47" s="1"/>
      <c r="B47" s="3"/>
      <c r="C47" s="3"/>
      <c r="D47" s="3"/>
      <c r="E47" s="3"/>
      <c r="F47" s="3"/>
      <c r="G47" s="5"/>
      <c r="H47" s="5"/>
      <c r="I47" s="6"/>
      <c r="J47" s="6"/>
      <c r="K47" s="7"/>
      <c r="L47" s="8"/>
      <c r="M47" s="9"/>
      <c r="N47" s="1"/>
      <c r="O47" s="10"/>
      <c r="P47" s="4"/>
      <c r="Q47" s="4"/>
      <c r="R47" s="4"/>
      <c r="S47" s="9"/>
      <c r="T47" s="1"/>
      <c r="U47" s="10"/>
      <c r="V47" s="3"/>
      <c r="W47" s="17"/>
      <c r="X47" s="17"/>
      <c r="Y47" s="104"/>
      <c r="Z47" s="3"/>
      <c r="AA47" s="5"/>
      <c r="AB47" s="3"/>
      <c r="AC47" s="127"/>
      <c r="AD47" s="4"/>
      <c r="AE47" s="104"/>
      <c r="AF47" s="1"/>
      <c r="AG47" s="5"/>
      <c r="AH47" s="4"/>
      <c r="AI47" s="17"/>
      <c r="AJ47" s="17"/>
      <c r="AK47" s="9"/>
      <c r="AL47" s="1"/>
      <c r="AM47" s="123"/>
      <c r="AN47" s="4"/>
      <c r="AO47" s="4"/>
      <c r="AP47" s="17"/>
      <c r="AQ47" s="19"/>
      <c r="AT47" s="17"/>
      <c r="AU47" s="17"/>
      <c r="AV47" s="4"/>
      <c r="AW47" s="118"/>
      <c r="AY47" s="20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19"/>
      <c r="BT47" s="19"/>
      <c r="BU47" s="19"/>
      <c r="BV47" s="19"/>
      <c r="BW47" s="19"/>
      <c r="BX47" s="19"/>
      <c r="BY47" s="19"/>
      <c r="BZ47" s="19"/>
      <c r="CA47" s="9"/>
      <c r="CB47" s="19"/>
      <c r="CC47" s="19"/>
      <c r="CD47" s="19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</row>
    <row r="48" spans="1:102" x14ac:dyDescent="0.3">
      <c r="A48" s="1"/>
      <c r="B48" s="3"/>
      <c r="C48" s="3"/>
      <c r="D48" s="3"/>
      <c r="E48" s="3"/>
      <c r="F48" s="3"/>
      <c r="G48" s="5"/>
      <c r="H48" s="5"/>
      <c r="I48" s="6"/>
      <c r="J48" s="6"/>
      <c r="K48" s="7"/>
      <c r="L48" s="8"/>
      <c r="M48" s="9"/>
      <c r="N48" s="1"/>
      <c r="O48" s="10"/>
      <c r="P48" s="4"/>
      <c r="Q48" s="4"/>
      <c r="R48" s="4"/>
      <c r="S48" s="9"/>
      <c r="T48" s="1"/>
      <c r="U48" s="10"/>
      <c r="V48" s="3"/>
      <c r="W48" s="17"/>
      <c r="X48" s="17"/>
      <c r="Y48" s="104"/>
      <c r="Z48" s="3"/>
      <c r="AA48" s="5"/>
      <c r="AB48" s="3"/>
      <c r="AC48" s="127"/>
      <c r="AD48" s="4"/>
      <c r="AE48" s="104"/>
      <c r="AF48" s="1"/>
      <c r="AG48" s="5"/>
      <c r="AH48" s="4"/>
      <c r="AI48" s="17"/>
      <c r="AJ48" s="17"/>
      <c r="AK48" s="9"/>
      <c r="AL48" s="1"/>
      <c r="AM48" s="123"/>
      <c r="AN48" s="4"/>
      <c r="AO48" s="4"/>
      <c r="AP48" s="17"/>
      <c r="AQ48" s="19"/>
      <c r="AT48" s="17"/>
      <c r="AU48" s="17"/>
      <c r="AV48" s="4"/>
      <c r="AW48" s="118"/>
      <c r="AY48" s="20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19"/>
      <c r="BT48" s="19"/>
      <c r="BU48" s="19"/>
      <c r="BV48" s="19"/>
      <c r="BW48" s="19"/>
      <c r="BX48" s="19"/>
      <c r="BY48" s="19"/>
      <c r="BZ48" s="19"/>
      <c r="CA48" s="9"/>
      <c r="CB48" s="19"/>
      <c r="CC48" s="19"/>
      <c r="CD48" s="19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</row>
    <row r="49" spans="1:168" s="73" customFormat="1" x14ac:dyDescent="0.3">
      <c r="A49" s="3"/>
      <c r="B49" s="3"/>
      <c r="C49" s="3"/>
      <c r="D49" s="3"/>
      <c r="E49" s="3"/>
      <c r="F49" s="3"/>
      <c r="G49" s="5"/>
      <c r="H49" s="6"/>
      <c r="I49" s="6"/>
      <c r="J49" s="6"/>
      <c r="K49" s="7"/>
      <c r="L49" s="8"/>
      <c r="M49" s="9"/>
      <c r="N49" s="1"/>
      <c r="O49" s="10"/>
      <c r="P49" s="4"/>
      <c r="Q49" s="4"/>
      <c r="R49" s="4"/>
      <c r="S49" s="9"/>
      <c r="T49" s="1"/>
      <c r="U49" s="10"/>
      <c r="V49" s="3"/>
      <c r="W49" s="17"/>
      <c r="X49" s="17"/>
      <c r="Y49" s="104"/>
      <c r="Z49" s="3"/>
      <c r="AA49" s="5"/>
      <c r="AB49" s="3"/>
      <c r="AC49" s="127"/>
      <c r="AD49" s="4"/>
      <c r="AE49" s="104"/>
      <c r="AF49" s="1"/>
      <c r="AG49" s="5"/>
      <c r="AH49" s="4"/>
      <c r="AI49" s="17"/>
      <c r="AJ49" s="17"/>
      <c r="AK49" s="9"/>
      <c r="AL49" s="1"/>
      <c r="AM49" s="123"/>
      <c r="AN49" s="4"/>
      <c r="AO49" s="4"/>
      <c r="AP49" s="17"/>
      <c r="AQ49" s="19"/>
      <c r="AR49" s="20"/>
      <c r="AS49" s="20"/>
      <c r="AT49" s="17"/>
      <c r="AU49" s="17"/>
      <c r="AV49" s="4"/>
      <c r="AW49" s="118"/>
      <c r="AX49" s="20"/>
      <c r="AY49" s="20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19"/>
      <c r="BT49" s="19"/>
      <c r="BU49" s="19"/>
      <c r="BV49" s="19"/>
      <c r="BW49" s="19"/>
      <c r="BX49" s="19"/>
      <c r="BY49" s="19"/>
      <c r="BZ49" s="19"/>
      <c r="CA49" s="9"/>
      <c r="CB49" s="19"/>
      <c r="CC49" s="19"/>
      <c r="CD49" s="19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78"/>
      <c r="DB49" s="75"/>
      <c r="DE49" s="78"/>
      <c r="DH49" s="75"/>
      <c r="DK49" s="78"/>
      <c r="DN49" s="75"/>
      <c r="DT49" s="75"/>
      <c r="DZ49" s="75"/>
      <c r="EF49" s="75"/>
      <c r="EL49" s="75"/>
      <c r="ER49" s="75"/>
      <c r="EX49" s="75"/>
      <c r="FD49" s="75"/>
      <c r="FE49" s="77"/>
      <c r="FG49" s="74"/>
      <c r="FH49" s="75"/>
      <c r="FI49" s="75"/>
      <c r="FJ49" s="75"/>
      <c r="FK49" s="75"/>
      <c r="FL49" s="75"/>
    </row>
    <row r="50" spans="1:168" s="73" customFormat="1" x14ac:dyDescent="0.3">
      <c r="A50" s="3"/>
      <c r="B50" s="3"/>
      <c r="C50" s="3"/>
      <c r="D50" s="3"/>
      <c r="E50" s="3"/>
      <c r="F50" s="3"/>
      <c r="G50" s="5"/>
      <c r="H50" s="6"/>
      <c r="I50" s="6"/>
      <c r="J50" s="6"/>
      <c r="K50" s="7"/>
      <c r="L50" s="8"/>
      <c r="M50" s="9"/>
      <c r="N50" s="1"/>
      <c r="O50" s="10"/>
      <c r="P50" s="4"/>
      <c r="Q50" s="4"/>
      <c r="R50" s="4"/>
      <c r="S50" s="9"/>
      <c r="T50" s="1"/>
      <c r="U50" s="10"/>
      <c r="V50" s="3"/>
      <c r="W50" s="17"/>
      <c r="X50" s="17"/>
      <c r="Y50" s="104"/>
      <c r="Z50" s="3"/>
      <c r="AA50" s="5"/>
      <c r="AB50" s="3"/>
      <c r="AC50" s="127"/>
      <c r="AD50" s="4"/>
      <c r="AE50" s="104"/>
      <c r="AF50" s="1"/>
      <c r="AG50" s="5"/>
      <c r="AH50" s="4"/>
      <c r="AI50" s="17"/>
      <c r="AJ50" s="17"/>
      <c r="AK50" s="9"/>
      <c r="AL50" s="1"/>
      <c r="AM50" s="123"/>
      <c r="AN50" s="4"/>
      <c r="AO50" s="4"/>
      <c r="AP50" s="17"/>
      <c r="AQ50" s="19"/>
      <c r="AR50" s="20"/>
      <c r="AS50" s="20"/>
      <c r="AT50" s="17"/>
      <c r="AU50" s="17"/>
      <c r="AV50" s="4"/>
      <c r="AW50" s="118"/>
      <c r="AX50" s="20"/>
      <c r="AY50" s="20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19"/>
      <c r="BT50" s="19"/>
      <c r="BU50" s="19"/>
      <c r="BV50" s="19"/>
      <c r="BW50" s="19"/>
      <c r="BX50" s="19"/>
      <c r="BY50" s="19"/>
      <c r="BZ50" s="19"/>
      <c r="CA50" s="9"/>
      <c r="CB50" s="19"/>
      <c r="CC50" s="19"/>
      <c r="CD50" s="19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78"/>
      <c r="DB50" s="75"/>
      <c r="DE50" s="78"/>
      <c r="DH50" s="75"/>
      <c r="DK50" s="78"/>
      <c r="DN50" s="75"/>
      <c r="DT50" s="75"/>
      <c r="DZ50" s="75"/>
      <c r="EF50" s="75"/>
      <c r="EL50" s="75"/>
      <c r="ER50" s="75"/>
      <c r="EX50" s="75"/>
      <c r="FD50" s="75"/>
      <c r="FE50" s="77"/>
      <c r="FG50" s="74"/>
      <c r="FH50" s="75"/>
      <c r="FI50" s="75"/>
      <c r="FJ50" s="75"/>
      <c r="FK50" s="75"/>
      <c r="FL50" s="75"/>
    </row>
    <row r="51" spans="1:168" s="73" customFormat="1" x14ac:dyDescent="0.3">
      <c r="A51" s="3"/>
      <c r="B51" s="3"/>
      <c r="C51" s="3"/>
      <c r="D51" s="3"/>
      <c r="E51" s="3"/>
      <c r="F51" s="3"/>
      <c r="G51" s="5"/>
      <c r="H51" s="6"/>
      <c r="I51" s="6"/>
      <c r="J51" s="6"/>
      <c r="K51" s="7"/>
      <c r="L51" s="8"/>
      <c r="M51" s="9"/>
      <c r="N51" s="1"/>
      <c r="O51" s="10"/>
      <c r="P51" s="4"/>
      <c r="Q51" s="4"/>
      <c r="R51" s="4"/>
      <c r="S51" s="9"/>
      <c r="T51" s="1"/>
      <c r="U51" s="10"/>
      <c r="V51" s="3"/>
      <c r="W51" s="17"/>
      <c r="X51" s="17"/>
      <c r="Y51" s="104"/>
      <c r="Z51" s="3"/>
      <c r="AA51" s="5"/>
      <c r="AB51" s="3"/>
      <c r="AC51" s="127"/>
      <c r="AD51" s="4"/>
      <c r="AE51" s="104"/>
      <c r="AF51" s="1"/>
      <c r="AG51" s="5"/>
      <c r="AH51" s="4"/>
      <c r="AI51" s="17"/>
      <c r="AJ51" s="17"/>
      <c r="AK51" s="9"/>
      <c r="AL51" s="1"/>
      <c r="AM51" s="123"/>
      <c r="AN51" s="4"/>
      <c r="AO51" s="4"/>
      <c r="AP51" s="17"/>
      <c r="AQ51" s="19"/>
      <c r="AR51" s="20"/>
      <c r="AS51" s="20"/>
      <c r="AT51" s="17"/>
      <c r="AU51" s="17"/>
      <c r="AV51" s="4"/>
      <c r="AW51" s="118"/>
      <c r="AX51" s="20"/>
      <c r="AY51" s="20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19"/>
      <c r="BT51" s="19"/>
      <c r="BU51" s="19"/>
      <c r="BV51" s="19"/>
      <c r="BW51" s="19"/>
      <c r="BX51" s="19"/>
      <c r="BY51" s="19"/>
      <c r="BZ51" s="19"/>
      <c r="CA51" s="9"/>
      <c r="CB51" s="19"/>
      <c r="CC51" s="75"/>
      <c r="CD51" s="19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78"/>
      <c r="DB51" s="75"/>
      <c r="DE51" s="78"/>
      <c r="DH51" s="75"/>
      <c r="DK51" s="78"/>
      <c r="DN51" s="75"/>
      <c r="DT51" s="75"/>
      <c r="DZ51" s="75"/>
      <c r="EF51" s="75"/>
      <c r="EL51" s="75"/>
      <c r="ER51" s="75"/>
      <c r="EX51" s="75"/>
      <c r="FD51" s="75"/>
      <c r="FE51" s="77"/>
      <c r="FG51" s="74"/>
      <c r="FH51" s="75"/>
      <c r="FI51" s="75"/>
      <c r="FJ51" s="75"/>
      <c r="FK51" s="75"/>
      <c r="FL51" s="75"/>
    </row>
    <row r="52" spans="1:168" s="73" customFormat="1" x14ac:dyDescent="0.3">
      <c r="A52" s="3"/>
      <c r="B52" s="3"/>
      <c r="C52" s="3"/>
      <c r="D52" s="3"/>
      <c r="E52" s="3"/>
      <c r="F52" s="3"/>
      <c r="G52" s="5"/>
      <c r="H52" s="6"/>
      <c r="I52" s="6"/>
      <c r="J52" s="6"/>
      <c r="K52" s="7"/>
      <c r="L52" s="8"/>
      <c r="M52" s="9"/>
      <c r="N52" s="1"/>
      <c r="O52" s="10"/>
      <c r="P52" s="4"/>
      <c r="Q52" s="4"/>
      <c r="R52" s="4"/>
      <c r="S52" s="9"/>
      <c r="T52" s="1"/>
      <c r="U52" s="10"/>
      <c r="V52" s="3"/>
      <c r="W52" s="17"/>
      <c r="X52" s="17"/>
      <c r="Y52" s="104"/>
      <c r="Z52" s="3"/>
      <c r="AA52" s="5"/>
      <c r="AB52" s="3"/>
      <c r="AC52" s="127"/>
      <c r="AD52" s="4"/>
      <c r="AE52" s="104"/>
      <c r="AF52" s="1"/>
      <c r="AG52" s="5"/>
      <c r="AH52" s="4"/>
      <c r="AI52" s="17"/>
      <c r="AJ52" s="17"/>
      <c r="AK52" s="9"/>
      <c r="AL52" s="1"/>
      <c r="AM52" s="123"/>
      <c r="AN52" s="4"/>
      <c r="AO52" s="4"/>
      <c r="AP52" s="17"/>
      <c r="AQ52" s="19"/>
      <c r="AR52" s="20"/>
      <c r="AS52" s="20"/>
      <c r="AT52" s="17"/>
      <c r="AU52" s="17"/>
      <c r="AV52" s="4"/>
      <c r="AW52" s="118"/>
      <c r="AX52" s="20"/>
      <c r="AY52" s="20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19"/>
      <c r="BT52" s="19"/>
      <c r="BU52" s="19"/>
      <c r="BV52" s="19"/>
      <c r="BW52" s="19"/>
      <c r="BX52" s="19"/>
      <c r="BY52" s="19"/>
      <c r="BZ52" s="19"/>
      <c r="CA52" s="9"/>
      <c r="CB52" s="19"/>
      <c r="CC52" s="75"/>
      <c r="CD52" s="19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78"/>
      <c r="DB52" s="75"/>
      <c r="DE52" s="78"/>
      <c r="DH52" s="75"/>
      <c r="DK52" s="78"/>
      <c r="DN52" s="75"/>
      <c r="DT52" s="75"/>
      <c r="DZ52" s="75"/>
      <c r="EF52" s="75"/>
      <c r="EL52" s="75"/>
      <c r="ER52" s="75"/>
      <c r="EX52" s="75"/>
      <c r="FD52" s="75"/>
      <c r="FE52" s="77"/>
      <c r="FG52" s="74"/>
      <c r="FH52" s="75"/>
      <c r="FI52" s="75"/>
      <c r="FJ52" s="75"/>
      <c r="FK52" s="75"/>
      <c r="FL52" s="75"/>
    </row>
    <row r="53" spans="1:168" s="73" customFormat="1" x14ac:dyDescent="0.3">
      <c r="A53" s="3"/>
      <c r="B53" s="3"/>
      <c r="C53" s="3"/>
      <c r="D53" s="3"/>
      <c r="E53" s="3"/>
      <c r="F53" s="3"/>
      <c r="G53" s="5"/>
      <c r="H53" s="6"/>
      <c r="I53" s="6"/>
      <c r="J53" s="6"/>
      <c r="K53" s="7"/>
      <c r="L53" s="8"/>
      <c r="M53" s="9"/>
      <c r="N53" s="1"/>
      <c r="O53" s="10"/>
      <c r="P53" s="4"/>
      <c r="Q53" s="4"/>
      <c r="R53" s="4"/>
      <c r="S53" s="9"/>
      <c r="T53" s="1"/>
      <c r="U53" s="10"/>
      <c r="V53" s="3"/>
      <c r="W53" s="17"/>
      <c r="X53" s="17"/>
      <c r="Y53" s="104"/>
      <c r="Z53" s="3"/>
      <c r="AA53" s="5"/>
      <c r="AB53" s="3"/>
      <c r="AC53" s="127"/>
      <c r="AD53" s="4"/>
      <c r="AE53" s="104"/>
      <c r="AF53" s="1"/>
      <c r="AG53" s="5"/>
      <c r="AH53" s="4"/>
      <c r="AI53" s="17"/>
      <c r="AJ53" s="17"/>
      <c r="AK53" s="9"/>
      <c r="AL53" s="1"/>
      <c r="AM53" s="123"/>
      <c r="AN53" s="4"/>
      <c r="AO53" s="4"/>
      <c r="AP53" s="17"/>
      <c r="AQ53" s="19"/>
      <c r="AR53" s="20"/>
      <c r="AS53" s="20"/>
      <c r="AT53" s="17"/>
      <c r="AU53" s="17"/>
      <c r="AV53" s="4"/>
      <c r="AW53" s="118"/>
      <c r="AX53" s="20"/>
      <c r="AY53" s="20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19"/>
      <c r="BT53" s="19"/>
      <c r="BU53" s="19"/>
      <c r="BV53" s="19"/>
      <c r="BW53" s="19"/>
      <c r="BX53" s="19"/>
      <c r="BY53" s="19"/>
      <c r="BZ53" s="19"/>
      <c r="CA53" s="9"/>
      <c r="CB53" s="19"/>
      <c r="CC53" s="75"/>
      <c r="CD53" s="19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78"/>
      <c r="DB53" s="75"/>
      <c r="DE53" s="78"/>
      <c r="DH53" s="75"/>
      <c r="DK53" s="78"/>
      <c r="DN53" s="75"/>
      <c r="DT53" s="75"/>
      <c r="DZ53" s="75"/>
      <c r="EF53" s="75"/>
      <c r="EL53" s="75"/>
      <c r="ER53" s="75"/>
      <c r="EX53" s="75"/>
      <c r="FD53" s="75"/>
      <c r="FE53" s="77"/>
      <c r="FG53" s="74"/>
      <c r="FH53" s="75"/>
      <c r="FI53" s="75"/>
      <c r="FJ53" s="75"/>
      <c r="FK53" s="75"/>
      <c r="FL53" s="75"/>
    </row>
    <row r="54" spans="1:168" s="73" customFormat="1" x14ac:dyDescent="0.3">
      <c r="A54" s="3"/>
      <c r="B54" s="3"/>
      <c r="C54" s="3"/>
      <c r="D54" s="3"/>
      <c r="E54" s="3"/>
      <c r="F54" s="3"/>
      <c r="G54" s="5"/>
      <c r="H54" s="6"/>
      <c r="I54" s="6"/>
      <c r="J54" s="6"/>
      <c r="K54" s="7"/>
      <c r="L54" s="8"/>
      <c r="M54" s="9"/>
      <c r="N54" s="1"/>
      <c r="O54" s="10"/>
      <c r="P54" s="4"/>
      <c r="Q54" s="4"/>
      <c r="R54" s="4"/>
      <c r="S54" s="9"/>
      <c r="T54" s="1"/>
      <c r="U54" s="10"/>
      <c r="V54" s="3"/>
      <c r="W54" s="17"/>
      <c r="X54" s="17"/>
      <c r="Y54" s="104"/>
      <c r="Z54" s="3"/>
      <c r="AA54" s="5"/>
      <c r="AB54" s="3"/>
      <c r="AC54" s="127"/>
      <c r="AD54" s="4"/>
      <c r="AE54" s="104"/>
      <c r="AF54" s="1"/>
      <c r="AG54" s="5"/>
      <c r="AH54" s="4"/>
      <c r="AI54" s="17"/>
      <c r="AJ54" s="17"/>
      <c r="AK54" s="9"/>
      <c r="AL54" s="1"/>
      <c r="AM54" s="123"/>
      <c r="AN54" s="4"/>
      <c r="AO54" s="4"/>
      <c r="AP54" s="17"/>
      <c r="AQ54" s="19"/>
      <c r="AR54" s="20"/>
      <c r="AS54" s="20"/>
      <c r="AT54" s="17"/>
      <c r="AU54" s="17"/>
      <c r="AV54" s="4"/>
      <c r="AW54" s="118"/>
      <c r="AX54" s="20"/>
      <c r="AY54" s="20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19"/>
      <c r="BT54" s="19"/>
      <c r="BU54" s="19"/>
      <c r="BV54" s="19"/>
      <c r="BW54" s="19"/>
      <c r="BX54" s="19"/>
      <c r="BY54" s="19"/>
      <c r="BZ54" s="19"/>
      <c r="CA54" s="9"/>
      <c r="CB54" s="19"/>
      <c r="CC54" s="75"/>
      <c r="CD54" s="75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78"/>
      <c r="DB54" s="75"/>
      <c r="DE54" s="78"/>
      <c r="DH54" s="75"/>
      <c r="DK54" s="78"/>
      <c r="DN54" s="75"/>
      <c r="DT54" s="75"/>
      <c r="DZ54" s="75"/>
      <c r="EF54" s="75"/>
      <c r="EL54" s="75"/>
      <c r="ER54" s="75"/>
      <c r="EX54" s="75"/>
      <c r="FD54" s="75"/>
      <c r="FE54" s="77"/>
      <c r="FG54" s="74"/>
      <c r="FH54" s="75"/>
      <c r="FI54" s="75"/>
      <c r="FJ54" s="75"/>
      <c r="FK54" s="75"/>
      <c r="FL54" s="75"/>
    </row>
    <row r="55" spans="1:168" s="73" customFormat="1" x14ac:dyDescent="0.3">
      <c r="A55" s="3"/>
      <c r="B55" s="3"/>
      <c r="C55" s="3"/>
      <c r="D55" s="3"/>
      <c r="E55" s="3"/>
      <c r="F55" s="3"/>
      <c r="G55" s="5"/>
      <c r="H55" s="6"/>
      <c r="I55" s="6"/>
      <c r="J55" s="6"/>
      <c r="K55" s="7"/>
      <c r="L55" s="8"/>
      <c r="M55" s="9"/>
      <c r="N55" s="1"/>
      <c r="O55" s="10"/>
      <c r="P55" s="4"/>
      <c r="Q55" s="4"/>
      <c r="R55" s="4"/>
      <c r="S55" s="9"/>
      <c r="T55" s="1"/>
      <c r="U55" s="10"/>
      <c r="V55" s="3"/>
      <c r="W55" s="17"/>
      <c r="X55" s="17"/>
      <c r="Y55" s="104"/>
      <c r="Z55" s="3"/>
      <c r="AA55" s="5"/>
      <c r="AB55" s="3"/>
      <c r="AC55" s="127"/>
      <c r="AD55" s="4"/>
      <c r="AE55" s="104"/>
      <c r="AF55" s="1"/>
      <c r="AG55" s="5"/>
      <c r="AH55" s="4"/>
      <c r="AI55" s="17"/>
      <c r="AJ55" s="17"/>
      <c r="AK55" s="9"/>
      <c r="AL55" s="1"/>
      <c r="AM55" s="123"/>
      <c r="AN55" s="4"/>
      <c r="AO55" s="4"/>
      <c r="AP55" s="17"/>
      <c r="AQ55" s="19"/>
      <c r="AR55" s="20"/>
      <c r="AS55" s="20"/>
      <c r="AT55" s="17"/>
      <c r="AU55" s="17"/>
      <c r="AV55" s="4"/>
      <c r="AW55" s="118"/>
      <c r="AX55" s="20"/>
      <c r="AY55" s="20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19"/>
      <c r="BT55" s="19"/>
      <c r="BU55" s="19"/>
      <c r="BV55" s="19"/>
      <c r="BW55" s="19"/>
      <c r="BX55" s="19"/>
      <c r="BY55" s="19"/>
      <c r="BZ55" s="19"/>
      <c r="CA55" s="9"/>
      <c r="CB55" s="19"/>
      <c r="CC55" s="75"/>
      <c r="CD55" s="75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78"/>
      <c r="DB55" s="75"/>
      <c r="DE55" s="78"/>
      <c r="DH55" s="75"/>
      <c r="DK55" s="78"/>
      <c r="DN55" s="75"/>
      <c r="DT55" s="75"/>
      <c r="DZ55" s="75"/>
      <c r="EF55" s="75"/>
      <c r="EL55" s="75"/>
      <c r="ER55" s="75"/>
      <c r="EX55" s="75"/>
      <c r="FD55" s="75"/>
      <c r="FE55" s="77"/>
      <c r="FG55" s="74"/>
      <c r="FH55" s="75"/>
      <c r="FI55" s="75"/>
      <c r="FJ55" s="75"/>
      <c r="FK55" s="75"/>
      <c r="FL55" s="75"/>
    </row>
    <row r="56" spans="1:168" s="73" customFormat="1" x14ac:dyDescent="0.3">
      <c r="A56" s="3"/>
      <c r="B56" s="3"/>
      <c r="C56" s="3"/>
      <c r="D56" s="3"/>
      <c r="E56" s="3"/>
      <c r="F56" s="3"/>
      <c r="G56" s="5"/>
      <c r="H56" s="6"/>
      <c r="I56" s="6"/>
      <c r="J56" s="6"/>
      <c r="K56" s="7"/>
      <c r="L56" s="8"/>
      <c r="M56" s="9"/>
      <c r="N56" s="1"/>
      <c r="O56" s="10"/>
      <c r="P56" s="4"/>
      <c r="Q56" s="4"/>
      <c r="R56" s="4"/>
      <c r="S56" s="9"/>
      <c r="T56" s="1"/>
      <c r="U56" s="10"/>
      <c r="V56" s="3"/>
      <c r="W56" s="17"/>
      <c r="X56" s="17"/>
      <c r="Y56" s="104"/>
      <c r="Z56" s="3"/>
      <c r="AA56" s="5"/>
      <c r="AB56" s="3"/>
      <c r="AC56" s="127"/>
      <c r="AD56" s="4"/>
      <c r="AE56" s="104"/>
      <c r="AF56" s="1"/>
      <c r="AG56" s="5"/>
      <c r="AH56" s="4"/>
      <c r="AI56" s="17"/>
      <c r="AJ56" s="17"/>
      <c r="AK56" s="9"/>
      <c r="AL56" s="1"/>
      <c r="AM56" s="123"/>
      <c r="AN56" s="4"/>
      <c r="AO56" s="4"/>
      <c r="AP56" s="17"/>
      <c r="AQ56" s="19"/>
      <c r="AR56" s="20"/>
      <c r="AS56" s="20"/>
      <c r="AT56" s="17"/>
      <c r="AU56" s="17"/>
      <c r="AV56" s="4"/>
      <c r="AW56" s="118"/>
      <c r="AX56" s="20"/>
      <c r="AY56" s="20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19"/>
      <c r="BT56" s="19"/>
      <c r="BU56" s="19"/>
      <c r="BV56" s="19"/>
      <c r="BW56" s="19"/>
      <c r="BX56" s="19"/>
      <c r="BY56" s="19"/>
      <c r="BZ56" s="19"/>
      <c r="CA56" s="9"/>
      <c r="CB56" s="19"/>
      <c r="CC56" s="75"/>
      <c r="CD56" s="75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78"/>
      <c r="DB56" s="75"/>
      <c r="DE56" s="78"/>
      <c r="DH56" s="75"/>
      <c r="DK56" s="78"/>
      <c r="DN56" s="75"/>
      <c r="DT56" s="75"/>
      <c r="DZ56" s="75"/>
      <c r="EF56" s="75"/>
      <c r="EL56" s="75"/>
      <c r="ER56" s="75"/>
      <c r="EX56" s="75"/>
      <c r="FD56" s="75"/>
      <c r="FE56" s="77"/>
      <c r="FG56" s="74"/>
      <c r="FH56" s="75"/>
      <c r="FI56" s="75"/>
      <c r="FJ56" s="75"/>
      <c r="FK56" s="75"/>
      <c r="FL56" s="75"/>
    </row>
    <row r="57" spans="1:168" x14ac:dyDescent="0.3">
      <c r="A57" s="3"/>
      <c r="B57" s="3"/>
      <c r="C57" s="3"/>
      <c r="D57" s="3"/>
      <c r="E57" s="3"/>
      <c r="F57" s="3"/>
      <c r="G57" s="5"/>
      <c r="H57" s="6"/>
      <c r="I57" s="6"/>
      <c r="J57" s="6"/>
      <c r="K57" s="7"/>
      <c r="L57" s="8"/>
      <c r="M57" s="9"/>
      <c r="N57" s="1"/>
      <c r="O57" s="10"/>
      <c r="P57" s="4"/>
      <c r="Q57" s="4"/>
      <c r="R57" s="4"/>
      <c r="S57" s="9"/>
      <c r="T57" s="1"/>
      <c r="U57" s="10"/>
      <c r="V57" s="3"/>
      <c r="W57" s="17"/>
      <c r="X57" s="17"/>
      <c r="Y57" s="104"/>
      <c r="Z57" s="3"/>
      <c r="AA57" s="5"/>
      <c r="AB57" s="3"/>
      <c r="AC57" s="127"/>
      <c r="AD57" s="4"/>
      <c r="AE57" s="104"/>
      <c r="AF57" s="1"/>
      <c r="AG57" s="5"/>
      <c r="AH57" s="4"/>
      <c r="AI57" s="17"/>
      <c r="AJ57" s="17"/>
      <c r="AK57" s="9"/>
      <c r="AL57" s="1"/>
      <c r="AM57" s="123"/>
      <c r="AN57" s="4"/>
      <c r="AO57" s="4"/>
      <c r="AP57" s="17"/>
      <c r="AQ57" s="19"/>
      <c r="AT57" s="17"/>
      <c r="AU57" s="17"/>
      <c r="AV57" s="4"/>
      <c r="AW57" s="118"/>
      <c r="AY57" s="20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19"/>
      <c r="BT57" s="19"/>
      <c r="BU57" s="19"/>
      <c r="BV57" s="19"/>
      <c r="BW57" s="19"/>
      <c r="BX57" s="19"/>
      <c r="BY57" s="19"/>
      <c r="BZ57" s="19"/>
      <c r="CA57" s="84"/>
      <c r="CB57" s="19"/>
      <c r="CC57" s="75"/>
      <c r="CD57" s="75"/>
      <c r="CE57" s="75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8"/>
      <c r="DB57" s="17"/>
      <c r="DE57" s="18"/>
      <c r="DH57" s="17"/>
      <c r="DK57" s="18"/>
      <c r="DN57" s="17"/>
      <c r="DT57" s="17"/>
      <c r="DZ57" s="17"/>
      <c r="EF57" s="17"/>
      <c r="EL57" s="17"/>
      <c r="ER57" s="17"/>
      <c r="EX57" s="17"/>
      <c r="FD57" s="75"/>
      <c r="FE57" s="19"/>
      <c r="FG57" s="20"/>
      <c r="FH57" s="17"/>
      <c r="FI57" s="17"/>
      <c r="FJ57" s="17"/>
      <c r="FK57" s="17"/>
      <c r="FL57" s="17"/>
    </row>
    <row r="58" spans="1:168" s="73" customFormat="1" x14ac:dyDescent="0.3">
      <c r="A58" s="3"/>
      <c r="B58" s="3"/>
      <c r="C58" s="3"/>
      <c r="D58" s="3"/>
      <c r="E58" s="3"/>
      <c r="F58" s="3"/>
      <c r="G58" s="5"/>
      <c r="H58" s="6"/>
      <c r="I58" s="6"/>
      <c r="J58" s="6"/>
      <c r="K58" s="7"/>
      <c r="L58" s="8"/>
      <c r="M58" s="9"/>
      <c r="N58" s="1"/>
      <c r="O58" s="10"/>
      <c r="P58" s="4"/>
      <c r="Q58" s="4"/>
      <c r="R58" s="4"/>
      <c r="S58" s="9"/>
      <c r="T58" s="1"/>
      <c r="U58" s="10"/>
      <c r="V58" s="3"/>
      <c r="W58" s="17"/>
      <c r="X58" s="17"/>
      <c r="Y58" s="104"/>
      <c r="Z58" s="3"/>
      <c r="AA58" s="5"/>
      <c r="AB58" s="3"/>
      <c r="AC58" s="127"/>
      <c r="AD58" s="4"/>
      <c r="AE58" s="104"/>
      <c r="AF58" s="1"/>
      <c r="AG58" s="5"/>
      <c r="AH58" s="4"/>
      <c r="AI58" s="17"/>
      <c r="AJ58" s="17"/>
      <c r="AK58" s="9"/>
      <c r="AL58" s="1"/>
      <c r="AM58" s="123"/>
      <c r="AN58" s="4"/>
      <c r="AO58" s="4"/>
      <c r="AP58" s="17"/>
      <c r="AQ58" s="19"/>
      <c r="AR58" s="20"/>
      <c r="AS58" s="20"/>
      <c r="AT58" s="17"/>
      <c r="AU58" s="17"/>
      <c r="AV58" s="4"/>
      <c r="AW58" s="118"/>
      <c r="AX58" s="20"/>
      <c r="AY58" s="20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19"/>
      <c r="BT58" s="19"/>
      <c r="BU58" s="19"/>
      <c r="BV58" s="19"/>
      <c r="BW58" s="19"/>
      <c r="BX58" s="19"/>
      <c r="BY58" s="19"/>
      <c r="BZ58" s="19"/>
      <c r="CA58" s="84"/>
      <c r="CB58" s="19"/>
      <c r="CC58" s="75"/>
      <c r="CD58" s="75"/>
      <c r="CE58" s="75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78"/>
      <c r="DB58" s="75"/>
      <c r="DE58" s="78"/>
      <c r="DH58" s="75"/>
      <c r="DK58" s="78"/>
      <c r="DN58" s="75"/>
      <c r="DT58" s="75"/>
      <c r="DZ58" s="75"/>
      <c r="EF58" s="75"/>
      <c r="EL58" s="75"/>
      <c r="ER58" s="75"/>
      <c r="EX58" s="75"/>
      <c r="FD58" s="75"/>
      <c r="FE58" s="77"/>
      <c r="FG58" s="74"/>
      <c r="FH58" s="75"/>
      <c r="FI58" s="75"/>
      <c r="FJ58" s="75"/>
      <c r="FK58" s="75"/>
      <c r="FL58" s="75"/>
    </row>
    <row r="59" spans="1:168" x14ac:dyDescent="0.3">
      <c r="A59" s="3"/>
      <c r="B59" s="3"/>
      <c r="C59" s="3"/>
      <c r="D59" s="3"/>
      <c r="E59" s="3"/>
      <c r="F59" s="3"/>
      <c r="G59" s="5"/>
      <c r="H59" s="6"/>
      <c r="I59" s="6"/>
      <c r="J59" s="6"/>
      <c r="K59" s="7"/>
      <c r="L59" s="8"/>
      <c r="M59" s="86"/>
      <c r="N59" s="1"/>
      <c r="O59" s="10"/>
      <c r="P59" s="4"/>
      <c r="Q59" s="4"/>
      <c r="R59" s="4"/>
      <c r="S59" s="9"/>
      <c r="T59" s="1"/>
      <c r="U59" s="10"/>
      <c r="V59" s="3"/>
      <c r="W59" s="17"/>
      <c r="X59" s="17"/>
      <c r="Y59" s="104"/>
      <c r="Z59" s="3"/>
      <c r="AA59" s="5"/>
      <c r="AB59" s="3"/>
      <c r="AC59" s="127"/>
      <c r="AD59" s="4"/>
      <c r="AE59" s="104"/>
      <c r="AF59" s="1"/>
      <c r="AG59" s="5"/>
      <c r="AH59" s="4"/>
      <c r="AI59" s="17"/>
      <c r="AJ59" s="17"/>
      <c r="AK59" s="9"/>
      <c r="AL59" s="1"/>
      <c r="AM59" s="123"/>
      <c r="AN59" s="4"/>
      <c r="AO59" s="4"/>
      <c r="AP59" s="17"/>
      <c r="AQ59" s="19"/>
      <c r="AT59" s="17"/>
      <c r="AU59" s="17"/>
      <c r="AV59" s="4"/>
      <c r="AW59" s="118"/>
      <c r="AY59" s="20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19"/>
      <c r="BT59" s="19"/>
      <c r="BU59" s="19"/>
      <c r="BV59" s="19"/>
      <c r="BW59" s="19"/>
      <c r="BX59" s="19"/>
      <c r="BY59" s="19"/>
      <c r="BZ59" s="19"/>
      <c r="CA59" s="82"/>
      <c r="CB59" s="19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8"/>
      <c r="DB59" s="17"/>
      <c r="DE59" s="18"/>
      <c r="DH59" s="17"/>
      <c r="DK59" s="18"/>
      <c r="DN59" s="17"/>
      <c r="DT59" s="17"/>
      <c r="DZ59" s="17"/>
      <c r="EF59" s="17"/>
      <c r="EL59" s="17"/>
      <c r="ER59" s="17"/>
      <c r="EX59" s="17"/>
      <c r="FD59" s="75"/>
      <c r="FE59" s="19"/>
      <c r="FG59" s="20"/>
      <c r="FH59" s="17"/>
      <c r="FI59" s="17"/>
      <c r="FJ59" s="17"/>
      <c r="FK59" s="17"/>
      <c r="FL59" s="17"/>
    </row>
    <row r="60" spans="1:168" s="73" customFormat="1" x14ac:dyDescent="0.3">
      <c r="A60" s="3"/>
      <c r="B60" s="3"/>
      <c r="C60" s="3"/>
      <c r="D60" s="3"/>
      <c r="E60" s="3"/>
      <c r="F60" s="3"/>
      <c r="G60" s="5"/>
      <c r="H60" s="6"/>
      <c r="I60" s="6"/>
      <c r="J60" s="6"/>
      <c r="K60" s="7"/>
      <c r="L60" s="8"/>
      <c r="M60" s="9"/>
      <c r="N60" s="1"/>
      <c r="O60" s="10"/>
      <c r="P60" s="4"/>
      <c r="Q60" s="4"/>
      <c r="R60" s="4"/>
      <c r="S60" s="9"/>
      <c r="T60" s="1"/>
      <c r="U60" s="10"/>
      <c r="V60" s="3"/>
      <c r="W60" s="17"/>
      <c r="X60" s="17"/>
      <c r="Y60" s="104"/>
      <c r="Z60" s="3"/>
      <c r="AA60" s="5"/>
      <c r="AB60" s="3"/>
      <c r="AC60" s="127"/>
      <c r="AD60" s="4"/>
      <c r="AE60" s="104"/>
      <c r="AF60" s="1"/>
      <c r="AG60" s="5"/>
      <c r="AH60" s="4"/>
      <c r="AI60" s="17"/>
      <c r="AJ60" s="17"/>
      <c r="AK60" s="9"/>
      <c r="AL60" s="1"/>
      <c r="AM60" s="123"/>
      <c r="AN60" s="4"/>
      <c r="AO60" s="4"/>
      <c r="AP60" s="17"/>
      <c r="AQ60" s="19"/>
      <c r="AR60" s="20"/>
      <c r="AS60" s="20"/>
      <c r="AT60" s="17"/>
      <c r="AU60" s="17"/>
      <c r="AV60" s="4"/>
      <c r="AW60" s="118"/>
      <c r="AX60" s="20"/>
      <c r="AY60" s="20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19"/>
      <c r="BT60" s="19"/>
      <c r="BU60" s="19"/>
      <c r="BV60" s="19"/>
      <c r="BW60" s="19"/>
      <c r="BX60" s="19"/>
      <c r="BY60" s="19"/>
      <c r="BZ60" s="19"/>
      <c r="CA60" s="84"/>
      <c r="CB60" s="19"/>
      <c r="CC60" s="75"/>
      <c r="CD60" s="75"/>
      <c r="CE60" s="75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78"/>
      <c r="DB60" s="75"/>
      <c r="DE60" s="78"/>
      <c r="DH60" s="75"/>
      <c r="DK60" s="78"/>
      <c r="DN60" s="75"/>
      <c r="DT60" s="75"/>
      <c r="DZ60" s="75"/>
      <c r="EF60" s="75"/>
      <c r="EL60" s="75"/>
      <c r="ER60" s="75"/>
      <c r="EX60" s="75"/>
      <c r="FD60" s="75"/>
      <c r="FE60" s="77"/>
      <c r="FG60" s="74"/>
      <c r="FH60" s="75"/>
      <c r="FI60" s="75"/>
      <c r="FJ60" s="75"/>
      <c r="FK60" s="75"/>
      <c r="FL60" s="75"/>
    </row>
    <row r="61" spans="1:168" s="73" customFormat="1" x14ac:dyDescent="0.3">
      <c r="A61" s="3"/>
      <c r="B61" s="3"/>
      <c r="C61" s="3"/>
      <c r="D61" s="3"/>
      <c r="E61" s="3"/>
      <c r="F61" s="3"/>
      <c r="G61" s="5"/>
      <c r="H61" s="6"/>
      <c r="I61" s="6"/>
      <c r="J61" s="6"/>
      <c r="K61" s="7"/>
      <c r="L61" s="8"/>
      <c r="M61" s="86"/>
      <c r="N61" s="1"/>
      <c r="O61" s="10"/>
      <c r="P61" s="4"/>
      <c r="Q61" s="4"/>
      <c r="R61" s="4"/>
      <c r="S61" s="9"/>
      <c r="T61" s="1"/>
      <c r="U61" s="10"/>
      <c r="V61" s="3"/>
      <c r="W61" s="17"/>
      <c r="X61" s="17"/>
      <c r="Y61" s="104"/>
      <c r="Z61" s="3"/>
      <c r="AA61" s="5"/>
      <c r="AB61" s="3"/>
      <c r="AC61" s="127"/>
      <c r="AD61" s="4"/>
      <c r="AE61" s="104"/>
      <c r="AF61" s="1"/>
      <c r="AG61" s="5"/>
      <c r="AH61" s="4"/>
      <c r="AI61" s="17"/>
      <c r="AJ61" s="17"/>
      <c r="AK61" s="9"/>
      <c r="AL61" s="1"/>
      <c r="AM61" s="123"/>
      <c r="AN61" s="4"/>
      <c r="AO61" s="4"/>
      <c r="AP61" s="17"/>
      <c r="AQ61" s="19"/>
      <c r="AR61" s="20"/>
      <c r="AS61" s="20"/>
      <c r="AT61" s="17"/>
      <c r="AU61" s="17"/>
      <c r="AV61" s="4"/>
      <c r="AW61" s="118"/>
      <c r="AX61" s="20"/>
      <c r="AY61" s="20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19"/>
      <c r="BT61" s="19"/>
      <c r="BU61" s="19"/>
      <c r="BV61" s="19"/>
      <c r="BW61" s="19"/>
      <c r="BX61" s="19"/>
      <c r="BY61" s="19"/>
      <c r="BZ61" s="19"/>
      <c r="CA61" s="84"/>
      <c r="CB61" s="19"/>
      <c r="CC61" s="75"/>
      <c r="CD61" s="75"/>
      <c r="CE61" s="75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78"/>
      <c r="DB61" s="75"/>
      <c r="DE61" s="78"/>
      <c r="DH61" s="75"/>
      <c r="DK61" s="78"/>
      <c r="DN61" s="75"/>
      <c r="DT61" s="75"/>
      <c r="DZ61" s="75"/>
      <c r="EF61" s="75"/>
      <c r="EL61" s="75"/>
      <c r="ER61" s="75"/>
      <c r="EX61" s="75"/>
      <c r="FD61" s="75"/>
      <c r="FE61" s="77"/>
      <c r="FG61" s="74"/>
      <c r="FH61" s="75"/>
      <c r="FI61" s="75"/>
      <c r="FJ61" s="75"/>
      <c r="FK61" s="75"/>
      <c r="FL61" s="75"/>
    </row>
    <row r="62" spans="1:168" x14ac:dyDescent="0.3">
      <c r="A62" s="3"/>
      <c r="B62" s="3"/>
      <c r="C62" s="3"/>
      <c r="D62" s="3"/>
      <c r="E62" s="3"/>
      <c r="F62" s="3"/>
      <c r="G62" s="5"/>
      <c r="H62" s="6"/>
      <c r="I62" s="6"/>
      <c r="J62" s="6"/>
      <c r="K62" s="7"/>
      <c r="L62" s="8"/>
      <c r="M62" s="9"/>
      <c r="N62" s="1"/>
      <c r="O62" s="10"/>
      <c r="P62" s="4"/>
      <c r="Q62" s="4"/>
      <c r="R62" s="4"/>
      <c r="S62" s="9"/>
      <c r="T62" s="1"/>
      <c r="U62" s="10"/>
      <c r="V62" s="3"/>
      <c r="W62" s="17"/>
      <c r="X62" s="17"/>
      <c r="Y62" s="104"/>
      <c r="Z62" s="3"/>
      <c r="AA62" s="5"/>
      <c r="AB62" s="3"/>
      <c r="AC62" s="127"/>
      <c r="AD62" s="4"/>
      <c r="AE62" s="104"/>
      <c r="AF62" s="1"/>
      <c r="AG62" s="5"/>
      <c r="AH62" s="4"/>
      <c r="AI62" s="17"/>
      <c r="AJ62" s="17"/>
      <c r="AK62" s="9"/>
      <c r="AL62" s="1"/>
      <c r="AM62" s="123"/>
      <c r="AN62" s="4"/>
      <c r="AO62" s="4"/>
      <c r="AP62" s="17"/>
      <c r="AQ62" s="19"/>
      <c r="AT62" s="17"/>
      <c r="AU62" s="17"/>
      <c r="AV62" s="4"/>
      <c r="AW62" s="118"/>
      <c r="AY62" s="20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19"/>
      <c r="BT62" s="19"/>
      <c r="BU62" s="19"/>
      <c r="BV62" s="19"/>
      <c r="BW62" s="19"/>
      <c r="BX62" s="19"/>
      <c r="BY62" s="19"/>
      <c r="BZ62" s="19"/>
      <c r="CA62" s="84"/>
      <c r="CB62" s="19"/>
      <c r="CC62" s="75"/>
      <c r="CD62" s="75"/>
      <c r="CE62" s="75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8"/>
      <c r="DB62" s="17"/>
      <c r="DE62" s="18"/>
      <c r="DH62" s="17"/>
      <c r="DK62" s="18"/>
      <c r="DN62" s="17"/>
      <c r="DT62" s="17"/>
      <c r="DZ62" s="17"/>
      <c r="EF62" s="17"/>
      <c r="EL62" s="17"/>
      <c r="ER62" s="17"/>
      <c r="EX62" s="17"/>
      <c r="FD62" s="75"/>
      <c r="FE62" s="19"/>
      <c r="FG62" s="20"/>
      <c r="FH62" s="17"/>
      <c r="FI62" s="17"/>
      <c r="FJ62" s="17"/>
      <c r="FK62" s="17"/>
      <c r="FL62" s="17"/>
    </row>
    <row r="63" spans="1:168" s="73" customFormat="1" x14ac:dyDescent="0.3">
      <c r="A63" s="3"/>
      <c r="B63" s="3"/>
      <c r="C63" s="3"/>
      <c r="D63" s="3"/>
      <c r="E63" s="3"/>
      <c r="F63" s="3"/>
      <c r="G63" s="5"/>
      <c r="H63" s="6"/>
      <c r="I63" s="6"/>
      <c r="J63" s="6"/>
      <c r="K63" s="7"/>
      <c r="L63" s="8"/>
      <c r="M63" s="86"/>
      <c r="N63" s="1"/>
      <c r="O63" s="10"/>
      <c r="P63" s="4"/>
      <c r="Q63" s="4"/>
      <c r="R63" s="4"/>
      <c r="S63" s="9"/>
      <c r="T63" s="1"/>
      <c r="U63" s="10"/>
      <c r="V63" s="3"/>
      <c r="W63" s="17"/>
      <c r="X63" s="17"/>
      <c r="Y63" s="104"/>
      <c r="Z63" s="3"/>
      <c r="AA63" s="5"/>
      <c r="AB63" s="3"/>
      <c r="AC63" s="127"/>
      <c r="AD63" s="4"/>
      <c r="AE63" s="104"/>
      <c r="AF63" s="1"/>
      <c r="AG63" s="5"/>
      <c r="AH63" s="4"/>
      <c r="AI63" s="17"/>
      <c r="AJ63" s="17"/>
      <c r="AK63" s="9"/>
      <c r="AL63" s="1"/>
      <c r="AM63" s="123"/>
      <c r="AN63" s="4"/>
      <c r="AO63" s="4"/>
      <c r="AP63" s="17"/>
      <c r="AQ63" s="19"/>
      <c r="AR63" s="20"/>
      <c r="AS63" s="20"/>
      <c r="AT63" s="17"/>
      <c r="AU63" s="17"/>
      <c r="AV63" s="4"/>
      <c r="AW63" s="118"/>
      <c r="AX63" s="20"/>
      <c r="AY63" s="20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19"/>
      <c r="BT63" s="19"/>
      <c r="BU63" s="19"/>
      <c r="BV63" s="19"/>
      <c r="BW63" s="19"/>
      <c r="BX63" s="19"/>
      <c r="BY63" s="19"/>
      <c r="BZ63" s="19"/>
      <c r="CA63" s="84"/>
      <c r="CB63" s="19"/>
      <c r="CC63" s="75"/>
      <c r="CD63" s="75"/>
      <c r="CE63" s="75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78"/>
      <c r="DB63" s="75"/>
      <c r="DE63" s="78"/>
      <c r="DH63" s="75"/>
      <c r="DK63" s="78"/>
      <c r="DN63" s="75"/>
      <c r="DT63" s="75"/>
      <c r="DZ63" s="75"/>
      <c r="EF63" s="75"/>
      <c r="EL63" s="75"/>
      <c r="ER63" s="75"/>
      <c r="EX63" s="75"/>
      <c r="FD63" s="75"/>
      <c r="FE63" s="77"/>
      <c r="FG63" s="74"/>
      <c r="FH63" s="75"/>
      <c r="FI63" s="75"/>
      <c r="FJ63" s="75"/>
      <c r="FK63" s="75"/>
      <c r="FL63" s="75"/>
    </row>
    <row r="64" spans="1:168" x14ac:dyDescent="0.3">
      <c r="A64" s="3"/>
      <c r="B64" s="3"/>
      <c r="C64" s="3"/>
      <c r="D64" s="3"/>
      <c r="E64" s="3"/>
      <c r="F64" s="3"/>
      <c r="G64" s="5"/>
      <c r="H64" s="6"/>
      <c r="I64" s="6"/>
      <c r="J64" s="6"/>
      <c r="K64" s="7"/>
      <c r="L64" s="8"/>
      <c r="M64" s="9"/>
      <c r="N64" s="1"/>
      <c r="O64" s="10"/>
      <c r="P64" s="4"/>
      <c r="Q64" s="4"/>
      <c r="R64" s="4"/>
      <c r="S64" s="9"/>
      <c r="T64" s="1"/>
      <c r="U64" s="10"/>
      <c r="V64" s="3"/>
      <c r="W64" s="17"/>
      <c r="X64" s="17"/>
      <c r="Y64" s="104"/>
      <c r="Z64" s="3"/>
      <c r="AA64" s="5"/>
      <c r="AB64" s="3"/>
      <c r="AC64" s="127"/>
      <c r="AD64" s="4"/>
      <c r="AE64" s="104"/>
      <c r="AF64" s="1"/>
      <c r="AG64" s="5"/>
      <c r="AH64" s="4"/>
      <c r="AI64" s="17"/>
      <c r="AJ64" s="17"/>
      <c r="AK64" s="9"/>
      <c r="AL64" s="1"/>
      <c r="AM64" s="123"/>
      <c r="AN64" s="4"/>
      <c r="AO64" s="4"/>
      <c r="AP64" s="17"/>
      <c r="AQ64" s="19"/>
      <c r="AT64" s="17"/>
      <c r="AU64" s="17"/>
      <c r="AV64" s="4"/>
      <c r="AW64" s="118"/>
      <c r="AY64" s="20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19"/>
      <c r="BT64" s="19"/>
      <c r="BU64" s="19"/>
      <c r="BV64" s="19"/>
      <c r="BW64" s="19"/>
      <c r="BX64" s="19"/>
      <c r="BY64" s="19"/>
      <c r="BZ64" s="19"/>
      <c r="CA64" s="82"/>
      <c r="CB64" s="19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8"/>
      <c r="DB64" s="17"/>
      <c r="DE64" s="18"/>
      <c r="DH64" s="17"/>
      <c r="DK64" s="18"/>
      <c r="DN64" s="17"/>
      <c r="DT64" s="17"/>
      <c r="DZ64" s="17"/>
      <c r="EF64" s="17"/>
      <c r="EL64" s="17"/>
      <c r="ER64" s="17"/>
      <c r="EX64" s="17"/>
      <c r="FD64" s="75"/>
      <c r="FE64" s="19"/>
      <c r="FG64" s="20"/>
      <c r="FH64" s="17"/>
      <c r="FI64" s="17"/>
      <c r="FJ64" s="17"/>
      <c r="FK64" s="17"/>
      <c r="FL64" s="17"/>
    </row>
    <row r="65" spans="1:168" s="73" customFormat="1" x14ac:dyDescent="0.3">
      <c r="A65" s="3"/>
      <c r="B65" s="3"/>
      <c r="C65" s="3"/>
      <c r="D65" s="3"/>
      <c r="E65" s="3"/>
      <c r="F65" s="3"/>
      <c r="G65" s="5"/>
      <c r="H65" s="6"/>
      <c r="I65" s="6"/>
      <c r="J65" s="6"/>
      <c r="K65" s="7"/>
      <c r="L65" s="8"/>
      <c r="M65" s="86"/>
      <c r="N65" s="1"/>
      <c r="O65" s="10"/>
      <c r="P65" s="4"/>
      <c r="Q65" s="4"/>
      <c r="R65" s="4"/>
      <c r="S65" s="9"/>
      <c r="T65" s="1"/>
      <c r="U65" s="10"/>
      <c r="V65" s="3"/>
      <c r="W65" s="17"/>
      <c r="X65" s="17"/>
      <c r="Y65" s="104"/>
      <c r="Z65" s="3"/>
      <c r="AA65" s="5"/>
      <c r="AB65" s="3"/>
      <c r="AC65" s="127"/>
      <c r="AD65" s="4"/>
      <c r="AE65" s="104"/>
      <c r="AF65" s="1"/>
      <c r="AG65" s="5"/>
      <c r="AH65" s="4"/>
      <c r="AI65" s="17"/>
      <c r="AJ65" s="17"/>
      <c r="AK65" s="9"/>
      <c r="AL65" s="1"/>
      <c r="AM65" s="123"/>
      <c r="AN65" s="4"/>
      <c r="AO65" s="4"/>
      <c r="AP65" s="17"/>
      <c r="AQ65" s="19"/>
      <c r="AR65" s="20"/>
      <c r="AS65" s="20"/>
      <c r="AT65" s="17"/>
      <c r="AU65" s="17"/>
      <c r="AV65" s="4"/>
      <c r="AW65" s="118"/>
      <c r="AX65" s="20"/>
      <c r="AY65" s="20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19"/>
      <c r="BT65" s="19"/>
      <c r="BU65" s="19"/>
      <c r="BV65" s="19"/>
      <c r="BW65" s="19"/>
      <c r="BX65" s="19"/>
      <c r="BY65" s="19"/>
      <c r="BZ65" s="19"/>
      <c r="CA65" s="84"/>
      <c r="CB65" s="19"/>
      <c r="CC65" s="75"/>
      <c r="CD65" s="75"/>
      <c r="CE65" s="75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78"/>
      <c r="DB65" s="75"/>
      <c r="DE65" s="78"/>
      <c r="DH65" s="75"/>
      <c r="DK65" s="78"/>
      <c r="DN65" s="75"/>
      <c r="DT65" s="75"/>
      <c r="DZ65" s="75"/>
      <c r="EF65" s="75"/>
      <c r="EL65" s="75"/>
      <c r="ER65" s="75"/>
      <c r="EX65" s="75"/>
      <c r="FD65" s="75"/>
      <c r="FE65" s="77"/>
      <c r="FG65" s="74"/>
      <c r="FH65" s="75"/>
      <c r="FI65" s="75"/>
      <c r="FJ65" s="75"/>
      <c r="FK65" s="75"/>
      <c r="FL65" s="75"/>
    </row>
    <row r="66" spans="1:168" s="73" customFormat="1" x14ac:dyDescent="0.3">
      <c r="A66" s="3"/>
      <c r="B66" s="3"/>
      <c r="C66" s="3"/>
      <c r="D66" s="3"/>
      <c r="E66" s="3"/>
      <c r="F66" s="3"/>
      <c r="G66" s="5"/>
      <c r="H66" s="6"/>
      <c r="I66" s="6"/>
      <c r="J66" s="6"/>
      <c r="K66" s="7"/>
      <c r="L66" s="8"/>
      <c r="M66" s="9"/>
      <c r="N66" s="1"/>
      <c r="O66" s="10"/>
      <c r="P66" s="4"/>
      <c r="Q66" s="4"/>
      <c r="R66" s="4"/>
      <c r="S66" s="9"/>
      <c r="T66" s="1"/>
      <c r="U66" s="10"/>
      <c r="V66" s="3"/>
      <c r="W66" s="17"/>
      <c r="X66" s="17"/>
      <c r="Y66" s="104"/>
      <c r="Z66" s="3"/>
      <c r="AA66" s="5"/>
      <c r="AB66" s="3"/>
      <c r="AC66" s="127"/>
      <c r="AD66" s="4"/>
      <c r="AE66" s="104"/>
      <c r="AF66" s="1"/>
      <c r="AG66" s="5"/>
      <c r="AH66" s="4"/>
      <c r="AI66" s="17"/>
      <c r="AJ66" s="17"/>
      <c r="AK66" s="9"/>
      <c r="AL66" s="1"/>
      <c r="AM66" s="123"/>
      <c r="AN66" s="4"/>
      <c r="AO66" s="4"/>
      <c r="AP66" s="17"/>
      <c r="AQ66" s="19"/>
      <c r="AR66" s="20"/>
      <c r="AS66" s="20"/>
      <c r="AT66" s="17"/>
      <c r="AU66" s="17"/>
      <c r="AV66" s="4"/>
      <c r="AW66" s="118"/>
      <c r="AX66" s="20"/>
      <c r="AY66" s="20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19"/>
      <c r="BT66" s="19"/>
      <c r="BU66" s="19"/>
      <c r="BV66" s="19"/>
      <c r="BW66" s="19"/>
      <c r="BX66" s="19"/>
      <c r="BY66" s="19"/>
      <c r="BZ66" s="19"/>
      <c r="CB66" s="19"/>
      <c r="CC66" s="75"/>
      <c r="CD66" s="75"/>
      <c r="CE66" s="75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78"/>
      <c r="DB66" s="75"/>
      <c r="DE66" s="78"/>
      <c r="DH66" s="75"/>
      <c r="DK66" s="78"/>
      <c r="DN66" s="75"/>
      <c r="DT66" s="75"/>
      <c r="DZ66" s="75"/>
      <c r="EF66" s="75"/>
      <c r="EL66" s="75"/>
      <c r="ER66" s="75"/>
      <c r="EX66" s="75"/>
      <c r="FD66" s="75"/>
      <c r="FE66" s="77"/>
      <c r="FG66" s="74"/>
      <c r="FH66" s="75"/>
      <c r="FI66" s="75"/>
      <c r="FJ66" s="75"/>
      <c r="FK66" s="75"/>
      <c r="FL66" s="75"/>
    </row>
    <row r="67" spans="1:168" s="73" customFormat="1" x14ac:dyDescent="0.3">
      <c r="A67" s="3"/>
      <c r="B67" s="3"/>
      <c r="C67" s="3"/>
      <c r="D67" s="3"/>
      <c r="E67" s="3"/>
      <c r="F67" s="3"/>
      <c r="G67" s="5"/>
      <c r="H67" s="6"/>
      <c r="I67" s="6"/>
      <c r="J67" s="6"/>
      <c r="K67" s="7"/>
      <c r="L67" s="8"/>
      <c r="M67" s="86"/>
      <c r="N67" s="1"/>
      <c r="O67" s="10"/>
      <c r="P67" s="4"/>
      <c r="Q67" s="4"/>
      <c r="R67" s="4"/>
      <c r="S67" s="9"/>
      <c r="T67" s="1"/>
      <c r="U67" s="10"/>
      <c r="V67" s="3"/>
      <c r="W67" s="17"/>
      <c r="X67" s="17"/>
      <c r="Y67" s="104"/>
      <c r="Z67" s="3"/>
      <c r="AA67" s="5"/>
      <c r="AB67" s="3"/>
      <c r="AC67" s="127"/>
      <c r="AD67" s="4"/>
      <c r="AE67" s="104"/>
      <c r="AF67" s="1"/>
      <c r="AG67" s="5"/>
      <c r="AH67" s="4"/>
      <c r="AI67" s="17"/>
      <c r="AJ67" s="17"/>
      <c r="AK67" s="9"/>
      <c r="AL67" s="1"/>
      <c r="AM67" s="123"/>
      <c r="AN67" s="4"/>
      <c r="AO67" s="4"/>
      <c r="AP67" s="17"/>
      <c r="AQ67" s="19"/>
      <c r="AR67" s="20"/>
      <c r="AS67" s="20"/>
      <c r="AT67" s="17"/>
      <c r="AU67" s="17"/>
      <c r="AV67" s="4"/>
      <c r="AW67" s="118"/>
      <c r="AX67" s="20"/>
      <c r="AY67" s="20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19"/>
      <c r="BT67" s="19"/>
      <c r="BU67" s="19"/>
      <c r="BV67" s="19"/>
      <c r="BW67" s="19"/>
      <c r="BX67" s="19"/>
      <c r="BY67" s="19"/>
      <c r="BZ67" s="19"/>
      <c r="CB67" s="19"/>
      <c r="CC67" s="75"/>
      <c r="CD67" s="75"/>
      <c r="CE67" s="75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78"/>
      <c r="DB67" s="75"/>
      <c r="DE67" s="78"/>
      <c r="DH67" s="75"/>
      <c r="DK67" s="78"/>
      <c r="DN67" s="75"/>
      <c r="DT67" s="75"/>
      <c r="DZ67" s="75"/>
      <c r="EF67" s="75"/>
      <c r="EL67" s="75"/>
      <c r="ER67" s="75"/>
      <c r="EX67" s="75"/>
      <c r="FD67" s="75"/>
      <c r="FE67" s="77"/>
      <c r="FG67" s="74"/>
      <c r="FH67" s="75"/>
      <c r="FI67" s="75"/>
      <c r="FJ67" s="75"/>
      <c r="FK67" s="75"/>
      <c r="FL67" s="75"/>
    </row>
    <row r="68" spans="1:168" s="73" customFormat="1" x14ac:dyDescent="0.3">
      <c r="A68" s="3"/>
      <c r="B68" s="3"/>
      <c r="C68" s="3"/>
      <c r="D68" s="3"/>
      <c r="E68" s="3"/>
      <c r="F68" s="3"/>
      <c r="G68" s="5"/>
      <c r="H68" s="6"/>
      <c r="I68" s="6"/>
      <c r="J68" s="6"/>
      <c r="K68" s="7"/>
      <c r="L68" s="8"/>
      <c r="M68" s="9"/>
      <c r="N68" s="1"/>
      <c r="O68" s="10"/>
      <c r="P68" s="4"/>
      <c r="Q68" s="4"/>
      <c r="R68" s="4"/>
      <c r="S68" s="9"/>
      <c r="T68" s="1"/>
      <c r="U68" s="10"/>
      <c r="V68" s="3"/>
      <c r="W68" s="17"/>
      <c r="X68" s="17"/>
      <c r="Y68" s="104"/>
      <c r="Z68" s="3"/>
      <c r="AA68" s="5"/>
      <c r="AB68" s="3"/>
      <c r="AC68" s="127"/>
      <c r="AD68" s="4"/>
      <c r="AE68" s="104"/>
      <c r="AF68" s="1"/>
      <c r="AG68" s="5"/>
      <c r="AH68" s="4"/>
      <c r="AI68" s="17"/>
      <c r="AJ68" s="17"/>
      <c r="AK68" s="9"/>
      <c r="AL68" s="1"/>
      <c r="AM68" s="123"/>
      <c r="AN68" s="4"/>
      <c r="AO68" s="4"/>
      <c r="AP68" s="17"/>
      <c r="AQ68" s="19"/>
      <c r="AR68" s="20"/>
      <c r="AS68" s="20"/>
      <c r="AT68" s="17"/>
      <c r="AU68" s="17"/>
      <c r="AV68" s="4"/>
      <c r="AW68" s="118"/>
      <c r="AX68" s="20"/>
      <c r="AY68" s="20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19"/>
      <c r="BT68" s="19"/>
      <c r="BU68" s="19"/>
      <c r="BV68" s="19"/>
      <c r="BW68" s="19"/>
      <c r="BX68" s="19"/>
      <c r="BY68" s="19"/>
      <c r="BZ68" s="19"/>
      <c r="CA68" s="84"/>
      <c r="CB68" s="19"/>
      <c r="CC68" s="75"/>
      <c r="CD68" s="75"/>
      <c r="CE68" s="75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78"/>
      <c r="DB68" s="75"/>
      <c r="DE68" s="78"/>
      <c r="DH68" s="75"/>
      <c r="DK68" s="78"/>
      <c r="DN68" s="75"/>
      <c r="DT68" s="75"/>
      <c r="DZ68" s="75"/>
      <c r="EF68" s="75"/>
      <c r="EL68" s="75"/>
      <c r="ER68" s="75"/>
      <c r="EX68" s="75"/>
      <c r="FD68" s="75"/>
      <c r="FE68" s="77"/>
      <c r="FG68" s="74"/>
      <c r="FH68" s="75"/>
      <c r="FI68" s="75"/>
      <c r="FJ68" s="75"/>
      <c r="FK68" s="75"/>
      <c r="FL68" s="75"/>
    </row>
    <row r="69" spans="1:168" s="73" customFormat="1" x14ac:dyDescent="0.3">
      <c r="A69" s="3"/>
      <c r="B69" s="3"/>
      <c r="C69" s="3"/>
      <c r="D69" s="3"/>
      <c r="E69" s="3"/>
      <c r="F69" s="3"/>
      <c r="G69" s="5"/>
      <c r="H69" s="6"/>
      <c r="I69" s="6"/>
      <c r="J69" s="6"/>
      <c r="K69" s="7"/>
      <c r="L69" s="8"/>
      <c r="M69" s="86"/>
      <c r="N69" s="1"/>
      <c r="O69" s="10"/>
      <c r="P69" s="4"/>
      <c r="Q69" s="4"/>
      <c r="R69" s="4"/>
      <c r="S69" s="9"/>
      <c r="T69" s="1"/>
      <c r="U69" s="10"/>
      <c r="V69" s="3"/>
      <c r="W69" s="17"/>
      <c r="X69" s="17"/>
      <c r="Y69" s="104"/>
      <c r="Z69" s="3"/>
      <c r="AA69" s="5"/>
      <c r="AB69" s="3"/>
      <c r="AC69" s="127"/>
      <c r="AD69" s="4"/>
      <c r="AE69" s="104"/>
      <c r="AF69" s="1"/>
      <c r="AG69" s="5"/>
      <c r="AH69" s="4"/>
      <c r="AI69" s="17"/>
      <c r="AJ69" s="17"/>
      <c r="AK69" s="9"/>
      <c r="AL69" s="1"/>
      <c r="AM69" s="123"/>
      <c r="AN69" s="4"/>
      <c r="AO69" s="4"/>
      <c r="AP69" s="17"/>
      <c r="AQ69" s="19"/>
      <c r="AR69" s="20"/>
      <c r="AS69" s="20"/>
      <c r="AT69" s="17"/>
      <c r="AU69" s="17"/>
      <c r="AV69" s="4"/>
      <c r="AW69" s="118"/>
      <c r="AX69" s="20"/>
      <c r="AY69" s="20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78"/>
      <c r="DB69" s="75"/>
      <c r="DE69" s="78"/>
      <c r="DH69" s="75"/>
      <c r="DK69" s="78"/>
      <c r="DN69" s="75"/>
      <c r="DT69" s="75"/>
      <c r="DZ69" s="75"/>
      <c r="EF69" s="75"/>
      <c r="EL69" s="75"/>
      <c r="ER69" s="75"/>
      <c r="EX69" s="75"/>
      <c r="FD69" s="75"/>
      <c r="FE69" s="77"/>
      <c r="FG69" s="74"/>
      <c r="FH69" s="75"/>
      <c r="FI69" s="75"/>
      <c r="FJ69" s="75"/>
      <c r="FK69" s="75"/>
      <c r="FL69" s="75"/>
    </row>
    <row r="70" spans="1:168" s="73" customFormat="1" x14ac:dyDescent="0.3">
      <c r="A70" s="3"/>
      <c r="B70" s="3"/>
      <c r="C70" s="3"/>
      <c r="D70" s="3"/>
      <c r="E70" s="3"/>
      <c r="F70" s="3"/>
      <c r="G70" s="5"/>
      <c r="H70" s="6"/>
      <c r="I70" s="6"/>
      <c r="J70" s="6"/>
      <c r="K70" s="7"/>
      <c r="L70" s="8"/>
      <c r="M70" s="9"/>
      <c r="N70" s="1"/>
      <c r="O70" s="10"/>
      <c r="P70" s="4"/>
      <c r="Q70" s="4"/>
      <c r="R70" s="4"/>
      <c r="S70" s="9"/>
      <c r="T70" s="1"/>
      <c r="U70" s="10"/>
      <c r="V70" s="3"/>
      <c r="W70" s="17"/>
      <c r="X70" s="17"/>
      <c r="Y70" s="104"/>
      <c r="Z70" s="3"/>
      <c r="AA70" s="5"/>
      <c r="AB70" s="3"/>
      <c r="AC70" s="127"/>
      <c r="AD70" s="4"/>
      <c r="AE70" s="104"/>
      <c r="AF70" s="1"/>
      <c r="AG70" s="5"/>
      <c r="AH70" s="4"/>
      <c r="AI70" s="17"/>
      <c r="AJ70" s="17"/>
      <c r="AK70" s="9"/>
      <c r="AL70" s="1"/>
      <c r="AM70" s="123"/>
      <c r="AN70" s="4"/>
      <c r="AO70" s="4"/>
      <c r="AP70" s="17"/>
      <c r="AQ70" s="19"/>
      <c r="AR70" s="20"/>
      <c r="AS70" s="20"/>
      <c r="AT70" s="17"/>
      <c r="AU70" s="17"/>
      <c r="AV70" s="4"/>
      <c r="AW70" s="118"/>
      <c r="AX70" s="20"/>
      <c r="AY70" s="20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75"/>
      <c r="BT70" s="75"/>
      <c r="BU70" s="84"/>
      <c r="BZ70" s="75"/>
      <c r="CB70" s="19"/>
      <c r="CC70" s="75"/>
      <c r="CD70" s="75"/>
      <c r="CE70" s="75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78"/>
      <c r="DB70" s="75"/>
      <c r="DE70" s="78"/>
      <c r="DH70" s="75"/>
      <c r="DK70" s="78"/>
      <c r="DN70" s="75"/>
      <c r="DT70" s="75"/>
      <c r="DZ70" s="75"/>
      <c r="EF70" s="75"/>
      <c r="EL70" s="75"/>
      <c r="ER70" s="75"/>
      <c r="EX70" s="75"/>
      <c r="FD70" s="75"/>
      <c r="FE70" s="77"/>
      <c r="FG70" s="74"/>
      <c r="FH70" s="75"/>
      <c r="FI70" s="75"/>
      <c r="FJ70" s="75"/>
      <c r="FK70" s="75"/>
      <c r="FL70" s="75"/>
    </row>
    <row r="71" spans="1:168" s="73" customFormat="1" x14ac:dyDescent="0.3">
      <c r="A71" s="3"/>
      <c r="B71" s="3"/>
      <c r="C71" s="3"/>
      <c r="D71" s="3"/>
      <c r="E71" s="3"/>
      <c r="F71" s="3"/>
      <c r="G71" s="5"/>
      <c r="H71" s="6"/>
      <c r="I71" s="6"/>
      <c r="J71" s="6"/>
      <c r="K71" s="7"/>
      <c r="L71" s="8"/>
      <c r="M71" s="86"/>
      <c r="N71" s="1"/>
      <c r="O71" s="10"/>
      <c r="P71" s="4"/>
      <c r="Q71" s="4"/>
      <c r="R71" s="4"/>
      <c r="S71" s="9"/>
      <c r="T71" s="1"/>
      <c r="U71" s="10"/>
      <c r="V71" s="3"/>
      <c r="W71" s="17"/>
      <c r="X71" s="17"/>
      <c r="Y71" s="104"/>
      <c r="Z71" s="3"/>
      <c r="AA71" s="5"/>
      <c r="AB71" s="3"/>
      <c r="AC71" s="127"/>
      <c r="AD71" s="4"/>
      <c r="AE71" s="104"/>
      <c r="AF71" s="1"/>
      <c r="AG71" s="5"/>
      <c r="AH71" s="4"/>
      <c r="AI71" s="17"/>
      <c r="AJ71" s="17"/>
      <c r="AK71" s="9"/>
      <c r="AL71" s="1"/>
      <c r="AM71" s="123"/>
      <c r="AN71" s="4"/>
      <c r="AO71" s="4"/>
      <c r="AP71" s="17"/>
      <c r="AQ71" s="19"/>
      <c r="AR71" s="20"/>
      <c r="AS71" s="20"/>
      <c r="AT71" s="17"/>
      <c r="AU71" s="17"/>
      <c r="AV71" s="4"/>
      <c r="AW71" s="118"/>
      <c r="AX71" s="20"/>
      <c r="AY71" s="20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75"/>
      <c r="BT71" s="75"/>
      <c r="BY71" s="75"/>
      <c r="BZ71" s="75"/>
      <c r="CB71" s="19"/>
      <c r="CC71" s="75"/>
      <c r="CD71" s="75"/>
      <c r="CE71" s="75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78"/>
      <c r="DB71" s="75"/>
      <c r="DE71" s="78"/>
      <c r="DH71" s="75"/>
      <c r="DK71" s="78"/>
      <c r="DN71" s="75"/>
      <c r="DT71" s="75"/>
      <c r="DZ71" s="75"/>
      <c r="EF71" s="75"/>
      <c r="EL71" s="75"/>
      <c r="ER71" s="75"/>
      <c r="EX71" s="75"/>
      <c r="FD71" s="75"/>
      <c r="FE71" s="77"/>
      <c r="FG71" s="74"/>
      <c r="FH71" s="75"/>
      <c r="FI71" s="75"/>
      <c r="FJ71" s="75"/>
      <c r="FK71" s="75"/>
      <c r="FL71" s="75"/>
    </row>
    <row r="72" spans="1:168" x14ac:dyDescent="0.3">
      <c r="A72" s="3"/>
      <c r="B72" s="3"/>
      <c r="C72" s="3"/>
      <c r="D72" s="3"/>
      <c r="E72" s="3"/>
      <c r="F72" s="3"/>
      <c r="G72" s="5"/>
      <c r="H72" s="6"/>
      <c r="I72" s="6"/>
      <c r="J72" s="6"/>
      <c r="K72" s="7"/>
      <c r="L72" s="8"/>
      <c r="M72" s="9"/>
      <c r="N72" s="1"/>
      <c r="O72" s="10"/>
      <c r="P72" s="4"/>
      <c r="Q72" s="4"/>
      <c r="R72" s="4"/>
      <c r="S72" s="9"/>
      <c r="T72" s="1"/>
      <c r="U72" s="10"/>
      <c r="V72" s="3"/>
      <c r="W72" s="17"/>
      <c r="X72" s="17"/>
      <c r="Y72" s="104"/>
      <c r="Z72" s="3"/>
      <c r="AA72" s="5"/>
      <c r="AB72" s="3"/>
      <c r="AC72" s="127"/>
      <c r="AD72" s="4"/>
      <c r="AE72" s="104"/>
      <c r="AF72" s="1"/>
      <c r="AG72" s="5"/>
      <c r="AH72" s="4"/>
      <c r="AI72" s="17"/>
      <c r="AJ72" s="17"/>
      <c r="AK72" s="9"/>
      <c r="AL72" s="1"/>
      <c r="AM72" s="123"/>
      <c r="AN72" s="4"/>
      <c r="AO72" s="4"/>
      <c r="AP72" s="17"/>
      <c r="AQ72" s="19"/>
      <c r="AT72" s="17"/>
      <c r="AU72" s="17"/>
      <c r="AV72" s="4"/>
      <c r="AW72" s="118"/>
      <c r="AY72" s="20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75"/>
      <c r="BT72" s="75"/>
      <c r="BU72" s="73"/>
      <c r="BV72" s="73"/>
      <c r="BW72" s="73"/>
      <c r="BX72" s="73"/>
      <c r="BY72" s="75"/>
      <c r="BZ72" s="75"/>
      <c r="CA72" s="73"/>
      <c r="CB72" s="19"/>
      <c r="CC72" s="75"/>
      <c r="CD72" s="75"/>
      <c r="CE72" s="75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8"/>
      <c r="DB72" s="17"/>
      <c r="DE72" s="18"/>
      <c r="DH72" s="17"/>
      <c r="DK72" s="18"/>
      <c r="DN72" s="17"/>
      <c r="DT72" s="17"/>
      <c r="DZ72" s="17"/>
      <c r="EF72" s="17"/>
      <c r="EL72" s="17"/>
      <c r="ER72" s="17"/>
      <c r="EX72" s="17"/>
      <c r="FD72" s="75"/>
      <c r="FE72" s="19"/>
      <c r="FG72" s="20"/>
      <c r="FH72" s="17"/>
      <c r="FI72" s="17"/>
      <c r="FJ72" s="17"/>
      <c r="FK72" s="17"/>
      <c r="FL72" s="17"/>
    </row>
    <row r="73" spans="1:168" s="73" customFormat="1" x14ac:dyDescent="0.3">
      <c r="A73" s="3"/>
      <c r="B73" s="3"/>
      <c r="C73" s="3"/>
      <c r="D73" s="3"/>
      <c r="E73" s="3"/>
      <c r="F73" s="3"/>
      <c r="G73" s="5"/>
      <c r="H73" s="6"/>
      <c r="I73" s="6"/>
      <c r="J73" s="6"/>
      <c r="K73" s="7"/>
      <c r="L73" s="8"/>
      <c r="M73" s="86"/>
      <c r="N73" s="1"/>
      <c r="O73" s="10"/>
      <c r="P73" s="4"/>
      <c r="Q73" s="4"/>
      <c r="R73" s="4"/>
      <c r="S73" s="9"/>
      <c r="T73" s="1"/>
      <c r="U73" s="10"/>
      <c r="V73" s="3"/>
      <c r="W73" s="17"/>
      <c r="X73" s="17"/>
      <c r="Y73" s="104"/>
      <c r="Z73" s="3"/>
      <c r="AA73" s="5"/>
      <c r="AB73" s="3"/>
      <c r="AC73" s="127"/>
      <c r="AD73" s="4"/>
      <c r="AE73" s="104"/>
      <c r="AF73" s="1"/>
      <c r="AG73" s="5"/>
      <c r="AH73" s="4"/>
      <c r="AI73" s="17"/>
      <c r="AJ73" s="17"/>
      <c r="AK73" s="9"/>
      <c r="AL73" s="1"/>
      <c r="AM73" s="123"/>
      <c r="AN73" s="4"/>
      <c r="AO73" s="4"/>
      <c r="AP73" s="17"/>
      <c r="AQ73" s="19"/>
      <c r="AR73" s="20"/>
      <c r="AS73" s="20"/>
      <c r="AT73" s="17"/>
      <c r="AU73" s="17"/>
      <c r="AV73" s="4"/>
      <c r="AW73" s="118"/>
      <c r="AX73" s="20"/>
      <c r="AY73" s="20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75"/>
      <c r="BT73" s="75"/>
      <c r="BY73" s="75"/>
      <c r="BZ73" s="75"/>
      <c r="CB73" s="19"/>
      <c r="CC73" s="75"/>
      <c r="CD73" s="75"/>
      <c r="CE73" s="75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78"/>
      <c r="DB73" s="75"/>
      <c r="DE73" s="78"/>
      <c r="DH73" s="75"/>
      <c r="DK73" s="78"/>
      <c r="DN73" s="75"/>
      <c r="DT73" s="75"/>
      <c r="DZ73" s="75"/>
      <c r="EF73" s="75"/>
      <c r="EL73" s="75"/>
      <c r="ER73" s="75"/>
      <c r="EX73" s="75"/>
      <c r="FD73" s="75"/>
      <c r="FE73" s="77"/>
      <c r="FG73" s="74"/>
      <c r="FH73" s="75"/>
      <c r="FI73" s="75"/>
      <c r="FJ73" s="75"/>
      <c r="FK73" s="75"/>
      <c r="FL73" s="75"/>
    </row>
    <row r="74" spans="1:168" s="73" customFormat="1" x14ac:dyDescent="0.3">
      <c r="A74" s="3"/>
      <c r="B74" s="3"/>
      <c r="C74" s="3"/>
      <c r="D74" s="3"/>
      <c r="E74" s="3"/>
      <c r="F74" s="3"/>
      <c r="G74" s="5"/>
      <c r="H74" s="6"/>
      <c r="I74" s="6"/>
      <c r="J74" s="6"/>
      <c r="K74" s="7"/>
      <c r="L74" s="8"/>
      <c r="M74" s="9"/>
      <c r="N74" s="1"/>
      <c r="O74" s="10"/>
      <c r="P74" s="4"/>
      <c r="Q74" s="4"/>
      <c r="R74" s="4"/>
      <c r="S74" s="9"/>
      <c r="T74" s="1"/>
      <c r="U74" s="10"/>
      <c r="V74" s="3"/>
      <c r="W74" s="17"/>
      <c r="X74" s="17"/>
      <c r="Y74" s="104"/>
      <c r="Z74" s="3"/>
      <c r="AA74" s="5"/>
      <c r="AB74" s="3"/>
      <c r="AC74" s="127"/>
      <c r="AD74" s="4"/>
      <c r="AE74" s="104"/>
      <c r="AF74" s="1"/>
      <c r="AG74" s="5"/>
      <c r="AH74" s="4"/>
      <c r="AI74" s="17"/>
      <c r="AJ74" s="17"/>
      <c r="AK74" s="9"/>
      <c r="AL74" s="1"/>
      <c r="AM74" s="123"/>
      <c r="AN74" s="4"/>
      <c r="AO74" s="4"/>
      <c r="AP74" s="17"/>
      <c r="AQ74" s="19"/>
      <c r="AR74" s="20"/>
      <c r="AS74" s="20"/>
      <c r="AT74" s="17"/>
      <c r="AU74" s="17"/>
      <c r="AV74" s="4"/>
      <c r="AW74" s="118"/>
      <c r="AX74" s="20"/>
      <c r="AY74" s="20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75"/>
      <c r="BT74" s="75"/>
      <c r="BY74" s="75"/>
      <c r="BZ74" s="75"/>
      <c r="CB74" s="19"/>
      <c r="CC74" s="75"/>
      <c r="CD74" s="75"/>
      <c r="CE74" s="75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78"/>
      <c r="DB74" s="75"/>
      <c r="DE74" s="78"/>
      <c r="DH74" s="75"/>
      <c r="DK74" s="78"/>
      <c r="DN74" s="75"/>
      <c r="DT74" s="75"/>
      <c r="DZ74" s="75"/>
      <c r="EF74" s="75"/>
      <c r="EL74" s="75"/>
      <c r="ER74" s="75"/>
      <c r="EX74" s="75"/>
      <c r="FD74" s="75"/>
      <c r="FE74" s="77"/>
      <c r="FG74" s="74"/>
      <c r="FH74" s="75"/>
      <c r="FI74" s="75"/>
      <c r="FJ74" s="75"/>
      <c r="FK74" s="75"/>
      <c r="FL74" s="75"/>
    </row>
    <row r="75" spans="1:168" s="73" customFormat="1" x14ac:dyDescent="0.3">
      <c r="A75" s="3"/>
      <c r="B75" s="3"/>
      <c r="C75" s="3"/>
      <c r="D75" s="3"/>
      <c r="E75" s="3"/>
      <c r="F75" s="3"/>
      <c r="G75" s="5"/>
      <c r="H75" s="6"/>
      <c r="I75" s="6"/>
      <c r="J75" s="6"/>
      <c r="K75" s="7"/>
      <c r="L75" s="8"/>
      <c r="M75" s="86"/>
      <c r="N75" s="1"/>
      <c r="O75" s="10"/>
      <c r="P75" s="4"/>
      <c r="Q75" s="4"/>
      <c r="R75" s="4"/>
      <c r="S75" s="9"/>
      <c r="T75" s="1"/>
      <c r="U75" s="10"/>
      <c r="V75" s="3"/>
      <c r="W75" s="17"/>
      <c r="X75" s="17"/>
      <c r="Y75" s="104"/>
      <c r="Z75" s="3"/>
      <c r="AA75" s="5"/>
      <c r="AB75" s="3"/>
      <c r="AC75" s="127"/>
      <c r="AD75" s="4"/>
      <c r="AE75" s="104"/>
      <c r="AF75" s="1"/>
      <c r="AG75" s="5"/>
      <c r="AH75" s="4"/>
      <c r="AI75" s="17"/>
      <c r="AJ75" s="17"/>
      <c r="AK75" s="9"/>
      <c r="AL75" s="1"/>
      <c r="AM75" s="123"/>
      <c r="AN75" s="4"/>
      <c r="AO75" s="4"/>
      <c r="AP75" s="17"/>
      <c r="AQ75" s="19"/>
      <c r="AR75" s="20"/>
      <c r="AS75" s="20"/>
      <c r="AT75" s="17"/>
      <c r="AU75" s="17"/>
      <c r="AV75" s="4"/>
      <c r="AW75" s="118"/>
      <c r="AX75" s="20"/>
      <c r="AY75" s="2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75"/>
      <c r="BT75" s="75"/>
      <c r="BU75" s="84"/>
      <c r="BZ75" s="75"/>
      <c r="CB75" s="19"/>
      <c r="CC75" s="75"/>
      <c r="CD75" s="75"/>
      <c r="CE75" s="75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78"/>
      <c r="DB75" s="75"/>
      <c r="DE75" s="78"/>
      <c r="DH75" s="75"/>
      <c r="DK75" s="78"/>
      <c r="DN75" s="75"/>
      <c r="DT75" s="75"/>
      <c r="DZ75" s="75"/>
      <c r="EF75" s="75"/>
      <c r="EL75" s="75"/>
      <c r="ER75" s="75"/>
      <c r="EX75" s="75"/>
      <c r="FD75" s="75"/>
      <c r="FE75" s="77"/>
      <c r="FG75" s="74"/>
      <c r="FH75" s="75"/>
      <c r="FI75" s="75"/>
      <c r="FJ75" s="75"/>
      <c r="FK75" s="75"/>
      <c r="FL75" s="75"/>
    </row>
    <row r="76" spans="1:168" x14ac:dyDescent="0.3">
      <c r="A76" s="3"/>
      <c r="B76" s="3"/>
      <c r="C76" s="3"/>
      <c r="D76" s="3"/>
      <c r="E76" s="3"/>
      <c r="F76" s="3"/>
      <c r="G76" s="5"/>
      <c r="H76" s="6"/>
      <c r="I76" s="6"/>
      <c r="J76" s="6"/>
      <c r="K76" s="7"/>
      <c r="L76" s="8"/>
      <c r="M76" s="9"/>
      <c r="N76" s="1"/>
      <c r="O76" s="10"/>
      <c r="P76" s="4"/>
      <c r="Q76" s="17"/>
      <c r="R76" s="4"/>
      <c r="S76" s="9"/>
      <c r="T76" s="1"/>
      <c r="U76" s="10"/>
      <c r="V76" s="3"/>
      <c r="W76" s="17"/>
      <c r="X76" s="17"/>
      <c r="Y76" s="104"/>
      <c r="Z76" s="3"/>
      <c r="AA76" s="5"/>
      <c r="AB76" s="3"/>
      <c r="AC76" s="127"/>
      <c r="AD76" s="4"/>
      <c r="AE76" s="104"/>
      <c r="AF76" s="1"/>
      <c r="AG76" s="5"/>
      <c r="AH76" s="4"/>
      <c r="AI76" s="17"/>
      <c r="AJ76" s="17"/>
      <c r="AK76" s="9"/>
      <c r="AL76" s="1"/>
      <c r="AM76" s="123"/>
      <c r="AN76" s="4"/>
      <c r="AO76" s="4"/>
      <c r="AP76" s="17"/>
      <c r="AQ76" s="19"/>
      <c r="AT76" s="17"/>
      <c r="AU76" s="17"/>
      <c r="AV76" s="4"/>
      <c r="AW76" s="118"/>
      <c r="AY76" s="2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17"/>
      <c r="BT76" s="17"/>
      <c r="BZ76" s="75"/>
      <c r="CB76" s="19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8"/>
      <c r="DB76" s="17"/>
      <c r="DE76" s="18"/>
      <c r="DH76" s="17"/>
      <c r="DK76" s="18"/>
      <c r="DN76" s="17"/>
      <c r="DT76" s="17"/>
      <c r="DZ76" s="17"/>
      <c r="EF76" s="17"/>
      <c r="EL76" s="17"/>
      <c r="ER76" s="17"/>
      <c r="EX76" s="17"/>
      <c r="FD76" s="75"/>
      <c r="FE76" s="19"/>
      <c r="FG76" s="20"/>
      <c r="FH76" s="17"/>
      <c r="FI76" s="17"/>
      <c r="FJ76" s="17"/>
      <c r="FK76" s="17"/>
      <c r="FL76" s="17"/>
    </row>
    <row r="77" spans="1:168" s="73" customFormat="1" x14ac:dyDescent="0.3">
      <c r="A77" s="3"/>
      <c r="B77" s="3"/>
      <c r="C77" s="3"/>
      <c r="D77" s="3"/>
      <c r="E77" s="3"/>
      <c r="F77" s="3"/>
      <c r="G77" s="5"/>
      <c r="H77" s="6"/>
      <c r="I77" s="6"/>
      <c r="J77" s="6"/>
      <c r="K77" s="7"/>
      <c r="L77" s="8"/>
      <c r="M77" s="86"/>
      <c r="N77" s="1"/>
      <c r="O77" s="10"/>
      <c r="P77" s="4"/>
      <c r="Q77" s="17"/>
      <c r="R77" s="4"/>
      <c r="S77" s="9"/>
      <c r="T77" s="1"/>
      <c r="U77" s="10"/>
      <c r="V77" s="3"/>
      <c r="W77" s="17"/>
      <c r="X77" s="17"/>
      <c r="Y77" s="104"/>
      <c r="Z77" s="3"/>
      <c r="AA77" s="5"/>
      <c r="AB77" s="3"/>
      <c r="AC77" s="127"/>
      <c r="AD77" s="4"/>
      <c r="AE77" s="104"/>
      <c r="AF77" s="1"/>
      <c r="AG77" s="5"/>
      <c r="AH77" s="4"/>
      <c r="AI77" s="17"/>
      <c r="AJ77" s="17"/>
      <c r="AK77" s="9"/>
      <c r="AL77" s="1"/>
      <c r="AM77" s="123"/>
      <c r="AN77" s="4"/>
      <c r="AO77" s="4"/>
      <c r="AP77" s="17"/>
      <c r="AQ77" s="19"/>
      <c r="AR77" s="20"/>
      <c r="AS77" s="20"/>
      <c r="AT77" s="17"/>
      <c r="AU77" s="17"/>
      <c r="AV77" s="4"/>
      <c r="AW77" s="118"/>
      <c r="AX77" s="20"/>
      <c r="AY77" s="2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75"/>
      <c r="BT77" s="75"/>
      <c r="BZ77" s="75"/>
      <c r="CA77" s="84"/>
      <c r="CB77" s="19"/>
      <c r="CC77" s="75"/>
      <c r="CD77" s="75"/>
      <c r="CE77" s="75"/>
      <c r="CF77" s="17"/>
      <c r="CI77" s="75"/>
      <c r="CK77" s="78"/>
      <c r="CL77" s="78"/>
      <c r="CM77" s="77"/>
      <c r="CN77" s="77"/>
      <c r="CO77" s="81"/>
      <c r="CP77" s="75"/>
      <c r="CQ77" s="77"/>
      <c r="CR77" s="74"/>
      <c r="CS77" s="78"/>
      <c r="CT77" s="75"/>
      <c r="CU77" s="75"/>
      <c r="CV77" s="75"/>
      <c r="CY77" s="78"/>
      <c r="DB77" s="75"/>
      <c r="DE77" s="78"/>
      <c r="DH77" s="75"/>
      <c r="DK77" s="78"/>
      <c r="DN77" s="75"/>
      <c r="DT77" s="75"/>
      <c r="DZ77" s="75"/>
      <c r="EF77" s="75"/>
      <c r="EL77" s="75"/>
      <c r="ER77" s="75"/>
      <c r="EX77" s="75"/>
      <c r="FD77" s="75"/>
      <c r="FE77" s="77"/>
      <c r="FG77" s="74"/>
      <c r="FH77" s="75"/>
      <c r="FI77" s="75"/>
      <c r="FJ77" s="75"/>
      <c r="FK77" s="75"/>
      <c r="FL77" s="75"/>
    </row>
    <row r="78" spans="1:168" s="73" customFormat="1" x14ac:dyDescent="0.3">
      <c r="A78" s="3"/>
      <c r="B78" s="3"/>
      <c r="C78" s="3"/>
      <c r="D78" s="3"/>
      <c r="E78" s="3"/>
      <c r="F78" s="3"/>
      <c r="G78" s="5"/>
      <c r="H78" s="6"/>
      <c r="I78" s="6"/>
      <c r="J78" s="6"/>
      <c r="K78" s="7"/>
      <c r="L78" s="8"/>
      <c r="M78" s="9"/>
      <c r="N78" s="1"/>
      <c r="O78" s="10"/>
      <c r="P78" s="4"/>
      <c r="Q78" s="17"/>
      <c r="R78" s="4"/>
      <c r="S78" s="9"/>
      <c r="T78" s="1"/>
      <c r="U78" s="10"/>
      <c r="V78" s="3"/>
      <c r="W78" s="17"/>
      <c r="X78" s="17"/>
      <c r="Y78" s="104"/>
      <c r="Z78" s="3"/>
      <c r="AA78" s="5"/>
      <c r="AB78" s="3"/>
      <c r="AC78" s="127"/>
      <c r="AD78" s="4"/>
      <c r="AE78" s="104"/>
      <c r="AF78" s="1"/>
      <c r="AG78" s="5"/>
      <c r="AH78" s="4"/>
      <c r="AI78" s="17"/>
      <c r="AJ78" s="17"/>
      <c r="AK78" s="9"/>
      <c r="AL78" s="1"/>
      <c r="AM78" s="123"/>
      <c r="AN78" s="4"/>
      <c r="AO78" s="4"/>
      <c r="AP78" s="17"/>
      <c r="AQ78" s="19"/>
      <c r="AR78" s="20"/>
      <c r="AS78" s="20"/>
      <c r="AT78" s="17"/>
      <c r="AU78" s="17"/>
      <c r="AV78" s="4"/>
      <c r="AW78" s="118"/>
      <c r="AX78" s="20"/>
      <c r="AY78" s="2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75"/>
      <c r="BT78" s="75"/>
      <c r="BZ78" s="75"/>
      <c r="CB78" s="19"/>
      <c r="CC78" s="75"/>
      <c r="CD78" s="75"/>
      <c r="CE78" s="75"/>
      <c r="CF78" s="17"/>
      <c r="CI78" s="75"/>
      <c r="CK78" s="78"/>
      <c r="CL78" s="78"/>
      <c r="CM78" s="77"/>
      <c r="CN78" s="77"/>
      <c r="CO78" s="81"/>
      <c r="CP78" s="75"/>
      <c r="CQ78" s="77"/>
      <c r="CR78" s="74"/>
      <c r="CS78" s="78"/>
      <c r="CT78" s="75"/>
      <c r="CU78" s="75"/>
      <c r="CV78" s="75"/>
      <c r="CY78" s="78"/>
      <c r="DB78" s="75"/>
      <c r="DE78" s="78"/>
      <c r="DH78" s="75"/>
      <c r="DK78" s="78"/>
      <c r="DN78" s="75"/>
      <c r="DT78" s="75"/>
      <c r="DZ78" s="75"/>
      <c r="EF78" s="75"/>
      <c r="EL78" s="75"/>
      <c r="ER78" s="75"/>
      <c r="EX78" s="75"/>
      <c r="FD78" s="75"/>
      <c r="FE78" s="77"/>
      <c r="FG78" s="74"/>
      <c r="FH78" s="75"/>
      <c r="FI78" s="75"/>
      <c r="FJ78" s="75"/>
      <c r="FK78" s="75"/>
      <c r="FL78" s="75"/>
    </row>
    <row r="79" spans="1:168" s="73" customFormat="1" x14ac:dyDescent="0.3">
      <c r="A79" s="3"/>
      <c r="B79" s="3"/>
      <c r="C79" s="3"/>
      <c r="D79" s="3"/>
      <c r="E79" s="3"/>
      <c r="F79" s="3"/>
      <c r="G79" s="5"/>
      <c r="H79" s="6"/>
      <c r="I79" s="6"/>
      <c r="J79" s="6"/>
      <c r="K79" s="7"/>
      <c r="L79" s="8"/>
      <c r="M79" s="86"/>
      <c r="N79" s="1"/>
      <c r="O79" s="10"/>
      <c r="P79" s="4"/>
      <c r="Q79" s="17"/>
      <c r="R79" s="4"/>
      <c r="S79" s="9"/>
      <c r="T79" s="1"/>
      <c r="U79" s="10"/>
      <c r="V79" s="3"/>
      <c r="W79" s="17"/>
      <c r="X79" s="17"/>
      <c r="Y79" s="104"/>
      <c r="Z79" s="3"/>
      <c r="AA79" s="5"/>
      <c r="AB79" s="3"/>
      <c r="AC79" s="127"/>
      <c r="AD79" s="4"/>
      <c r="AE79" s="104"/>
      <c r="AF79" s="1"/>
      <c r="AG79" s="5"/>
      <c r="AH79" s="4"/>
      <c r="AI79" s="17"/>
      <c r="AJ79" s="17"/>
      <c r="AK79" s="9"/>
      <c r="AL79" s="1"/>
      <c r="AM79" s="123"/>
      <c r="AN79" s="4"/>
      <c r="AO79" s="4"/>
      <c r="AP79" s="17"/>
      <c r="AQ79" s="19"/>
      <c r="AR79" s="20"/>
      <c r="AS79" s="20"/>
      <c r="AT79" s="17"/>
      <c r="AU79" s="17"/>
      <c r="AV79" s="4"/>
      <c r="AW79" s="118"/>
      <c r="AX79" s="20"/>
      <c r="AY79" s="20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75"/>
      <c r="BT79" s="75"/>
      <c r="BY79" s="75"/>
      <c r="BZ79" s="75"/>
      <c r="CB79" s="19"/>
      <c r="CC79" s="75"/>
      <c r="CD79" s="75"/>
      <c r="CE79" s="75"/>
      <c r="CF79" s="17"/>
      <c r="CI79" s="75"/>
      <c r="CK79" s="78"/>
      <c r="CL79" s="78"/>
      <c r="CM79" s="77"/>
      <c r="CN79" s="77"/>
      <c r="CO79" s="81"/>
      <c r="CP79" s="75"/>
      <c r="CQ79" s="77"/>
      <c r="CR79" s="74"/>
      <c r="CS79" s="78"/>
      <c r="CT79" s="75"/>
      <c r="CU79" s="75"/>
      <c r="CV79" s="75"/>
      <c r="CY79" s="78"/>
      <c r="DB79" s="75"/>
      <c r="DE79" s="78"/>
      <c r="DH79" s="75"/>
      <c r="DK79" s="78"/>
      <c r="DN79" s="75"/>
      <c r="DT79" s="75"/>
      <c r="DZ79" s="75"/>
      <c r="EF79" s="75"/>
      <c r="EL79" s="75"/>
      <c r="ER79" s="75"/>
      <c r="EX79" s="75"/>
      <c r="FD79" s="75"/>
      <c r="FE79" s="77"/>
      <c r="FG79" s="74"/>
      <c r="FH79" s="75"/>
      <c r="FI79" s="75"/>
      <c r="FJ79" s="75"/>
      <c r="FK79" s="75"/>
      <c r="FL79" s="75"/>
    </row>
    <row r="80" spans="1:168" s="73" customFormat="1" x14ac:dyDescent="0.3">
      <c r="A80" s="3"/>
      <c r="B80" s="3"/>
      <c r="C80" s="3"/>
      <c r="D80" s="3"/>
      <c r="E80" s="3"/>
      <c r="F80" s="3"/>
      <c r="G80" s="5"/>
      <c r="H80" s="6"/>
      <c r="I80" s="6"/>
      <c r="J80" s="6"/>
      <c r="K80" s="7"/>
      <c r="L80" s="8"/>
      <c r="M80" s="9"/>
      <c r="N80" s="1"/>
      <c r="O80" s="10"/>
      <c r="P80" s="4"/>
      <c r="Q80" s="17"/>
      <c r="R80" s="4"/>
      <c r="S80" s="9"/>
      <c r="T80" s="1"/>
      <c r="U80" s="10"/>
      <c r="V80" s="3"/>
      <c r="W80" s="17"/>
      <c r="X80" s="17"/>
      <c r="Y80" s="104"/>
      <c r="Z80" s="3"/>
      <c r="AA80" s="5"/>
      <c r="AB80" s="3"/>
      <c r="AC80" s="127"/>
      <c r="AD80" s="4"/>
      <c r="AE80" s="104"/>
      <c r="AF80" s="1"/>
      <c r="AG80" s="5"/>
      <c r="AH80" s="4"/>
      <c r="AI80" s="17"/>
      <c r="AJ80" s="17"/>
      <c r="AK80" s="9"/>
      <c r="AL80" s="1"/>
      <c r="AM80" s="123"/>
      <c r="AN80" s="4"/>
      <c r="AO80" s="4"/>
      <c r="AP80" s="17"/>
      <c r="AQ80" s="19"/>
      <c r="AR80" s="20"/>
      <c r="AS80" s="20"/>
      <c r="AT80" s="17"/>
      <c r="AU80" s="17"/>
      <c r="AV80" s="4"/>
      <c r="AW80" s="118"/>
      <c r="AX80" s="20"/>
      <c r="AY80" s="20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75"/>
      <c r="BT80" s="75"/>
      <c r="BU80" s="84"/>
      <c r="BZ80" s="75"/>
      <c r="CA80" s="84"/>
      <c r="CB80" s="19"/>
      <c r="CC80" s="75"/>
      <c r="CD80" s="75"/>
      <c r="CE80" s="75"/>
      <c r="CF80" s="17"/>
      <c r="CI80" s="75"/>
      <c r="CK80" s="78"/>
      <c r="CL80" s="78"/>
      <c r="CM80" s="77"/>
      <c r="CN80" s="77"/>
      <c r="CO80" s="81"/>
      <c r="CP80" s="75"/>
      <c r="CQ80" s="77"/>
      <c r="CR80" s="74"/>
      <c r="CS80" s="78"/>
      <c r="CT80" s="75"/>
      <c r="CU80" s="75"/>
      <c r="CV80" s="75"/>
      <c r="CY80" s="78"/>
      <c r="DB80" s="75"/>
      <c r="DE80" s="78"/>
      <c r="DH80" s="75"/>
      <c r="DK80" s="78"/>
      <c r="DN80" s="75"/>
      <c r="DT80" s="75"/>
      <c r="DZ80" s="75"/>
      <c r="EF80" s="75"/>
      <c r="EL80" s="75"/>
      <c r="ER80" s="75"/>
      <c r="EX80" s="75"/>
      <c r="FD80" s="75"/>
      <c r="FE80" s="77"/>
      <c r="FG80" s="74"/>
      <c r="FH80" s="75"/>
      <c r="FI80" s="75"/>
      <c r="FJ80" s="75"/>
      <c r="FK80" s="75"/>
      <c r="FL80" s="75"/>
    </row>
    <row r="81" spans="1:168" s="73" customFormat="1" x14ac:dyDescent="0.3">
      <c r="A81" s="3"/>
      <c r="B81" s="3"/>
      <c r="C81" s="3"/>
      <c r="D81" s="3"/>
      <c r="E81" s="3"/>
      <c r="F81" s="3"/>
      <c r="G81" s="5"/>
      <c r="H81" s="6"/>
      <c r="I81" s="6"/>
      <c r="J81" s="6"/>
      <c r="K81" s="7"/>
      <c r="L81" s="8"/>
      <c r="M81" s="20"/>
      <c r="N81" s="1"/>
      <c r="O81" s="10"/>
      <c r="P81" s="4"/>
      <c r="Q81" s="17"/>
      <c r="R81" s="4"/>
      <c r="S81" s="9"/>
      <c r="T81" s="1"/>
      <c r="U81" s="10"/>
      <c r="V81" s="3"/>
      <c r="W81" s="17"/>
      <c r="X81" s="17"/>
      <c r="Y81" s="104"/>
      <c r="Z81" s="3"/>
      <c r="AA81" s="5"/>
      <c r="AB81" s="3"/>
      <c r="AC81" s="127"/>
      <c r="AD81" s="4"/>
      <c r="AE81" s="104"/>
      <c r="AF81" s="1"/>
      <c r="AG81" s="5"/>
      <c r="AH81" s="4"/>
      <c r="AI81" s="17"/>
      <c r="AJ81" s="17"/>
      <c r="AK81" s="9"/>
      <c r="AL81" s="1"/>
      <c r="AM81" s="123"/>
      <c r="AN81" s="4"/>
      <c r="AO81" s="4"/>
      <c r="AP81" s="17"/>
      <c r="AQ81" s="19"/>
      <c r="AR81" s="20"/>
      <c r="AS81" s="20"/>
      <c r="AT81" s="17"/>
      <c r="AU81" s="17"/>
      <c r="AV81" s="4"/>
      <c r="AW81" s="118"/>
      <c r="AX81" s="20"/>
      <c r="AY81" s="20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75"/>
      <c r="BT81" s="75"/>
      <c r="BU81" s="84"/>
      <c r="BZ81" s="75"/>
      <c r="CA81" s="84"/>
      <c r="CB81" s="19"/>
      <c r="CC81" s="75"/>
      <c r="CD81" s="75"/>
      <c r="CE81" s="75"/>
      <c r="CF81" s="17"/>
      <c r="CI81" s="75"/>
      <c r="CK81" s="78"/>
      <c r="CL81" s="78"/>
      <c r="CM81" s="77"/>
      <c r="CN81" s="77"/>
      <c r="CO81" s="81"/>
      <c r="CP81" s="75"/>
      <c r="CQ81" s="77"/>
      <c r="CR81" s="74"/>
      <c r="CS81" s="78"/>
      <c r="CT81" s="75"/>
      <c r="CU81" s="75"/>
      <c r="CV81" s="75"/>
      <c r="CY81" s="78"/>
      <c r="DB81" s="75"/>
      <c r="DE81" s="78"/>
      <c r="DH81" s="75"/>
      <c r="DK81" s="78"/>
      <c r="DN81" s="75"/>
      <c r="DT81" s="75"/>
      <c r="DZ81" s="75"/>
      <c r="EF81" s="75"/>
      <c r="EL81" s="75"/>
      <c r="ER81" s="75"/>
      <c r="EX81" s="75"/>
      <c r="FD81" s="75"/>
      <c r="FE81" s="77"/>
      <c r="FG81" s="74"/>
      <c r="FH81" s="75"/>
      <c r="FI81" s="75"/>
      <c r="FJ81" s="75"/>
      <c r="FK81" s="75"/>
      <c r="FL81" s="75"/>
    </row>
    <row r="82" spans="1:168" s="73" customFormat="1" x14ac:dyDescent="0.3">
      <c r="A82" s="3"/>
      <c r="B82" s="3"/>
      <c r="C82" s="3"/>
      <c r="D82" s="3"/>
      <c r="E82" s="3"/>
      <c r="F82" s="3"/>
      <c r="G82" s="5"/>
      <c r="H82" s="6"/>
      <c r="I82" s="6"/>
      <c r="J82" s="6"/>
      <c r="K82" s="7"/>
      <c r="L82" s="8"/>
      <c r="M82" s="20"/>
      <c r="N82" s="1"/>
      <c r="O82" s="10"/>
      <c r="P82" s="4"/>
      <c r="Q82" s="17"/>
      <c r="R82" s="4"/>
      <c r="S82" s="9"/>
      <c r="T82" s="1"/>
      <c r="U82" s="10"/>
      <c r="V82" s="3"/>
      <c r="W82" s="17"/>
      <c r="X82" s="17"/>
      <c r="Y82" s="104"/>
      <c r="Z82" s="3"/>
      <c r="AA82" s="5"/>
      <c r="AB82" s="3"/>
      <c r="AC82" s="127"/>
      <c r="AD82" s="4"/>
      <c r="AE82" s="104"/>
      <c r="AF82" s="1"/>
      <c r="AG82" s="5"/>
      <c r="AH82" s="4"/>
      <c r="AI82" s="17"/>
      <c r="AJ82" s="17"/>
      <c r="AK82" s="9"/>
      <c r="AL82" s="1"/>
      <c r="AM82" s="123"/>
      <c r="AN82" s="4"/>
      <c r="AO82" s="4"/>
      <c r="AP82" s="17"/>
      <c r="AQ82" s="19"/>
      <c r="AR82" s="20"/>
      <c r="AS82" s="20"/>
      <c r="AT82" s="17"/>
      <c r="AU82" s="17"/>
      <c r="AV82" s="4"/>
      <c r="AW82" s="118"/>
      <c r="AX82" s="20"/>
      <c r="AY82" s="20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75"/>
      <c r="BT82" s="75"/>
      <c r="BU82" s="84"/>
      <c r="BZ82" s="75"/>
      <c r="CB82" s="19"/>
      <c r="CC82" s="75"/>
      <c r="CD82" s="75"/>
      <c r="CE82" s="75"/>
      <c r="CF82" s="17"/>
      <c r="CI82" s="75"/>
      <c r="CK82" s="78"/>
      <c r="CL82" s="78"/>
      <c r="CM82" s="77"/>
      <c r="CN82" s="77"/>
      <c r="CO82" s="81"/>
      <c r="CP82" s="75"/>
      <c r="CQ82" s="77"/>
      <c r="CR82" s="74"/>
      <c r="CS82" s="78"/>
      <c r="CT82" s="75"/>
      <c r="CU82" s="75"/>
      <c r="CV82" s="75"/>
      <c r="CY82" s="78"/>
      <c r="DB82" s="75"/>
      <c r="DE82" s="78"/>
      <c r="DH82" s="75"/>
      <c r="DK82" s="78"/>
      <c r="DN82" s="75"/>
      <c r="DT82" s="75"/>
      <c r="DZ82" s="75"/>
      <c r="EF82" s="75"/>
      <c r="EL82" s="75"/>
      <c r="ER82" s="75"/>
      <c r="EX82" s="75"/>
      <c r="FD82" s="75"/>
      <c r="FE82" s="77"/>
      <c r="FG82" s="74"/>
      <c r="FH82" s="75"/>
      <c r="FI82" s="75"/>
      <c r="FJ82" s="75"/>
      <c r="FK82" s="75"/>
      <c r="FL82" s="75"/>
    </row>
    <row r="83" spans="1:168" s="73" customFormat="1" x14ac:dyDescent="0.3">
      <c r="A83" s="3"/>
      <c r="B83" s="3"/>
      <c r="C83" s="3"/>
      <c r="D83" s="3"/>
      <c r="E83" s="3"/>
      <c r="F83" s="3"/>
      <c r="G83" s="5"/>
      <c r="H83" s="6"/>
      <c r="I83" s="6"/>
      <c r="J83" s="6"/>
      <c r="K83" s="7"/>
      <c r="L83" s="8"/>
      <c r="M83" s="20"/>
      <c r="N83" s="1"/>
      <c r="O83" s="10"/>
      <c r="P83" s="4"/>
      <c r="Q83" s="17"/>
      <c r="R83" s="4"/>
      <c r="S83" s="9"/>
      <c r="T83" s="1"/>
      <c r="U83" s="10"/>
      <c r="V83" s="3"/>
      <c r="W83" s="17"/>
      <c r="X83" s="17"/>
      <c r="Y83" s="104"/>
      <c r="Z83" s="3"/>
      <c r="AA83" s="5"/>
      <c r="AB83" s="3"/>
      <c r="AC83" s="127"/>
      <c r="AD83" s="4"/>
      <c r="AE83" s="104"/>
      <c r="AF83" s="1"/>
      <c r="AG83" s="5"/>
      <c r="AH83" s="4"/>
      <c r="AI83" s="17"/>
      <c r="AJ83" s="17"/>
      <c r="AK83" s="9"/>
      <c r="AL83" s="1"/>
      <c r="AM83" s="123"/>
      <c r="AN83" s="4"/>
      <c r="AO83" s="4"/>
      <c r="AP83" s="17"/>
      <c r="AQ83" s="19"/>
      <c r="AR83" s="20"/>
      <c r="AS83" s="20"/>
      <c r="AT83" s="17"/>
      <c r="AU83" s="17"/>
      <c r="AV83" s="4"/>
      <c r="AW83" s="118"/>
      <c r="AX83" s="20"/>
      <c r="AY83" s="20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75"/>
      <c r="BT83" s="75"/>
      <c r="BU83" s="84"/>
      <c r="BZ83" s="75"/>
      <c r="CB83" s="19"/>
      <c r="CC83" s="75"/>
      <c r="CD83" s="75"/>
      <c r="CE83" s="75"/>
      <c r="CF83" s="17"/>
      <c r="CI83" s="75"/>
      <c r="CK83" s="78"/>
      <c r="CL83" s="78"/>
      <c r="CM83" s="77"/>
      <c r="CN83" s="77"/>
      <c r="CO83" s="81"/>
      <c r="CP83" s="75"/>
      <c r="CQ83" s="77"/>
      <c r="CR83" s="74"/>
      <c r="CS83" s="78"/>
      <c r="CT83" s="75"/>
      <c r="CU83" s="75"/>
      <c r="CV83" s="75"/>
      <c r="CY83" s="78"/>
      <c r="DB83" s="75"/>
      <c r="DE83" s="78"/>
      <c r="DH83" s="75"/>
      <c r="DK83" s="78"/>
      <c r="DN83" s="75"/>
      <c r="DT83" s="75"/>
      <c r="DZ83" s="75"/>
      <c r="EF83" s="75"/>
      <c r="EL83" s="75"/>
      <c r="ER83" s="75"/>
      <c r="EX83" s="75"/>
      <c r="FD83" s="75"/>
      <c r="FE83" s="77"/>
      <c r="FG83" s="74"/>
      <c r="FH83" s="75"/>
      <c r="FI83" s="75"/>
      <c r="FJ83" s="75"/>
      <c r="FK83" s="75"/>
      <c r="FL83" s="75"/>
    </row>
    <row r="84" spans="1:168" s="73" customFormat="1" x14ac:dyDescent="0.3">
      <c r="A84" s="3"/>
      <c r="B84" s="3"/>
      <c r="C84" s="3"/>
      <c r="D84" s="3"/>
      <c r="E84" s="3"/>
      <c r="F84" s="3"/>
      <c r="G84" s="5"/>
      <c r="H84" s="6"/>
      <c r="I84" s="6"/>
      <c r="J84" s="6"/>
      <c r="K84" s="7"/>
      <c r="L84" s="8"/>
      <c r="M84" s="20"/>
      <c r="N84" s="1"/>
      <c r="O84" s="10"/>
      <c r="P84" s="4"/>
      <c r="Q84" s="17"/>
      <c r="R84" s="4"/>
      <c r="S84" s="9"/>
      <c r="T84" s="1"/>
      <c r="U84" s="10"/>
      <c r="V84" s="3"/>
      <c r="W84" s="17"/>
      <c r="X84" s="17"/>
      <c r="Y84" s="104"/>
      <c r="Z84" s="3"/>
      <c r="AA84" s="5"/>
      <c r="AB84" s="3"/>
      <c r="AC84" s="127"/>
      <c r="AD84" s="4"/>
      <c r="AE84" s="104"/>
      <c r="AF84" s="1"/>
      <c r="AG84" s="5"/>
      <c r="AH84" s="4"/>
      <c r="AI84" s="17"/>
      <c r="AJ84" s="17"/>
      <c r="AK84" s="9"/>
      <c r="AL84" s="1"/>
      <c r="AM84" s="123"/>
      <c r="AN84" s="4"/>
      <c r="AO84" s="4"/>
      <c r="AP84" s="17"/>
      <c r="AQ84" s="19"/>
      <c r="AR84" s="20"/>
      <c r="AS84" s="20"/>
      <c r="AT84" s="17"/>
      <c r="AU84" s="17"/>
      <c r="AV84" s="4"/>
      <c r="AW84" s="118"/>
      <c r="AX84" s="20"/>
      <c r="AY84" s="20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75"/>
      <c r="BT84" s="75"/>
      <c r="BU84" s="84"/>
      <c r="BZ84" s="75"/>
      <c r="CA84" s="84"/>
      <c r="CB84" s="19"/>
      <c r="CC84" s="75"/>
      <c r="CD84" s="75"/>
      <c r="CE84" s="75"/>
      <c r="CF84" s="17"/>
      <c r="CI84" s="75"/>
      <c r="CK84" s="78"/>
      <c r="CL84" s="78"/>
      <c r="CM84" s="77"/>
      <c r="CN84" s="77"/>
      <c r="CO84" s="81"/>
      <c r="CP84" s="75"/>
      <c r="CQ84" s="77"/>
      <c r="CR84" s="74"/>
      <c r="CS84" s="78"/>
      <c r="CT84" s="75"/>
      <c r="CU84" s="75"/>
      <c r="CV84" s="75"/>
      <c r="CY84" s="78"/>
      <c r="DB84" s="75"/>
      <c r="DE84" s="78"/>
      <c r="DH84" s="75"/>
      <c r="DK84" s="78"/>
      <c r="DN84" s="75"/>
      <c r="DT84" s="75"/>
      <c r="DZ84" s="75"/>
      <c r="EF84" s="75"/>
      <c r="EL84" s="75"/>
      <c r="ER84" s="75"/>
      <c r="EX84" s="75"/>
      <c r="FD84" s="75"/>
      <c r="FE84" s="77"/>
      <c r="FG84" s="74"/>
      <c r="FH84" s="75"/>
      <c r="FI84" s="75"/>
      <c r="FJ84" s="75"/>
      <c r="FK84" s="75"/>
      <c r="FL84" s="75"/>
    </row>
    <row r="85" spans="1:168" s="73" customFormat="1" x14ac:dyDescent="0.3">
      <c r="A85" s="3"/>
      <c r="B85" s="3"/>
      <c r="C85" s="3"/>
      <c r="D85" s="3"/>
      <c r="E85" s="3"/>
      <c r="F85" s="3"/>
      <c r="G85" s="5"/>
      <c r="H85" s="6"/>
      <c r="I85" s="6"/>
      <c r="J85" s="6"/>
      <c r="K85" s="7"/>
      <c r="L85" s="8"/>
      <c r="M85" s="20"/>
      <c r="N85" s="1"/>
      <c r="O85" s="10"/>
      <c r="P85" s="4"/>
      <c r="Q85" s="17"/>
      <c r="R85" s="4"/>
      <c r="S85" s="9"/>
      <c r="T85" s="1"/>
      <c r="U85" s="10"/>
      <c r="V85" s="3"/>
      <c r="W85" s="17"/>
      <c r="X85" s="17"/>
      <c r="Y85" s="104"/>
      <c r="Z85" s="3"/>
      <c r="AA85" s="5"/>
      <c r="AB85" s="3"/>
      <c r="AC85" s="127"/>
      <c r="AD85" s="4"/>
      <c r="AE85" s="104"/>
      <c r="AF85" s="1"/>
      <c r="AG85" s="5"/>
      <c r="AH85" s="4"/>
      <c r="AI85" s="17"/>
      <c r="AJ85" s="17"/>
      <c r="AK85" s="9"/>
      <c r="AL85" s="1"/>
      <c r="AM85" s="123"/>
      <c r="AN85" s="4"/>
      <c r="AO85" s="4"/>
      <c r="AP85" s="17"/>
      <c r="AQ85" s="19"/>
      <c r="AR85" s="20"/>
      <c r="AS85" s="20"/>
      <c r="AT85" s="17"/>
      <c r="AU85" s="17"/>
      <c r="AV85" s="4"/>
      <c r="AW85" s="118"/>
      <c r="AX85" s="20"/>
      <c r="AY85" s="20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75"/>
      <c r="BT85" s="75"/>
      <c r="BZ85" s="75"/>
      <c r="CB85" s="19"/>
      <c r="CC85" s="75"/>
      <c r="CD85" s="75"/>
      <c r="CE85" s="75"/>
      <c r="CF85" s="17"/>
      <c r="CI85" s="75"/>
      <c r="CK85" s="78"/>
      <c r="CL85" s="78"/>
      <c r="CM85" s="77"/>
      <c r="CN85" s="77"/>
      <c r="CO85" s="81"/>
      <c r="CP85" s="75"/>
      <c r="CQ85" s="77"/>
      <c r="CR85" s="74"/>
      <c r="CS85" s="78"/>
      <c r="CT85" s="75"/>
      <c r="CU85" s="75"/>
      <c r="CV85" s="75"/>
      <c r="CY85" s="78"/>
      <c r="DB85" s="75"/>
      <c r="DE85" s="78"/>
      <c r="DH85" s="75"/>
      <c r="DK85" s="78"/>
      <c r="DN85" s="75"/>
      <c r="DT85" s="75"/>
      <c r="DZ85" s="75"/>
      <c r="EF85" s="75"/>
      <c r="EL85" s="75"/>
      <c r="ER85" s="75"/>
      <c r="EX85" s="75"/>
      <c r="FD85" s="75"/>
      <c r="FE85" s="77"/>
      <c r="FG85" s="74"/>
      <c r="FH85" s="75"/>
      <c r="FI85" s="75"/>
      <c r="FJ85" s="75"/>
      <c r="FK85" s="75"/>
      <c r="FL85" s="75"/>
    </row>
    <row r="86" spans="1:168" s="73" customFormat="1" x14ac:dyDescent="0.3">
      <c r="A86" s="3"/>
      <c r="B86" s="3"/>
      <c r="C86" s="3"/>
      <c r="D86" s="3"/>
      <c r="E86" s="3"/>
      <c r="F86" s="3"/>
      <c r="G86" s="5"/>
      <c r="H86" s="6"/>
      <c r="I86" s="6"/>
      <c r="J86" s="6"/>
      <c r="K86" s="7"/>
      <c r="L86" s="8"/>
      <c r="M86" s="20"/>
      <c r="N86" s="1"/>
      <c r="O86" s="10"/>
      <c r="P86" s="4"/>
      <c r="Q86" s="17"/>
      <c r="R86" s="4"/>
      <c r="S86" s="9"/>
      <c r="T86" s="1"/>
      <c r="U86" s="10"/>
      <c r="V86" s="3"/>
      <c r="W86" s="17"/>
      <c r="X86" s="17"/>
      <c r="Y86" s="104"/>
      <c r="Z86" s="3"/>
      <c r="AA86" s="5"/>
      <c r="AB86" s="3"/>
      <c r="AC86" s="127"/>
      <c r="AD86" s="4"/>
      <c r="AE86" s="104"/>
      <c r="AF86" s="1"/>
      <c r="AG86" s="5"/>
      <c r="AH86" s="4"/>
      <c r="AI86" s="17"/>
      <c r="AJ86" s="17"/>
      <c r="AK86" s="9"/>
      <c r="AL86" s="1"/>
      <c r="AM86" s="123"/>
      <c r="AN86" s="4"/>
      <c r="AO86" s="4"/>
      <c r="AP86" s="17"/>
      <c r="AQ86" s="19"/>
      <c r="AR86" s="20"/>
      <c r="AS86" s="20"/>
      <c r="AT86" s="17"/>
      <c r="AU86" s="17"/>
      <c r="AV86" s="4"/>
      <c r="AW86" s="118"/>
      <c r="AX86" s="20"/>
      <c r="AY86" s="20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75"/>
      <c r="BT86" s="75"/>
      <c r="BU86" s="84"/>
      <c r="BZ86" s="75"/>
      <c r="CA86" s="84"/>
      <c r="CB86" s="19"/>
      <c r="CC86" s="75"/>
      <c r="CD86" s="75"/>
      <c r="CE86" s="75"/>
      <c r="CF86" s="17"/>
      <c r="CI86" s="75"/>
      <c r="CK86" s="78"/>
      <c r="CL86" s="78"/>
      <c r="CM86" s="77"/>
      <c r="CN86" s="77"/>
      <c r="CO86" s="81"/>
      <c r="CP86" s="75"/>
      <c r="CQ86" s="77"/>
      <c r="CR86" s="74"/>
      <c r="CS86" s="78"/>
      <c r="CT86" s="75"/>
      <c r="CU86" s="75"/>
      <c r="CV86" s="75"/>
      <c r="CY86" s="78"/>
      <c r="DB86" s="75"/>
      <c r="DE86" s="78"/>
      <c r="DH86" s="75"/>
      <c r="DK86" s="78"/>
      <c r="DN86" s="75"/>
      <c r="DT86" s="75"/>
      <c r="DZ86" s="75"/>
      <c r="EF86" s="75"/>
      <c r="EL86" s="75"/>
      <c r="ER86" s="75"/>
      <c r="EX86" s="75"/>
      <c r="FD86" s="75"/>
      <c r="FE86" s="77"/>
      <c r="FG86" s="74"/>
      <c r="FH86" s="75"/>
      <c r="FI86" s="75"/>
      <c r="FJ86" s="75"/>
      <c r="FK86" s="75"/>
      <c r="FL86" s="75"/>
    </row>
    <row r="87" spans="1:168" s="73" customFormat="1" x14ac:dyDescent="0.3">
      <c r="A87" s="3"/>
      <c r="B87" s="3"/>
      <c r="C87" s="3"/>
      <c r="D87" s="3"/>
      <c r="E87" s="3"/>
      <c r="F87" s="3"/>
      <c r="G87" s="5"/>
      <c r="H87" s="6"/>
      <c r="I87" s="6"/>
      <c r="J87" s="6"/>
      <c r="K87" s="7"/>
      <c r="L87" s="8"/>
      <c r="M87" s="20"/>
      <c r="N87" s="1"/>
      <c r="O87" s="10"/>
      <c r="P87" s="4"/>
      <c r="Q87" s="17"/>
      <c r="R87" s="4"/>
      <c r="S87" s="9"/>
      <c r="T87" s="1"/>
      <c r="U87" s="10"/>
      <c r="V87" s="3"/>
      <c r="W87" s="17"/>
      <c r="X87" s="17"/>
      <c r="Y87" s="104"/>
      <c r="Z87" s="3"/>
      <c r="AA87" s="5"/>
      <c r="AB87" s="3"/>
      <c r="AC87" s="127"/>
      <c r="AD87" s="4"/>
      <c r="AE87" s="104"/>
      <c r="AF87" s="1"/>
      <c r="AG87" s="5"/>
      <c r="AH87" s="4"/>
      <c r="AI87" s="17"/>
      <c r="AJ87" s="17"/>
      <c r="AK87" s="9"/>
      <c r="AL87" s="1"/>
      <c r="AM87" s="123"/>
      <c r="AN87" s="4"/>
      <c r="AO87" s="4"/>
      <c r="AP87" s="17"/>
      <c r="AQ87" s="19"/>
      <c r="AR87" s="20"/>
      <c r="AS87" s="20"/>
      <c r="AT87" s="17"/>
      <c r="AU87" s="17"/>
      <c r="AV87" s="4"/>
      <c r="AW87" s="118"/>
      <c r="AX87" s="20"/>
      <c r="AY87" s="20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75"/>
      <c r="BT87" s="75"/>
      <c r="BU87" s="84"/>
      <c r="BZ87" s="75"/>
      <c r="CB87" s="19"/>
      <c r="CC87" s="75"/>
      <c r="CD87" s="75"/>
      <c r="CE87" s="75"/>
      <c r="CF87" s="17"/>
      <c r="CI87" s="75"/>
      <c r="CK87" s="78"/>
      <c r="CL87" s="78"/>
      <c r="CM87" s="77"/>
      <c r="CN87" s="77"/>
      <c r="CO87" s="81"/>
      <c r="CP87" s="75"/>
      <c r="CQ87" s="77"/>
      <c r="CR87" s="74"/>
      <c r="CS87" s="78"/>
      <c r="CT87" s="75"/>
      <c r="CU87" s="75"/>
      <c r="CV87" s="75"/>
      <c r="CY87" s="78"/>
      <c r="DB87" s="75"/>
      <c r="DE87" s="78"/>
      <c r="DH87" s="75"/>
      <c r="DK87" s="78"/>
      <c r="DN87" s="75"/>
      <c r="DT87" s="75"/>
      <c r="DZ87" s="75"/>
      <c r="EF87" s="75"/>
      <c r="EL87" s="75"/>
      <c r="ER87" s="75"/>
      <c r="EX87" s="75"/>
      <c r="FD87" s="75"/>
      <c r="FE87" s="77"/>
      <c r="FG87" s="74"/>
      <c r="FH87" s="75"/>
      <c r="FI87" s="75"/>
      <c r="FJ87" s="75"/>
      <c r="FK87" s="75"/>
      <c r="FL87" s="75"/>
    </row>
    <row r="88" spans="1:168" s="73" customFormat="1" x14ac:dyDescent="0.3">
      <c r="A88" s="3"/>
      <c r="B88" s="3"/>
      <c r="C88" s="3"/>
      <c r="D88" s="3"/>
      <c r="E88" s="3"/>
      <c r="F88" s="3"/>
      <c r="G88" s="5"/>
      <c r="H88" s="6"/>
      <c r="I88" s="6"/>
      <c r="J88" s="6"/>
      <c r="K88" s="7"/>
      <c r="L88" s="8"/>
      <c r="M88" s="20"/>
      <c r="N88" s="1"/>
      <c r="O88" s="10"/>
      <c r="P88" s="4"/>
      <c r="Q88" s="17"/>
      <c r="R88" s="4"/>
      <c r="S88" s="9"/>
      <c r="T88" s="1"/>
      <c r="U88" s="10"/>
      <c r="V88" s="3"/>
      <c r="W88" s="17"/>
      <c r="X88" s="17"/>
      <c r="Y88" s="104"/>
      <c r="Z88" s="3"/>
      <c r="AA88" s="5"/>
      <c r="AB88" s="3"/>
      <c r="AC88" s="127"/>
      <c r="AD88" s="4"/>
      <c r="AE88" s="104"/>
      <c r="AF88" s="1"/>
      <c r="AG88" s="5"/>
      <c r="AH88" s="4"/>
      <c r="AI88" s="17"/>
      <c r="AJ88" s="17"/>
      <c r="AK88" s="9"/>
      <c r="AL88" s="1"/>
      <c r="AM88" s="123"/>
      <c r="AN88" s="4"/>
      <c r="AO88" s="4"/>
      <c r="AP88" s="17"/>
      <c r="AQ88" s="19"/>
      <c r="AR88" s="20"/>
      <c r="AS88" s="20"/>
      <c r="AT88" s="17"/>
      <c r="AU88" s="17"/>
      <c r="AV88" s="4"/>
      <c r="AW88" s="118"/>
      <c r="AX88" s="20"/>
      <c r="AY88" s="20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75"/>
      <c r="BT88" s="75"/>
      <c r="BU88" s="84"/>
      <c r="BZ88" s="75"/>
      <c r="CA88" s="84"/>
      <c r="CB88" s="19"/>
      <c r="CC88" s="75"/>
      <c r="CD88" s="75"/>
      <c r="CE88" s="75"/>
      <c r="CF88" s="17"/>
      <c r="CI88" s="75"/>
      <c r="CK88" s="78"/>
      <c r="CL88" s="78"/>
      <c r="CM88" s="77"/>
      <c r="CN88" s="77"/>
      <c r="CO88" s="81"/>
      <c r="CP88" s="75"/>
      <c r="CQ88" s="77"/>
      <c r="CR88" s="74"/>
      <c r="CS88" s="78"/>
      <c r="CT88" s="75"/>
      <c r="CU88" s="75"/>
      <c r="CV88" s="75"/>
      <c r="CY88" s="78"/>
      <c r="DB88" s="75"/>
      <c r="DE88" s="78"/>
      <c r="DH88" s="75"/>
      <c r="DK88" s="78"/>
      <c r="DN88" s="75"/>
      <c r="DT88" s="75"/>
      <c r="DZ88" s="75"/>
      <c r="EF88" s="75"/>
      <c r="EL88" s="75"/>
      <c r="ER88" s="75"/>
      <c r="EX88" s="75"/>
      <c r="FD88" s="75"/>
      <c r="FE88" s="77"/>
      <c r="FG88" s="74"/>
      <c r="FH88" s="75"/>
      <c r="FI88" s="75"/>
      <c r="FJ88" s="75"/>
      <c r="FK88" s="75"/>
      <c r="FL88" s="75"/>
    </row>
    <row r="89" spans="1:168" s="87" customFormat="1" x14ac:dyDescent="0.3">
      <c r="A89" s="3"/>
      <c r="B89" s="3"/>
      <c r="C89" s="3"/>
      <c r="D89" s="3"/>
      <c r="E89" s="3"/>
      <c r="F89" s="3"/>
      <c r="G89" s="5"/>
      <c r="H89" s="6"/>
      <c r="I89" s="6"/>
      <c r="J89" s="6"/>
      <c r="K89" s="7"/>
      <c r="L89" s="8"/>
      <c r="M89" s="20"/>
      <c r="N89" s="1"/>
      <c r="O89" s="10"/>
      <c r="P89" s="4"/>
      <c r="Q89" s="17"/>
      <c r="R89" s="4"/>
      <c r="S89" s="9"/>
      <c r="T89" s="1"/>
      <c r="U89" s="10"/>
      <c r="V89" s="3"/>
      <c r="W89" s="17"/>
      <c r="X89" s="17"/>
      <c r="Y89" s="104"/>
      <c r="Z89" s="3"/>
      <c r="AA89" s="5"/>
      <c r="AB89" s="3"/>
      <c r="AC89" s="127"/>
      <c r="AD89" s="4"/>
      <c r="AE89" s="104"/>
      <c r="AF89" s="1"/>
      <c r="AG89" s="5"/>
      <c r="AH89" s="4"/>
      <c r="AI89" s="17"/>
      <c r="AJ89" s="17"/>
      <c r="AK89" s="9"/>
      <c r="AL89" s="1"/>
      <c r="AM89" s="123"/>
      <c r="AN89" s="4"/>
      <c r="AO89" s="4"/>
      <c r="AP89" s="17"/>
      <c r="AQ89" s="19"/>
      <c r="AR89" s="20"/>
      <c r="AS89" s="20"/>
      <c r="AT89" s="17"/>
      <c r="AU89" s="17"/>
      <c r="AV89" s="4"/>
      <c r="AW89" s="118"/>
      <c r="AX89" s="20"/>
      <c r="AY89" s="20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80"/>
      <c r="BT89" s="80"/>
      <c r="BU89" s="91"/>
      <c r="BZ89" s="75"/>
      <c r="CA89" s="91"/>
      <c r="CB89" s="19"/>
      <c r="CC89" s="80"/>
      <c r="CD89" s="80"/>
      <c r="CE89" s="80"/>
      <c r="CF89" s="17"/>
      <c r="CI89" s="80"/>
      <c r="CK89" s="88"/>
      <c r="CL89" s="88"/>
      <c r="CM89" s="89"/>
      <c r="CN89" s="89"/>
      <c r="CO89" s="92"/>
      <c r="CP89" s="80"/>
      <c r="CQ89" s="89"/>
      <c r="CR89" s="90"/>
      <c r="CS89" s="88"/>
      <c r="CT89" s="80"/>
      <c r="CU89" s="80"/>
      <c r="CV89" s="80"/>
      <c r="CY89" s="88"/>
      <c r="DB89" s="80"/>
      <c r="DE89" s="88"/>
      <c r="DH89" s="80"/>
      <c r="DK89" s="88"/>
      <c r="DN89" s="80"/>
      <c r="DT89" s="80"/>
      <c r="DZ89" s="80"/>
      <c r="EF89" s="80"/>
      <c r="EL89" s="80"/>
      <c r="ER89" s="80"/>
      <c r="EX89" s="80"/>
      <c r="FD89" s="80"/>
      <c r="FE89" s="89"/>
      <c r="FG89" s="90"/>
      <c r="FH89" s="80"/>
      <c r="FI89" s="80"/>
      <c r="FJ89" s="80"/>
      <c r="FK89" s="80"/>
      <c r="FL89" s="80"/>
    </row>
    <row r="90" spans="1:168" s="73" customFormat="1" x14ac:dyDescent="0.3">
      <c r="A90" s="3"/>
      <c r="B90" s="3"/>
      <c r="C90" s="3"/>
      <c r="D90" s="3"/>
      <c r="E90" s="3"/>
      <c r="F90" s="3"/>
      <c r="G90" s="5"/>
      <c r="H90" s="6"/>
      <c r="I90" s="6"/>
      <c r="J90" s="6"/>
      <c r="K90" s="7"/>
      <c r="L90" s="8"/>
      <c r="M90" s="20"/>
      <c r="N90" s="1"/>
      <c r="O90" s="10"/>
      <c r="P90" s="4"/>
      <c r="Q90" s="17"/>
      <c r="R90" s="4"/>
      <c r="S90" s="9"/>
      <c r="T90" s="1"/>
      <c r="U90" s="10"/>
      <c r="V90" s="3"/>
      <c r="W90" s="17"/>
      <c r="X90" s="17"/>
      <c r="Y90" s="104"/>
      <c r="Z90" s="3"/>
      <c r="AA90" s="5"/>
      <c r="AB90" s="3"/>
      <c r="AC90" s="127"/>
      <c r="AD90" s="4"/>
      <c r="AE90" s="104"/>
      <c r="AF90" s="1"/>
      <c r="AG90" s="5"/>
      <c r="AH90" s="4"/>
      <c r="AI90" s="17"/>
      <c r="AJ90" s="17"/>
      <c r="AK90" s="9"/>
      <c r="AL90" s="1"/>
      <c r="AM90" s="123"/>
      <c r="AN90" s="4"/>
      <c r="AO90" s="4"/>
      <c r="AP90" s="17"/>
      <c r="AQ90" s="19"/>
      <c r="AR90" s="20"/>
      <c r="AS90" s="20"/>
      <c r="AT90" s="17"/>
      <c r="AU90" s="17"/>
      <c r="AV90" s="4"/>
      <c r="AW90" s="118"/>
      <c r="AX90" s="20"/>
      <c r="AY90" s="20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75"/>
      <c r="BT90" s="75"/>
      <c r="BY90" s="75"/>
      <c r="BZ90" s="75"/>
      <c r="CB90" s="19"/>
      <c r="CC90" s="75"/>
      <c r="CD90" s="75"/>
      <c r="CE90" s="75"/>
      <c r="CF90" s="17"/>
      <c r="CI90" s="75"/>
      <c r="CK90" s="78"/>
      <c r="CL90" s="78"/>
      <c r="CM90" s="77"/>
      <c r="CN90" s="77"/>
      <c r="CO90" s="81"/>
      <c r="CP90" s="75"/>
      <c r="CQ90" s="77"/>
      <c r="CR90" s="74"/>
      <c r="CS90" s="78"/>
      <c r="CT90" s="75"/>
      <c r="CU90" s="75"/>
      <c r="CV90" s="75"/>
      <c r="CY90" s="78"/>
      <c r="DB90" s="75"/>
      <c r="DE90" s="78"/>
      <c r="DH90" s="75"/>
      <c r="DK90" s="78"/>
      <c r="DN90" s="75"/>
      <c r="DT90" s="75"/>
      <c r="DZ90" s="75"/>
      <c r="EF90" s="75"/>
      <c r="EL90" s="75"/>
      <c r="ER90" s="75"/>
      <c r="EX90" s="75"/>
      <c r="FD90" s="75"/>
      <c r="FE90" s="77"/>
      <c r="FG90" s="74"/>
      <c r="FH90" s="75"/>
      <c r="FI90" s="75"/>
      <c r="FJ90" s="75"/>
      <c r="FK90" s="75"/>
      <c r="FL90" s="75"/>
    </row>
    <row r="91" spans="1:168" x14ac:dyDescent="0.3">
      <c r="A91" s="1"/>
      <c r="B91" s="3"/>
      <c r="C91" s="3"/>
      <c r="D91" s="3"/>
      <c r="E91" s="3"/>
      <c r="F91" s="3"/>
      <c r="G91" s="5"/>
      <c r="H91" s="6"/>
      <c r="I91" s="6"/>
      <c r="K91" s="7"/>
      <c r="L91" s="17"/>
      <c r="M91" s="20"/>
      <c r="N91" s="1"/>
      <c r="O91" s="10"/>
      <c r="P91" s="4"/>
      <c r="Q91" s="17"/>
      <c r="R91" s="4"/>
      <c r="S91" s="9"/>
      <c r="T91" s="1"/>
      <c r="U91" s="10"/>
      <c r="V91" s="3"/>
      <c r="X91" s="17"/>
      <c r="Y91" s="104"/>
      <c r="Z91" s="3"/>
      <c r="AA91" s="5"/>
      <c r="AB91" s="3"/>
      <c r="AD91" s="4"/>
      <c r="AF91" s="1"/>
      <c r="AG91" s="5"/>
      <c r="AH91" s="4"/>
      <c r="AI91" s="17"/>
      <c r="AJ91" s="17"/>
      <c r="AK91" s="9"/>
      <c r="AL91" s="1"/>
      <c r="AM91" s="123"/>
      <c r="AN91" s="4"/>
      <c r="AO91" s="4"/>
      <c r="AP91" s="17"/>
      <c r="AQ91" s="82"/>
      <c r="AT91" s="17"/>
      <c r="AU91" s="17"/>
      <c r="AV91" s="17"/>
      <c r="AW91" s="118"/>
      <c r="AY91" s="20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T91" s="17"/>
      <c r="BU91" s="82"/>
      <c r="BZ91" s="75"/>
      <c r="CB91" s="19"/>
      <c r="CF91" s="17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</row>
    <row r="92" spans="1:168" x14ac:dyDescent="0.3">
      <c r="A92" s="1"/>
      <c r="C92" s="3"/>
      <c r="D92" s="3"/>
      <c r="F92" s="3"/>
      <c r="H92" s="6"/>
      <c r="I92" s="6"/>
      <c r="K92" s="7"/>
      <c r="L92" s="17"/>
      <c r="M92" s="20"/>
      <c r="N92" s="1"/>
      <c r="O92" s="10"/>
      <c r="P92" s="4"/>
      <c r="Q92" s="17"/>
      <c r="R92" s="4"/>
      <c r="S92" s="9"/>
      <c r="T92" s="1"/>
      <c r="U92" s="10"/>
      <c r="V92" s="3"/>
      <c r="X92" s="17"/>
      <c r="AA92" s="5"/>
      <c r="AD92" s="4"/>
      <c r="AF92" s="1"/>
      <c r="AG92" s="5"/>
      <c r="AI92" s="17"/>
      <c r="AJ92" s="17"/>
      <c r="AK92" s="9"/>
      <c r="AL92" s="1"/>
      <c r="AN92" s="4"/>
      <c r="AP92" s="17"/>
      <c r="AQ92" s="82"/>
      <c r="AU92" s="17"/>
      <c r="AV92" s="17"/>
      <c r="AW92" s="118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T92" s="17"/>
      <c r="BU92" s="82"/>
      <c r="BZ92" s="75"/>
      <c r="CF92" s="17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</row>
    <row r="93" spans="1:168" x14ac:dyDescent="0.3">
      <c r="D93" s="3"/>
      <c r="F93" s="3"/>
      <c r="I93" s="6"/>
      <c r="L93" s="17"/>
      <c r="N93" s="1"/>
      <c r="P93" s="4"/>
      <c r="Q93" s="17"/>
      <c r="R93" s="4"/>
      <c r="S93" s="9"/>
      <c r="T93" s="1"/>
      <c r="U93" s="10"/>
      <c r="V93" s="3"/>
      <c r="X93" s="17"/>
      <c r="AA93" s="5"/>
      <c r="AD93" s="4"/>
      <c r="AJ93" s="17"/>
      <c r="AL93" s="1"/>
      <c r="AP93" s="17"/>
      <c r="AQ93" s="82"/>
      <c r="AV93" s="17"/>
      <c r="AW93" s="118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T93" s="17"/>
      <c r="BU93" s="82"/>
      <c r="BZ93" s="75"/>
      <c r="CF93" s="17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</row>
    <row r="94" spans="1:168" x14ac:dyDescent="0.3">
      <c r="I94" s="6"/>
      <c r="L94" s="17"/>
      <c r="N94" s="1"/>
      <c r="P94" s="17"/>
      <c r="Q94" s="17"/>
      <c r="R94" s="4"/>
      <c r="T94" s="1"/>
      <c r="U94" s="10"/>
      <c r="X94" s="17"/>
      <c r="AA94" s="1"/>
      <c r="AD94" s="4"/>
      <c r="AJ94" s="17"/>
      <c r="AP94" s="17"/>
      <c r="AQ94" s="82"/>
      <c r="AV94" s="17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T94" s="17"/>
      <c r="BU94" s="82"/>
      <c r="BZ94" s="75"/>
      <c r="CF94" s="17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</row>
    <row r="95" spans="1:168" s="3" customFormat="1" x14ac:dyDescent="0.3">
      <c r="A95" s="1"/>
      <c r="B95" s="153"/>
      <c r="C95" s="153"/>
      <c r="D95" s="153"/>
      <c r="E95" s="153"/>
      <c r="F95" s="153"/>
      <c r="G95" s="5"/>
      <c r="H95" s="5"/>
      <c r="I95" s="6"/>
      <c r="J95" s="6"/>
      <c r="K95" s="7"/>
      <c r="L95" s="155"/>
      <c r="M95" s="154"/>
      <c r="N95" s="1"/>
      <c r="O95" s="154"/>
      <c r="P95" s="156"/>
      <c r="Q95" s="156"/>
      <c r="R95" s="156"/>
      <c r="S95" s="154"/>
      <c r="T95" s="154"/>
      <c r="U95" s="154"/>
      <c r="V95" s="156"/>
      <c r="W95" s="156"/>
      <c r="X95" s="4"/>
      <c r="Y95" s="154"/>
      <c r="Z95" s="154"/>
      <c r="AA95" s="1"/>
      <c r="AB95" s="156"/>
      <c r="AC95" s="157"/>
      <c r="AD95" s="4"/>
      <c r="AE95" s="154"/>
      <c r="AF95" s="154"/>
      <c r="AG95" s="158"/>
      <c r="AH95" s="156"/>
      <c r="AI95" s="156"/>
      <c r="AJ95" s="4"/>
      <c r="AK95" s="154"/>
      <c r="AL95" s="154"/>
      <c r="AM95" s="158"/>
      <c r="AN95" s="156"/>
      <c r="AO95" s="156"/>
      <c r="AP95" s="156"/>
      <c r="AQ95" s="154"/>
      <c r="AR95" s="158"/>
      <c r="AS95" s="158"/>
      <c r="AT95" s="156"/>
      <c r="AU95" s="156"/>
      <c r="AV95" s="156"/>
      <c r="AW95" s="158"/>
      <c r="AX95" s="158"/>
      <c r="AY95" s="15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156"/>
      <c r="BT95" s="156"/>
      <c r="BU95" s="154"/>
      <c r="BV95" s="154"/>
      <c r="BW95" s="154"/>
      <c r="BX95" s="156"/>
      <c r="BY95" s="156"/>
      <c r="BZ95" s="4"/>
      <c r="CA95" s="154"/>
      <c r="CB95" s="154"/>
      <c r="CC95" s="154"/>
      <c r="CD95" s="156"/>
      <c r="CE95" s="156"/>
      <c r="CF95" s="156"/>
    </row>
    <row r="96" spans="1:168" s="95" customFormat="1" x14ac:dyDescent="0.3">
      <c r="A96" s="20"/>
      <c r="B96" s="16"/>
      <c r="C96" s="16"/>
      <c r="D96" s="16"/>
      <c r="E96" s="16"/>
      <c r="F96" s="16"/>
      <c r="G96" s="123"/>
      <c r="H96" s="123"/>
      <c r="I96" s="6"/>
      <c r="J96" s="118"/>
      <c r="K96" s="133"/>
      <c r="L96" s="16"/>
      <c r="M96" s="19"/>
      <c r="N96" s="1"/>
      <c r="O96" s="18"/>
      <c r="S96" s="16"/>
      <c r="T96" s="1"/>
      <c r="U96" s="18"/>
      <c r="V96" s="16"/>
      <c r="W96" s="16"/>
      <c r="X96" s="16"/>
      <c r="Y96" s="16"/>
      <c r="Z96" s="16"/>
      <c r="AA96" s="1"/>
      <c r="AB96" s="16"/>
      <c r="AC96" s="124"/>
      <c r="AD96" s="16"/>
      <c r="AE96" s="16"/>
      <c r="AF96" s="16"/>
      <c r="AG96" s="123"/>
      <c r="AH96" s="16"/>
      <c r="AI96" s="16"/>
      <c r="AJ96" s="16"/>
      <c r="AK96" s="16"/>
      <c r="AL96" s="16"/>
      <c r="AM96" s="20"/>
      <c r="AN96" s="16"/>
      <c r="AO96" s="16"/>
      <c r="AP96" s="16"/>
      <c r="AQ96" s="16"/>
      <c r="AR96" s="20"/>
      <c r="AS96" s="20"/>
      <c r="AT96" s="16"/>
      <c r="AU96" s="16"/>
      <c r="AV96" s="96"/>
      <c r="AW96" s="20"/>
      <c r="AX96" s="20"/>
      <c r="AY96" s="16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</row>
    <row r="97" spans="1:83" s="95" customFormat="1" ht="15" customHeight="1" x14ac:dyDescent="0.3">
      <c r="A97" s="97"/>
      <c r="G97" s="97"/>
      <c r="H97" s="97"/>
      <c r="I97" s="97"/>
      <c r="J97" s="118"/>
      <c r="K97" s="133"/>
      <c r="N97" s="1"/>
      <c r="T97" s="1"/>
      <c r="AA97" s="1"/>
      <c r="AC97" s="129"/>
      <c r="AG97" s="97"/>
      <c r="AM97" s="97"/>
      <c r="AR97" s="97"/>
      <c r="AS97" s="97"/>
      <c r="AW97" s="97"/>
      <c r="AX97" s="97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Z97" s="211"/>
      <c r="CA97" s="211"/>
      <c r="CB97" s="211"/>
      <c r="CC97" s="211"/>
      <c r="CD97" s="98"/>
    </row>
    <row r="98" spans="1:83" s="95" customFormat="1" x14ac:dyDescent="0.3">
      <c r="A98" s="97"/>
      <c r="G98" s="97"/>
      <c r="H98" s="97"/>
      <c r="I98" s="97"/>
      <c r="J98" s="97"/>
      <c r="K98" s="97"/>
      <c r="N98" s="1"/>
      <c r="T98" s="1"/>
      <c r="AA98" s="1"/>
      <c r="AC98" s="129"/>
      <c r="AG98" s="97"/>
      <c r="AM98" s="97"/>
      <c r="AR98" s="97"/>
      <c r="AS98" s="97"/>
      <c r="AW98" s="97"/>
      <c r="AX98" s="97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</row>
    <row r="99" spans="1:83" x14ac:dyDescent="0.3">
      <c r="A99" s="97"/>
      <c r="B99" s="95"/>
      <c r="C99" s="95"/>
      <c r="D99" s="95"/>
      <c r="E99" s="95"/>
      <c r="F99" s="95"/>
      <c r="G99" s="97"/>
      <c r="H99" s="97"/>
      <c r="I99" s="97"/>
      <c r="J99" s="97"/>
      <c r="K99" s="97"/>
      <c r="M99" s="95"/>
      <c r="N99" s="1"/>
      <c r="O99" s="95"/>
      <c r="R99" s="99"/>
      <c r="S99" s="95"/>
      <c r="T99" s="100"/>
      <c r="U99" s="95"/>
      <c r="V99" s="95"/>
      <c r="W99" s="95"/>
      <c r="X99" s="95"/>
      <c r="Y99" s="95"/>
      <c r="Z99" s="101"/>
      <c r="AA99" s="1"/>
      <c r="AB99" s="95"/>
      <c r="AC99" s="129"/>
      <c r="AD99" s="95"/>
      <c r="AE99" s="95"/>
      <c r="AF99" s="95"/>
      <c r="AG99" s="97"/>
      <c r="AH99" s="95"/>
      <c r="AI99" s="95"/>
      <c r="AJ99" s="95"/>
      <c r="AK99" s="95"/>
      <c r="AL99" s="95"/>
      <c r="AM99" s="97"/>
      <c r="AN99" s="95"/>
      <c r="AO99" s="95"/>
      <c r="AP99" s="95"/>
      <c r="AQ99" s="95"/>
      <c r="AR99" s="97"/>
      <c r="AS99" s="97"/>
      <c r="AT99" s="95"/>
      <c r="AU99" s="95"/>
      <c r="AV99" s="95"/>
      <c r="AW99" s="97"/>
      <c r="AX99" s="97"/>
      <c r="AY99" s="95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</row>
    <row r="100" spans="1:83" x14ac:dyDescent="0.3">
      <c r="N100" s="1"/>
      <c r="Z100" s="103"/>
      <c r="AA100" s="1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CD100" s="103"/>
    </row>
    <row r="101" spans="1:83" x14ac:dyDescent="0.3">
      <c r="N101" s="1"/>
      <c r="AA101" s="1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</row>
    <row r="102" spans="1:83" x14ac:dyDescent="0.3">
      <c r="N102" s="1"/>
      <c r="AA102" s="1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</row>
    <row r="103" spans="1:83" x14ac:dyDescent="0.3">
      <c r="AA103" s="1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</row>
    <row r="104" spans="1:83" x14ac:dyDescent="0.3">
      <c r="AA104" s="1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</row>
    <row r="105" spans="1:83" x14ac:dyDescent="0.3">
      <c r="AA105" s="1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</row>
    <row r="106" spans="1:83" x14ac:dyDescent="0.3">
      <c r="AA106" s="1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</row>
    <row r="107" spans="1:83" x14ac:dyDescent="0.3">
      <c r="AA107" s="5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</row>
    <row r="108" spans="1:83" x14ac:dyDescent="0.3">
      <c r="AA108" s="5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</row>
    <row r="109" spans="1:83" x14ac:dyDescent="0.3">
      <c r="AA109" s="5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</row>
    <row r="110" spans="1:83" x14ac:dyDescent="0.3"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</row>
    <row r="111" spans="1:83" x14ac:dyDescent="0.3">
      <c r="AA111" s="120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</row>
    <row r="113" spans="27:27" x14ac:dyDescent="0.3">
      <c r="AA113" s="97"/>
    </row>
    <row r="114" spans="27:27" x14ac:dyDescent="0.3">
      <c r="AA114" s="97"/>
    </row>
    <row r="115" spans="27:27" x14ac:dyDescent="0.3">
      <c r="AA115" s="97"/>
    </row>
  </sheetData>
  <mergeCells count="13">
    <mergeCell ref="AQ5:AV5"/>
    <mergeCell ref="M5:R5"/>
    <mergeCell ref="S5:X5"/>
    <mergeCell ref="Y5:AD5"/>
    <mergeCell ref="AE5:AJ5"/>
    <mergeCell ref="AK5:AP5"/>
    <mergeCell ref="BZ97:CC97"/>
    <mergeCell ref="AW5:BB5"/>
    <mergeCell ref="BC5:BH5"/>
    <mergeCell ref="BI5:BN5"/>
    <mergeCell ref="BO5:BT5"/>
    <mergeCell ref="BU5:BZ5"/>
    <mergeCell ref="CA5:CF5"/>
  </mergeCells>
  <phoneticPr fontId="13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HIPOTECARIO</vt:lpstr>
      <vt:lpstr>FIDUCIARIO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</dc:creator>
  <cp:lastModifiedBy>COMIF R.L.</cp:lastModifiedBy>
  <cp:lastPrinted>2026-06-15T21:36:15Z</cp:lastPrinted>
  <dcterms:created xsi:type="dcterms:W3CDTF">2014-09-26T07:25:49Z</dcterms:created>
  <dcterms:modified xsi:type="dcterms:W3CDTF">2026-08-17T15:10:45Z</dcterms:modified>
</cp:coreProperties>
</file>