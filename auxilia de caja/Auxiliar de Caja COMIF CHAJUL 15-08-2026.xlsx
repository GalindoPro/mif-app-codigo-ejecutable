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https://d.docs.live.net/4da2b2627b8da2b2/Desktop/"/>
    </mc:Choice>
  </mc:AlternateContent>
  <xr:revisionPtr revIDLastSave="1036" documentId="13_ncr:1_{1759EE3E-7A3B-4C83-BE58-29D63E861D13}" xr6:coauthVersionLast="47" xr6:coauthVersionMax="47" xr10:uidLastSave="{C6F378AE-2517-4619-9F11-82CC8B418578}"/>
  <bookViews>
    <workbookView xWindow="-120" yWindow="-120" windowWidth="29040" windowHeight="15720" firstSheet="1" activeTab="1" xr2:uid="{00000000-000D-0000-FFFF-FFFF00000000}"/>
  </bookViews>
  <sheets>
    <sheet name="EFECTIVO" sheetId="20" r:id="rId1"/>
    <sheet name="LIBRO DE CAJA (2)" sheetId="19" r:id="rId2"/>
    <sheet name="Hoja1" sheetId="22" state="hidden" r:id="rId3"/>
    <sheet name="Arqueo Caja Ag Chaj 22-06-2026" sheetId="26" r:id="rId4"/>
    <sheet name="Arqueo Caja Ag Chaj 22-04-2026" sheetId="25" r:id="rId5"/>
    <sheet name="Arqueo Caja Ag Chaj 28-02-2026" sheetId="24" r:id="rId6"/>
    <sheet name="Arqueo Caja Ag Chaj 02-01-2026" sheetId="23" r:id="rId7"/>
    <sheet name="Arqueo Caja Ag Chaj 22-08-2025" sheetId="21" r:id="rId8"/>
    <sheet name="Arqueo Caja AG Chaj 24-04-2025" sheetId="17" state="hidden" r:id="rId9"/>
    <sheet name="Arqueo Caja AG Chaj 26-02-2025)" sheetId="13" r:id="rId10"/>
    <sheet name="Arqueo Caja AG Chaj 31-12-2024" sheetId="12" r:id="rId11"/>
    <sheet name="Hoja3" sheetId="18" state="hidden" r:id="rId12"/>
    <sheet name="Arqueo Caja AG Chaj 18-11-24" sheetId="11" r:id="rId13"/>
    <sheet name="Arqueo Caja AG Chaj 08-03-24" sheetId="8" r:id="rId14"/>
    <sheet name="Arqueo Caja AG Chaj 02-11-23" sheetId="5" r:id="rId15"/>
    <sheet name="Hoja2" sheetId="7" r:id="rId16"/>
  </sheets>
  <definedNames>
    <definedName name="_xlnm._FilterDatabase" localSheetId="1" hidden="1">'LIBRO DE CAJA (2)'!$AA$1:$AA$5749</definedName>
    <definedName name="_xlnm.Print_Area" localSheetId="1">'LIBRO DE CAJA (2)'!$T$1:$AF$6</definedName>
    <definedName name="_xlnm.Print_Titles" localSheetId="1">'LIBRO DE CAJA (2)'!$1:$5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145" i="19" l="1"/>
  <c r="AE6145" i="19"/>
  <c r="AD6145" i="19"/>
  <c r="AF6142" i="19"/>
  <c r="AF6143" i="19" s="1"/>
  <c r="AF6144" i="19" s="1"/>
  <c r="Z6160" i="19"/>
  <c r="Z6159" i="19"/>
  <c r="Z6158" i="19"/>
  <c r="Z6157" i="19"/>
  <c r="Z6156" i="19"/>
  <c r="Z6155" i="19"/>
  <c r="Z6153" i="19"/>
  <c r="Z6152" i="19"/>
  <c r="Z6151" i="19"/>
  <c r="Z6150" i="19"/>
  <c r="Z6149" i="19"/>
  <c r="Z6148" i="19"/>
  <c r="AE6117" i="19"/>
  <c r="AD6117" i="19"/>
  <c r="G8" i="26"/>
  <c r="Z6134" i="19"/>
  <c r="Z6133" i="19"/>
  <c r="Z6132" i="19"/>
  <c r="Z6131" i="19"/>
  <c r="Z6130" i="19"/>
  <c r="Z6129" i="19"/>
  <c r="Z6127" i="19"/>
  <c r="Z6126" i="19"/>
  <c r="Z6125" i="19"/>
  <c r="Z6124" i="19"/>
  <c r="Z6123" i="19"/>
  <c r="Z6122" i="19"/>
  <c r="AE6083" i="19"/>
  <c r="AD6083" i="19"/>
  <c r="Z6099" i="19"/>
  <c r="Z6098" i="19"/>
  <c r="Z6097" i="19"/>
  <c r="Z6096" i="19"/>
  <c r="Z6095" i="19"/>
  <c r="Z6094" i="19"/>
  <c r="Z6092" i="19"/>
  <c r="Z6091" i="19"/>
  <c r="Z6090" i="19"/>
  <c r="Z6089" i="19"/>
  <c r="Z6088" i="19"/>
  <c r="Z6087" i="19"/>
  <c r="AE6034" i="19"/>
  <c r="AD6034" i="19"/>
  <c r="Z6050" i="19"/>
  <c r="Z6049" i="19"/>
  <c r="Z6048" i="19"/>
  <c r="Z6047" i="19"/>
  <c r="Z6046" i="19"/>
  <c r="Z6045" i="19"/>
  <c r="Z6043" i="19"/>
  <c r="Z6042" i="19"/>
  <c r="Z6041" i="19"/>
  <c r="Z6040" i="19"/>
  <c r="Z6039" i="19"/>
  <c r="Z6038" i="19"/>
  <c r="AE5996" i="19"/>
  <c r="AD5996" i="19"/>
  <c r="Z6014" i="19"/>
  <c r="Z6013" i="19"/>
  <c r="Z6012" i="19"/>
  <c r="Z6011" i="19"/>
  <c r="Z6010" i="19"/>
  <c r="Z6009" i="19"/>
  <c r="Z6007" i="19"/>
  <c r="Z6006" i="19"/>
  <c r="Z6005" i="19"/>
  <c r="Z6004" i="19"/>
  <c r="Z6003" i="19"/>
  <c r="Z6002" i="19"/>
  <c r="AE5943" i="19"/>
  <c r="AD5943" i="19"/>
  <c r="Z5959" i="19"/>
  <c r="Z5958" i="19"/>
  <c r="Z5957" i="19"/>
  <c r="Z5956" i="19"/>
  <c r="Z5955" i="19"/>
  <c r="Z5954" i="19"/>
  <c r="Z5952" i="19"/>
  <c r="Z5951" i="19"/>
  <c r="Z5950" i="19"/>
  <c r="Z5949" i="19"/>
  <c r="Z5948" i="19"/>
  <c r="Z5947" i="19"/>
  <c r="AE5908" i="19"/>
  <c r="AD5908" i="19"/>
  <c r="Z5923" i="19"/>
  <c r="Z5922" i="19"/>
  <c r="Z5921" i="19"/>
  <c r="Z5920" i="19"/>
  <c r="Z5919" i="19"/>
  <c r="Z5918" i="19"/>
  <c r="Z5916" i="19"/>
  <c r="Z5915" i="19"/>
  <c r="Z5914" i="19"/>
  <c r="Z5913" i="19"/>
  <c r="Z5912" i="19"/>
  <c r="Z5911" i="19"/>
  <c r="AE5883" i="19"/>
  <c r="AD5883" i="19"/>
  <c r="Z5900" i="19"/>
  <c r="Z5899" i="19"/>
  <c r="Z5898" i="19"/>
  <c r="Z5897" i="19"/>
  <c r="Z5896" i="19"/>
  <c r="Z5895" i="19"/>
  <c r="Z5893" i="19"/>
  <c r="Z5892" i="19"/>
  <c r="Z5891" i="19"/>
  <c r="Z5890" i="19"/>
  <c r="Z5889" i="19"/>
  <c r="Z5888" i="19"/>
  <c r="AE5850" i="19"/>
  <c r="AD5850" i="19"/>
  <c r="Z5865" i="19"/>
  <c r="Z5864" i="19"/>
  <c r="Z5863" i="19"/>
  <c r="Z5862" i="19"/>
  <c r="Z5861" i="19"/>
  <c r="Z5860" i="19"/>
  <c r="Z5858" i="19"/>
  <c r="Z5857" i="19"/>
  <c r="Z5856" i="19"/>
  <c r="Z5855" i="19"/>
  <c r="Z5854" i="19"/>
  <c r="Z5853" i="19"/>
  <c r="AE5826" i="19"/>
  <c r="AD5826" i="19"/>
  <c r="Z5841" i="19"/>
  <c r="Z5840" i="19"/>
  <c r="Z5839" i="19"/>
  <c r="Z5838" i="19"/>
  <c r="Z5837" i="19"/>
  <c r="Z5836" i="19"/>
  <c r="Z5834" i="19"/>
  <c r="Z5833" i="19"/>
  <c r="Z5832" i="19"/>
  <c r="Z5831" i="19"/>
  <c r="Z5830" i="19"/>
  <c r="Z5829" i="19"/>
  <c r="AE5792" i="19"/>
  <c r="AD5792" i="19"/>
  <c r="Z5808" i="19"/>
  <c r="Z5807" i="19"/>
  <c r="Z5806" i="19"/>
  <c r="Z5805" i="19"/>
  <c r="Z5804" i="19"/>
  <c r="Z5803" i="19"/>
  <c r="Z5801" i="19"/>
  <c r="Z5800" i="19"/>
  <c r="Z5799" i="19"/>
  <c r="Z5798" i="19"/>
  <c r="Z5797" i="19"/>
  <c r="Z5796" i="19"/>
  <c r="AE5733" i="19"/>
  <c r="AD5733" i="19"/>
  <c r="Z5749" i="19"/>
  <c r="Z5748" i="19"/>
  <c r="Z5747" i="19"/>
  <c r="Z5746" i="19"/>
  <c r="Z5745" i="19"/>
  <c r="Z5744" i="19"/>
  <c r="Z5742" i="19"/>
  <c r="Z5741" i="19"/>
  <c r="Z5740" i="19"/>
  <c r="Z5739" i="19"/>
  <c r="Z5738" i="19"/>
  <c r="Z5737" i="19"/>
  <c r="AE5684" i="19"/>
  <c r="AD5684" i="19"/>
  <c r="Z5699" i="19"/>
  <c r="Z5698" i="19"/>
  <c r="Z5697" i="19"/>
  <c r="Z5696" i="19"/>
  <c r="Z5695" i="19"/>
  <c r="Z5694" i="19"/>
  <c r="Z5692" i="19"/>
  <c r="Z5691" i="19"/>
  <c r="Z5690" i="19"/>
  <c r="Z5689" i="19"/>
  <c r="Z5688" i="19"/>
  <c r="Z5687" i="19"/>
  <c r="AE5527" i="19"/>
  <c r="AD5527" i="19"/>
  <c r="AE5562" i="19"/>
  <c r="AD5562" i="19"/>
  <c r="AE5589" i="19"/>
  <c r="AD5589" i="19"/>
  <c r="AD5624" i="19"/>
  <c r="AE5624" i="19"/>
  <c r="AD5660" i="19"/>
  <c r="AE5660" i="19"/>
  <c r="Z5678" i="19"/>
  <c r="Z5677" i="19"/>
  <c r="Z5676" i="19"/>
  <c r="Z5675" i="19"/>
  <c r="Z5674" i="19"/>
  <c r="Z5673" i="19"/>
  <c r="Z5671" i="19"/>
  <c r="Z5670" i="19"/>
  <c r="Z5669" i="19"/>
  <c r="Z5668" i="19"/>
  <c r="Z5667" i="19"/>
  <c r="Z5666" i="19"/>
  <c r="Z5640" i="19"/>
  <c r="Z5639" i="19"/>
  <c r="Z5638" i="19"/>
  <c r="Z5637" i="19"/>
  <c r="Z5636" i="19"/>
  <c r="Z5635" i="19"/>
  <c r="Z5633" i="19"/>
  <c r="Z5632" i="19"/>
  <c r="Z5631" i="19"/>
  <c r="Z5630" i="19"/>
  <c r="Z5629" i="19"/>
  <c r="Z5628" i="19"/>
  <c r="Z5604" i="19"/>
  <c r="Z5603" i="19"/>
  <c r="Z5602" i="19"/>
  <c r="Z5601" i="19"/>
  <c r="Z5600" i="19"/>
  <c r="Z5599" i="19"/>
  <c r="Z5597" i="19"/>
  <c r="Z5596" i="19"/>
  <c r="Z5595" i="19"/>
  <c r="Z5594" i="19"/>
  <c r="Z5593" i="19"/>
  <c r="Z5592" i="19"/>
  <c r="Z5578" i="19"/>
  <c r="Z5577" i="19"/>
  <c r="Z5576" i="19"/>
  <c r="Z5575" i="19"/>
  <c r="Z5574" i="19"/>
  <c r="Z5573" i="19"/>
  <c r="Z5571" i="19"/>
  <c r="Z5570" i="19"/>
  <c r="Z5569" i="19"/>
  <c r="Z5568" i="19"/>
  <c r="Z5567" i="19"/>
  <c r="Z5566" i="19"/>
  <c r="Z5543" i="19"/>
  <c r="Z5542" i="19"/>
  <c r="Z5541" i="19"/>
  <c r="Z5540" i="19"/>
  <c r="Z5539" i="19"/>
  <c r="Z5538" i="19"/>
  <c r="Z5536" i="19"/>
  <c r="Z5535" i="19"/>
  <c r="Z5534" i="19"/>
  <c r="Z5533" i="19"/>
  <c r="Z5532" i="19"/>
  <c r="Z5531" i="19"/>
  <c r="AE5485" i="19"/>
  <c r="AD5485" i="19"/>
  <c r="Z5500" i="19"/>
  <c r="Z5499" i="19"/>
  <c r="Z5498" i="19"/>
  <c r="Z5497" i="19"/>
  <c r="Z5496" i="19"/>
  <c r="Z5495" i="19"/>
  <c r="Z5493" i="19"/>
  <c r="Z5492" i="19"/>
  <c r="Z5491" i="19"/>
  <c r="Z5490" i="19"/>
  <c r="Z5489" i="19"/>
  <c r="Z5488" i="19"/>
  <c r="AE5458" i="19"/>
  <c r="AD5458" i="19"/>
  <c r="Z5474" i="19"/>
  <c r="Z5473" i="19"/>
  <c r="Z5472" i="19"/>
  <c r="Z5471" i="19"/>
  <c r="Z5470" i="19"/>
  <c r="Z5469" i="19"/>
  <c r="Z5467" i="19"/>
  <c r="Z5466" i="19"/>
  <c r="Z5465" i="19"/>
  <c r="Z5464" i="19"/>
  <c r="Z5463" i="19"/>
  <c r="Z5462" i="19"/>
  <c r="AD5368" i="19"/>
  <c r="AE5368" i="19"/>
  <c r="Z5386" i="19"/>
  <c r="Z5385" i="19"/>
  <c r="Z5384" i="19"/>
  <c r="Z5383" i="19"/>
  <c r="Z5382" i="19"/>
  <c r="Z5381" i="19"/>
  <c r="Z5379" i="19"/>
  <c r="Z5378" i="19"/>
  <c r="Z5377" i="19"/>
  <c r="Z5376" i="19"/>
  <c r="Z5375" i="19"/>
  <c r="Z5374" i="19"/>
  <c r="AD5330" i="19"/>
  <c r="AE5330" i="19"/>
  <c r="Z5346" i="19"/>
  <c r="Z5345" i="19"/>
  <c r="Z5344" i="19"/>
  <c r="Z5343" i="19"/>
  <c r="Z5342" i="19"/>
  <c r="Z5341" i="19"/>
  <c r="Z5339" i="19"/>
  <c r="Z5338" i="19"/>
  <c r="Z5337" i="19"/>
  <c r="Z5336" i="19"/>
  <c r="Z5335" i="19"/>
  <c r="Z5334" i="19"/>
  <c r="AE5298" i="19"/>
  <c r="AD5298" i="19"/>
  <c r="Z5316" i="19"/>
  <c r="Z5315" i="19"/>
  <c r="Z5314" i="19"/>
  <c r="Z5313" i="19"/>
  <c r="Z5312" i="19"/>
  <c r="Z5311" i="19"/>
  <c r="Z5309" i="19"/>
  <c r="Z5308" i="19"/>
  <c r="Z5307" i="19"/>
  <c r="Z5306" i="19"/>
  <c r="Z5305" i="19"/>
  <c r="Z5304" i="19"/>
  <c r="AE5257" i="19"/>
  <c r="AD5257" i="19"/>
  <c r="Z5273" i="19"/>
  <c r="Z5272" i="19"/>
  <c r="Z5271" i="19"/>
  <c r="Z5270" i="19"/>
  <c r="Z5269" i="19"/>
  <c r="Z5268" i="19"/>
  <c r="Z5266" i="19"/>
  <c r="Z5265" i="19"/>
  <c r="Z5264" i="19"/>
  <c r="Z5263" i="19"/>
  <c r="Z5262" i="19"/>
  <c r="Z5261" i="19"/>
  <c r="AE5219" i="19"/>
  <c r="AD5219" i="19"/>
  <c r="Z5234" i="19"/>
  <c r="Z5233" i="19"/>
  <c r="Z5232" i="19"/>
  <c r="Z5231" i="19"/>
  <c r="Z5230" i="19"/>
  <c r="Z5229" i="19"/>
  <c r="Z5227" i="19"/>
  <c r="Z5226" i="19"/>
  <c r="Z5225" i="19"/>
  <c r="Z5224" i="19"/>
  <c r="Z5223" i="19"/>
  <c r="Z5222" i="19"/>
  <c r="AE5196" i="19"/>
  <c r="AD5196" i="19"/>
  <c r="Z5211" i="19"/>
  <c r="Z5210" i="19"/>
  <c r="Z5209" i="19"/>
  <c r="Z5208" i="19"/>
  <c r="Z5207" i="19"/>
  <c r="Z5206" i="19"/>
  <c r="Z5204" i="19"/>
  <c r="Z5203" i="19"/>
  <c r="Z5202" i="19"/>
  <c r="Z5201" i="19"/>
  <c r="Z5200" i="19"/>
  <c r="Z5199" i="19"/>
  <c r="AD5171" i="19"/>
  <c r="Z5186" i="19"/>
  <c r="Z5185" i="19"/>
  <c r="Z5184" i="19"/>
  <c r="Z5183" i="19"/>
  <c r="Z5182" i="19"/>
  <c r="Z5181" i="19"/>
  <c r="Z5179" i="19"/>
  <c r="Z5178" i="19"/>
  <c r="Z5177" i="19"/>
  <c r="Z5176" i="19"/>
  <c r="Z5175" i="19"/>
  <c r="Z5174" i="19"/>
  <c r="AE5171" i="19"/>
  <c r="AE5123" i="19"/>
  <c r="AD5123" i="19"/>
  <c r="Z5138" i="19"/>
  <c r="Z5137" i="19"/>
  <c r="Z5136" i="19"/>
  <c r="Z5135" i="19"/>
  <c r="Z5134" i="19"/>
  <c r="Z5133" i="19"/>
  <c r="Z5131" i="19"/>
  <c r="Z5130" i="19"/>
  <c r="Z5129" i="19"/>
  <c r="Z5128" i="19"/>
  <c r="Z5127" i="19"/>
  <c r="Z5126" i="19"/>
  <c r="AE5097" i="19"/>
  <c r="AD5097" i="19"/>
  <c r="Z5112" i="19"/>
  <c r="Z5111" i="19"/>
  <c r="Z5110" i="19"/>
  <c r="Z5109" i="19"/>
  <c r="Z5108" i="19"/>
  <c r="Z5107" i="19"/>
  <c r="Z5105" i="19"/>
  <c r="Z5104" i="19"/>
  <c r="Z5103" i="19"/>
  <c r="Z5102" i="19"/>
  <c r="Z5101" i="19"/>
  <c r="Z5100" i="19"/>
  <c r="AD5049" i="19"/>
  <c r="AE5049" i="19"/>
  <c r="Z5064" i="19"/>
  <c r="Z5063" i="19"/>
  <c r="Z5062" i="19"/>
  <c r="Z5061" i="19"/>
  <c r="Z5060" i="19"/>
  <c r="Z5059" i="19"/>
  <c r="Z5057" i="19"/>
  <c r="Z5056" i="19"/>
  <c r="Z5055" i="19"/>
  <c r="Z5054" i="19"/>
  <c r="Z5053" i="19"/>
  <c r="Z5052" i="19"/>
  <c r="AE5019" i="19"/>
  <c r="AD5019" i="19"/>
  <c r="Z5034" i="19"/>
  <c r="Z5033" i="19"/>
  <c r="Z5032" i="19"/>
  <c r="Z5031" i="19"/>
  <c r="Z5030" i="19"/>
  <c r="Z5029" i="19"/>
  <c r="Z5027" i="19"/>
  <c r="Z5026" i="19"/>
  <c r="Z5025" i="19"/>
  <c r="Z5024" i="19"/>
  <c r="Z5023" i="19"/>
  <c r="Z5022" i="19"/>
  <c r="AE4987" i="19"/>
  <c r="AD4987" i="19"/>
  <c r="AE4938" i="19"/>
  <c r="AD4938" i="19"/>
  <c r="Z5002" i="19"/>
  <c r="Z5001" i="19"/>
  <c r="Z5000" i="19"/>
  <c r="Z4999" i="19"/>
  <c r="Z4998" i="19"/>
  <c r="Z4997" i="19"/>
  <c r="Z4995" i="19"/>
  <c r="Z4994" i="19"/>
  <c r="Z4993" i="19"/>
  <c r="Z4992" i="19"/>
  <c r="Z4991" i="19"/>
  <c r="Z4990" i="19"/>
  <c r="AD4894" i="19"/>
  <c r="AE4894" i="19"/>
  <c r="AD4810" i="19"/>
  <c r="AE4810" i="19"/>
  <c r="Z4953" i="19"/>
  <c r="Z4952" i="19"/>
  <c r="Z4951" i="19"/>
  <c r="Z4950" i="19"/>
  <c r="Z4949" i="19"/>
  <c r="Z4948" i="19"/>
  <c r="Z4946" i="19"/>
  <c r="Z4945" i="19"/>
  <c r="Z4944" i="19"/>
  <c r="Z4943" i="19"/>
  <c r="Z4942" i="19"/>
  <c r="Z4941" i="19"/>
  <c r="AE4918" i="19"/>
  <c r="AD4918" i="19"/>
  <c r="Z4933" i="19"/>
  <c r="Z4932" i="19"/>
  <c r="Z4931" i="19"/>
  <c r="Z4930" i="19"/>
  <c r="Z4929" i="19"/>
  <c r="Z4928" i="19"/>
  <c r="Z4926" i="19"/>
  <c r="Z4925" i="19"/>
  <c r="Z4924" i="19"/>
  <c r="Z4923" i="19"/>
  <c r="Z4922" i="19"/>
  <c r="Z4921" i="19"/>
  <c r="Z4910" i="19"/>
  <c r="Z4909" i="19"/>
  <c r="Z4908" i="19"/>
  <c r="Z4907" i="19"/>
  <c r="Z4906" i="19"/>
  <c r="Z4905" i="19"/>
  <c r="Z4903" i="19"/>
  <c r="Z4902" i="19"/>
  <c r="Z4901" i="19"/>
  <c r="Z4900" i="19"/>
  <c r="Z4899" i="19"/>
  <c r="Z4898" i="19"/>
  <c r="Z4869" i="19"/>
  <c r="Z4868" i="19"/>
  <c r="Z4867" i="19"/>
  <c r="Z4866" i="19"/>
  <c r="Z4865" i="19"/>
  <c r="Z4864" i="19"/>
  <c r="Z4862" i="19"/>
  <c r="Z4861" i="19"/>
  <c r="Z4860" i="19"/>
  <c r="Z4859" i="19"/>
  <c r="Z4858" i="19"/>
  <c r="Z4857" i="19"/>
  <c r="AE4854" i="19"/>
  <c r="AD4854" i="19"/>
  <c r="Z4815" i="19"/>
  <c r="Z4816" i="19"/>
  <c r="Z4817" i="19"/>
  <c r="Z4818" i="19"/>
  <c r="Z4814" i="19"/>
  <c r="Z4813" i="19"/>
  <c r="Z4793" i="19"/>
  <c r="Z4825" i="19"/>
  <c r="Z4824" i="19"/>
  <c r="Z4823" i="19"/>
  <c r="Z4822" i="19"/>
  <c r="Z4821" i="19"/>
  <c r="Z4820" i="19"/>
  <c r="AE4784" i="19"/>
  <c r="AD4784" i="19"/>
  <c r="Z4800" i="19"/>
  <c r="Z4799" i="19"/>
  <c r="Z4798" i="19"/>
  <c r="Z4797" i="19"/>
  <c r="Z4796" i="19"/>
  <c r="Z4795" i="19"/>
  <c r="Z4792" i="19"/>
  <c r="Z4791" i="19"/>
  <c r="Z4790" i="19"/>
  <c r="Z4789" i="19"/>
  <c r="Z4788" i="19"/>
  <c r="AD4757" i="19"/>
  <c r="AE4757" i="19"/>
  <c r="Z4771" i="19"/>
  <c r="Z4770" i="19"/>
  <c r="Z4769" i="19"/>
  <c r="Z4768" i="19"/>
  <c r="Z4767" i="19"/>
  <c r="Z4766" i="19"/>
  <c r="Z4764" i="19"/>
  <c r="Z4763" i="19"/>
  <c r="Z4762" i="19"/>
  <c r="Z4761" i="19"/>
  <c r="Z4760" i="19"/>
  <c r="Z4759" i="19"/>
  <c r="AE4723" i="19"/>
  <c r="AD4723" i="19"/>
  <c r="Z4741" i="19"/>
  <c r="Z4740" i="19"/>
  <c r="Z4739" i="19"/>
  <c r="Z4738" i="19"/>
  <c r="Z4737" i="19"/>
  <c r="Z4736" i="19"/>
  <c r="Z4734" i="19"/>
  <c r="Z4733" i="19"/>
  <c r="Z4732" i="19"/>
  <c r="Z4731" i="19"/>
  <c r="Z4730" i="19"/>
  <c r="Z4729" i="19"/>
  <c r="AD4655" i="19"/>
  <c r="AE4655" i="19"/>
  <c r="AE4689" i="19"/>
  <c r="AD4689" i="19"/>
  <c r="Z4704" i="19"/>
  <c r="Z4703" i="19"/>
  <c r="Z4702" i="19"/>
  <c r="Z4701" i="19"/>
  <c r="Z4700" i="19"/>
  <c r="Z4699" i="19"/>
  <c r="Z4697" i="19"/>
  <c r="Z4696" i="19"/>
  <c r="Z4695" i="19"/>
  <c r="Z4694" i="19"/>
  <c r="Z4693" i="19"/>
  <c r="Z4692" i="19"/>
  <c r="Z4669" i="19"/>
  <c r="Z4668" i="19"/>
  <c r="Z4667" i="19"/>
  <c r="Z4666" i="19"/>
  <c r="Z4665" i="19"/>
  <c r="Z4664" i="19"/>
  <c r="Z4662" i="19"/>
  <c r="Z4661" i="19"/>
  <c r="Z4660" i="19"/>
  <c r="Z4659" i="19"/>
  <c r="Z4658" i="19"/>
  <c r="Z4657" i="19"/>
  <c r="AE4603" i="19"/>
  <c r="AD4603" i="19"/>
  <c r="Z4617" i="19"/>
  <c r="Z4616" i="19"/>
  <c r="Z4615" i="19"/>
  <c r="Z4614" i="19"/>
  <c r="Z4613" i="19"/>
  <c r="Z4612" i="19"/>
  <c r="Z4610" i="19"/>
  <c r="Z4609" i="19"/>
  <c r="Z4608" i="19"/>
  <c r="Z4607" i="19"/>
  <c r="Z4606" i="19"/>
  <c r="Z4605" i="19"/>
  <c r="AA6159" i="19" l="1"/>
  <c r="AA6133" i="19"/>
  <c r="AD5661" i="19"/>
  <c r="AE5661" i="19"/>
  <c r="AA6098" i="19"/>
  <c r="AA6049" i="19"/>
  <c r="AA6013" i="19"/>
  <c r="AA5958" i="19"/>
  <c r="AA5922" i="19"/>
  <c r="AA5899" i="19"/>
  <c r="AA5864" i="19"/>
  <c r="AA5840" i="19"/>
  <c r="AA5807" i="19"/>
  <c r="AA5748" i="19"/>
  <c r="AA5698" i="19"/>
  <c r="AA5677" i="19"/>
  <c r="AA5639" i="19"/>
  <c r="AA5603" i="19"/>
  <c r="AA5577" i="19"/>
  <c r="AA5542" i="19"/>
  <c r="AA5499" i="19"/>
  <c r="AA5473" i="19"/>
  <c r="AA5385" i="19"/>
  <c r="AA5345" i="19"/>
  <c r="AA5315" i="19"/>
  <c r="AA5272" i="19"/>
  <c r="AA5233" i="19"/>
  <c r="AA5210" i="19"/>
  <c r="AA5185" i="19"/>
  <c r="AA5137" i="19"/>
  <c r="AA5111" i="19"/>
  <c r="AA5063" i="19"/>
  <c r="AA5033" i="19"/>
  <c r="AA5001" i="19"/>
  <c r="AA4868" i="19"/>
  <c r="AA4952" i="19"/>
  <c r="AA4932" i="19"/>
  <c r="AA4909" i="19"/>
  <c r="AA4668" i="19"/>
  <c r="AA4824" i="19"/>
  <c r="AA4799" i="19"/>
  <c r="AA4770" i="19"/>
  <c r="AA4740" i="19"/>
  <c r="AA4703" i="19"/>
  <c r="AA4616" i="19"/>
  <c r="AE4488" i="19"/>
  <c r="AD4488" i="19"/>
  <c r="AE4556" i="19"/>
  <c r="AD4556" i="19"/>
  <c r="Z4571" i="19"/>
  <c r="Z4570" i="19"/>
  <c r="Z4569" i="19"/>
  <c r="Z4568" i="19"/>
  <c r="Z4567" i="19"/>
  <c r="Z4566" i="19"/>
  <c r="Z4564" i="19"/>
  <c r="Z4563" i="19"/>
  <c r="Z4562" i="19"/>
  <c r="Z4561" i="19"/>
  <c r="Z4560" i="19"/>
  <c r="Z4559" i="19"/>
  <c r="AE4522" i="19"/>
  <c r="AD4522" i="19"/>
  <c r="AA4570" i="19" l="1"/>
  <c r="Z4536" i="19"/>
  <c r="Z4535" i="19"/>
  <c r="Z4534" i="19"/>
  <c r="Z4533" i="19"/>
  <c r="Z4532" i="19"/>
  <c r="Z4531" i="19"/>
  <c r="Z4529" i="19"/>
  <c r="Z4528" i="19"/>
  <c r="Z4527" i="19"/>
  <c r="Z4526" i="19"/>
  <c r="Z4525" i="19"/>
  <c r="Z4524" i="19"/>
  <c r="AA4535" i="19" l="1"/>
  <c r="Z4502" i="19"/>
  <c r="Z4501" i="19"/>
  <c r="Z4500" i="19"/>
  <c r="Z4499" i="19"/>
  <c r="Z4498" i="19"/>
  <c r="Z4497" i="19"/>
  <c r="Z4495" i="19"/>
  <c r="Z4494" i="19"/>
  <c r="Z4493" i="19"/>
  <c r="Z4492" i="19"/>
  <c r="Z4491" i="19"/>
  <c r="Z4490" i="19"/>
  <c r="AE4461" i="19"/>
  <c r="AE4690" i="19" s="1"/>
  <c r="AD4461" i="19"/>
  <c r="AD4690" i="19" s="1"/>
  <c r="Z4475" i="19"/>
  <c r="Z4474" i="19"/>
  <c r="Z4473" i="19"/>
  <c r="Z4472" i="19"/>
  <c r="Z4471" i="19"/>
  <c r="Z4470" i="19"/>
  <c r="Z4468" i="19"/>
  <c r="Z4467" i="19"/>
  <c r="Z4466" i="19"/>
  <c r="Z4465" i="19"/>
  <c r="Z4464" i="19"/>
  <c r="Z4463" i="19"/>
  <c r="AA4501" i="19" l="1"/>
  <c r="AA4474" i="19"/>
  <c r="G9" i="26"/>
  <c r="H29" i="26"/>
  <c r="H28" i="26"/>
  <c r="H27" i="26"/>
  <c r="H26" i="26"/>
  <c r="H25" i="26"/>
  <c r="H24" i="26"/>
  <c r="H23" i="26"/>
  <c r="H22" i="26"/>
  <c r="H21" i="26"/>
  <c r="H20" i="26"/>
  <c r="H19" i="26"/>
  <c r="H18" i="26"/>
  <c r="H17" i="26"/>
  <c r="H16" i="26"/>
  <c r="H13" i="26"/>
  <c r="AE4441" i="19"/>
  <c r="AD4441" i="19"/>
  <c r="Z4455" i="19"/>
  <c r="Z4454" i="19"/>
  <c r="Z4453" i="19"/>
  <c r="Z4452" i="19"/>
  <c r="Z4451" i="19"/>
  <c r="Z4450" i="19"/>
  <c r="Z4448" i="19"/>
  <c r="Z4447" i="19"/>
  <c r="Z4446" i="19"/>
  <c r="Z4445" i="19"/>
  <c r="Z4444" i="19"/>
  <c r="Z4443" i="19"/>
  <c r="AE4412" i="19"/>
  <c r="AD4412" i="19"/>
  <c r="AA4454" i="19" l="1"/>
  <c r="I30" i="26"/>
  <c r="Z4428" i="19"/>
  <c r="Z4427" i="19"/>
  <c r="Z4426" i="19"/>
  <c r="Z4425" i="19"/>
  <c r="Z4424" i="19"/>
  <c r="Z4423" i="19"/>
  <c r="Z4421" i="19"/>
  <c r="Z4420" i="19"/>
  <c r="Z4419" i="19"/>
  <c r="Z4418" i="19"/>
  <c r="Z4417" i="19"/>
  <c r="Z4416" i="19"/>
  <c r="AE4385" i="19"/>
  <c r="AD4385" i="19"/>
  <c r="AE4362" i="19"/>
  <c r="AD4362" i="19"/>
  <c r="Z4400" i="19"/>
  <c r="Z4399" i="19"/>
  <c r="Z4398" i="19"/>
  <c r="Z4397" i="19"/>
  <c r="Z4396" i="19"/>
  <c r="Z4395" i="19"/>
  <c r="Z4393" i="19"/>
  <c r="Z4392" i="19"/>
  <c r="Z4391" i="19"/>
  <c r="Z4390" i="19"/>
  <c r="Z4389" i="19"/>
  <c r="Z4388" i="19"/>
  <c r="Z4377" i="19"/>
  <c r="Z4376" i="19"/>
  <c r="Z4375" i="19"/>
  <c r="Z4374" i="19"/>
  <c r="Z4373" i="19"/>
  <c r="Z4372" i="19"/>
  <c r="Z4370" i="19"/>
  <c r="Z4369" i="19"/>
  <c r="Z4368" i="19"/>
  <c r="Z4367" i="19"/>
  <c r="Z4366" i="19"/>
  <c r="Z4365" i="19"/>
  <c r="AD4317" i="19"/>
  <c r="AE4315" i="19"/>
  <c r="AE4316" i="19"/>
  <c r="AE4276" i="19"/>
  <c r="AD4276" i="19"/>
  <c r="Z4332" i="19"/>
  <c r="Z4331" i="19"/>
  <c r="Z4330" i="19"/>
  <c r="Z4329" i="19"/>
  <c r="Z4328" i="19"/>
  <c r="Z4327" i="19"/>
  <c r="Z4325" i="19"/>
  <c r="Z4324" i="19"/>
  <c r="Z4323" i="19"/>
  <c r="Z4322" i="19"/>
  <c r="Z4321" i="19"/>
  <c r="Z4320" i="19"/>
  <c r="Z4290" i="19"/>
  <c r="Z4289" i="19"/>
  <c r="Z4288" i="19"/>
  <c r="Z4287" i="19"/>
  <c r="Z4286" i="19"/>
  <c r="Z4285" i="19"/>
  <c r="Z4283" i="19"/>
  <c r="Z4282" i="19"/>
  <c r="Z4281" i="19"/>
  <c r="Z4280" i="19"/>
  <c r="Z4279" i="19"/>
  <c r="Z4278" i="19"/>
  <c r="AE4235" i="19"/>
  <c r="AD4235" i="19"/>
  <c r="Z4249" i="19"/>
  <c r="Z4248" i="19"/>
  <c r="Z4247" i="19"/>
  <c r="Z4246" i="19"/>
  <c r="Z4245" i="19"/>
  <c r="Z4244" i="19"/>
  <c r="Z4242" i="19"/>
  <c r="Z4241" i="19"/>
  <c r="Z4240" i="19"/>
  <c r="Z4239" i="19"/>
  <c r="Z4238" i="19"/>
  <c r="Z4237" i="19"/>
  <c r="AE4178" i="19"/>
  <c r="AD4178" i="19"/>
  <c r="AE4206" i="19"/>
  <c r="AD4206" i="19"/>
  <c r="Z4221" i="19"/>
  <c r="Z4220" i="19"/>
  <c r="Z4219" i="19"/>
  <c r="Z4218" i="19"/>
  <c r="Z4217" i="19"/>
  <c r="Z4216" i="19"/>
  <c r="Z4214" i="19"/>
  <c r="Z4213" i="19"/>
  <c r="Z4212" i="19"/>
  <c r="Z4211" i="19"/>
  <c r="Z4210" i="19"/>
  <c r="Z4209" i="19"/>
  <c r="Z3536" i="19"/>
  <c r="Z4193" i="19"/>
  <c r="Z4192" i="19"/>
  <c r="Z4191" i="19"/>
  <c r="Z4190" i="19"/>
  <c r="Z4189" i="19"/>
  <c r="Z4188" i="19"/>
  <c r="Z4186" i="19"/>
  <c r="Z4185" i="19"/>
  <c r="Z4184" i="19"/>
  <c r="Z4183" i="19"/>
  <c r="Z4182" i="19"/>
  <c r="Z4181" i="19"/>
  <c r="AD4140" i="19"/>
  <c r="Z4155" i="19"/>
  <c r="Z4154" i="19"/>
  <c r="Z4153" i="19"/>
  <c r="Z4152" i="19"/>
  <c r="Z4151" i="19"/>
  <c r="Z4150" i="19"/>
  <c r="Z4148" i="19"/>
  <c r="Z4147" i="19"/>
  <c r="Z4146" i="19"/>
  <c r="Z4145" i="19"/>
  <c r="Z4144" i="19"/>
  <c r="Z4143" i="19"/>
  <c r="AE4120" i="19"/>
  <c r="AE4140" i="19" s="1"/>
  <c r="AA4427" i="19" l="1"/>
  <c r="AA4399" i="19"/>
  <c r="AA4376" i="19"/>
  <c r="AE4317" i="19"/>
  <c r="AA4331" i="19"/>
  <c r="AA4289" i="19"/>
  <c r="AA4248" i="19"/>
  <c r="AA4220" i="19"/>
  <c r="AA4192" i="19"/>
  <c r="AA4154" i="19"/>
  <c r="G8" i="25"/>
  <c r="AE4085" i="19"/>
  <c r="AD4085" i="19"/>
  <c r="Z4099" i="19"/>
  <c r="Z4098" i="19"/>
  <c r="Z4097" i="19"/>
  <c r="Z4096" i="19"/>
  <c r="Z4095" i="19"/>
  <c r="Z4094" i="19"/>
  <c r="Z4092" i="19"/>
  <c r="Z4091" i="19"/>
  <c r="Z4090" i="19"/>
  <c r="Z4089" i="19"/>
  <c r="Z4088" i="19"/>
  <c r="Z4087" i="19"/>
  <c r="AE3547" i="19"/>
  <c r="AD3547" i="19"/>
  <c r="AE4049" i="19"/>
  <c r="AD4049" i="19"/>
  <c r="AA4098" i="19" l="1"/>
  <c r="Z4064" i="19"/>
  <c r="Z4063" i="19"/>
  <c r="Z4062" i="19"/>
  <c r="Z4061" i="19"/>
  <c r="Z4060" i="19"/>
  <c r="Z4059" i="19"/>
  <c r="Z4057" i="19"/>
  <c r="Z4056" i="19"/>
  <c r="Z4055" i="19"/>
  <c r="Z4054" i="19"/>
  <c r="Z4053" i="19"/>
  <c r="Z4052" i="19"/>
  <c r="AE3905" i="19"/>
  <c r="AA4063" i="19" l="1"/>
  <c r="AE4028" i="19"/>
  <c r="AD4028" i="19"/>
  <c r="Z4043" i="19" l="1"/>
  <c r="Z4042" i="19"/>
  <c r="Z4041" i="19"/>
  <c r="Z4040" i="19"/>
  <c r="Z4039" i="19"/>
  <c r="Z4038" i="19"/>
  <c r="Z4036" i="19"/>
  <c r="Z4035" i="19"/>
  <c r="Z4034" i="19"/>
  <c r="Z4033" i="19"/>
  <c r="Z4032" i="19"/>
  <c r="Z4031" i="19"/>
  <c r="AD3994" i="19"/>
  <c r="AE3985" i="19"/>
  <c r="AE3983" i="19"/>
  <c r="Z3996" i="19"/>
  <c r="Z3997" i="19"/>
  <c r="Z3998" i="19"/>
  <c r="Z3999" i="19"/>
  <c r="Z4000" i="19"/>
  <c r="Z4001" i="19"/>
  <c r="Z4003" i="19"/>
  <c r="Z4004" i="19"/>
  <c r="Z4005" i="19"/>
  <c r="Z4006" i="19"/>
  <c r="Z4007" i="19"/>
  <c r="Z4008" i="19"/>
  <c r="AE3969" i="19"/>
  <c r="AE3935" i="19"/>
  <c r="AD3935" i="19"/>
  <c r="Z3950" i="19"/>
  <c r="Z3949" i="19"/>
  <c r="Z3948" i="19"/>
  <c r="Z3947" i="19"/>
  <c r="Z3946" i="19"/>
  <c r="Z3945" i="19"/>
  <c r="Z3943" i="19"/>
  <c r="Z3942" i="19"/>
  <c r="Z3941" i="19"/>
  <c r="Z3940" i="19"/>
  <c r="Z3939" i="19"/>
  <c r="Z3938" i="19"/>
  <c r="AE3912" i="19"/>
  <c r="AD3912" i="19"/>
  <c r="AE3871" i="19"/>
  <c r="AE3874" i="19"/>
  <c r="Z3926" i="19"/>
  <c r="Z3925" i="19"/>
  <c r="Z3924" i="19"/>
  <c r="Z3923" i="19"/>
  <c r="Z3922" i="19"/>
  <c r="Z3921" i="19"/>
  <c r="Z3919" i="19"/>
  <c r="Z3918" i="19"/>
  <c r="Z3917" i="19"/>
  <c r="Z3916" i="19"/>
  <c r="Z3915" i="19"/>
  <c r="Z3914" i="19"/>
  <c r="AD3875" i="19"/>
  <c r="Z3889" i="19"/>
  <c r="Z3888" i="19"/>
  <c r="Z3887" i="19"/>
  <c r="Z3886" i="19"/>
  <c r="Z3885" i="19"/>
  <c r="Z3884" i="19"/>
  <c r="Z3882" i="19"/>
  <c r="Z3881" i="19"/>
  <c r="Z3880" i="19"/>
  <c r="Z3879" i="19"/>
  <c r="Z3878" i="19"/>
  <c r="Z3877" i="19"/>
  <c r="G10" i="26" l="1"/>
  <c r="G13" i="26" s="1"/>
  <c r="AE3994" i="19"/>
  <c r="AA4042" i="19"/>
  <c r="AA4007" i="19"/>
  <c r="AA3949" i="19"/>
  <c r="AE3875" i="19"/>
  <c r="AA3925" i="19"/>
  <c r="AA3888" i="19"/>
  <c r="AE3847" i="19"/>
  <c r="AD3847" i="19"/>
  <c r="AD4442" i="19" s="1"/>
  <c r="E10" i="26" s="1"/>
  <c r="Z3861" i="19"/>
  <c r="Z3860" i="19"/>
  <c r="Z3859" i="19"/>
  <c r="Z3858" i="19"/>
  <c r="Z3857" i="19"/>
  <c r="Z3856" i="19"/>
  <c r="Z3854" i="19"/>
  <c r="Z3853" i="19"/>
  <c r="Z3852" i="19"/>
  <c r="Z3851" i="19"/>
  <c r="Z3850" i="19"/>
  <c r="Z3849" i="19"/>
  <c r="AE4442" i="19" l="1"/>
  <c r="F10" i="26" s="1"/>
  <c r="AA3860" i="19"/>
  <c r="AD3823" i="19"/>
  <c r="AE3823" i="19"/>
  <c r="Z3838" i="19"/>
  <c r="Z3837" i="19"/>
  <c r="Z3836" i="19"/>
  <c r="Z3835" i="19"/>
  <c r="Z3834" i="19"/>
  <c r="Z3833" i="19"/>
  <c r="Z3831" i="19"/>
  <c r="Z3830" i="19"/>
  <c r="Z3829" i="19"/>
  <c r="Z3828" i="19"/>
  <c r="Z3827" i="19"/>
  <c r="Z3826" i="19"/>
  <c r="AE3800" i="19"/>
  <c r="AD3800" i="19"/>
  <c r="Z3814" i="19"/>
  <c r="Z3813" i="19"/>
  <c r="Z3812" i="19"/>
  <c r="Z3811" i="19"/>
  <c r="Z3810" i="19"/>
  <c r="Z3809" i="19"/>
  <c r="Z3807" i="19"/>
  <c r="Z3806" i="19"/>
  <c r="Z3805" i="19"/>
  <c r="Z3804" i="19"/>
  <c r="Z3803" i="19"/>
  <c r="Z3802" i="19"/>
  <c r="AE3760" i="19"/>
  <c r="AD3760" i="19"/>
  <c r="Z3775" i="19"/>
  <c r="Z3774" i="19"/>
  <c r="Z3773" i="19"/>
  <c r="Z3772" i="19"/>
  <c r="Z3771" i="19"/>
  <c r="Z3770" i="19"/>
  <c r="Z3768" i="19"/>
  <c r="Z3767" i="19"/>
  <c r="Z3766" i="19"/>
  <c r="Z3765" i="19"/>
  <c r="Z3764" i="19"/>
  <c r="Z3763" i="19"/>
  <c r="AE3715" i="19"/>
  <c r="Z3730" i="19"/>
  <c r="Z3729" i="19"/>
  <c r="Z3728" i="19"/>
  <c r="Z3727" i="19"/>
  <c r="Z3726" i="19"/>
  <c r="Z3725" i="19"/>
  <c r="Z3723" i="19"/>
  <c r="Z3722" i="19"/>
  <c r="Z3721" i="19"/>
  <c r="Z3720" i="19"/>
  <c r="Z3719" i="19"/>
  <c r="Z3718" i="19"/>
  <c r="AD3715" i="19"/>
  <c r="AE3685" i="19"/>
  <c r="AD3685" i="19"/>
  <c r="Z3700" i="19"/>
  <c r="Z3699" i="19"/>
  <c r="Z3698" i="19"/>
  <c r="Z3697" i="19"/>
  <c r="Z3696" i="19"/>
  <c r="Z3695" i="19"/>
  <c r="Z3693" i="19"/>
  <c r="Z3692" i="19"/>
  <c r="Z3691" i="19"/>
  <c r="Z3690" i="19"/>
  <c r="Z3689" i="19"/>
  <c r="Z3688" i="19"/>
  <c r="AE3652" i="19"/>
  <c r="AD3652" i="19"/>
  <c r="Z3667" i="19"/>
  <c r="Z3666" i="19"/>
  <c r="Z3665" i="19"/>
  <c r="Z3664" i="19"/>
  <c r="Z3663" i="19"/>
  <c r="Z3662" i="19"/>
  <c r="Z3660" i="19"/>
  <c r="Z3659" i="19"/>
  <c r="Z3658" i="19"/>
  <c r="Z3657" i="19"/>
  <c r="Z3656" i="19"/>
  <c r="Z3655" i="19"/>
  <c r="Z3633" i="19"/>
  <c r="Z3632" i="19"/>
  <c r="Z3631" i="19"/>
  <c r="Z3630" i="19"/>
  <c r="Z3629" i="19"/>
  <c r="Z3628" i="19"/>
  <c r="Z3626" i="19"/>
  <c r="Z3625" i="19"/>
  <c r="Z3624" i="19"/>
  <c r="Z3623" i="19"/>
  <c r="Z3622" i="19"/>
  <c r="Z3621" i="19"/>
  <c r="AE3618" i="19"/>
  <c r="AD3618" i="19"/>
  <c r="AE3596" i="19"/>
  <c r="AD3596" i="19"/>
  <c r="Z3610" i="19"/>
  <c r="Z3609" i="19"/>
  <c r="Z3608" i="19"/>
  <c r="Z3607" i="19"/>
  <c r="Z3606" i="19"/>
  <c r="Z3605" i="19"/>
  <c r="Z3603" i="19"/>
  <c r="Z3602" i="19"/>
  <c r="Z3601" i="19"/>
  <c r="Z3600" i="19"/>
  <c r="Z3599" i="19"/>
  <c r="Z3598" i="19"/>
  <c r="AE3575" i="19"/>
  <c r="AD3575" i="19"/>
  <c r="Z3589" i="19"/>
  <c r="Z3588" i="19"/>
  <c r="Z3587" i="19"/>
  <c r="Z3586" i="19"/>
  <c r="Z3585" i="19"/>
  <c r="Z3584" i="19"/>
  <c r="Z3582" i="19"/>
  <c r="Z3581" i="19"/>
  <c r="Z3580" i="19"/>
  <c r="Z3579" i="19"/>
  <c r="Z3578" i="19"/>
  <c r="Z3577" i="19"/>
  <c r="Z3561" i="19"/>
  <c r="Z3560" i="19"/>
  <c r="Z3559" i="19"/>
  <c r="Z3558" i="19"/>
  <c r="Z3557" i="19"/>
  <c r="Z3556" i="19"/>
  <c r="Z3554" i="19"/>
  <c r="Z3553" i="19"/>
  <c r="Z3552" i="19"/>
  <c r="Z3551" i="19"/>
  <c r="Z3550" i="19"/>
  <c r="Z3549" i="19"/>
  <c r="AE3526" i="19"/>
  <c r="AD3526" i="19"/>
  <c r="Z3541" i="19"/>
  <c r="Z3540" i="19"/>
  <c r="Z3539" i="19"/>
  <c r="Z3538" i="19"/>
  <c r="Z3537" i="19"/>
  <c r="Z3534" i="19"/>
  <c r="Z3533" i="19"/>
  <c r="Z3532" i="19"/>
  <c r="Z3531" i="19"/>
  <c r="Z3530" i="19"/>
  <c r="Z3529" i="19"/>
  <c r="AE3494" i="19"/>
  <c r="AD3494" i="19"/>
  <c r="Z3509" i="19"/>
  <c r="Z3508" i="19"/>
  <c r="Z3507" i="19"/>
  <c r="Z3506" i="19"/>
  <c r="Z3505" i="19"/>
  <c r="Z3504" i="19"/>
  <c r="Z3502" i="19"/>
  <c r="Z3501" i="19"/>
  <c r="Z3500" i="19"/>
  <c r="Z3499" i="19"/>
  <c r="Z3498" i="19"/>
  <c r="Z3497" i="19"/>
  <c r="AE3461" i="19"/>
  <c r="AD3461" i="19"/>
  <c r="Z3475" i="19"/>
  <c r="Z3474" i="19"/>
  <c r="Z3473" i="19"/>
  <c r="Z3472" i="19"/>
  <c r="Z3471" i="19"/>
  <c r="Z3470" i="19"/>
  <c r="Z3468" i="19"/>
  <c r="Z3467" i="19"/>
  <c r="Z3466" i="19"/>
  <c r="Z3465" i="19"/>
  <c r="Z3464" i="19"/>
  <c r="Z3463" i="19"/>
  <c r="AE3436" i="19"/>
  <c r="AD3436" i="19"/>
  <c r="AA3837" i="19" l="1"/>
  <c r="AA3813" i="19"/>
  <c r="AA3774" i="19"/>
  <c r="AA3729" i="19"/>
  <c r="AA3699" i="19"/>
  <c r="AA3666" i="19"/>
  <c r="AA3632" i="19"/>
  <c r="AA3609" i="19"/>
  <c r="AA3588" i="19"/>
  <c r="AA3560" i="19"/>
  <c r="AA3540" i="19"/>
  <c r="AA3508" i="19"/>
  <c r="AA3474" i="19"/>
  <c r="Z3451" i="19"/>
  <c r="Z3450" i="19"/>
  <c r="Z3449" i="19"/>
  <c r="Z3448" i="19"/>
  <c r="Z3447" i="19"/>
  <c r="Z3446" i="19"/>
  <c r="Z3444" i="19"/>
  <c r="Z3443" i="19"/>
  <c r="Z3442" i="19"/>
  <c r="Z3441" i="19"/>
  <c r="Z3440" i="19"/>
  <c r="Z3439" i="19"/>
  <c r="AE3383" i="19"/>
  <c r="AD3383" i="19"/>
  <c r="Z3398" i="19"/>
  <c r="Z3397" i="19"/>
  <c r="Z3396" i="19"/>
  <c r="Z3395" i="19"/>
  <c r="Z3394" i="19"/>
  <c r="Z3393" i="19"/>
  <c r="Z3391" i="19"/>
  <c r="Z3390" i="19"/>
  <c r="Z3389" i="19"/>
  <c r="Z3388" i="19"/>
  <c r="Z3387" i="19"/>
  <c r="Z3386" i="19"/>
  <c r="AE3345" i="19"/>
  <c r="AD3345" i="19"/>
  <c r="Z3359" i="19"/>
  <c r="Z3358" i="19"/>
  <c r="Z3357" i="19"/>
  <c r="Z3356" i="19"/>
  <c r="Z3355" i="19"/>
  <c r="Z3354" i="19"/>
  <c r="Z3352" i="19"/>
  <c r="Z3351" i="19"/>
  <c r="Z3350" i="19"/>
  <c r="Z3349" i="19"/>
  <c r="Z3348" i="19"/>
  <c r="Z3347" i="19"/>
  <c r="AE3295" i="19"/>
  <c r="AD3295" i="19"/>
  <c r="AA3450" i="19" l="1"/>
  <c r="AA3397" i="19"/>
  <c r="AA3358" i="19"/>
  <c r="Z3309" i="19"/>
  <c r="Z3308" i="19"/>
  <c r="Z3307" i="19"/>
  <c r="Z3306" i="19"/>
  <c r="Z3305" i="19"/>
  <c r="Z3304" i="19"/>
  <c r="Z3302" i="19"/>
  <c r="Z3301" i="19"/>
  <c r="Z3300" i="19"/>
  <c r="Z3299" i="19"/>
  <c r="Z3298" i="19"/>
  <c r="Z3297" i="19"/>
  <c r="AE3259" i="19"/>
  <c r="AE2812" i="19"/>
  <c r="AD2812" i="19"/>
  <c r="AE3222" i="19"/>
  <c r="AD3222" i="19"/>
  <c r="AD3259" i="19"/>
  <c r="Z3274" i="19"/>
  <c r="Z3273" i="19"/>
  <c r="Z3272" i="19"/>
  <c r="Z3271" i="19"/>
  <c r="Z3270" i="19"/>
  <c r="Z3269" i="19"/>
  <c r="Z3267" i="19"/>
  <c r="Z3266" i="19"/>
  <c r="Z3265" i="19"/>
  <c r="Z3264" i="19"/>
  <c r="Z3263" i="19"/>
  <c r="Z3262" i="19"/>
  <c r="Z3237" i="19"/>
  <c r="Z3236" i="19"/>
  <c r="Z3235" i="19"/>
  <c r="Z3234" i="19"/>
  <c r="Z3233" i="19"/>
  <c r="Z3232" i="19"/>
  <c r="Z3230" i="19"/>
  <c r="Z3229" i="19"/>
  <c r="Z3228" i="19"/>
  <c r="Z3227" i="19"/>
  <c r="Z3226" i="19"/>
  <c r="Z3225" i="19"/>
  <c r="AE3199" i="19"/>
  <c r="AD3199" i="19"/>
  <c r="Z3212" i="19"/>
  <c r="Z3211" i="19"/>
  <c r="Z3210" i="19"/>
  <c r="Z3209" i="19"/>
  <c r="Z3208" i="19"/>
  <c r="Z3207" i="19"/>
  <c r="Z3205" i="19"/>
  <c r="Z3204" i="19"/>
  <c r="Z3203" i="19"/>
  <c r="Z3202" i="19"/>
  <c r="Z3201" i="19"/>
  <c r="AE3161" i="19"/>
  <c r="AD3161" i="19"/>
  <c r="Z3175" i="19"/>
  <c r="Z3174" i="19"/>
  <c r="Z3173" i="19"/>
  <c r="Z3172" i="19"/>
  <c r="Z3171" i="19"/>
  <c r="Z3170" i="19"/>
  <c r="Z3168" i="19"/>
  <c r="Z3167" i="19"/>
  <c r="Z3166" i="19"/>
  <c r="Z3165" i="19"/>
  <c r="Z3164" i="19"/>
  <c r="Z3163" i="19"/>
  <c r="AE2990" i="19"/>
  <c r="AD2990" i="19"/>
  <c r="AE3103" i="19"/>
  <c r="AD3103" i="19"/>
  <c r="Z3118" i="19"/>
  <c r="Z3117" i="19"/>
  <c r="Z3116" i="19"/>
  <c r="Z3115" i="19"/>
  <c r="Z3114" i="19"/>
  <c r="Z3113" i="19"/>
  <c r="Z3111" i="19"/>
  <c r="Z3110" i="19"/>
  <c r="Z3109" i="19"/>
  <c r="Z3108" i="19"/>
  <c r="Z3107" i="19"/>
  <c r="Z3106" i="19"/>
  <c r="AE3070" i="19"/>
  <c r="AD3070" i="19"/>
  <c r="Z3084" i="19"/>
  <c r="Z3083" i="19"/>
  <c r="Z3082" i="19"/>
  <c r="Z3081" i="19"/>
  <c r="Z3080" i="19"/>
  <c r="Z3079" i="19"/>
  <c r="Z3077" i="19"/>
  <c r="Z3076" i="19"/>
  <c r="Z3075" i="19"/>
  <c r="Z3074" i="19"/>
  <c r="Z3073" i="19"/>
  <c r="Z3072" i="19"/>
  <c r="AE3026" i="19"/>
  <c r="AD3026" i="19"/>
  <c r="Z3041" i="19"/>
  <c r="Z3040" i="19"/>
  <c r="Z3039" i="19"/>
  <c r="Z3038" i="19"/>
  <c r="Z3037" i="19"/>
  <c r="Z3036" i="19"/>
  <c r="Z3034" i="19"/>
  <c r="Z3033" i="19"/>
  <c r="Z3032" i="19"/>
  <c r="Z3031" i="19"/>
  <c r="Z3030" i="19"/>
  <c r="Z3029" i="19"/>
  <c r="AD3824" i="19" l="1"/>
  <c r="E9" i="26" s="1"/>
  <c r="AE3824" i="19"/>
  <c r="F9" i="26" s="1"/>
  <c r="AA3308" i="19"/>
  <c r="AA3273" i="19"/>
  <c r="AA3236" i="19"/>
  <c r="AF3239" i="19" s="1"/>
  <c r="AA3211" i="19"/>
  <c r="AA3174" i="19"/>
  <c r="AA3117" i="19"/>
  <c r="AA3083" i="19"/>
  <c r="AA3040" i="19"/>
  <c r="Z3004" i="19"/>
  <c r="Z3003" i="19"/>
  <c r="Z3002" i="19"/>
  <c r="Z3001" i="19"/>
  <c r="Z3000" i="19"/>
  <c r="Z2999" i="19"/>
  <c r="Z2997" i="19"/>
  <c r="Z2996" i="19"/>
  <c r="Z2995" i="19"/>
  <c r="Z2994" i="19"/>
  <c r="Z2993" i="19"/>
  <c r="Z2992" i="19"/>
  <c r="AF3240" i="19" l="1"/>
  <c r="AF3241" i="19" s="1"/>
  <c r="AF3242" i="19" s="1"/>
  <c r="AF3243" i="19" s="1"/>
  <c r="AF3244" i="19" s="1"/>
  <c r="AF3245" i="19" s="1"/>
  <c r="AF3246" i="19" s="1"/>
  <c r="AF3247" i="19" s="1"/>
  <c r="AF3248" i="19" s="1"/>
  <c r="AF3249" i="19" s="1"/>
  <c r="AF3250" i="19" s="1"/>
  <c r="AF3251" i="19" s="1"/>
  <c r="AF3252" i="19" s="1"/>
  <c r="AF3253" i="19" s="1"/>
  <c r="AF3254" i="19" s="1"/>
  <c r="AF3255" i="19" s="1"/>
  <c r="AF3256" i="19" s="1"/>
  <c r="AF3257" i="19" s="1"/>
  <c r="AF3258" i="19" s="1"/>
  <c r="AF3259" i="19"/>
  <c r="AF3276" i="19" s="1"/>
  <c r="AA3003" i="19"/>
  <c r="AE2947" i="19"/>
  <c r="AD2947" i="19"/>
  <c r="Z2963" i="19"/>
  <c r="Z2962" i="19"/>
  <c r="Z2961" i="19"/>
  <c r="Z2960" i="19"/>
  <c r="Z2959" i="19"/>
  <c r="Z2958" i="19"/>
  <c r="Z2956" i="19"/>
  <c r="Z2955" i="19"/>
  <c r="Z2954" i="19"/>
  <c r="Z2953" i="19"/>
  <c r="Z2952" i="19"/>
  <c r="Z2951" i="19"/>
  <c r="AF3277" i="19" l="1"/>
  <c r="AF3278" i="19" s="1"/>
  <c r="AF3279" i="19" s="1"/>
  <c r="AF3280" i="19" s="1"/>
  <c r="AF3281" i="19" s="1"/>
  <c r="AF3282" i="19" s="1"/>
  <c r="AF3283" i="19" s="1"/>
  <c r="AF3284" i="19" s="1"/>
  <c r="AF3285" i="19" s="1"/>
  <c r="AF3286" i="19" s="1"/>
  <c r="AF3287" i="19" s="1"/>
  <c r="AF3288" i="19" s="1"/>
  <c r="AF3289" i="19" s="1"/>
  <c r="AF3290" i="19" s="1"/>
  <c r="AF3291" i="19" s="1"/>
  <c r="AF3292" i="19" s="1"/>
  <c r="AF3293" i="19" s="1"/>
  <c r="AF3294" i="19" s="1"/>
  <c r="AF3295" i="19"/>
  <c r="AF3311" i="19" s="1"/>
  <c r="AA2962" i="19"/>
  <c r="AE2918" i="19"/>
  <c r="AD2918" i="19"/>
  <c r="Z2933" i="19"/>
  <c r="Z2932" i="19"/>
  <c r="Z2931" i="19"/>
  <c r="Z2930" i="19"/>
  <c r="Z2929" i="19"/>
  <c r="Z2928" i="19"/>
  <c r="Z2926" i="19"/>
  <c r="Z2925" i="19"/>
  <c r="Z2924" i="19"/>
  <c r="Z2923" i="19"/>
  <c r="Z2922" i="19"/>
  <c r="Z2921" i="19"/>
  <c r="AF3312" i="19" l="1"/>
  <c r="AF3313" i="19" s="1"/>
  <c r="AF3314" i="19" s="1"/>
  <c r="AF3315" i="19" s="1"/>
  <c r="AF3316" i="19" s="1"/>
  <c r="AF3317" i="19" s="1"/>
  <c r="AF3318" i="19" s="1"/>
  <c r="AF3319" i="19" s="1"/>
  <c r="AF3320" i="19" s="1"/>
  <c r="AF3321" i="19" s="1"/>
  <c r="AF3322" i="19" s="1"/>
  <c r="AF3323" i="19" s="1"/>
  <c r="AF3324" i="19" s="1"/>
  <c r="AF3325" i="19" s="1"/>
  <c r="AF3326" i="19" s="1"/>
  <c r="AF3327" i="19" s="1"/>
  <c r="AF3328" i="19" s="1"/>
  <c r="AF3329" i="19" s="1"/>
  <c r="AF3330" i="19" s="1"/>
  <c r="AF3331" i="19" s="1"/>
  <c r="AF3332" i="19" s="1"/>
  <c r="AF3333" i="19" s="1"/>
  <c r="AF3334" i="19" s="1"/>
  <c r="AF3335" i="19" s="1"/>
  <c r="AF3336" i="19" s="1"/>
  <c r="AF3337" i="19" s="1"/>
  <c r="AF3338" i="19" s="1"/>
  <c r="AF3339" i="19" s="1"/>
  <c r="AF3340" i="19" s="1"/>
  <c r="AF3341" i="19" s="1"/>
  <c r="AF3342" i="19" s="1"/>
  <c r="AF3343" i="19" s="1"/>
  <c r="AF3344" i="19" s="1"/>
  <c r="AF3345" i="19"/>
  <c r="AF3361" i="19" s="1"/>
  <c r="AA2932" i="19"/>
  <c r="AE2884" i="19"/>
  <c r="AD2884" i="19"/>
  <c r="Z2899" i="19"/>
  <c r="Z2898" i="19"/>
  <c r="Z2897" i="19"/>
  <c r="Z2896" i="19"/>
  <c r="Z2895" i="19"/>
  <c r="Z2894" i="19"/>
  <c r="Z2892" i="19"/>
  <c r="Z2891" i="19"/>
  <c r="Z2890" i="19"/>
  <c r="Z2889" i="19"/>
  <c r="Z2888" i="19"/>
  <c r="Z2887" i="19"/>
  <c r="AE2848" i="19"/>
  <c r="AD2848" i="19"/>
  <c r="Z2863" i="19"/>
  <c r="Z2862" i="19"/>
  <c r="Z2861" i="19"/>
  <c r="Z2860" i="19"/>
  <c r="Z2859" i="19"/>
  <c r="Z2858" i="19"/>
  <c r="Z2856" i="19"/>
  <c r="Z2855" i="19"/>
  <c r="Z2854" i="19"/>
  <c r="Z2853" i="19"/>
  <c r="Z2852" i="19"/>
  <c r="Z2851" i="19"/>
  <c r="Z2827" i="19"/>
  <c r="Z2826" i="19"/>
  <c r="Z2825" i="19"/>
  <c r="Z2824" i="19"/>
  <c r="Z2823" i="19"/>
  <c r="Z2822" i="19"/>
  <c r="Z2820" i="19"/>
  <c r="Z2819" i="19"/>
  <c r="Z2818" i="19"/>
  <c r="Z2817" i="19"/>
  <c r="Z2816" i="19"/>
  <c r="Z2815" i="19"/>
  <c r="AF3362" i="19" l="1"/>
  <c r="AF3363" i="19" s="1"/>
  <c r="AF3364" i="19" s="1"/>
  <c r="AF3365" i="19" s="1"/>
  <c r="AF3366" i="19" s="1"/>
  <c r="AF3367" i="19" s="1"/>
  <c r="AF3368" i="19" s="1"/>
  <c r="AF3369" i="19" s="1"/>
  <c r="AF3370" i="19" s="1"/>
  <c r="AF3371" i="19" s="1"/>
  <c r="AF3372" i="19" s="1"/>
  <c r="AF3373" i="19" s="1"/>
  <c r="AF3374" i="19" s="1"/>
  <c r="AF3375" i="19" s="1"/>
  <c r="AF3376" i="19" s="1"/>
  <c r="AF3377" i="19" s="1"/>
  <c r="AF3378" i="19" s="1"/>
  <c r="AF3379" i="19" s="1"/>
  <c r="AF3380" i="19" s="1"/>
  <c r="AF3381" i="19" s="1"/>
  <c r="AF3382" i="19" s="1"/>
  <c r="AF3383" i="19"/>
  <c r="AF3400" i="19" s="1"/>
  <c r="AA2898" i="19"/>
  <c r="AA2862" i="19"/>
  <c r="AA2826" i="19"/>
  <c r="AE2787" i="19"/>
  <c r="AE2949" i="19" s="1"/>
  <c r="F8" i="26" s="1"/>
  <c r="F13" i="26" s="1"/>
  <c r="AD2787" i="19"/>
  <c r="AD2949" i="19" s="1"/>
  <c r="Z2802" i="19"/>
  <c r="Z2801" i="19"/>
  <c r="Z2800" i="19"/>
  <c r="Z2799" i="19"/>
  <c r="Z2798" i="19"/>
  <c r="Z2797" i="19"/>
  <c r="Z2795" i="19"/>
  <c r="Z2794" i="19"/>
  <c r="Z2793" i="19"/>
  <c r="Z2792" i="19"/>
  <c r="Z2791" i="19"/>
  <c r="Z2790" i="19"/>
  <c r="H13" i="25"/>
  <c r="Z2777" i="19"/>
  <c r="Z2776" i="19"/>
  <c r="Z2775" i="19"/>
  <c r="Z2774" i="19"/>
  <c r="Z2773" i="19"/>
  <c r="Z2772" i="19"/>
  <c r="Z2770" i="19"/>
  <c r="Z2769" i="19"/>
  <c r="Z2768" i="19"/>
  <c r="Z2767" i="19"/>
  <c r="Z2766" i="19"/>
  <c r="Z2765" i="19"/>
  <c r="G9" i="25"/>
  <c r="AE2762" i="19"/>
  <c r="AD2762" i="19"/>
  <c r="H29" i="25"/>
  <c r="H28" i="25"/>
  <c r="H27" i="25"/>
  <c r="H26" i="25"/>
  <c r="H25" i="25"/>
  <c r="H24" i="25"/>
  <c r="H23" i="25"/>
  <c r="H22" i="25"/>
  <c r="H21" i="25"/>
  <c r="H20" i="25"/>
  <c r="H19" i="25"/>
  <c r="H18" i="25"/>
  <c r="H17" i="25"/>
  <c r="H16" i="25"/>
  <c r="AE2709" i="19"/>
  <c r="AD2709" i="19"/>
  <c r="AE2734" i="19"/>
  <c r="AD2734" i="19"/>
  <c r="Z2749" i="19"/>
  <c r="Z2748" i="19"/>
  <c r="Z2747" i="19"/>
  <c r="Z2746" i="19"/>
  <c r="Z2745" i="19"/>
  <c r="Z2744" i="19"/>
  <c r="Z2742" i="19"/>
  <c r="Z2741" i="19"/>
  <c r="Z2740" i="19"/>
  <c r="Z2739" i="19"/>
  <c r="Z2738" i="19"/>
  <c r="Z2737" i="19"/>
  <c r="Z2723" i="19"/>
  <c r="Z2722" i="19"/>
  <c r="Z2721" i="19"/>
  <c r="Z2720" i="19"/>
  <c r="Z2719" i="19"/>
  <c r="Z2718" i="19"/>
  <c r="Z2716" i="19"/>
  <c r="Z2715" i="19"/>
  <c r="Z2714" i="19"/>
  <c r="Z2713" i="19"/>
  <c r="Z2712" i="19"/>
  <c r="Z2711" i="19"/>
  <c r="AE2662" i="19"/>
  <c r="AD2662" i="19"/>
  <c r="Z2676" i="19"/>
  <c r="Z2675" i="19"/>
  <c r="Z2674" i="19"/>
  <c r="Z2673" i="19"/>
  <c r="Z2672" i="19"/>
  <c r="Z2671" i="19"/>
  <c r="Z2669" i="19"/>
  <c r="Z2668" i="19"/>
  <c r="Z2667" i="19"/>
  <c r="Z2666" i="19"/>
  <c r="Z2665" i="19"/>
  <c r="Z2664" i="19"/>
  <c r="AE2621" i="19"/>
  <c r="AD2621" i="19"/>
  <c r="AE2642" i="19"/>
  <c r="AD2642" i="19"/>
  <c r="Z2644" i="19"/>
  <c r="Z2645" i="19"/>
  <c r="Z2646" i="19"/>
  <c r="Z2647" i="19"/>
  <c r="Z2648" i="19"/>
  <c r="Z2649" i="19"/>
  <c r="Z2651" i="19"/>
  <c r="Z2652" i="19"/>
  <c r="Z2653" i="19"/>
  <c r="Z2654" i="19"/>
  <c r="Z2655" i="19"/>
  <c r="Z2656" i="19"/>
  <c r="Z2635" i="19"/>
  <c r="Z2634" i="19"/>
  <c r="Z2633" i="19"/>
  <c r="Z2632" i="19"/>
  <c r="Z2631" i="19"/>
  <c r="Z2630" i="19"/>
  <c r="Z2628" i="19"/>
  <c r="Z2627" i="19"/>
  <c r="Z2626" i="19"/>
  <c r="Z2625" i="19"/>
  <c r="Z2624" i="19"/>
  <c r="Z2623" i="19"/>
  <c r="AE2595" i="19"/>
  <c r="AD2595" i="19"/>
  <c r="Z2599" i="19"/>
  <c r="Z2609" i="19"/>
  <c r="Z2608" i="19"/>
  <c r="Z2607" i="19"/>
  <c r="Z2606" i="19"/>
  <c r="Z2605" i="19"/>
  <c r="Z2604" i="19"/>
  <c r="Z2602" i="19"/>
  <c r="Z2601" i="19"/>
  <c r="Z2600" i="19"/>
  <c r="Z2598" i="19"/>
  <c r="Z2597" i="19"/>
  <c r="AE2562" i="19"/>
  <c r="AD2562" i="19"/>
  <c r="Z2577" i="19"/>
  <c r="Z2576" i="19"/>
  <c r="Z2575" i="19"/>
  <c r="Z2574" i="19"/>
  <c r="Z2573" i="19"/>
  <c r="Z2572" i="19"/>
  <c r="Z2570" i="19"/>
  <c r="Z2569" i="19"/>
  <c r="Z2568" i="19"/>
  <c r="Z2567" i="19"/>
  <c r="Z2566" i="19"/>
  <c r="Z2565" i="19"/>
  <c r="AE2503" i="19"/>
  <c r="AD2503" i="19"/>
  <c r="Z2518" i="19"/>
  <c r="Z2517" i="19"/>
  <c r="Z2516" i="19"/>
  <c r="Z2515" i="19"/>
  <c r="Z2514" i="19"/>
  <c r="Z2513" i="19"/>
  <c r="Z2511" i="19"/>
  <c r="Z2510" i="19"/>
  <c r="Z2509" i="19"/>
  <c r="Z2508" i="19"/>
  <c r="Z2507" i="19"/>
  <c r="Z2506" i="19"/>
  <c r="E8" i="26" l="1"/>
  <c r="E12" i="26" s="1"/>
  <c r="AF3401" i="19"/>
  <c r="AF3402" i="19" s="1"/>
  <c r="AF3403" i="19" s="1"/>
  <c r="AF3404" i="19" s="1"/>
  <c r="AF3405" i="19" s="1"/>
  <c r="AF3406" i="19" s="1"/>
  <c r="AF3407" i="19" s="1"/>
  <c r="AF3408" i="19" s="1"/>
  <c r="AF3409" i="19" s="1"/>
  <c r="AF3410" i="19" s="1"/>
  <c r="AF3411" i="19" s="1"/>
  <c r="AF3412" i="19" s="1"/>
  <c r="AF3413" i="19" s="1"/>
  <c r="AF3414" i="19" s="1"/>
  <c r="AF3415" i="19" s="1"/>
  <c r="AF3416" i="19" s="1"/>
  <c r="AF3417" i="19" s="1"/>
  <c r="AF3418" i="19" s="1"/>
  <c r="AF3419" i="19" s="1"/>
  <c r="AF3420" i="19" s="1"/>
  <c r="AF3421" i="19" s="1"/>
  <c r="AF3422" i="19" s="1"/>
  <c r="AF3423" i="19" s="1"/>
  <c r="AF3424" i="19" s="1"/>
  <c r="AF3425" i="19" s="1"/>
  <c r="AF3426" i="19" s="1"/>
  <c r="AF3427" i="19" s="1"/>
  <c r="AF3428" i="19" s="1"/>
  <c r="AF3429" i="19" s="1"/>
  <c r="AF3430" i="19" s="1"/>
  <c r="AF3431" i="19" s="1"/>
  <c r="AF3432" i="19" s="1"/>
  <c r="AF3433" i="19" s="1"/>
  <c r="AF3434" i="19" s="1"/>
  <c r="AF3435" i="19" s="1"/>
  <c r="AF3436" i="19"/>
  <c r="AA2801" i="19"/>
  <c r="G13" i="25"/>
  <c r="I30" i="25"/>
  <c r="AA2776" i="19"/>
  <c r="AA2748" i="19"/>
  <c r="AA2722" i="19"/>
  <c r="AA2675" i="19"/>
  <c r="AA2655" i="19"/>
  <c r="AA2634" i="19"/>
  <c r="AA2608" i="19"/>
  <c r="AA2576" i="19"/>
  <c r="AA2517" i="19"/>
  <c r="AE2475" i="19"/>
  <c r="AD2475" i="19"/>
  <c r="AE2275" i="19"/>
  <c r="AD2275" i="19"/>
  <c r="AE2325" i="19"/>
  <c r="AD2325" i="19"/>
  <c r="AE2364" i="19"/>
  <c r="AD2364" i="19"/>
  <c r="Z2490" i="19"/>
  <c r="Z2489" i="19"/>
  <c r="Z2488" i="19"/>
  <c r="Z2487" i="19"/>
  <c r="Z2486" i="19"/>
  <c r="Z2485" i="19"/>
  <c r="Z2483" i="19"/>
  <c r="Z2482" i="19"/>
  <c r="Z2481" i="19"/>
  <c r="Z2480" i="19"/>
  <c r="Z2479" i="19"/>
  <c r="Z2478" i="19"/>
  <c r="AE2391" i="19"/>
  <c r="AD2391" i="19"/>
  <c r="AE2439" i="19"/>
  <c r="AD2439" i="19"/>
  <c r="Z2453" i="19"/>
  <c r="Z2452" i="19"/>
  <c r="Z2451" i="19"/>
  <c r="Z2450" i="19"/>
  <c r="Z2449" i="19"/>
  <c r="Z2448" i="19"/>
  <c r="Z2446" i="19"/>
  <c r="Z2445" i="19"/>
  <c r="Z2444" i="19"/>
  <c r="Z2443" i="19"/>
  <c r="Z2442" i="19"/>
  <c r="Z2441" i="19"/>
  <c r="AF3454" i="19" l="1"/>
  <c r="AF3461" i="19" s="1"/>
  <c r="AF3477" i="19" s="1"/>
  <c r="AE2763" i="19"/>
  <c r="F9" i="25" s="1"/>
  <c r="AD2763" i="19"/>
  <c r="E9" i="25" s="1"/>
  <c r="AA2489" i="19"/>
  <c r="AA2452" i="19"/>
  <c r="AF3478" i="19" l="1"/>
  <c r="AF3479" i="19" s="1"/>
  <c r="AF3480" i="19" s="1"/>
  <c r="AF3481" i="19" s="1"/>
  <c r="AF3482" i="19" s="1"/>
  <c r="AF3483" i="19" s="1"/>
  <c r="AF3484" i="19" s="1"/>
  <c r="AF3485" i="19" s="1"/>
  <c r="AF3486" i="19" s="1"/>
  <c r="AF3487" i="19" s="1"/>
  <c r="AF3488" i="19" s="1"/>
  <c r="AF3489" i="19" s="1"/>
  <c r="AF3490" i="19" s="1"/>
  <c r="AF3491" i="19" s="1"/>
  <c r="AF3492" i="19" s="1"/>
  <c r="AF3493" i="19" s="1"/>
  <c r="AF3494" i="19"/>
  <c r="AF3511" i="19" s="1"/>
  <c r="AF3455" i="19"/>
  <c r="AF3456" i="19" s="1"/>
  <c r="AF3457" i="19" s="1"/>
  <c r="AF3458" i="19" s="1"/>
  <c r="AF3459" i="19" s="1"/>
  <c r="AF3460" i="19" s="1"/>
  <c r="Z2406" i="19"/>
  <c r="Z2405" i="19"/>
  <c r="Z2404" i="19"/>
  <c r="Z2403" i="19"/>
  <c r="Z2402" i="19"/>
  <c r="Z2401" i="19"/>
  <c r="Z2399" i="19"/>
  <c r="Z2398" i="19"/>
  <c r="Z2397" i="19"/>
  <c r="Z2396" i="19"/>
  <c r="Z2395" i="19"/>
  <c r="Z2394" i="19"/>
  <c r="Z2379" i="19"/>
  <c r="Z2378" i="19"/>
  <c r="Z2377" i="19"/>
  <c r="Z2376" i="19"/>
  <c r="Z2375" i="19"/>
  <c r="Z2374" i="19"/>
  <c r="Z2372" i="19"/>
  <c r="Z2371" i="19"/>
  <c r="Z2370" i="19"/>
  <c r="Z2369" i="19"/>
  <c r="Z2368" i="19"/>
  <c r="Z2367" i="19"/>
  <c r="Z2340" i="19"/>
  <c r="Z2339" i="19"/>
  <c r="Z2338" i="19"/>
  <c r="Z2337" i="19"/>
  <c r="Z2336" i="19"/>
  <c r="Z2335" i="19"/>
  <c r="Z2333" i="19"/>
  <c r="Z2332" i="19"/>
  <c r="Z2331" i="19"/>
  <c r="Z2330" i="19"/>
  <c r="Z2329" i="19"/>
  <c r="Z2328" i="19"/>
  <c r="AF3512" i="19" l="1"/>
  <c r="AF3513" i="19" s="1"/>
  <c r="AF3514" i="19" s="1"/>
  <c r="AF3515" i="19" s="1"/>
  <c r="AF3516" i="19" s="1"/>
  <c r="AF3517" i="19" s="1"/>
  <c r="AF3518" i="19" s="1"/>
  <c r="AF3519" i="19" s="1"/>
  <c r="AF3520" i="19" s="1"/>
  <c r="AF3521" i="19" s="1"/>
  <c r="AF3522" i="19" s="1"/>
  <c r="AF3523" i="19" s="1"/>
  <c r="AF3524" i="19" s="1"/>
  <c r="AF3525" i="19" s="1"/>
  <c r="AF3526" i="19"/>
  <c r="AF3543" i="19" s="1"/>
  <c r="AA2405" i="19"/>
  <c r="AA2378" i="19"/>
  <c r="AA2339" i="19"/>
  <c r="AF3544" i="19" l="1"/>
  <c r="AF3545" i="19" s="1"/>
  <c r="AF3546" i="19" s="1"/>
  <c r="AF3563" i="19" s="1"/>
  <c r="AF3564" i="19" s="1"/>
  <c r="AF3565" i="19" s="1"/>
  <c r="AF3566" i="19" s="1"/>
  <c r="AF3567" i="19" s="1"/>
  <c r="AF3568" i="19" s="1"/>
  <c r="AF3569" i="19" s="1"/>
  <c r="AF3570" i="19" s="1"/>
  <c r="AF3571" i="19" s="1"/>
  <c r="AF3572" i="19" s="1"/>
  <c r="AF3573" i="19" s="1"/>
  <c r="AF3574" i="19" s="1"/>
  <c r="AF3547" i="19"/>
  <c r="Z2290" i="19"/>
  <c r="Z2289" i="19"/>
  <c r="Z2288" i="19"/>
  <c r="Z2287" i="19"/>
  <c r="Z2286" i="19"/>
  <c r="Z2285" i="19"/>
  <c r="Z2283" i="19"/>
  <c r="Z2282" i="19"/>
  <c r="Z2281" i="19"/>
  <c r="Z2280" i="19"/>
  <c r="Z2279" i="19"/>
  <c r="Z2278" i="19"/>
  <c r="AF3575" i="19" l="1"/>
  <c r="AF3591" i="19" s="1"/>
  <c r="AF3596" i="19" s="1"/>
  <c r="AF3612" i="19" s="1"/>
  <c r="AA2289" i="19"/>
  <c r="AE2253" i="19"/>
  <c r="AD2253" i="19"/>
  <c r="Z1959" i="19"/>
  <c r="Z1958" i="19"/>
  <c r="Z1957" i="19"/>
  <c r="Z1956" i="19"/>
  <c r="Z1955" i="19"/>
  <c r="Z1954" i="19"/>
  <c r="Z1952" i="19"/>
  <c r="Z1951" i="19"/>
  <c r="Z1950" i="19"/>
  <c r="Z1949" i="19"/>
  <c r="Z1948" i="19"/>
  <c r="Z1947" i="19"/>
  <c r="Z1870" i="19"/>
  <c r="Z1808" i="19"/>
  <c r="Z1807" i="19"/>
  <c r="Z1806" i="19"/>
  <c r="Z1805" i="19"/>
  <c r="Z1804" i="19"/>
  <c r="Z1803" i="19"/>
  <c r="Z1801" i="19"/>
  <c r="Z1800" i="19"/>
  <c r="Z1799" i="19"/>
  <c r="Z1798" i="19"/>
  <c r="Z1797" i="19"/>
  <c r="Z1796" i="19"/>
  <c r="Z1776" i="19"/>
  <c r="Z1775" i="19"/>
  <c r="Z1774" i="19"/>
  <c r="Z1773" i="19"/>
  <c r="Z1772" i="19"/>
  <c r="Z1771" i="19"/>
  <c r="Z1769" i="19"/>
  <c r="Z1768" i="19"/>
  <c r="Z1767" i="19"/>
  <c r="Z1766" i="19"/>
  <c r="Z1765" i="19"/>
  <c r="Z1764" i="19"/>
  <c r="Z1749" i="19"/>
  <c r="Z1693" i="19"/>
  <c r="Z1665" i="19"/>
  <c r="Z1664" i="19"/>
  <c r="Z1663" i="19"/>
  <c r="Z1662" i="19"/>
  <c r="Z1661" i="19"/>
  <c r="Z1660" i="19"/>
  <c r="Z1658" i="19"/>
  <c r="Z1657" i="19"/>
  <c r="Z1656" i="19"/>
  <c r="Z1655" i="19"/>
  <c r="Z1654" i="19"/>
  <c r="Z1653" i="19"/>
  <c r="AF3592" i="19" l="1"/>
  <c r="AF3593" i="19" s="1"/>
  <c r="AF3594" i="19" s="1"/>
  <c r="AF3595" i="19" s="1"/>
  <c r="AF3618" i="19"/>
  <c r="AF3635" i="19" s="1"/>
  <c r="AF3613" i="19"/>
  <c r="AF3614" i="19" s="1"/>
  <c r="AF3615" i="19" s="1"/>
  <c r="AF3616" i="19" s="1"/>
  <c r="AF3617" i="19" s="1"/>
  <c r="AA1664" i="19"/>
  <c r="AA1958" i="19"/>
  <c r="AA1807" i="19"/>
  <c r="AA1775" i="19"/>
  <c r="Z2268" i="19"/>
  <c r="Z2267" i="19"/>
  <c r="Z2266" i="19"/>
  <c r="Z2265" i="19"/>
  <c r="Z2264" i="19"/>
  <c r="Z2263" i="19"/>
  <c r="Z2261" i="19"/>
  <c r="Z2260" i="19"/>
  <c r="Z2259" i="19"/>
  <c r="Z2258" i="19"/>
  <c r="Z2257" i="19"/>
  <c r="Z2256" i="19"/>
  <c r="Z2225" i="19"/>
  <c r="Z2224" i="19"/>
  <c r="Z2223" i="19"/>
  <c r="Z2222" i="19"/>
  <c r="Z2221" i="19"/>
  <c r="Z2220" i="19"/>
  <c r="Z2218" i="19"/>
  <c r="Z2217" i="19"/>
  <c r="Z2216" i="19"/>
  <c r="Z2215" i="19"/>
  <c r="Z2214" i="19"/>
  <c r="Z2213" i="19"/>
  <c r="AE2210" i="19"/>
  <c r="AD2210" i="19"/>
  <c r="AF3652" i="19" l="1"/>
  <c r="AF3669" i="19" s="1"/>
  <c r="AF3636" i="19"/>
  <c r="AF3637" i="19" s="1"/>
  <c r="AF3638" i="19" s="1"/>
  <c r="AF3639" i="19" s="1"/>
  <c r="AF3640" i="19" s="1"/>
  <c r="AF3641" i="19" s="1"/>
  <c r="AF3642" i="19" s="1"/>
  <c r="AF3643" i="19" s="1"/>
  <c r="AF3644" i="19" s="1"/>
  <c r="AF3645" i="19" s="1"/>
  <c r="AF3646" i="19" s="1"/>
  <c r="AF3647" i="19" s="1"/>
  <c r="AF3648" i="19" s="1"/>
  <c r="AF3649" i="19" s="1"/>
  <c r="AF3650" i="19" s="1"/>
  <c r="AF3651" i="19" s="1"/>
  <c r="AA2267" i="19"/>
  <c r="AA2224" i="19"/>
  <c r="AD2174" i="19"/>
  <c r="AD1629" i="19"/>
  <c r="AE1629" i="19"/>
  <c r="AF3670" i="19" l="1"/>
  <c r="AF3671" i="19" s="1"/>
  <c r="AF3672" i="19" s="1"/>
  <c r="AF3673" i="19" s="1"/>
  <c r="AF3674" i="19" s="1"/>
  <c r="AF3675" i="19" s="1"/>
  <c r="AF3676" i="19" s="1"/>
  <c r="AF3677" i="19" s="1"/>
  <c r="AF3678" i="19" s="1"/>
  <c r="AF3679" i="19" s="1"/>
  <c r="AF3680" i="19" s="1"/>
  <c r="AF3681" i="19" s="1"/>
  <c r="AF3682" i="19" s="1"/>
  <c r="AF3683" i="19" s="1"/>
  <c r="AF3684" i="19" s="1"/>
  <c r="AF3685" i="19"/>
  <c r="AE2174" i="19"/>
  <c r="AE2091" i="19"/>
  <c r="AD2091" i="19"/>
  <c r="AD2064" i="19"/>
  <c r="AE2064" i="19"/>
  <c r="AE1980" i="19"/>
  <c r="AD1980" i="19"/>
  <c r="AE1946" i="19"/>
  <c r="AD1946" i="19"/>
  <c r="AE1925" i="19"/>
  <c r="AD1925" i="19"/>
  <c r="AD1890" i="19"/>
  <c r="Z2188" i="19"/>
  <c r="Z2187" i="19"/>
  <c r="Z2186" i="19"/>
  <c r="Z2185" i="19"/>
  <c r="Z2184" i="19"/>
  <c r="Z2183" i="19"/>
  <c r="Z2181" i="19"/>
  <c r="Z2180" i="19"/>
  <c r="Z2179" i="19"/>
  <c r="Z2178" i="19"/>
  <c r="Z2177" i="19"/>
  <c r="Z2176" i="19"/>
  <c r="AE2147" i="19"/>
  <c r="AD2147" i="19"/>
  <c r="Z2162" i="19"/>
  <c r="Z2161" i="19"/>
  <c r="Z2160" i="19"/>
  <c r="Z2159" i="19"/>
  <c r="Z2158" i="19"/>
  <c r="Z2157" i="19"/>
  <c r="Z2155" i="19"/>
  <c r="Z2154" i="19"/>
  <c r="Z2153" i="19"/>
  <c r="Z2152" i="19"/>
  <c r="Z2151" i="19"/>
  <c r="Z2150" i="19"/>
  <c r="Z2105" i="19"/>
  <c r="Z2104" i="19"/>
  <c r="Z2103" i="19"/>
  <c r="Z2102" i="19"/>
  <c r="Z2101" i="19"/>
  <c r="Z2100" i="19"/>
  <c r="Z2098" i="19"/>
  <c r="Z2097" i="19"/>
  <c r="Z2096" i="19"/>
  <c r="Z2095" i="19"/>
  <c r="Z2094" i="19"/>
  <c r="Z2093" i="19"/>
  <c r="Z2078" i="19"/>
  <c r="Z2077" i="19"/>
  <c r="Z2076" i="19"/>
  <c r="Z2075" i="19"/>
  <c r="Z2074" i="19"/>
  <c r="Z2073" i="19"/>
  <c r="Z2071" i="19"/>
  <c r="Z2070" i="19"/>
  <c r="Z2069" i="19"/>
  <c r="Z2068" i="19"/>
  <c r="Z2067" i="19"/>
  <c r="Z2066" i="19"/>
  <c r="AE2038" i="19"/>
  <c r="AD2038" i="19"/>
  <c r="Z2052" i="19"/>
  <c r="Z2051" i="19"/>
  <c r="Z2050" i="19"/>
  <c r="Z2049" i="19"/>
  <c r="Z2048" i="19"/>
  <c r="Z2047" i="19"/>
  <c r="Z2045" i="19"/>
  <c r="Z2044" i="19"/>
  <c r="Z2043" i="19"/>
  <c r="Z2042" i="19"/>
  <c r="Z2041" i="19"/>
  <c r="Z2040" i="19"/>
  <c r="Z1995" i="19"/>
  <c r="Z1994" i="19"/>
  <c r="Z1993" i="19"/>
  <c r="Z1992" i="19"/>
  <c r="Z1991" i="19"/>
  <c r="Z1990" i="19"/>
  <c r="Z1988" i="19"/>
  <c r="Z1987" i="19"/>
  <c r="Z1986" i="19"/>
  <c r="Z1985" i="19"/>
  <c r="Z1984" i="19"/>
  <c r="Z1983" i="19"/>
  <c r="AF3702" i="19" l="1"/>
  <c r="AF3715" i="19" s="1"/>
  <c r="AF3732" i="19" s="1"/>
  <c r="AA2187" i="19"/>
  <c r="AA2161" i="19"/>
  <c r="AA2104" i="19"/>
  <c r="AA2077" i="19"/>
  <c r="AA2051" i="19"/>
  <c r="AA1994" i="19"/>
  <c r="Z1939" i="19"/>
  <c r="Z1938" i="19"/>
  <c r="Z1937" i="19"/>
  <c r="Z1936" i="19"/>
  <c r="Z1935" i="19"/>
  <c r="Z1934" i="19"/>
  <c r="Z1932" i="19"/>
  <c r="Z1931" i="19"/>
  <c r="Z1930" i="19"/>
  <c r="Z1929" i="19"/>
  <c r="Z1928" i="19"/>
  <c r="Z1927" i="19"/>
  <c r="Z1895" i="19"/>
  <c r="Z1893" i="19"/>
  <c r="Z1904" i="19"/>
  <c r="Z1903" i="19"/>
  <c r="Z1902" i="19"/>
  <c r="Z1901" i="19"/>
  <c r="Z1900" i="19"/>
  <c r="Z1899" i="19"/>
  <c r="Z1897" i="19"/>
  <c r="Z1896" i="19"/>
  <c r="Z1894" i="19"/>
  <c r="Z1892" i="19"/>
  <c r="AE1865" i="19"/>
  <c r="AD1865" i="19"/>
  <c r="Z1879" i="19"/>
  <c r="Z1878" i="19"/>
  <c r="Z1877" i="19"/>
  <c r="Z1876" i="19"/>
  <c r="Z1875" i="19"/>
  <c r="Z1874" i="19"/>
  <c r="Z1872" i="19"/>
  <c r="Z1871" i="19"/>
  <c r="Z1869" i="19"/>
  <c r="Z1868" i="19"/>
  <c r="Z1867" i="19"/>
  <c r="AD1824" i="19"/>
  <c r="AE1824" i="19"/>
  <c r="AF3760" i="19" l="1"/>
  <c r="AF3733" i="19"/>
  <c r="AF3734" i="19" s="1"/>
  <c r="AF3735" i="19" s="1"/>
  <c r="AF3736" i="19" s="1"/>
  <c r="AF3737" i="19" s="1"/>
  <c r="AF3738" i="19" s="1"/>
  <c r="AF3739" i="19" s="1"/>
  <c r="AF3740" i="19" s="1"/>
  <c r="AF3741" i="19" s="1"/>
  <c r="AF3742" i="19" s="1"/>
  <c r="AF3743" i="19" s="1"/>
  <c r="AF3744" i="19" s="1"/>
  <c r="AF3745" i="19" s="1"/>
  <c r="AF3746" i="19" s="1"/>
  <c r="AF3747" i="19" s="1"/>
  <c r="AF3748" i="19" s="1"/>
  <c r="AF3749" i="19" s="1"/>
  <c r="AF3750" i="19" s="1"/>
  <c r="AF3751" i="19" s="1"/>
  <c r="AF3752" i="19" s="1"/>
  <c r="AF3753" i="19" s="1"/>
  <c r="AF3754" i="19" s="1"/>
  <c r="AF3755" i="19" s="1"/>
  <c r="AF3756" i="19" s="1"/>
  <c r="AF3757" i="19" s="1"/>
  <c r="AF3758" i="19" s="1"/>
  <c r="AF3759" i="19" s="1"/>
  <c r="AF3703" i="19"/>
  <c r="AF3704" i="19" s="1"/>
  <c r="AF3705" i="19" s="1"/>
  <c r="AF3706" i="19" s="1"/>
  <c r="AF3707" i="19" s="1"/>
  <c r="AF3708" i="19" s="1"/>
  <c r="AF3709" i="19" s="1"/>
  <c r="AF3710" i="19" s="1"/>
  <c r="AF3711" i="19" s="1"/>
  <c r="AF3712" i="19" s="1"/>
  <c r="AF3713" i="19" s="1"/>
  <c r="AF3714" i="19" s="1"/>
  <c r="AA1938" i="19"/>
  <c r="AA1903" i="19"/>
  <c r="AA1878" i="19"/>
  <c r="Z1838" i="19"/>
  <c r="Z1837" i="19"/>
  <c r="Z1836" i="19"/>
  <c r="Z1835" i="19"/>
  <c r="Z1834" i="19"/>
  <c r="Z1833" i="19"/>
  <c r="Z1831" i="19"/>
  <c r="Z1830" i="19"/>
  <c r="Z1828" i="19"/>
  <c r="Z1827" i="19"/>
  <c r="Z1826" i="19"/>
  <c r="AE1793" i="19"/>
  <c r="AD1793" i="19"/>
  <c r="AD202" i="19"/>
  <c r="AE1743" i="19"/>
  <c r="Z1093" i="19"/>
  <c r="Z1305" i="19"/>
  <c r="AF3777" i="19" l="1"/>
  <c r="AF3800" i="19" s="1"/>
  <c r="AF3816" i="19" s="1"/>
  <c r="AA1837" i="19"/>
  <c r="AD1743" i="19"/>
  <c r="AE1762" i="19"/>
  <c r="AD1762" i="19"/>
  <c r="AE1687" i="19"/>
  <c r="AD1687" i="19"/>
  <c r="AE1599" i="19"/>
  <c r="AD1599" i="19"/>
  <c r="AE1554" i="19"/>
  <c r="AD1554" i="19"/>
  <c r="AE1531" i="19"/>
  <c r="AD1531" i="19"/>
  <c r="AE1505" i="19"/>
  <c r="AD1505" i="19"/>
  <c r="AE1469" i="19"/>
  <c r="AD1469" i="19"/>
  <c r="AD1443" i="19"/>
  <c r="AE1417" i="19"/>
  <c r="AD1417" i="19"/>
  <c r="Z1758" i="19"/>
  <c r="Z1757" i="19"/>
  <c r="Z1756" i="19"/>
  <c r="Z1755" i="19"/>
  <c r="Z1754" i="19"/>
  <c r="Z1753" i="19"/>
  <c r="Z1751" i="19"/>
  <c r="Z1750" i="19"/>
  <c r="Z1748" i="19"/>
  <c r="Z1747" i="19"/>
  <c r="Z1746" i="19"/>
  <c r="Z1692" i="19"/>
  <c r="Z1702" i="19"/>
  <c r="Z1701" i="19"/>
  <c r="Z1700" i="19"/>
  <c r="Z1699" i="19"/>
  <c r="Z1698" i="19"/>
  <c r="Z1697" i="19"/>
  <c r="Z1695" i="19"/>
  <c r="Z1694" i="19"/>
  <c r="Z1691" i="19"/>
  <c r="Z1690" i="19"/>
  <c r="Z1643" i="19"/>
  <c r="Z1642" i="19"/>
  <c r="Z1641" i="19"/>
  <c r="Z1640" i="19"/>
  <c r="Z1639" i="19"/>
  <c r="Z1638" i="19"/>
  <c r="Z1636" i="19"/>
  <c r="Z1635" i="19"/>
  <c r="Z1634" i="19"/>
  <c r="Z1633" i="19"/>
  <c r="Z1632" i="19"/>
  <c r="Z1631" i="19"/>
  <c r="Z1613" i="19"/>
  <c r="Z1612" i="19"/>
  <c r="Z1611" i="19"/>
  <c r="Z1610" i="19"/>
  <c r="Z1609" i="19"/>
  <c r="Z1608" i="19"/>
  <c r="Z1606" i="19"/>
  <c r="Z1605" i="19"/>
  <c r="Z1604" i="19"/>
  <c r="Z1603" i="19"/>
  <c r="Z1602" i="19"/>
  <c r="Z1601" i="19"/>
  <c r="Z1568" i="19"/>
  <c r="Z1567" i="19"/>
  <c r="Z1566" i="19"/>
  <c r="Z1565" i="19"/>
  <c r="Z1564" i="19"/>
  <c r="Z1563" i="19"/>
  <c r="Z1561" i="19"/>
  <c r="Z1560" i="19"/>
  <c r="Z1559" i="19"/>
  <c r="Z1558" i="19"/>
  <c r="Z1557" i="19"/>
  <c r="Z1556" i="19"/>
  <c r="Z1547" i="19"/>
  <c r="Z1546" i="19"/>
  <c r="Z1545" i="19"/>
  <c r="Z1544" i="19"/>
  <c r="Z1543" i="19"/>
  <c r="Z1542" i="19"/>
  <c r="Z1540" i="19"/>
  <c r="Z1539" i="19"/>
  <c r="Z1538" i="19"/>
  <c r="Z1537" i="19"/>
  <c r="Z1536" i="19"/>
  <c r="Z1535" i="19"/>
  <c r="Z1519" i="19"/>
  <c r="Z1518" i="19"/>
  <c r="Z1517" i="19"/>
  <c r="Z1516" i="19"/>
  <c r="Z1515" i="19"/>
  <c r="Z1514" i="19"/>
  <c r="Z1512" i="19"/>
  <c r="Z1511" i="19"/>
  <c r="Z1510" i="19"/>
  <c r="Z1509" i="19"/>
  <c r="Z1508" i="19"/>
  <c r="Z1507" i="19"/>
  <c r="Z1475" i="19"/>
  <c r="Z1476" i="19"/>
  <c r="Z1477" i="19"/>
  <c r="Z1478" i="19"/>
  <c r="Z1479" i="19"/>
  <c r="Z1480" i="19"/>
  <c r="Z1482" i="19"/>
  <c r="Z1483" i="19"/>
  <c r="Z1484" i="19"/>
  <c r="Z1485" i="19"/>
  <c r="Z1486" i="19"/>
  <c r="Z1487" i="19"/>
  <c r="Z1449" i="19"/>
  <c r="Z1458" i="19"/>
  <c r="Z1457" i="19"/>
  <c r="Z1456" i="19"/>
  <c r="Z1455" i="19"/>
  <c r="Z1454" i="19"/>
  <c r="Z1453" i="19"/>
  <c r="Z1451" i="19"/>
  <c r="Z1450" i="19"/>
  <c r="Z1448" i="19"/>
  <c r="Z1447" i="19"/>
  <c r="Z1446" i="19"/>
  <c r="Z1431" i="19"/>
  <c r="Z1430" i="19"/>
  <c r="Z1429" i="19"/>
  <c r="Z1428" i="19"/>
  <c r="Z1427" i="19"/>
  <c r="Z1426" i="19"/>
  <c r="Z1424" i="19"/>
  <c r="Z1423" i="19"/>
  <c r="Z1422" i="19"/>
  <c r="Z1421" i="19"/>
  <c r="Z1420" i="19"/>
  <c r="Z1419" i="19"/>
  <c r="Z1395" i="19"/>
  <c r="Z1394" i="19"/>
  <c r="Z1393" i="19"/>
  <c r="Z1392" i="19"/>
  <c r="Z1391" i="19"/>
  <c r="Z1390" i="19"/>
  <c r="Z1388" i="19"/>
  <c r="Z1387" i="19"/>
  <c r="Z1386" i="19"/>
  <c r="Z1385" i="19"/>
  <c r="Z1384" i="19"/>
  <c r="Z1383" i="19"/>
  <c r="G9" i="24"/>
  <c r="AE1377" i="19"/>
  <c r="AD1377" i="19"/>
  <c r="AE1361" i="19"/>
  <c r="AD1361" i="19"/>
  <c r="AE1298" i="19"/>
  <c r="AD1298" i="19"/>
  <c r="AF3817" i="19" l="1"/>
  <c r="AF3818" i="19" s="1"/>
  <c r="AF3819" i="19" s="1"/>
  <c r="AF3820" i="19" s="1"/>
  <c r="AF3821" i="19" s="1"/>
  <c r="AF3822" i="19" s="1"/>
  <c r="AF3823" i="19"/>
  <c r="AF3840" i="19" s="1"/>
  <c r="AF3778" i="19"/>
  <c r="AF3779" i="19" s="1"/>
  <c r="AF3780" i="19" s="1"/>
  <c r="AF3781" i="19" s="1"/>
  <c r="AF3782" i="19" s="1"/>
  <c r="AF3783" i="19" s="1"/>
  <c r="AF3784" i="19" s="1"/>
  <c r="AF3785" i="19" s="1"/>
  <c r="AF3786" i="19" s="1"/>
  <c r="AF3787" i="19" s="1"/>
  <c r="AF3788" i="19" s="1"/>
  <c r="AF3789" i="19" s="1"/>
  <c r="AF3790" i="19" s="1"/>
  <c r="AF3791" i="19" s="1"/>
  <c r="AF3792" i="19" s="1"/>
  <c r="AF3793" i="19" s="1"/>
  <c r="AF3794" i="19" s="1"/>
  <c r="AF3795" i="19" s="1"/>
  <c r="AF3796" i="19" s="1"/>
  <c r="AF3797" i="19" s="1"/>
  <c r="AF3798" i="19" s="1"/>
  <c r="AF3799" i="19" s="1"/>
  <c r="AE2254" i="19"/>
  <c r="F8" i="25" s="1"/>
  <c r="F13" i="25" s="1"/>
  <c r="AD2254" i="19"/>
  <c r="AA1757" i="19"/>
  <c r="AA1701" i="19"/>
  <c r="AA1642" i="19"/>
  <c r="AA1612" i="19"/>
  <c r="AA1567" i="19"/>
  <c r="AA1546" i="19"/>
  <c r="AA1518" i="19"/>
  <c r="AA1486" i="19"/>
  <c r="AA1457" i="19"/>
  <c r="AA1394" i="19"/>
  <c r="AA1430" i="19"/>
  <c r="Z1313" i="19"/>
  <c r="Z1312" i="19"/>
  <c r="Z1311" i="19"/>
  <c r="Z1310" i="19"/>
  <c r="Z1309" i="19"/>
  <c r="Z1308" i="19"/>
  <c r="Z1306" i="19"/>
  <c r="Z1304" i="19"/>
  <c r="Z1303" i="19"/>
  <c r="Z1302" i="19"/>
  <c r="Z1301" i="19"/>
  <c r="AE1262" i="19"/>
  <c r="AD1262" i="19"/>
  <c r="Z1277" i="19"/>
  <c r="Z1276" i="19"/>
  <c r="Z1275" i="19"/>
  <c r="Z1274" i="19"/>
  <c r="Z1273" i="19"/>
  <c r="Z1272" i="19"/>
  <c r="Z1270" i="19"/>
  <c r="Z1269" i="19"/>
  <c r="Z1268" i="19"/>
  <c r="Z1267" i="19"/>
  <c r="Z1266" i="19"/>
  <c r="Z1265" i="19"/>
  <c r="AE1231" i="19"/>
  <c r="AD1231" i="19"/>
  <c r="Z1245" i="19"/>
  <c r="Z1244" i="19"/>
  <c r="Z1243" i="19"/>
  <c r="Z1242" i="19"/>
  <c r="Z1241" i="19"/>
  <c r="Z1240" i="19"/>
  <c r="Z1238" i="19"/>
  <c r="Z1237" i="19"/>
  <c r="Z1236" i="19"/>
  <c r="Z1235" i="19"/>
  <c r="Z1234" i="19"/>
  <c r="Z1233" i="19"/>
  <c r="G8" i="24"/>
  <c r="G9" i="23"/>
  <c r="F9" i="23" s="1"/>
  <c r="I5" i="24"/>
  <c r="H29" i="24"/>
  <c r="H28" i="24"/>
  <c r="H27" i="24"/>
  <c r="H26" i="24"/>
  <c r="H25" i="24"/>
  <c r="H24" i="24"/>
  <c r="H23" i="24"/>
  <c r="H22" i="24"/>
  <c r="H21" i="24"/>
  <c r="H20" i="24"/>
  <c r="H19" i="24"/>
  <c r="H18" i="24"/>
  <c r="H17" i="24"/>
  <c r="H16" i="24"/>
  <c r="AE1170" i="19"/>
  <c r="AD1170" i="19"/>
  <c r="AF3841" i="19" l="1"/>
  <c r="AF3842" i="19" s="1"/>
  <c r="AF3843" i="19" s="1"/>
  <c r="AF3844" i="19" s="1"/>
  <c r="AF3845" i="19" s="1"/>
  <c r="AF3846" i="19" s="1"/>
  <c r="AF3847" i="19"/>
  <c r="AF3863" i="19" s="1"/>
  <c r="E8" i="25"/>
  <c r="E12" i="25" s="1"/>
  <c r="I30" i="24"/>
  <c r="AA1312" i="19"/>
  <c r="AA1276" i="19"/>
  <c r="AA1244" i="19"/>
  <c r="G13" i="24"/>
  <c r="AF3864" i="19" l="1"/>
  <c r="AF3865" i="19" s="1"/>
  <c r="AF3866" i="19" s="1"/>
  <c r="AF3867" i="19" s="1"/>
  <c r="AF3868" i="19" s="1"/>
  <c r="AF3869" i="19" s="1"/>
  <c r="AF3870" i="19" s="1"/>
  <c r="AF3871" i="19" s="1"/>
  <c r="AF3872" i="19" s="1"/>
  <c r="AF3873" i="19" s="1"/>
  <c r="AF3874" i="19" s="1"/>
  <c r="AF3875" i="19"/>
  <c r="AF3891" i="19" s="1"/>
  <c r="AE1198" i="19"/>
  <c r="AD1198" i="19"/>
  <c r="AE1135" i="19"/>
  <c r="AD1135" i="19"/>
  <c r="AE1112" i="19"/>
  <c r="AD1112" i="19"/>
  <c r="AE1079" i="19"/>
  <c r="AD1079" i="19"/>
  <c r="AE1044" i="19"/>
  <c r="AD1044" i="19"/>
  <c r="Z1212" i="19"/>
  <c r="Z1211" i="19"/>
  <c r="Z1210" i="19"/>
  <c r="Z1209" i="19"/>
  <c r="Z1208" i="19"/>
  <c r="Z1207" i="19"/>
  <c r="Z1205" i="19"/>
  <c r="Z1204" i="19"/>
  <c r="Z1203" i="19"/>
  <c r="Z1202" i="19"/>
  <c r="Z1201" i="19"/>
  <c r="Z1200" i="19"/>
  <c r="AE682" i="19"/>
  <c r="AD682" i="19"/>
  <c r="Z1184" i="19"/>
  <c r="Z1183" i="19"/>
  <c r="Z1182" i="19"/>
  <c r="Z1181" i="19"/>
  <c r="Z1180" i="19"/>
  <c r="Z1179" i="19"/>
  <c r="Z1177" i="19"/>
  <c r="Z1176" i="19"/>
  <c r="Z1175" i="19"/>
  <c r="Z1174" i="19"/>
  <c r="Z1173" i="19"/>
  <c r="Z1172" i="19"/>
  <c r="Z1150" i="19"/>
  <c r="Z1149" i="19"/>
  <c r="Z1148" i="19"/>
  <c r="Z1147" i="19"/>
  <c r="Z1146" i="19"/>
  <c r="Z1145" i="19"/>
  <c r="Z1143" i="19"/>
  <c r="Z1142" i="19"/>
  <c r="Z1141" i="19"/>
  <c r="Z1140" i="19"/>
  <c r="Z1139" i="19"/>
  <c r="Z1138" i="19"/>
  <c r="Z1127" i="19"/>
  <c r="Z1126" i="19"/>
  <c r="Z1125" i="19"/>
  <c r="Z1124" i="19"/>
  <c r="Z1123" i="19"/>
  <c r="Z1122" i="19"/>
  <c r="Z1120" i="19"/>
  <c r="Z1119" i="19"/>
  <c r="Z1118" i="19"/>
  <c r="Z1117" i="19"/>
  <c r="Z1116" i="19"/>
  <c r="Z1115" i="19"/>
  <c r="Z1092" i="19"/>
  <c r="Z1091" i="19"/>
  <c r="Z1090" i="19"/>
  <c r="Z1089" i="19"/>
  <c r="Z1088" i="19"/>
  <c r="Z1086" i="19"/>
  <c r="Z1085" i="19"/>
  <c r="Z1084" i="19"/>
  <c r="Z1083" i="19"/>
  <c r="Z1082" i="19"/>
  <c r="Z1081" i="19"/>
  <c r="Z1058" i="19"/>
  <c r="Z1057" i="19"/>
  <c r="Z1056" i="19"/>
  <c r="Z1055" i="19"/>
  <c r="Z1054" i="19"/>
  <c r="Z1053" i="19"/>
  <c r="Z1051" i="19"/>
  <c r="Z1050" i="19"/>
  <c r="Z1049" i="19"/>
  <c r="Z1048" i="19"/>
  <c r="Z1047" i="19"/>
  <c r="Z1046" i="19"/>
  <c r="AF3912" i="19" l="1"/>
  <c r="AF3928" i="19" s="1"/>
  <c r="AF3892" i="19"/>
  <c r="AF3893" i="19" s="1"/>
  <c r="AF3894" i="19" s="1"/>
  <c r="AF3895" i="19" s="1"/>
  <c r="AF3896" i="19" s="1"/>
  <c r="AF3897" i="19" s="1"/>
  <c r="AF3898" i="19" s="1"/>
  <c r="AF3899" i="19" s="1"/>
  <c r="AF3900" i="19" s="1"/>
  <c r="AF3901" i="19" s="1"/>
  <c r="AF3902" i="19" s="1"/>
  <c r="AF3903" i="19" s="1"/>
  <c r="AF3904" i="19" s="1"/>
  <c r="AF3905" i="19" s="1"/>
  <c r="AF3906" i="19" s="1"/>
  <c r="AF3907" i="19" s="1"/>
  <c r="AF3908" i="19" s="1"/>
  <c r="AF3909" i="19" s="1"/>
  <c r="AF3910" i="19" s="1"/>
  <c r="AF3911" i="19" s="1"/>
  <c r="AA1211" i="19"/>
  <c r="AA1183" i="19"/>
  <c r="AA1149" i="19"/>
  <c r="AA1126" i="19"/>
  <c r="AA1092" i="19"/>
  <c r="AA1057" i="19"/>
  <c r="AE1006" i="19"/>
  <c r="AD1006" i="19"/>
  <c r="Z1021" i="19"/>
  <c r="Z1020" i="19"/>
  <c r="Z1019" i="19"/>
  <c r="Z1018" i="19"/>
  <c r="Z1017" i="19"/>
  <c r="Z1016" i="19"/>
  <c r="Z1014" i="19"/>
  <c r="Z1013" i="19"/>
  <c r="Z1012" i="19"/>
  <c r="Z1011" i="19"/>
  <c r="Z1010" i="19"/>
  <c r="Z1009" i="19"/>
  <c r="AE980" i="19"/>
  <c r="AD980" i="19"/>
  <c r="Z994" i="19"/>
  <c r="Z993" i="19"/>
  <c r="Z992" i="19"/>
  <c r="Z991" i="19"/>
  <c r="Z990" i="19"/>
  <c r="Z989" i="19"/>
  <c r="Z987" i="19"/>
  <c r="Z986" i="19"/>
  <c r="Z985" i="19"/>
  <c r="Z984" i="19"/>
  <c r="Z983" i="19"/>
  <c r="Z982" i="19"/>
  <c r="AE943" i="19"/>
  <c r="AD943" i="19"/>
  <c r="Z958" i="19"/>
  <c r="Z957" i="19"/>
  <c r="Z956" i="19"/>
  <c r="Z955" i="19"/>
  <c r="Z954" i="19"/>
  <c r="Z953" i="19"/>
  <c r="Z951" i="19"/>
  <c r="Z950" i="19"/>
  <c r="Z949" i="19"/>
  <c r="Z948" i="19"/>
  <c r="Z947" i="19"/>
  <c r="Z946" i="19"/>
  <c r="AE914" i="19"/>
  <c r="AD914" i="19"/>
  <c r="Z929" i="19"/>
  <c r="Z928" i="19"/>
  <c r="Z927" i="19"/>
  <c r="Z926" i="19"/>
  <c r="Z925" i="19"/>
  <c r="Z924" i="19"/>
  <c r="Z922" i="19"/>
  <c r="Z921" i="19"/>
  <c r="Z920" i="19"/>
  <c r="Z919" i="19"/>
  <c r="Z918" i="19"/>
  <c r="Z917" i="19"/>
  <c r="AD708" i="19"/>
  <c r="AE742" i="19"/>
  <c r="AD742" i="19"/>
  <c r="AE611" i="19"/>
  <c r="AD611" i="19"/>
  <c r="AE65" i="19"/>
  <c r="AD65" i="19"/>
  <c r="AE24" i="19"/>
  <c r="AD24" i="19"/>
  <c r="AE885" i="19"/>
  <c r="AD885" i="19"/>
  <c r="AF3935" i="19" l="1"/>
  <c r="AF3952" i="19" s="1"/>
  <c r="AF3929" i="19"/>
  <c r="AF3930" i="19" s="1"/>
  <c r="AF3931" i="19" s="1"/>
  <c r="AF3932" i="19" s="1"/>
  <c r="AF3933" i="19" s="1"/>
  <c r="AF3934" i="19" s="1"/>
  <c r="AF24" i="19"/>
  <c r="AF41" i="19" s="1"/>
  <c r="AA1020" i="19"/>
  <c r="AA993" i="19"/>
  <c r="AA957" i="19"/>
  <c r="AA928" i="19"/>
  <c r="Z899" i="19"/>
  <c r="Z898" i="19"/>
  <c r="Z897" i="19"/>
  <c r="Z896" i="19"/>
  <c r="Z895" i="19"/>
  <c r="Z894" i="19"/>
  <c r="Z892" i="19"/>
  <c r="Z891" i="19"/>
  <c r="Z890" i="19"/>
  <c r="Z889" i="19"/>
  <c r="Z888" i="19"/>
  <c r="Z887" i="19"/>
  <c r="AE844" i="19"/>
  <c r="AD844" i="19"/>
  <c r="AE819" i="19"/>
  <c r="AD819" i="19"/>
  <c r="AE790" i="19"/>
  <c r="AD790" i="19"/>
  <c r="AE766" i="19"/>
  <c r="AD766" i="19"/>
  <c r="AE708" i="19"/>
  <c r="AE641" i="19"/>
  <c r="AD641" i="19"/>
  <c r="AE587" i="19"/>
  <c r="AD587" i="19"/>
  <c r="AE562" i="19"/>
  <c r="AD562" i="19"/>
  <c r="AE523" i="19"/>
  <c r="AD523" i="19"/>
  <c r="AE474" i="19"/>
  <c r="AD474" i="19"/>
  <c r="AE499" i="19"/>
  <c r="AD499" i="19"/>
  <c r="AF3953" i="19" l="1"/>
  <c r="AF3954" i="19" s="1"/>
  <c r="AF3955" i="19" s="1"/>
  <c r="AF3956" i="19" s="1"/>
  <c r="AF3957" i="19" s="1"/>
  <c r="AF3958" i="19" s="1"/>
  <c r="AF3959" i="19" s="1"/>
  <c r="AF3960" i="19" s="1"/>
  <c r="AF3961" i="19" s="1"/>
  <c r="AF3962" i="19" s="1"/>
  <c r="AF3963" i="19" s="1"/>
  <c r="AF3964" i="19" s="1"/>
  <c r="AF3965" i="19" s="1"/>
  <c r="AF3966" i="19" s="1"/>
  <c r="AF3967" i="19" s="1"/>
  <c r="AF3968" i="19" s="1"/>
  <c r="AF3969" i="19" s="1"/>
  <c r="AF3970" i="19" s="1"/>
  <c r="AF3971" i="19" s="1"/>
  <c r="AF3972" i="19" s="1"/>
  <c r="AF3973" i="19" s="1"/>
  <c r="AF3974" i="19" s="1"/>
  <c r="AF3975" i="19" s="1"/>
  <c r="AF3976" i="19" s="1"/>
  <c r="AF3977" i="19" s="1"/>
  <c r="AF3978" i="19" s="1"/>
  <c r="AF3979" i="19" s="1"/>
  <c r="AF3980" i="19" s="1"/>
  <c r="AF3981" i="19" s="1"/>
  <c r="AF3982" i="19" s="1"/>
  <c r="AF3983" i="19" s="1"/>
  <c r="AF3984" i="19" s="1"/>
  <c r="AF3985" i="19" s="1"/>
  <c r="AF3986" i="19" s="1"/>
  <c r="AF3987" i="19" s="1"/>
  <c r="AF3988" i="19" s="1"/>
  <c r="AF3989" i="19" s="1"/>
  <c r="AF3990" i="19" s="1"/>
  <c r="AF3991" i="19" s="1"/>
  <c r="AF3992" i="19" s="1"/>
  <c r="AF3993" i="19" s="1"/>
  <c r="AF3994" i="19"/>
  <c r="AD1379" i="19"/>
  <c r="AE1379" i="19"/>
  <c r="AA898" i="19"/>
  <c r="AF4010" i="19" l="1"/>
  <c r="F9" i="24"/>
  <c r="E9" i="24"/>
  <c r="Z859" i="19"/>
  <c r="Z858" i="19"/>
  <c r="Z857" i="19"/>
  <c r="Z856" i="19"/>
  <c r="Z855" i="19"/>
  <c r="Z854" i="19"/>
  <c r="Z852" i="19"/>
  <c r="Z851" i="19"/>
  <c r="Z850" i="19"/>
  <c r="Z849" i="19"/>
  <c r="Z848" i="19"/>
  <c r="Z847" i="19"/>
  <c r="Z834" i="19"/>
  <c r="Z833" i="19"/>
  <c r="Z832" i="19"/>
  <c r="Z831" i="19"/>
  <c r="Z830" i="19"/>
  <c r="Z829" i="19"/>
  <c r="Z827" i="19"/>
  <c r="Z826" i="19"/>
  <c r="Z825" i="19"/>
  <c r="Z824" i="19"/>
  <c r="Z823" i="19"/>
  <c r="Z822" i="19"/>
  <c r="Z805" i="19"/>
  <c r="Z804" i="19"/>
  <c r="Z803" i="19"/>
  <c r="Z802" i="19"/>
  <c r="Z801" i="19"/>
  <c r="Z800" i="19"/>
  <c r="Z798" i="19"/>
  <c r="Z797" i="19"/>
  <c r="Z796" i="19"/>
  <c r="Z795" i="19"/>
  <c r="Z794" i="19"/>
  <c r="Z793" i="19"/>
  <c r="Z781" i="19"/>
  <c r="Z780" i="19"/>
  <c r="Z779" i="19"/>
  <c r="Z778" i="19"/>
  <c r="Z777" i="19"/>
  <c r="Z776" i="19"/>
  <c r="Z774" i="19"/>
  <c r="Z773" i="19"/>
  <c r="Z772" i="19"/>
  <c r="Z771" i="19"/>
  <c r="Z770" i="19"/>
  <c r="Z769" i="19"/>
  <c r="Z757" i="19"/>
  <c r="Z756" i="19"/>
  <c r="Z755" i="19"/>
  <c r="Z754" i="19"/>
  <c r="Z753" i="19"/>
  <c r="Z752" i="19"/>
  <c r="Z750" i="19"/>
  <c r="Z749" i="19"/>
  <c r="Z748" i="19"/>
  <c r="Z747" i="19"/>
  <c r="Z746" i="19"/>
  <c r="Z745" i="19"/>
  <c r="AF4011" i="19" l="1"/>
  <c r="AF4012" i="19" s="1"/>
  <c r="AF4013" i="19" s="1"/>
  <c r="AF4014" i="19" s="1"/>
  <c r="AF4015" i="19" s="1"/>
  <c r="AF4016" i="19" s="1"/>
  <c r="AF4017" i="19" s="1"/>
  <c r="AF4018" i="19" s="1"/>
  <c r="AF4019" i="19" s="1"/>
  <c r="AF4020" i="19" s="1"/>
  <c r="AF4021" i="19" s="1"/>
  <c r="AF4022" i="19" s="1"/>
  <c r="AF4023" i="19" s="1"/>
  <c r="AF4024" i="19" s="1"/>
  <c r="AF4025" i="19" s="1"/>
  <c r="AF4026" i="19" s="1"/>
  <c r="AF4027" i="19" s="1"/>
  <c r="AF4028" i="19"/>
  <c r="AF4045" i="19" s="1"/>
  <c r="AA858" i="19"/>
  <c r="AA833" i="19"/>
  <c r="AA804" i="19"/>
  <c r="AA780" i="19"/>
  <c r="AA756" i="19"/>
  <c r="AF4046" i="19" l="1"/>
  <c r="AF4047" i="19" s="1"/>
  <c r="AF4048" i="19" s="1"/>
  <c r="AF4049" i="19"/>
  <c r="AF4066" i="19" s="1"/>
  <c r="Z723" i="19"/>
  <c r="Z722" i="19"/>
  <c r="Z721" i="19"/>
  <c r="Z720" i="19"/>
  <c r="Z719" i="19"/>
  <c r="Z718" i="19"/>
  <c r="Z716" i="19"/>
  <c r="Z715" i="19"/>
  <c r="Z714" i="19"/>
  <c r="Z713" i="19"/>
  <c r="Z712" i="19"/>
  <c r="Z711" i="19"/>
  <c r="Z698" i="19"/>
  <c r="Z697" i="19"/>
  <c r="Z696" i="19"/>
  <c r="Z695" i="19"/>
  <c r="Z694" i="19"/>
  <c r="Z693" i="19"/>
  <c r="Z691" i="19"/>
  <c r="Z690" i="19"/>
  <c r="Z689" i="19"/>
  <c r="Z688" i="19"/>
  <c r="Z687" i="19"/>
  <c r="Z686" i="19"/>
  <c r="AF4085" i="19" l="1"/>
  <c r="AF4101" i="19" s="1"/>
  <c r="AF4067" i="19"/>
  <c r="AF4068" i="19" s="1"/>
  <c r="AF4069" i="19" s="1"/>
  <c r="AF4070" i="19" s="1"/>
  <c r="AF4071" i="19" s="1"/>
  <c r="AF4072" i="19" s="1"/>
  <c r="AF4073" i="19" s="1"/>
  <c r="AF4074" i="19" s="1"/>
  <c r="AF4075" i="19" s="1"/>
  <c r="AF4076" i="19" s="1"/>
  <c r="AF4077" i="19" s="1"/>
  <c r="AF4078" i="19" s="1"/>
  <c r="AF4079" i="19" s="1"/>
  <c r="AF4080" i="19" s="1"/>
  <c r="AF4081" i="19" s="1"/>
  <c r="AF4082" i="19" s="1"/>
  <c r="AF4083" i="19" s="1"/>
  <c r="AF4084" i="19" s="1"/>
  <c r="AA722" i="19"/>
  <c r="AA697" i="19"/>
  <c r="AF4102" i="19" l="1"/>
  <c r="AF4103" i="19" s="1"/>
  <c r="AF4104" i="19" s="1"/>
  <c r="AF4105" i="19" s="1"/>
  <c r="AF4106" i="19" s="1"/>
  <c r="AF4107" i="19" s="1"/>
  <c r="AF4108" i="19" s="1"/>
  <c r="AF4109" i="19" s="1"/>
  <c r="AF4110" i="19" s="1"/>
  <c r="AF4111" i="19" s="1"/>
  <c r="AF4112" i="19" s="1"/>
  <c r="AF4113" i="19" s="1"/>
  <c r="AF4114" i="19" s="1"/>
  <c r="AF4115" i="19" s="1"/>
  <c r="AF4116" i="19" s="1"/>
  <c r="AF4117" i="19" s="1"/>
  <c r="AF4118" i="19" s="1"/>
  <c r="AF4119" i="19" s="1"/>
  <c r="AF4120" i="19" s="1"/>
  <c r="AF4121" i="19" s="1"/>
  <c r="AF4122" i="19" s="1"/>
  <c r="AF4123" i="19" s="1"/>
  <c r="AF4124" i="19" s="1"/>
  <c r="AF4125" i="19" s="1"/>
  <c r="AF4126" i="19" s="1"/>
  <c r="AF4127" i="19" s="1"/>
  <c r="AF4128" i="19" s="1"/>
  <c r="AF4129" i="19" s="1"/>
  <c r="AF4130" i="19" s="1"/>
  <c r="AF4131" i="19" s="1"/>
  <c r="AF4132" i="19" s="1"/>
  <c r="AF4133" i="19" s="1"/>
  <c r="AF4134" i="19" s="1"/>
  <c r="AF4135" i="19" s="1"/>
  <c r="AF4136" i="19" s="1"/>
  <c r="AF4137" i="19" s="1"/>
  <c r="AF4138" i="19" s="1"/>
  <c r="AF4139" i="19" s="1"/>
  <c r="AF4140" i="19"/>
  <c r="AF4157" i="19" s="1"/>
  <c r="Z656" i="19"/>
  <c r="Z655" i="19"/>
  <c r="Z654" i="19"/>
  <c r="Z653" i="19"/>
  <c r="Z652" i="19"/>
  <c r="Z651" i="19"/>
  <c r="Z649" i="19"/>
  <c r="Z648" i="19"/>
  <c r="Z647" i="19"/>
  <c r="Z646" i="19"/>
  <c r="Z645" i="19"/>
  <c r="Z644" i="19"/>
  <c r="AF4158" i="19" l="1"/>
  <c r="AF4159" i="19" s="1"/>
  <c r="AF4160" i="19" s="1"/>
  <c r="AF4161" i="19" s="1"/>
  <c r="AF4162" i="19" s="1"/>
  <c r="AF4163" i="19" s="1"/>
  <c r="AF4164" i="19" s="1"/>
  <c r="AF4165" i="19" s="1"/>
  <c r="AF4166" i="19" s="1"/>
  <c r="AF4167" i="19" s="1"/>
  <c r="AF4168" i="19" s="1"/>
  <c r="AF4169" i="19" s="1"/>
  <c r="AF4170" i="19" s="1"/>
  <c r="AF4171" i="19" s="1"/>
  <c r="AF4172" i="19" s="1"/>
  <c r="AF4173" i="19" s="1"/>
  <c r="AF4174" i="19" s="1"/>
  <c r="AF4175" i="19" s="1"/>
  <c r="AF4176" i="19" s="1"/>
  <c r="AF4177" i="19" s="1"/>
  <c r="AF4195" i="19" s="1"/>
  <c r="AF4196" i="19" s="1"/>
  <c r="AF4197" i="19" s="1"/>
  <c r="AF4198" i="19" s="1"/>
  <c r="AF4199" i="19" s="1"/>
  <c r="AF4200" i="19" s="1"/>
  <c r="AF4201" i="19" s="1"/>
  <c r="AF4202" i="19" s="1"/>
  <c r="AF4203" i="19" s="1"/>
  <c r="AF4204" i="19" s="1"/>
  <c r="AF4205" i="19" s="1"/>
  <c r="AF4178" i="19"/>
  <c r="AA655" i="19"/>
  <c r="AF4206" i="19" l="1"/>
  <c r="AF4223" i="19" s="1"/>
  <c r="Z626" i="19"/>
  <c r="Z625" i="19"/>
  <c r="Z624" i="19"/>
  <c r="Z623" i="19"/>
  <c r="Z622" i="19"/>
  <c r="Z621" i="19"/>
  <c r="Z619" i="19"/>
  <c r="Z618" i="19"/>
  <c r="Z617" i="19"/>
  <c r="Z616" i="19"/>
  <c r="Z615" i="19"/>
  <c r="Z614" i="19"/>
  <c r="AF4224" i="19" l="1"/>
  <c r="AF4225" i="19" s="1"/>
  <c r="AF4226" i="19" s="1"/>
  <c r="AF4227" i="19" s="1"/>
  <c r="AF4228" i="19" s="1"/>
  <c r="AF4229" i="19" s="1"/>
  <c r="AF4230" i="19" s="1"/>
  <c r="AF4231" i="19" s="1"/>
  <c r="AF4232" i="19" s="1"/>
  <c r="AF4233" i="19" s="1"/>
  <c r="AF4234" i="19" s="1"/>
  <c r="AF4235" i="19"/>
  <c r="AF4251" i="19" s="1"/>
  <c r="AA625" i="19"/>
  <c r="AF4276" i="19" l="1"/>
  <c r="AF4292" i="19" s="1"/>
  <c r="AF4252" i="19"/>
  <c r="AF4253" i="19" s="1"/>
  <c r="AF4254" i="19" s="1"/>
  <c r="AF4255" i="19" s="1"/>
  <c r="AF4256" i="19" s="1"/>
  <c r="AF4257" i="19" s="1"/>
  <c r="AF4258" i="19" s="1"/>
  <c r="AF4259" i="19" s="1"/>
  <c r="AF4260" i="19" s="1"/>
  <c r="AF4261" i="19" s="1"/>
  <c r="AF4262" i="19" s="1"/>
  <c r="AF4263" i="19" s="1"/>
  <c r="AF4264" i="19" s="1"/>
  <c r="AF4265" i="19" s="1"/>
  <c r="AF4266" i="19" s="1"/>
  <c r="AF4267" i="19" s="1"/>
  <c r="AF4268" i="19" s="1"/>
  <c r="AF4269" i="19" s="1"/>
  <c r="AF4270" i="19" s="1"/>
  <c r="AF4271" i="19" s="1"/>
  <c r="AF4272" i="19" s="1"/>
  <c r="AF4273" i="19" s="1"/>
  <c r="AF4274" i="19" s="1"/>
  <c r="AF4275" i="19" s="1"/>
  <c r="Z602" i="19"/>
  <c r="Z601" i="19"/>
  <c r="Z600" i="19"/>
  <c r="Z599" i="19"/>
  <c r="Z598" i="19"/>
  <c r="Z597" i="19"/>
  <c r="Z595" i="19"/>
  <c r="Z594" i="19"/>
  <c r="Z593" i="19"/>
  <c r="Z592" i="19"/>
  <c r="Z591" i="19"/>
  <c r="Z590" i="19"/>
  <c r="Z577" i="19"/>
  <c r="Z576" i="19"/>
  <c r="Z575" i="19"/>
  <c r="Z574" i="19"/>
  <c r="Z573" i="19"/>
  <c r="Z572" i="19"/>
  <c r="Z570" i="19"/>
  <c r="Z569" i="19"/>
  <c r="Z568" i="19"/>
  <c r="Z567" i="19"/>
  <c r="Z566" i="19"/>
  <c r="Z565" i="19"/>
  <c r="Z539" i="19"/>
  <c r="Z538" i="19"/>
  <c r="Z537" i="19"/>
  <c r="Z536" i="19"/>
  <c r="Z535" i="19"/>
  <c r="Z534" i="19"/>
  <c r="Z532" i="19"/>
  <c r="Z531" i="19"/>
  <c r="Z530" i="19"/>
  <c r="Z529" i="19"/>
  <c r="Z528" i="19"/>
  <c r="Z527" i="19"/>
  <c r="AF4293" i="19" l="1"/>
  <c r="AF4294" i="19" s="1"/>
  <c r="AF4295" i="19" s="1"/>
  <c r="AF4296" i="19" s="1"/>
  <c r="AF4297" i="19" s="1"/>
  <c r="AF4298" i="19" s="1"/>
  <c r="AF4299" i="19" s="1"/>
  <c r="AF4300" i="19" s="1"/>
  <c r="AF4301" i="19" s="1"/>
  <c r="AF4302" i="19" s="1"/>
  <c r="AF4303" i="19" s="1"/>
  <c r="AF4304" i="19" s="1"/>
  <c r="AF4305" i="19" s="1"/>
  <c r="AF4306" i="19" s="1"/>
  <c r="AF4307" i="19" s="1"/>
  <c r="AF4308" i="19" s="1"/>
  <c r="AF4309" i="19" s="1"/>
  <c r="AF4310" i="19" s="1"/>
  <c r="AF4311" i="19" s="1"/>
  <c r="AF4312" i="19" s="1"/>
  <c r="AF4313" i="19" s="1"/>
  <c r="AF4314" i="19" s="1"/>
  <c r="AF4315" i="19" s="1"/>
  <c r="AF4316" i="19" s="1"/>
  <c r="AF4317" i="19"/>
  <c r="AF4334" i="19" s="1"/>
  <c r="AA601" i="19"/>
  <c r="AA576" i="19"/>
  <c r="AA538" i="19"/>
  <c r="AF4362" i="19" l="1"/>
  <c r="AF4335" i="19"/>
  <c r="AF4336" i="19" s="1"/>
  <c r="AF4337" i="19" s="1"/>
  <c r="AF4338" i="19" s="1"/>
  <c r="AF4339" i="19" s="1"/>
  <c r="AF4340" i="19" s="1"/>
  <c r="AF4341" i="19" s="1"/>
  <c r="AF4342" i="19" s="1"/>
  <c r="AF4343" i="19" s="1"/>
  <c r="AF4344" i="19" s="1"/>
  <c r="AF4345" i="19" s="1"/>
  <c r="AF4346" i="19" s="1"/>
  <c r="AF4347" i="19" s="1"/>
  <c r="AF4348" i="19" s="1"/>
  <c r="AF4349" i="19" s="1"/>
  <c r="AF4350" i="19" s="1"/>
  <c r="AF4351" i="19" s="1"/>
  <c r="AF4352" i="19" s="1"/>
  <c r="AF4353" i="19" s="1"/>
  <c r="AF4354" i="19" s="1"/>
  <c r="AF4355" i="19" s="1"/>
  <c r="AF4356" i="19" s="1"/>
  <c r="AF4357" i="19" s="1"/>
  <c r="AF4358" i="19" s="1"/>
  <c r="AF4359" i="19" s="1"/>
  <c r="AF4360" i="19" s="1"/>
  <c r="AF4361" i="19" s="1"/>
  <c r="AF4379" i="19" s="1"/>
  <c r="Z514" i="19"/>
  <c r="Z513" i="19"/>
  <c r="Z512" i="19"/>
  <c r="Z511" i="19"/>
  <c r="Z510" i="19"/>
  <c r="Z509" i="19"/>
  <c r="Z507" i="19"/>
  <c r="Z506" i="19"/>
  <c r="Z505" i="19"/>
  <c r="Z504" i="19"/>
  <c r="Z503" i="19"/>
  <c r="Z502" i="19"/>
  <c r="AF4380" i="19" l="1"/>
  <c r="AF4381" i="19" s="1"/>
  <c r="AF4382" i="19" s="1"/>
  <c r="AF4383" i="19" s="1"/>
  <c r="AF4384" i="19" s="1"/>
  <c r="AF4385" i="19"/>
  <c r="AF4402" i="19" s="1"/>
  <c r="AA513" i="19"/>
  <c r="AF4412" i="19" l="1"/>
  <c r="AF4430" i="19" s="1"/>
  <c r="AF4431" i="19" s="1"/>
  <c r="AF4432" i="19" s="1"/>
  <c r="AF4433" i="19" s="1"/>
  <c r="AF4434" i="19" s="1"/>
  <c r="AF4435" i="19" s="1"/>
  <c r="AF4436" i="19" s="1"/>
  <c r="AF4437" i="19" s="1"/>
  <c r="AF4438" i="19" s="1"/>
  <c r="AF4439" i="19" s="1"/>
  <c r="AF4440" i="19" s="1"/>
  <c r="AF4403" i="19"/>
  <c r="AF4404" i="19" s="1"/>
  <c r="AF4405" i="19" s="1"/>
  <c r="AF4406" i="19" s="1"/>
  <c r="AF4407" i="19" s="1"/>
  <c r="AF4408" i="19" s="1"/>
  <c r="AF4409" i="19" s="1"/>
  <c r="AF4410" i="19" s="1"/>
  <c r="AF4411" i="19" s="1"/>
  <c r="Z488" i="19"/>
  <c r="Z487" i="19"/>
  <c r="Z486" i="19"/>
  <c r="Z485" i="19"/>
  <c r="Z484" i="19"/>
  <c r="Z483" i="19"/>
  <c r="Z481" i="19"/>
  <c r="Z480" i="19"/>
  <c r="Z479" i="19"/>
  <c r="Z478" i="19"/>
  <c r="Z477" i="19"/>
  <c r="Z476" i="19"/>
  <c r="AF4441" i="19" l="1"/>
  <c r="AA487" i="19"/>
  <c r="AE453" i="19" l="1"/>
  <c r="AD453" i="19"/>
  <c r="Z468" i="19"/>
  <c r="Z467" i="19"/>
  <c r="Z466" i="19"/>
  <c r="Z465" i="19"/>
  <c r="Z464" i="19"/>
  <c r="Z463" i="19"/>
  <c r="Z461" i="19"/>
  <c r="Z460" i="19"/>
  <c r="Z459" i="19"/>
  <c r="Z458" i="19"/>
  <c r="Z457" i="19"/>
  <c r="Z456" i="19"/>
  <c r="AA467" i="19" l="1"/>
  <c r="AE430" i="19"/>
  <c r="AD430" i="19"/>
  <c r="Z444" i="19"/>
  <c r="Z443" i="19"/>
  <c r="Z442" i="19"/>
  <c r="Z441" i="19"/>
  <c r="Z440" i="19"/>
  <c r="Z439" i="19"/>
  <c r="Z437" i="19"/>
  <c r="Z436" i="19"/>
  <c r="Z435" i="19"/>
  <c r="Z434" i="19"/>
  <c r="Z433" i="19"/>
  <c r="Z432" i="19"/>
  <c r="AE399" i="19"/>
  <c r="AD399" i="19"/>
  <c r="Z414" i="19"/>
  <c r="Z413" i="19"/>
  <c r="Z412" i="19"/>
  <c r="Z411" i="19"/>
  <c r="Z410" i="19"/>
  <c r="Z409" i="19"/>
  <c r="Z407" i="19"/>
  <c r="Z406" i="19"/>
  <c r="Z405" i="19"/>
  <c r="Z404" i="19"/>
  <c r="Z403" i="19"/>
  <c r="Z402" i="19"/>
  <c r="AE372" i="19"/>
  <c r="AD372" i="19"/>
  <c r="Z387" i="19"/>
  <c r="Z386" i="19"/>
  <c r="Z385" i="19"/>
  <c r="Z384" i="19"/>
  <c r="Z383" i="19"/>
  <c r="Z382" i="19"/>
  <c r="Z380" i="19"/>
  <c r="Z379" i="19"/>
  <c r="Z378" i="19"/>
  <c r="Z377" i="19"/>
  <c r="Z376" i="19"/>
  <c r="Z375" i="19"/>
  <c r="AA443" i="19" l="1"/>
  <c r="AA413" i="19"/>
  <c r="AA386" i="19"/>
  <c r="Z363" i="19" l="1"/>
  <c r="Z362" i="19"/>
  <c r="Z361" i="19"/>
  <c r="Z360" i="19"/>
  <c r="Z359" i="19"/>
  <c r="Z358" i="19"/>
  <c r="Z356" i="19"/>
  <c r="Z355" i="19"/>
  <c r="Z354" i="19"/>
  <c r="Z353" i="19"/>
  <c r="Z352" i="19"/>
  <c r="Z351" i="19"/>
  <c r="AE348" i="19"/>
  <c r="AD348" i="19"/>
  <c r="AE316" i="19"/>
  <c r="AD316" i="19"/>
  <c r="AA362" i="19" l="1"/>
  <c r="Z331" i="19" l="1"/>
  <c r="Z330" i="19"/>
  <c r="Z329" i="19"/>
  <c r="Z328" i="19"/>
  <c r="Z327" i="19"/>
  <c r="Z326" i="19"/>
  <c r="Z324" i="19"/>
  <c r="Z323" i="19"/>
  <c r="Z322" i="19"/>
  <c r="Z321" i="19"/>
  <c r="Z320" i="19"/>
  <c r="Z319" i="19"/>
  <c r="AA330" i="19" l="1"/>
  <c r="AE283" i="19" l="1"/>
  <c r="AD283" i="19"/>
  <c r="Z298" i="19" l="1"/>
  <c r="Z297" i="19"/>
  <c r="Z296" i="19"/>
  <c r="Z295" i="19"/>
  <c r="Z294" i="19"/>
  <c r="Z293" i="19"/>
  <c r="Z291" i="19"/>
  <c r="Z290" i="19"/>
  <c r="Z289" i="19"/>
  <c r="Z288" i="19"/>
  <c r="Z287" i="19"/>
  <c r="Z286" i="19"/>
  <c r="AA297" i="19" l="1"/>
  <c r="Z276" i="19" l="1"/>
  <c r="Z275" i="19"/>
  <c r="Z274" i="19"/>
  <c r="Z273" i="19"/>
  <c r="Z272" i="19"/>
  <c r="Z271" i="19"/>
  <c r="Z269" i="19"/>
  <c r="Z268" i="19"/>
  <c r="Z267" i="19"/>
  <c r="Z266" i="19"/>
  <c r="Z265" i="19"/>
  <c r="Z264" i="19"/>
  <c r="AE262" i="19"/>
  <c r="AD43" i="19"/>
  <c r="Z257" i="19"/>
  <c r="Z256" i="19"/>
  <c r="Z255" i="19"/>
  <c r="Z254" i="19"/>
  <c r="Z253" i="19"/>
  <c r="Z252" i="19"/>
  <c r="Z250" i="19"/>
  <c r="Z249" i="19"/>
  <c r="Z248" i="19"/>
  <c r="Z247" i="19"/>
  <c r="Z246" i="19"/>
  <c r="Z245" i="19"/>
  <c r="AE242" i="19"/>
  <c r="AD242" i="19"/>
  <c r="Z217" i="19"/>
  <c r="Z216" i="19"/>
  <c r="Z215" i="19"/>
  <c r="Z214" i="19"/>
  <c r="Z213" i="19"/>
  <c r="Z212" i="19"/>
  <c r="Z210" i="19"/>
  <c r="Z209" i="19"/>
  <c r="Z208" i="19"/>
  <c r="Z207" i="19"/>
  <c r="Z206" i="19"/>
  <c r="Z205" i="19"/>
  <c r="AE202" i="19"/>
  <c r="Z186" i="19"/>
  <c r="Z185" i="19"/>
  <c r="Z184" i="19"/>
  <c r="Z183" i="19"/>
  <c r="Z182" i="19"/>
  <c r="Z181" i="19"/>
  <c r="Z179" i="19"/>
  <c r="Z178" i="19"/>
  <c r="Z177" i="19"/>
  <c r="Z176" i="19"/>
  <c r="Z175" i="19"/>
  <c r="Z174" i="19"/>
  <c r="AE171" i="19"/>
  <c r="AD171" i="19"/>
  <c r="Z145" i="19"/>
  <c r="Z144" i="19"/>
  <c r="Z143" i="19"/>
  <c r="Z142" i="19"/>
  <c r="Z141" i="19"/>
  <c r="Z140" i="19"/>
  <c r="Z138" i="19"/>
  <c r="Z137" i="19"/>
  <c r="Z136" i="19"/>
  <c r="Z135" i="19"/>
  <c r="Z134" i="19"/>
  <c r="Z133" i="19"/>
  <c r="AE130" i="19"/>
  <c r="AD130" i="19"/>
  <c r="Z111" i="19"/>
  <c r="Z110" i="19"/>
  <c r="Z109" i="19"/>
  <c r="Z108" i="19"/>
  <c r="Z107" i="19"/>
  <c r="Z106" i="19"/>
  <c r="Z104" i="19"/>
  <c r="Z103" i="19"/>
  <c r="Z102" i="19"/>
  <c r="Z101" i="19"/>
  <c r="Z100" i="19"/>
  <c r="Z99" i="19"/>
  <c r="AE96" i="19"/>
  <c r="AD96" i="19"/>
  <c r="Z79" i="19"/>
  <c r="Z78" i="19"/>
  <c r="Z77" i="19"/>
  <c r="Z76" i="19"/>
  <c r="Z75" i="19"/>
  <c r="Z74" i="19"/>
  <c r="Z72" i="19"/>
  <c r="Z71" i="19"/>
  <c r="Z70" i="19"/>
  <c r="Z69" i="19"/>
  <c r="Z68" i="19"/>
  <c r="Z67" i="19"/>
  <c r="Z58" i="19"/>
  <c r="Z57" i="19"/>
  <c r="Z56" i="19"/>
  <c r="Z55" i="19"/>
  <c r="Z54" i="19"/>
  <c r="Z53" i="19"/>
  <c r="Z51" i="19"/>
  <c r="Z50" i="19"/>
  <c r="Z49" i="19"/>
  <c r="Z48" i="19"/>
  <c r="Z47" i="19"/>
  <c r="Z46" i="19"/>
  <c r="AF42" i="19"/>
  <c r="AD642" i="19" l="1"/>
  <c r="E8" i="24" s="1"/>
  <c r="AE642" i="19"/>
  <c r="AF43" i="19"/>
  <c r="AF60" i="19" s="1"/>
  <c r="AF65" i="19" s="1"/>
  <c r="AF81" i="19" s="1"/>
  <c r="AF82" i="19" s="1"/>
  <c r="AF83" i="19" s="1"/>
  <c r="AF84" i="19" s="1"/>
  <c r="AF85" i="19" s="1"/>
  <c r="AF86" i="19" s="1"/>
  <c r="AF87" i="19" s="1"/>
  <c r="AF88" i="19" s="1"/>
  <c r="AF89" i="19" s="1"/>
  <c r="AF90" i="19" s="1"/>
  <c r="AF91" i="19" s="1"/>
  <c r="AF92" i="19" s="1"/>
  <c r="AF93" i="19" s="1"/>
  <c r="AF94" i="19" s="1"/>
  <c r="AF95" i="19" s="1"/>
  <c r="AA57" i="19"/>
  <c r="AA144" i="19"/>
  <c r="AA256" i="19"/>
  <c r="AA216" i="19"/>
  <c r="AA110" i="19"/>
  <c r="AA78" i="19"/>
  <c r="AA185" i="19"/>
  <c r="AA275" i="19"/>
  <c r="F8" i="24" l="1"/>
  <c r="F13" i="24" s="1"/>
  <c r="E12" i="24"/>
  <c r="AF642" i="19"/>
  <c r="AF1379" i="19" s="1"/>
  <c r="AF2254" i="19" s="1"/>
  <c r="AF2763" i="19" s="1"/>
  <c r="AF96" i="19"/>
  <c r="AF113" i="19" s="1"/>
  <c r="AF130" i="19" s="1"/>
  <c r="AF147" i="19" s="1"/>
  <c r="AF171" i="19" s="1"/>
  <c r="AF188" i="19" s="1"/>
  <c r="AF61" i="19"/>
  <c r="AF62" i="19" s="1"/>
  <c r="AF63" i="19" s="1"/>
  <c r="AF64" i="19" s="1"/>
  <c r="AF2949" i="19" l="1"/>
  <c r="AF3824" i="19" s="1"/>
  <c r="I5" i="26"/>
  <c r="AF2779" i="19"/>
  <c r="AF2787" i="19" s="1"/>
  <c r="AF2804" i="19" s="1"/>
  <c r="I12" i="24"/>
  <c r="I32" i="24" s="1"/>
  <c r="I8" i="24"/>
  <c r="I9" i="24" s="1"/>
  <c r="AF1397" i="19"/>
  <c r="AF1398" i="19" s="1"/>
  <c r="AF1399" i="19" s="1"/>
  <c r="AF1400" i="19" s="1"/>
  <c r="AF1401" i="19" s="1"/>
  <c r="AF1402" i="19" s="1"/>
  <c r="AF1403" i="19" s="1"/>
  <c r="AF1404" i="19" s="1"/>
  <c r="AF1405" i="19" s="1"/>
  <c r="AF1406" i="19" s="1"/>
  <c r="AF1407" i="19" s="1"/>
  <c r="AF1408" i="19" s="1"/>
  <c r="AF1409" i="19" s="1"/>
  <c r="AF1410" i="19" s="1"/>
  <c r="AF1411" i="19" s="1"/>
  <c r="AF1412" i="19" s="1"/>
  <c r="AF1413" i="19" s="1"/>
  <c r="AF1414" i="19" s="1"/>
  <c r="AF1415" i="19" s="1"/>
  <c r="AF1416" i="19" s="1"/>
  <c r="I5" i="25"/>
  <c r="AF114" i="19"/>
  <c r="AF115" i="19" s="1"/>
  <c r="AF116" i="19" s="1"/>
  <c r="AF117" i="19" s="1"/>
  <c r="AF118" i="19" s="1"/>
  <c r="AF119" i="19" s="1"/>
  <c r="AF120" i="19" s="1"/>
  <c r="AF121" i="19" s="1"/>
  <c r="AF122" i="19" s="1"/>
  <c r="AF123" i="19" s="1"/>
  <c r="AF124" i="19" s="1"/>
  <c r="AF125" i="19" s="1"/>
  <c r="AF126" i="19" s="1"/>
  <c r="AF127" i="19" s="1"/>
  <c r="AF128" i="19" s="1"/>
  <c r="AF129" i="19" s="1"/>
  <c r="AF148" i="19"/>
  <c r="AF149" i="19" s="1"/>
  <c r="AF150" i="19" s="1"/>
  <c r="AF151" i="19" s="1"/>
  <c r="AF152" i="19" s="1"/>
  <c r="AF153" i="19" s="1"/>
  <c r="AF154" i="19" s="1"/>
  <c r="AF155" i="19" s="1"/>
  <c r="AF156" i="19" s="1"/>
  <c r="AF157" i="19" s="1"/>
  <c r="AF158" i="19" s="1"/>
  <c r="AF159" i="19" s="1"/>
  <c r="AF160" i="19" s="1"/>
  <c r="AF161" i="19" s="1"/>
  <c r="AF162" i="19" s="1"/>
  <c r="AF163" i="19" s="1"/>
  <c r="AF164" i="19" s="1"/>
  <c r="AF165" i="19" s="1"/>
  <c r="AF166" i="19" s="1"/>
  <c r="AF167" i="19" s="1"/>
  <c r="AF168" i="19" s="1"/>
  <c r="AF169" i="19" s="1"/>
  <c r="AF170" i="19" s="1"/>
  <c r="AF202" i="19"/>
  <c r="AF218" i="19" s="1"/>
  <c r="AF189" i="19"/>
  <c r="AF190" i="19" s="1"/>
  <c r="AF191" i="19" s="1"/>
  <c r="AF192" i="19" s="1"/>
  <c r="AF193" i="19" s="1"/>
  <c r="AF194" i="19" s="1"/>
  <c r="AF195" i="19" s="1"/>
  <c r="AF196" i="19" s="1"/>
  <c r="AF197" i="19" s="1"/>
  <c r="AF198" i="19" s="1"/>
  <c r="AF199" i="19" s="1"/>
  <c r="AF200" i="19" s="1"/>
  <c r="AF201" i="19" s="1"/>
  <c r="Z40" i="19"/>
  <c r="Z39" i="19"/>
  <c r="Z38" i="19"/>
  <c r="Z37" i="19"/>
  <c r="Z36" i="19"/>
  <c r="Z35" i="19"/>
  <c r="Z33" i="19"/>
  <c r="Z32" i="19"/>
  <c r="Z31" i="19"/>
  <c r="Z30" i="19"/>
  <c r="Z29" i="19"/>
  <c r="Z28" i="19"/>
  <c r="AF4442" i="19" l="1"/>
  <c r="AF4690" i="19" s="1"/>
  <c r="AF5661" i="19" s="1"/>
  <c r="AF2780" i="19"/>
  <c r="AF2781" i="19" s="1"/>
  <c r="AF2782" i="19" s="1"/>
  <c r="AF2783" i="19" s="1"/>
  <c r="AF2784" i="19" s="1"/>
  <c r="AF2785" i="19" s="1"/>
  <c r="AF2786" i="19" s="1"/>
  <c r="I8" i="26"/>
  <c r="I9" i="26" s="1"/>
  <c r="I10" i="26" s="1"/>
  <c r="I12" i="26"/>
  <c r="I32" i="26" s="1"/>
  <c r="AF2805" i="19"/>
  <c r="AF2806" i="19" s="1"/>
  <c r="AF2807" i="19" s="1"/>
  <c r="AF2808" i="19" s="1"/>
  <c r="AF2812" i="19"/>
  <c r="AF1417" i="19"/>
  <c r="AF1432" i="19" s="1"/>
  <c r="AF1433" i="19" s="1"/>
  <c r="AF1434" i="19" s="1"/>
  <c r="AF1435" i="19" s="1"/>
  <c r="AF1436" i="19" s="1"/>
  <c r="AF1437" i="19" s="1"/>
  <c r="AF1438" i="19" s="1"/>
  <c r="AF1439" i="19" s="1"/>
  <c r="AF1440" i="19" s="1"/>
  <c r="AF1441" i="19" s="1"/>
  <c r="AF1442" i="19" s="1"/>
  <c r="I12" i="25"/>
  <c r="I32" i="25" s="1"/>
  <c r="I8" i="25"/>
  <c r="I9" i="25" s="1"/>
  <c r="AF242" i="19"/>
  <c r="AF259" i="19" s="1"/>
  <c r="AF219" i="19"/>
  <c r="AF220" i="19" s="1"/>
  <c r="AF221" i="19" s="1"/>
  <c r="AF222" i="19" s="1"/>
  <c r="AF223" i="19" s="1"/>
  <c r="AF224" i="19" s="1"/>
  <c r="AF225" i="19" s="1"/>
  <c r="AF226" i="19" s="1"/>
  <c r="AF227" i="19" s="1"/>
  <c r="AF228" i="19" s="1"/>
  <c r="AF229" i="19" s="1"/>
  <c r="AF230" i="19" s="1"/>
  <c r="AF231" i="19" s="1"/>
  <c r="AF232" i="19" s="1"/>
  <c r="AF233" i="19" s="1"/>
  <c r="AF234" i="19" s="1"/>
  <c r="AF235" i="19" s="1"/>
  <c r="AF236" i="19" s="1"/>
  <c r="AF237" i="19" s="1"/>
  <c r="AF238" i="19" s="1"/>
  <c r="AF239" i="19" s="1"/>
  <c r="AF240" i="19" s="1"/>
  <c r="AF241" i="19" s="1"/>
  <c r="AA39" i="19"/>
  <c r="AF4458" i="19" l="1"/>
  <c r="AF4459" i="19" s="1"/>
  <c r="AF4460" i="19" s="1"/>
  <c r="AF2809" i="19"/>
  <c r="AF2810" i="19" s="1"/>
  <c r="AF2811" i="19" s="1"/>
  <c r="AF2829" i="19" s="1"/>
  <c r="AF2830" i="19" s="1"/>
  <c r="AF2831" i="19" s="1"/>
  <c r="AF2832" i="19" s="1"/>
  <c r="AF2833" i="19" s="1"/>
  <c r="AF2834" i="19" s="1"/>
  <c r="AF2835" i="19" s="1"/>
  <c r="AF2836" i="19" s="1"/>
  <c r="AF2837" i="19" s="1"/>
  <c r="AF2838" i="19" s="1"/>
  <c r="AF2839" i="19" s="1"/>
  <c r="AF2840" i="19" s="1"/>
  <c r="AF2841" i="19" s="1"/>
  <c r="AF2842" i="19" s="1"/>
  <c r="AF2843" i="19" s="1"/>
  <c r="AF2844" i="19" s="1"/>
  <c r="AF2845" i="19" s="1"/>
  <c r="AF2846" i="19" s="1"/>
  <c r="AF2847" i="19" s="1"/>
  <c r="AF1443" i="19"/>
  <c r="AF1460" i="19" s="1"/>
  <c r="AF1469" i="19" s="1"/>
  <c r="AF1489" i="19" s="1"/>
  <c r="AF1505" i="19" s="1"/>
  <c r="AF1521" i="19" s="1"/>
  <c r="AF262" i="19"/>
  <c r="AF278" i="19" s="1"/>
  <c r="AF260" i="19"/>
  <c r="AF261" i="19" s="1"/>
  <c r="AF7" i="19"/>
  <c r="AF8" i="19" s="1"/>
  <c r="AF9" i="19" s="1"/>
  <c r="AF10" i="19" s="1"/>
  <c r="AF11" i="19" s="1"/>
  <c r="AF12" i="19" s="1"/>
  <c r="AF13" i="19" s="1"/>
  <c r="AF14" i="19" s="1"/>
  <c r="AF15" i="19" s="1"/>
  <c r="AF16" i="19" s="1"/>
  <c r="AF17" i="19" s="1"/>
  <c r="AF18" i="19" s="1"/>
  <c r="AF19" i="19" s="1"/>
  <c r="AF20" i="19" s="1"/>
  <c r="AF21" i="19" s="1"/>
  <c r="AF22" i="19" s="1"/>
  <c r="AF23" i="19" s="1"/>
  <c r="G10" i="23"/>
  <c r="AF4461" i="19" l="1"/>
  <c r="AF4477" i="19" s="1"/>
  <c r="AF4488" i="19" s="1"/>
  <c r="AF2848" i="19"/>
  <c r="AF2865" i="19" s="1"/>
  <c r="AF2884" i="19" s="1"/>
  <c r="AF2901" i="19" s="1"/>
  <c r="AF2918" i="19" s="1"/>
  <c r="AF2935" i="19" s="1"/>
  <c r="AF2947" i="19" s="1"/>
  <c r="AF1461" i="19"/>
  <c r="AF1462" i="19" s="1"/>
  <c r="AF1463" i="19" s="1"/>
  <c r="AF1464" i="19" s="1"/>
  <c r="AF1465" i="19" s="1"/>
  <c r="AF1466" i="19" s="1"/>
  <c r="AF1467" i="19" s="1"/>
  <c r="AF1468" i="19" s="1"/>
  <c r="AF1522" i="19"/>
  <c r="AF1523" i="19" s="1"/>
  <c r="AF1524" i="19" s="1"/>
  <c r="AF1525" i="19" s="1"/>
  <c r="AF1526" i="19" s="1"/>
  <c r="AF1527" i="19" s="1"/>
  <c r="AF1528" i="19" s="1"/>
  <c r="AF1529" i="19" s="1"/>
  <c r="AF1530" i="19" s="1"/>
  <c r="AF1531" i="19"/>
  <c r="AF1549" i="19" s="1"/>
  <c r="AF283" i="19"/>
  <c r="AF299" i="19" s="1"/>
  <c r="AF279" i="19"/>
  <c r="AF280" i="19" s="1"/>
  <c r="AF281" i="19" s="1"/>
  <c r="AF282" i="19" s="1"/>
  <c r="E10" i="23"/>
  <c r="F10" i="23"/>
  <c r="AF4478" i="19" l="1"/>
  <c r="AF4479" i="19" s="1"/>
  <c r="AF4480" i="19" s="1"/>
  <c r="AF4481" i="19" s="1"/>
  <c r="AF4482" i="19" s="1"/>
  <c r="AF4483" i="19" s="1"/>
  <c r="AF4484" i="19" s="1"/>
  <c r="AF4485" i="19" s="1"/>
  <c r="AF4486" i="19" s="1"/>
  <c r="AF4487" i="19" s="1"/>
  <c r="AF4504" i="19" s="1"/>
  <c r="AF4505" i="19" s="1"/>
  <c r="AF4506" i="19" s="1"/>
  <c r="AF4507" i="19" s="1"/>
  <c r="AF4508" i="19" s="1"/>
  <c r="AF4509" i="19" s="1"/>
  <c r="AF4510" i="19" s="1"/>
  <c r="AF4511" i="19" s="1"/>
  <c r="AF4512" i="19" s="1"/>
  <c r="AF4513" i="19" s="1"/>
  <c r="AF4514" i="19" s="1"/>
  <c r="AF4515" i="19" s="1"/>
  <c r="AF4516" i="19" s="1"/>
  <c r="AF4517" i="19" s="1"/>
  <c r="AF4518" i="19" s="1"/>
  <c r="AF4519" i="19" s="1"/>
  <c r="AF4520" i="19" s="1"/>
  <c r="AF4521" i="19" s="1"/>
  <c r="AF2902" i="19"/>
  <c r="AF2903" i="19" s="1"/>
  <c r="AF2904" i="19" s="1"/>
  <c r="AF2905" i="19" s="1"/>
  <c r="AF2906" i="19" s="1"/>
  <c r="AF2907" i="19" s="1"/>
  <c r="AF2908" i="19" s="1"/>
  <c r="AF2909" i="19" s="1"/>
  <c r="AF2910" i="19" s="1"/>
  <c r="AF2911" i="19" s="1"/>
  <c r="AF2912" i="19" s="1"/>
  <c r="AF2913" i="19" s="1"/>
  <c r="AF2914" i="19" s="1"/>
  <c r="AF2915" i="19" s="1"/>
  <c r="AF2916" i="19" s="1"/>
  <c r="AF2917" i="19" s="1"/>
  <c r="AF2866" i="19"/>
  <c r="AF2867" i="19" s="1"/>
  <c r="AF2868" i="19" s="1"/>
  <c r="AF2869" i="19" s="1"/>
  <c r="AF2870" i="19" s="1"/>
  <c r="AF2871" i="19" s="1"/>
  <c r="AF2872" i="19" s="1"/>
  <c r="AF2873" i="19" s="1"/>
  <c r="AF2874" i="19" s="1"/>
  <c r="AF2875" i="19" s="1"/>
  <c r="AF2876" i="19" s="1"/>
  <c r="AF2877" i="19" s="1"/>
  <c r="AF2878" i="19" s="1"/>
  <c r="AF2879" i="19" s="1"/>
  <c r="AF2880" i="19" s="1"/>
  <c r="AF2881" i="19" s="1"/>
  <c r="AF2882" i="19" s="1"/>
  <c r="AF2883" i="19" s="1"/>
  <c r="AF2936" i="19"/>
  <c r="AF2937" i="19" s="1"/>
  <c r="AF2938" i="19" s="1"/>
  <c r="AF2939" i="19" s="1"/>
  <c r="AF2940" i="19" s="1"/>
  <c r="AF2941" i="19" s="1"/>
  <c r="AF2942" i="19" s="1"/>
  <c r="AF2943" i="19" s="1"/>
  <c r="AF2944" i="19" s="1"/>
  <c r="AF2945" i="19" s="1"/>
  <c r="AF2946" i="19" s="1"/>
  <c r="AF2965" i="19"/>
  <c r="AF1550" i="19"/>
  <c r="AF1551" i="19" s="1"/>
  <c r="AF1552" i="19" s="1"/>
  <c r="AF1553" i="19" s="1"/>
  <c r="AF1554" i="19"/>
  <c r="AF1570" i="19" s="1"/>
  <c r="AF316" i="19"/>
  <c r="AF333" i="19" s="1"/>
  <c r="AF300" i="19"/>
  <c r="AF301" i="19" s="1"/>
  <c r="AF302" i="19" s="1"/>
  <c r="AF303" i="19" s="1"/>
  <c r="AF304" i="19" s="1"/>
  <c r="AF305" i="19" s="1"/>
  <c r="AF306" i="19" s="1"/>
  <c r="AF307" i="19" s="1"/>
  <c r="AF308" i="19" s="1"/>
  <c r="AF309" i="19" s="1"/>
  <c r="AF310" i="19" s="1"/>
  <c r="AF311" i="19" s="1"/>
  <c r="AF312" i="19" s="1"/>
  <c r="AF313" i="19" s="1"/>
  <c r="AF314" i="19" s="1"/>
  <c r="AF315" i="19" s="1"/>
  <c r="E9" i="23"/>
  <c r="F8" i="23"/>
  <c r="E8" i="23"/>
  <c r="AF4522" i="19" l="1"/>
  <c r="AF4538" i="19" s="1"/>
  <c r="AF4539" i="19" s="1"/>
  <c r="AF4540" i="19" s="1"/>
  <c r="AF4541" i="19" s="1"/>
  <c r="AF4542" i="19" s="1"/>
  <c r="AF4543" i="19" s="1"/>
  <c r="AF4544" i="19" s="1"/>
  <c r="AF4545" i="19" s="1"/>
  <c r="AF4546" i="19" s="1"/>
  <c r="AF4547" i="19" s="1"/>
  <c r="AF4548" i="19" s="1"/>
  <c r="AF4549" i="19" s="1"/>
  <c r="AF4550" i="19" s="1"/>
  <c r="AF4551" i="19" s="1"/>
  <c r="AF4552" i="19" s="1"/>
  <c r="AF4553" i="19" s="1"/>
  <c r="AF4554" i="19" s="1"/>
  <c r="AF4555" i="19" s="1"/>
  <c r="AF4556" i="19"/>
  <c r="AF4573" i="19" s="1"/>
  <c r="AF4603" i="19" s="1"/>
  <c r="AF4619" i="19" s="1"/>
  <c r="AF2966" i="19"/>
  <c r="AF2967" i="19" s="1"/>
  <c r="AF2968" i="19" s="1"/>
  <c r="AF2969" i="19" s="1"/>
  <c r="AF2970" i="19" s="1"/>
  <c r="AF2971" i="19" s="1"/>
  <c r="AF2972" i="19" s="1"/>
  <c r="AF2973" i="19" s="1"/>
  <c r="AF2974" i="19" s="1"/>
  <c r="AF2975" i="19" s="1"/>
  <c r="AF2976" i="19" s="1"/>
  <c r="AF2977" i="19" s="1"/>
  <c r="AF2978" i="19" s="1"/>
  <c r="AF2979" i="19" s="1"/>
  <c r="AF2980" i="19" s="1"/>
  <c r="AF2981" i="19" s="1"/>
  <c r="AF2982" i="19" s="1"/>
  <c r="AF2983" i="19" s="1"/>
  <c r="AF2984" i="19" s="1"/>
  <c r="AF2985" i="19" s="1"/>
  <c r="AF2986" i="19" s="1"/>
  <c r="AF2987" i="19" s="1"/>
  <c r="AF2988" i="19" s="1"/>
  <c r="AF2989" i="19" s="1"/>
  <c r="AF3006" i="19" s="1"/>
  <c r="AF3007" i="19" s="1"/>
  <c r="AF3008" i="19" s="1"/>
  <c r="AF3009" i="19" s="1"/>
  <c r="AF3010" i="19" s="1"/>
  <c r="AF3011" i="19" s="1"/>
  <c r="AF3012" i="19" s="1"/>
  <c r="AF3013" i="19" s="1"/>
  <c r="AF3014" i="19" s="1"/>
  <c r="AF3015" i="19" s="1"/>
  <c r="AF3016" i="19" s="1"/>
  <c r="AF3017" i="19" s="1"/>
  <c r="AF3018" i="19" s="1"/>
  <c r="AF3019" i="19" s="1"/>
  <c r="AF3020" i="19" s="1"/>
  <c r="AF3021" i="19" s="1"/>
  <c r="AF3022" i="19" s="1"/>
  <c r="AF3023" i="19" s="1"/>
  <c r="AF3024" i="19" s="1"/>
  <c r="AF3025" i="19" s="1"/>
  <c r="AF2990" i="19"/>
  <c r="AF1599" i="19"/>
  <c r="AF1615" i="19" s="1"/>
  <c r="AF1629" i="19" s="1"/>
  <c r="AF1571" i="19"/>
  <c r="AF1572" i="19" s="1"/>
  <c r="AF1573" i="19" s="1"/>
  <c r="AF1574" i="19" s="1"/>
  <c r="AF1575" i="19" s="1"/>
  <c r="AF1576" i="19" s="1"/>
  <c r="AF1577" i="19" s="1"/>
  <c r="AF1578" i="19" s="1"/>
  <c r="AF1579" i="19" s="1"/>
  <c r="AF1580" i="19" s="1"/>
  <c r="AF1581" i="19" s="1"/>
  <c r="AF1582" i="19" s="1"/>
  <c r="AF1583" i="19" s="1"/>
  <c r="AF1584" i="19" s="1"/>
  <c r="AF1585" i="19" s="1"/>
  <c r="AF1586" i="19" s="1"/>
  <c r="AF1587" i="19" s="1"/>
  <c r="AF1588" i="19" s="1"/>
  <c r="AF1589" i="19" s="1"/>
  <c r="AF1590" i="19" s="1"/>
  <c r="AF1591" i="19" s="1"/>
  <c r="AF1592" i="19" s="1"/>
  <c r="AF1593" i="19" s="1"/>
  <c r="AF1594" i="19" s="1"/>
  <c r="AF1595" i="19" s="1"/>
  <c r="AF1596" i="19" s="1"/>
  <c r="AF1597" i="19" s="1"/>
  <c r="AF1598" i="19" s="1"/>
  <c r="AF348" i="19"/>
  <c r="AF364" i="19" s="1"/>
  <c r="AF334" i="19"/>
  <c r="AF335" i="19" s="1"/>
  <c r="AF336" i="19" s="1"/>
  <c r="AF337" i="19" s="1"/>
  <c r="AF338" i="19" s="1"/>
  <c r="AF339" i="19" s="1"/>
  <c r="AF340" i="19" s="1"/>
  <c r="AF341" i="19" s="1"/>
  <c r="AF342" i="19" s="1"/>
  <c r="AF343" i="19" s="1"/>
  <c r="AF344" i="19" s="1"/>
  <c r="AF345" i="19" s="1"/>
  <c r="AF346" i="19" s="1"/>
  <c r="AF347" i="19" s="1"/>
  <c r="G13" i="23"/>
  <c r="H29" i="23"/>
  <c r="H28" i="23"/>
  <c r="H27" i="23"/>
  <c r="H26" i="23"/>
  <c r="H25" i="23"/>
  <c r="H24" i="23"/>
  <c r="H23" i="23"/>
  <c r="H22" i="23"/>
  <c r="H21" i="23"/>
  <c r="H20" i="23"/>
  <c r="H19" i="23"/>
  <c r="H18" i="23"/>
  <c r="H17" i="23"/>
  <c r="H16" i="23"/>
  <c r="AF4620" i="19" l="1"/>
  <c r="AF4621" i="19" s="1"/>
  <c r="AF4622" i="19" s="1"/>
  <c r="AF4623" i="19" s="1"/>
  <c r="AF4624" i="19" s="1"/>
  <c r="AF4625" i="19" s="1"/>
  <c r="AF4626" i="19" s="1"/>
  <c r="AF4627" i="19" s="1"/>
  <c r="AF4628" i="19" s="1"/>
  <c r="AF4629" i="19" s="1"/>
  <c r="AF4630" i="19" s="1"/>
  <c r="AF4631" i="19" s="1"/>
  <c r="AF4632" i="19" s="1"/>
  <c r="AF4633" i="19" s="1"/>
  <c r="AF4634" i="19" s="1"/>
  <c r="AF4635" i="19" s="1"/>
  <c r="AF4636" i="19" s="1"/>
  <c r="AF4637" i="19" s="1"/>
  <c r="AF4638" i="19" s="1"/>
  <c r="AF4639" i="19" s="1"/>
  <c r="AF4640" i="19" s="1"/>
  <c r="AF4641" i="19" s="1"/>
  <c r="AF4642" i="19" s="1"/>
  <c r="AF4643" i="19" s="1"/>
  <c r="AF4644" i="19" s="1"/>
  <c r="AF4645" i="19" s="1"/>
  <c r="AF4646" i="19" s="1"/>
  <c r="AF4647" i="19" s="1"/>
  <c r="AF4648" i="19" s="1"/>
  <c r="AF4649" i="19" s="1"/>
  <c r="AF4650" i="19" s="1"/>
  <c r="AF4651" i="19" s="1"/>
  <c r="AF4652" i="19" s="1"/>
  <c r="AF4653" i="19" s="1"/>
  <c r="AF4654" i="19" s="1"/>
  <c r="AF4671" i="19" s="1"/>
  <c r="AF4655" i="19"/>
  <c r="AF4574" i="19"/>
  <c r="AF4575" i="19" s="1"/>
  <c r="AF4576" i="19" s="1"/>
  <c r="AF4577" i="19" s="1"/>
  <c r="AF4578" i="19" s="1"/>
  <c r="AF4579" i="19" s="1"/>
  <c r="AF4580" i="19" s="1"/>
  <c r="AF4581" i="19" s="1"/>
  <c r="AF4582" i="19" s="1"/>
  <c r="AF4583" i="19" s="1"/>
  <c r="AF4584" i="19" s="1"/>
  <c r="AF4585" i="19" s="1"/>
  <c r="AF4586" i="19" s="1"/>
  <c r="AF4587" i="19" s="1"/>
  <c r="AF4588" i="19" s="1"/>
  <c r="AF4589" i="19" s="1"/>
  <c r="AF4590" i="19" s="1"/>
  <c r="AF4591" i="19" s="1"/>
  <c r="AF4592" i="19" s="1"/>
  <c r="AF4593" i="19" s="1"/>
  <c r="AF4594" i="19" s="1"/>
  <c r="AF4595" i="19" s="1"/>
  <c r="AF4596" i="19" s="1"/>
  <c r="AF4597" i="19" s="1"/>
  <c r="AF4598" i="19" s="1"/>
  <c r="AF4599" i="19" s="1"/>
  <c r="AF4600" i="19" s="1"/>
  <c r="AF4601" i="19" s="1"/>
  <c r="AF4602" i="19" s="1"/>
  <c r="AF3026" i="19"/>
  <c r="AF3043" i="19" s="1"/>
  <c r="AF3070" i="19" s="1"/>
  <c r="AF3086" i="19" s="1"/>
  <c r="AF1616" i="19"/>
  <c r="AF1617" i="19" s="1"/>
  <c r="AF1618" i="19" s="1"/>
  <c r="AF1619" i="19" s="1"/>
  <c r="AF1620" i="19" s="1"/>
  <c r="AF1621" i="19" s="1"/>
  <c r="AF1622" i="19" s="1"/>
  <c r="AF1623" i="19" s="1"/>
  <c r="AF1624" i="19" s="1"/>
  <c r="AF1625" i="19" s="1"/>
  <c r="AF1626" i="19" s="1"/>
  <c r="AF1627" i="19" s="1"/>
  <c r="AF1628" i="19" s="1"/>
  <c r="AF1646" i="19"/>
  <c r="AF1649" i="19" s="1"/>
  <c r="AF1667" i="19" s="1"/>
  <c r="AF372" i="19"/>
  <c r="AF389" i="19" s="1"/>
  <c r="AF365" i="19"/>
  <c r="AF366" i="19" s="1"/>
  <c r="AF367" i="19" s="1"/>
  <c r="AF368" i="19" s="1"/>
  <c r="AF369" i="19" s="1"/>
  <c r="AF370" i="19" s="1"/>
  <c r="AF371" i="19" s="1"/>
  <c r="I5" i="23"/>
  <c r="I30" i="23"/>
  <c r="AF4672" i="19" l="1"/>
  <c r="AF4673" i="19" s="1"/>
  <c r="AF4674" i="19" s="1"/>
  <c r="AF4689" i="19"/>
  <c r="AF4706" i="19" s="1"/>
  <c r="AF3044" i="19"/>
  <c r="AF3045" i="19" s="1"/>
  <c r="AF3046" i="19" s="1"/>
  <c r="AF3047" i="19" s="1"/>
  <c r="AF3048" i="19" s="1"/>
  <c r="AF3049" i="19" s="1"/>
  <c r="AF3050" i="19" s="1"/>
  <c r="AF3051" i="19" s="1"/>
  <c r="AF3052" i="19" s="1"/>
  <c r="AF3053" i="19" s="1"/>
  <c r="AF3054" i="19" s="1"/>
  <c r="AF3055" i="19" s="1"/>
  <c r="AF3056" i="19" s="1"/>
  <c r="AF3057" i="19" s="1"/>
  <c r="AF3058" i="19" s="1"/>
  <c r="AF3059" i="19" s="1"/>
  <c r="AF3060" i="19" s="1"/>
  <c r="AF3061" i="19" s="1"/>
  <c r="AF3062" i="19" s="1"/>
  <c r="AF3063" i="19" s="1"/>
  <c r="AF3064" i="19" s="1"/>
  <c r="AF3065" i="19" s="1"/>
  <c r="AF3066" i="19" s="1"/>
  <c r="AF3067" i="19" s="1"/>
  <c r="AF3068" i="19" s="1"/>
  <c r="AF3069" i="19" s="1"/>
  <c r="AF3087" i="19"/>
  <c r="AF3088" i="19" s="1"/>
  <c r="AF3089" i="19" s="1"/>
  <c r="AF3090" i="19" s="1"/>
  <c r="AF3091" i="19" s="1"/>
  <c r="AF3092" i="19" s="1"/>
  <c r="AF3093" i="19" s="1"/>
  <c r="AF3094" i="19" s="1"/>
  <c r="AF3095" i="19" s="1"/>
  <c r="AF3096" i="19" s="1"/>
  <c r="AF3097" i="19" s="1"/>
  <c r="AF3098" i="19" s="1"/>
  <c r="AF3099" i="19" s="1"/>
  <c r="AF3100" i="19" s="1"/>
  <c r="AF3101" i="19" s="1"/>
  <c r="AF3102" i="19" s="1"/>
  <c r="AF3103" i="19"/>
  <c r="AF3120" i="19" s="1"/>
  <c r="AF1687" i="19"/>
  <c r="AF1704" i="19" s="1"/>
  <c r="AF1668" i="19"/>
  <c r="AF1669" i="19" s="1"/>
  <c r="AF1670" i="19" s="1"/>
  <c r="AF1671" i="19" s="1"/>
  <c r="AF1672" i="19" s="1"/>
  <c r="AF1673" i="19" s="1"/>
  <c r="AF1674" i="19" s="1"/>
  <c r="AF1675" i="19" s="1"/>
  <c r="AF1676" i="19" s="1"/>
  <c r="AF1677" i="19" s="1"/>
  <c r="AF1678" i="19" s="1"/>
  <c r="AF1679" i="19" s="1"/>
  <c r="AF1680" i="19" s="1"/>
  <c r="AF1681" i="19" s="1"/>
  <c r="AF1682" i="19" s="1"/>
  <c r="AF1683" i="19" s="1"/>
  <c r="AF1684" i="19" s="1"/>
  <c r="AF1685" i="19" s="1"/>
  <c r="AF1686" i="19" s="1"/>
  <c r="AF399" i="19"/>
  <c r="AF416" i="19" s="1"/>
  <c r="AF390" i="19"/>
  <c r="AF391" i="19" s="1"/>
  <c r="AF392" i="19" s="1"/>
  <c r="AF393" i="19" s="1"/>
  <c r="AF394" i="19" s="1"/>
  <c r="AF395" i="19" s="1"/>
  <c r="AF396" i="19" s="1"/>
  <c r="AF397" i="19" s="1"/>
  <c r="AF398" i="19" s="1"/>
  <c r="I32" i="21"/>
  <c r="F8" i="21"/>
  <c r="H29" i="21"/>
  <c r="H28" i="21"/>
  <c r="H27" i="21"/>
  <c r="H26" i="21"/>
  <c r="H25" i="21"/>
  <c r="H24" i="21"/>
  <c r="H23" i="21"/>
  <c r="H22" i="21"/>
  <c r="H21" i="21"/>
  <c r="H20" i="21"/>
  <c r="H19" i="21"/>
  <c r="H18" i="21"/>
  <c r="H17" i="21"/>
  <c r="H16" i="21"/>
  <c r="G13" i="21"/>
  <c r="AF4675" i="19" l="1"/>
  <c r="AF4676" i="19" s="1"/>
  <c r="AF4677" i="19" s="1"/>
  <c r="AF4678" i="19" s="1"/>
  <c r="AF4679" i="19" s="1"/>
  <c r="AF4680" i="19" s="1"/>
  <c r="AF4681" i="19" s="1"/>
  <c r="AF4682" i="19" s="1"/>
  <c r="AF4683" i="19" s="1"/>
  <c r="AF4684" i="19" s="1"/>
  <c r="AF4685" i="19" s="1"/>
  <c r="AF4686" i="19" s="1"/>
  <c r="AF4687" i="19" s="1"/>
  <c r="AF4688" i="19" s="1"/>
  <c r="AF4723" i="19"/>
  <c r="AF4743" i="19" s="1"/>
  <c r="AF4707" i="19"/>
  <c r="AF4708" i="19" s="1"/>
  <c r="AF4709" i="19" s="1"/>
  <c r="AF4710" i="19" s="1"/>
  <c r="AF4711" i="19" s="1"/>
  <c r="AF4712" i="19" s="1"/>
  <c r="AF4713" i="19" s="1"/>
  <c r="AF4714" i="19" s="1"/>
  <c r="AF4715" i="19" s="1"/>
  <c r="AF4716" i="19" s="1"/>
  <c r="AF4717" i="19" s="1"/>
  <c r="AF4718" i="19" s="1"/>
  <c r="AF4719" i="19" s="1"/>
  <c r="AF4720" i="19" s="1"/>
  <c r="AF4721" i="19" s="1"/>
  <c r="AF4722" i="19" s="1"/>
  <c r="AF3121" i="19"/>
  <c r="AF3122" i="19" s="1"/>
  <c r="AF3123" i="19" s="1"/>
  <c r="AF3124" i="19" s="1"/>
  <c r="AF3125" i="19" s="1"/>
  <c r="AF3126" i="19" s="1"/>
  <c r="AF3127" i="19" s="1"/>
  <c r="AF3128" i="19" s="1"/>
  <c r="AF3129" i="19" s="1"/>
  <c r="AF3130" i="19" s="1"/>
  <c r="AF3131" i="19" s="1"/>
  <c r="AF3132" i="19" s="1"/>
  <c r="AF3133" i="19" s="1"/>
  <c r="AF3134" i="19" s="1"/>
  <c r="AF3135" i="19" s="1"/>
  <c r="AF3136" i="19" s="1"/>
  <c r="AF3137" i="19" s="1"/>
  <c r="AF3138" i="19" s="1"/>
  <c r="AF3139" i="19" s="1"/>
  <c r="AF3140" i="19" s="1"/>
  <c r="AF3141" i="19" s="1"/>
  <c r="AF3142" i="19" s="1"/>
  <c r="AF3143" i="19" s="1"/>
  <c r="AF3144" i="19" s="1"/>
  <c r="AF3145" i="19" s="1"/>
  <c r="AF3146" i="19" s="1"/>
  <c r="AF3147" i="19" s="1"/>
  <c r="AF3148" i="19" s="1"/>
  <c r="AF3149" i="19" s="1"/>
  <c r="AF3150" i="19" s="1"/>
  <c r="AF3151" i="19" s="1"/>
  <c r="AF3152" i="19" s="1"/>
  <c r="AF3153" i="19" s="1"/>
  <c r="AF3154" i="19" s="1"/>
  <c r="AF3155" i="19" s="1"/>
  <c r="AF3156" i="19" s="1"/>
  <c r="AF3157" i="19" s="1"/>
  <c r="AF3158" i="19" s="1"/>
  <c r="AF3159" i="19" s="1"/>
  <c r="AF3160" i="19" s="1"/>
  <c r="AF3161" i="19"/>
  <c r="AF3177" i="19" s="1"/>
  <c r="AF1743" i="19"/>
  <c r="AF1760" i="19" s="1"/>
  <c r="AF1762" i="19" s="1"/>
  <c r="AF1778" i="19" s="1"/>
  <c r="AF1705" i="19"/>
  <c r="AF1706" i="19" s="1"/>
  <c r="AF1707" i="19" s="1"/>
  <c r="AF1708" i="19" s="1"/>
  <c r="AF1709" i="19" s="1"/>
  <c r="AF1710" i="19" s="1"/>
  <c r="AF1711" i="19" s="1"/>
  <c r="AF1712" i="19" s="1"/>
  <c r="AF1713" i="19" s="1"/>
  <c r="AF1714" i="19" s="1"/>
  <c r="AF1715" i="19" s="1"/>
  <c r="AF1716" i="19" s="1"/>
  <c r="AF1717" i="19" s="1"/>
  <c r="AF1718" i="19" s="1"/>
  <c r="AF1719" i="19" s="1"/>
  <c r="AF1720" i="19" s="1"/>
  <c r="AF1721" i="19" s="1"/>
  <c r="AF1722" i="19" s="1"/>
  <c r="AF1723" i="19" s="1"/>
  <c r="AF1724" i="19" s="1"/>
  <c r="AF1725" i="19" s="1"/>
  <c r="AF1726" i="19" s="1"/>
  <c r="AF1727" i="19" s="1"/>
  <c r="AF1728" i="19" s="1"/>
  <c r="AF1729" i="19" s="1"/>
  <c r="AF1730" i="19" s="1"/>
  <c r="AF1731" i="19" s="1"/>
  <c r="AF1732" i="19" s="1"/>
  <c r="AF1733" i="19" s="1"/>
  <c r="AF1734" i="19" s="1"/>
  <c r="AF1735" i="19" s="1"/>
  <c r="AF1736" i="19" s="1"/>
  <c r="AF1737" i="19" s="1"/>
  <c r="AF1738" i="19" s="1"/>
  <c r="AF1739" i="19" s="1"/>
  <c r="AF1740" i="19" s="1"/>
  <c r="AF1741" i="19" s="1"/>
  <c r="AF1742" i="19" s="1"/>
  <c r="AF430" i="19"/>
  <c r="AF445" i="19" s="1"/>
  <c r="AF417" i="19"/>
  <c r="AF418" i="19" s="1"/>
  <c r="AF419" i="19" s="1"/>
  <c r="AF420" i="19" s="1"/>
  <c r="AF421" i="19" s="1"/>
  <c r="AF422" i="19" s="1"/>
  <c r="AF423" i="19" s="1"/>
  <c r="AF424" i="19" s="1"/>
  <c r="AF425" i="19" s="1"/>
  <c r="AF426" i="19" s="1"/>
  <c r="AF427" i="19" s="1"/>
  <c r="AF428" i="19" s="1"/>
  <c r="AF429" i="19" s="1"/>
  <c r="I30" i="21"/>
  <c r="AF4757" i="19" l="1"/>
  <c r="AF4773" i="19" s="1"/>
  <c r="AF4744" i="19"/>
  <c r="AF4745" i="19" s="1"/>
  <c r="AF4746" i="19" s="1"/>
  <c r="AF4747" i="19" s="1"/>
  <c r="AF4748" i="19" s="1"/>
  <c r="AF4749" i="19" s="1"/>
  <c r="AF4750" i="19" s="1"/>
  <c r="AF4751" i="19" s="1"/>
  <c r="AF4752" i="19" s="1"/>
  <c r="AF4753" i="19" s="1"/>
  <c r="AF4754" i="19" s="1"/>
  <c r="AF4755" i="19" s="1"/>
  <c r="AF4756" i="19" s="1"/>
  <c r="AF3178" i="19"/>
  <c r="AF3179" i="19" s="1"/>
  <c r="AF3180" i="19" s="1"/>
  <c r="AF3181" i="19" s="1"/>
  <c r="AF3182" i="19" s="1"/>
  <c r="AF3183" i="19" s="1"/>
  <c r="AF3184" i="19" s="1"/>
  <c r="AF3185" i="19" s="1"/>
  <c r="AF3186" i="19" s="1"/>
  <c r="AF3187" i="19" s="1"/>
  <c r="AF3188" i="19" s="1"/>
  <c r="AF3189" i="19" s="1"/>
  <c r="AF3190" i="19" s="1"/>
  <c r="AF3191" i="19" s="1"/>
  <c r="AF3192" i="19" s="1"/>
  <c r="AF3193" i="19" s="1"/>
  <c r="AF3194" i="19" s="1"/>
  <c r="AF3195" i="19" s="1"/>
  <c r="AF3196" i="19" s="1"/>
  <c r="AF3197" i="19" s="1"/>
  <c r="AF3198" i="19" s="1"/>
  <c r="AF3199" i="19"/>
  <c r="AF3214" i="19" s="1"/>
  <c r="AF1761" i="19"/>
  <c r="AF1779" i="19"/>
  <c r="AF1780" i="19" s="1"/>
  <c r="AF1781" i="19" s="1"/>
  <c r="AF1782" i="19" s="1"/>
  <c r="AF1783" i="19" s="1"/>
  <c r="AF1784" i="19" s="1"/>
  <c r="AF1785" i="19" s="1"/>
  <c r="AF1786" i="19" s="1"/>
  <c r="AF1787" i="19" s="1"/>
  <c r="AF1788" i="19" s="1"/>
  <c r="AF1789" i="19" s="1"/>
  <c r="AF1790" i="19" s="1"/>
  <c r="AF1791" i="19" s="1"/>
  <c r="AF1792" i="19" s="1"/>
  <c r="AF1793" i="19"/>
  <c r="AF1810" i="19" s="1"/>
  <c r="AF453" i="19"/>
  <c r="AF470" i="19" s="1"/>
  <c r="AF446" i="19"/>
  <c r="AF447" i="19" s="1"/>
  <c r="AF448" i="19" s="1"/>
  <c r="AF449" i="19" s="1"/>
  <c r="AF450" i="19" s="1"/>
  <c r="AF451" i="19" s="1"/>
  <c r="AF452" i="19" s="1"/>
  <c r="E10" i="21"/>
  <c r="F10" i="21"/>
  <c r="H17" i="20"/>
  <c r="H16" i="20"/>
  <c r="H15" i="20"/>
  <c r="H14" i="20"/>
  <c r="H13" i="20"/>
  <c r="H12" i="20"/>
  <c r="H10" i="20"/>
  <c r="H9" i="20"/>
  <c r="H8" i="20"/>
  <c r="H7" i="20"/>
  <c r="H6" i="20"/>
  <c r="H5" i="20"/>
  <c r="E8" i="21"/>
  <c r="AF4774" i="19" l="1"/>
  <c r="AF4775" i="19" s="1"/>
  <c r="AF4776" i="19" s="1"/>
  <c r="AF4777" i="19" s="1"/>
  <c r="AF4778" i="19" s="1"/>
  <c r="AF4779" i="19" s="1"/>
  <c r="AF4780" i="19" s="1"/>
  <c r="AF4781" i="19" s="1"/>
  <c r="AF4782" i="19" s="1"/>
  <c r="AF4783" i="19" s="1"/>
  <c r="AF4784" i="19"/>
  <c r="AF4803" i="19" s="1"/>
  <c r="AF4804" i="19" s="1"/>
  <c r="AF4805" i="19" s="1"/>
  <c r="AF4806" i="19" s="1"/>
  <c r="AF4807" i="19" s="1"/>
  <c r="AF4808" i="19" s="1"/>
  <c r="AF4809" i="19" s="1"/>
  <c r="AF4810" i="19" s="1"/>
  <c r="AF4830" i="19" s="1"/>
  <c r="AF3215" i="19"/>
  <c r="AF3216" i="19" s="1"/>
  <c r="AF3217" i="19" s="1"/>
  <c r="AF3218" i="19" s="1"/>
  <c r="AF3219" i="19" s="1"/>
  <c r="AF3220" i="19" s="1"/>
  <c r="AF3221" i="19" s="1"/>
  <c r="AF3222" i="19"/>
  <c r="AF1824" i="19"/>
  <c r="AF1840" i="19" s="1"/>
  <c r="AF1811" i="19"/>
  <c r="AF1812" i="19" s="1"/>
  <c r="AF1813" i="19" s="1"/>
  <c r="AF1814" i="19" s="1"/>
  <c r="AF1815" i="19" s="1"/>
  <c r="AF1816" i="19" s="1"/>
  <c r="AF1817" i="19" s="1"/>
  <c r="AF1818" i="19" s="1"/>
  <c r="AF1819" i="19" s="1"/>
  <c r="AF1820" i="19" s="1"/>
  <c r="AF1821" i="19" s="1"/>
  <c r="AF1822" i="19" s="1"/>
  <c r="AF1823" i="19" s="1"/>
  <c r="AF474" i="19"/>
  <c r="AF490" i="19" s="1"/>
  <c r="AF471" i="19"/>
  <c r="AF472" i="19" s="1"/>
  <c r="AF473" i="19" s="1"/>
  <c r="F9" i="21"/>
  <c r="F13" i="21" s="1"/>
  <c r="F13" i="23"/>
  <c r="I16" i="20"/>
  <c r="AF4831" i="19" l="1"/>
  <c r="AF4832" i="19" s="1"/>
  <c r="AF4833" i="19" s="1"/>
  <c r="AF4834" i="19" s="1"/>
  <c r="AF4835" i="19" s="1"/>
  <c r="AF4836" i="19" s="1"/>
  <c r="AF4837" i="19" s="1"/>
  <c r="AF4838" i="19" s="1"/>
  <c r="AF4839" i="19" s="1"/>
  <c r="AF4840" i="19" s="1"/>
  <c r="AF4841" i="19" s="1"/>
  <c r="AF4842" i="19" s="1"/>
  <c r="AF4843" i="19" s="1"/>
  <c r="AF4844" i="19" s="1"/>
  <c r="AF4845" i="19" s="1"/>
  <c r="AF4846" i="19" s="1"/>
  <c r="AF4847" i="19" s="1"/>
  <c r="AF4848" i="19" s="1"/>
  <c r="AF4849" i="19" s="1"/>
  <c r="AF4850" i="19" s="1"/>
  <c r="AF4851" i="19" s="1"/>
  <c r="AF4852" i="19" s="1"/>
  <c r="AF4853" i="19" s="1"/>
  <c r="AF4854" i="19"/>
  <c r="AF4871" i="19" s="1"/>
  <c r="AF1841" i="19"/>
  <c r="AF1842" i="19" s="1"/>
  <c r="AF1843" i="19" s="1"/>
  <c r="AF1844" i="19" s="1"/>
  <c r="AF1845" i="19" s="1"/>
  <c r="AF1846" i="19" s="1"/>
  <c r="AF1847" i="19" s="1"/>
  <c r="AF1848" i="19" s="1"/>
  <c r="AF1849" i="19" s="1"/>
  <c r="AF1850" i="19" s="1"/>
  <c r="AF1851" i="19" s="1"/>
  <c r="AF1852" i="19" s="1"/>
  <c r="AF1853" i="19" s="1"/>
  <c r="AF1854" i="19" s="1"/>
  <c r="AF1855" i="19" s="1"/>
  <c r="AF1856" i="19" s="1"/>
  <c r="AF1857" i="19" s="1"/>
  <c r="AF1858" i="19" s="1"/>
  <c r="AF1859" i="19" s="1"/>
  <c r="AF1860" i="19" s="1"/>
  <c r="AF1861" i="19" s="1"/>
  <c r="AF1862" i="19" s="1"/>
  <c r="AF1863" i="19" s="1"/>
  <c r="AF1864" i="19" s="1"/>
  <c r="AF1865" i="19"/>
  <c r="AF1881" i="19" s="1"/>
  <c r="AF499" i="19"/>
  <c r="AF516" i="19" s="1"/>
  <c r="AF491" i="19"/>
  <c r="AF492" i="19" s="1"/>
  <c r="AF493" i="19" s="1"/>
  <c r="AF494" i="19" s="1"/>
  <c r="AF495" i="19" s="1"/>
  <c r="AF496" i="19" s="1"/>
  <c r="AF497" i="19" s="1"/>
  <c r="AF498" i="19" s="1"/>
  <c r="E9" i="21"/>
  <c r="E12" i="21" s="1"/>
  <c r="E12" i="23"/>
  <c r="I12" i="23" s="1"/>
  <c r="AF4872" i="19" l="1"/>
  <c r="AF4873" i="19" s="1"/>
  <c r="AF4874" i="19" s="1"/>
  <c r="AF4875" i="19" s="1"/>
  <c r="AF4876" i="19" s="1"/>
  <c r="AF4877" i="19" s="1"/>
  <c r="AF4878" i="19" s="1"/>
  <c r="AF4879" i="19" s="1"/>
  <c r="AF4880" i="19" s="1"/>
  <c r="AF4881" i="19" s="1"/>
  <c r="AF4882" i="19" s="1"/>
  <c r="AF4883" i="19" s="1"/>
  <c r="AF4884" i="19" s="1"/>
  <c r="AF4885" i="19" s="1"/>
  <c r="AF4886" i="19" s="1"/>
  <c r="AF4887" i="19" s="1"/>
  <c r="AF4888" i="19" s="1"/>
  <c r="AF4889" i="19" s="1"/>
  <c r="AF4890" i="19" s="1"/>
  <c r="AF4891" i="19" s="1"/>
  <c r="AF4892" i="19" s="1"/>
  <c r="AF4893" i="19" s="1"/>
  <c r="AF4894" i="19" s="1"/>
  <c r="AF4912" i="19" s="1"/>
  <c r="AF4913" i="19" s="1"/>
  <c r="AF4914" i="19" s="1"/>
  <c r="AF4915" i="19" s="1"/>
  <c r="AF4916" i="19" s="1"/>
  <c r="AF4917" i="19" s="1"/>
  <c r="AF1882" i="19"/>
  <c r="AF1883" i="19" s="1"/>
  <c r="AF1884" i="19" s="1"/>
  <c r="AF1885" i="19" s="1"/>
  <c r="AF1886" i="19" s="1"/>
  <c r="AF1887" i="19" s="1"/>
  <c r="AF1888" i="19" s="1"/>
  <c r="AF1889" i="19" s="1"/>
  <c r="AF1906" i="19" s="1"/>
  <c r="AF1890" i="19"/>
  <c r="AF523" i="19"/>
  <c r="AF541" i="19" s="1"/>
  <c r="AF517" i="19"/>
  <c r="AF518" i="19" s="1"/>
  <c r="AF519" i="19" s="1"/>
  <c r="AF520" i="19" s="1"/>
  <c r="AF521" i="19" s="1"/>
  <c r="AF522" i="19" s="1"/>
  <c r="H17" i="17"/>
  <c r="H28" i="17"/>
  <c r="H18" i="17"/>
  <c r="H19" i="17"/>
  <c r="H20" i="17"/>
  <c r="H21" i="17"/>
  <c r="H22" i="17"/>
  <c r="H23" i="17"/>
  <c r="H24" i="17"/>
  <c r="H25" i="17"/>
  <c r="H26" i="17"/>
  <c r="H27" i="17"/>
  <c r="H29" i="17"/>
  <c r="H16" i="17"/>
  <c r="G13" i="17"/>
  <c r="F9" i="17"/>
  <c r="E9" i="17"/>
  <c r="F8" i="17"/>
  <c r="AF4918" i="19" l="1"/>
  <c r="AF4935" i="19" s="1"/>
  <c r="AF4936" i="19" s="1"/>
  <c r="AF4937" i="19" s="1"/>
  <c r="AF1907" i="19"/>
  <c r="AF1908" i="19" s="1"/>
  <c r="AF1909" i="19" s="1"/>
  <c r="AF1910" i="19" s="1"/>
  <c r="AF1911" i="19" s="1"/>
  <c r="AF1912" i="19" s="1"/>
  <c r="AF1913" i="19" s="1"/>
  <c r="AF1914" i="19" s="1"/>
  <c r="AF1915" i="19" s="1"/>
  <c r="AF1916" i="19" s="1"/>
  <c r="AF1917" i="19" s="1"/>
  <c r="AF1918" i="19" s="1"/>
  <c r="AF1919" i="19" s="1"/>
  <c r="AF1920" i="19" s="1"/>
  <c r="AF1921" i="19" s="1"/>
  <c r="AF1922" i="19" s="1"/>
  <c r="AF1923" i="19" s="1"/>
  <c r="AF1924" i="19" s="1"/>
  <c r="AF1941" i="19" s="1"/>
  <c r="AF1925" i="19"/>
  <c r="AF562" i="19"/>
  <c r="AF579" i="19" s="1"/>
  <c r="AF542" i="19"/>
  <c r="AF543" i="19" s="1"/>
  <c r="AF544" i="19" s="1"/>
  <c r="AF545" i="19" s="1"/>
  <c r="AF546" i="19" s="1"/>
  <c r="AF547" i="19" s="1"/>
  <c r="AF548" i="19" s="1"/>
  <c r="AF549" i="19" s="1"/>
  <c r="AF550" i="19" s="1"/>
  <c r="AF551" i="19" s="1"/>
  <c r="AF552" i="19" s="1"/>
  <c r="AF553" i="19" s="1"/>
  <c r="AF554" i="19" s="1"/>
  <c r="AF555" i="19" s="1"/>
  <c r="AF556" i="19" s="1"/>
  <c r="AF557" i="19" s="1"/>
  <c r="AF558" i="19" s="1"/>
  <c r="AF559" i="19" s="1"/>
  <c r="AF560" i="19" s="1"/>
  <c r="AF561" i="19" s="1"/>
  <c r="E10" i="17"/>
  <c r="F10" i="17"/>
  <c r="F13" i="17" s="1"/>
  <c r="E8" i="17"/>
  <c r="I30" i="17"/>
  <c r="G9" i="13"/>
  <c r="F9" i="13" s="1"/>
  <c r="E9" i="13"/>
  <c r="G8" i="13"/>
  <c r="F8" i="13" s="1"/>
  <c r="G8" i="12"/>
  <c r="E8" i="13"/>
  <c r="E9" i="12"/>
  <c r="G9" i="12"/>
  <c r="E8" i="12"/>
  <c r="H27" i="12"/>
  <c r="H26" i="12"/>
  <c r="H25" i="12"/>
  <c r="H24" i="12"/>
  <c r="H23" i="12"/>
  <c r="H22" i="12"/>
  <c r="H20" i="12"/>
  <c r="H19" i="12"/>
  <c r="H18" i="12"/>
  <c r="H17" i="12"/>
  <c r="H16" i="12"/>
  <c r="H15" i="12"/>
  <c r="H14" i="12"/>
  <c r="H11" i="12"/>
  <c r="AF4938" i="19" l="1"/>
  <c r="AF4955" i="19" s="1"/>
  <c r="AF4987" i="19" s="1"/>
  <c r="AF5004" i="19" s="1"/>
  <c r="AF1942" i="19"/>
  <c r="AF1943" i="19" s="1"/>
  <c r="AF1944" i="19" s="1"/>
  <c r="AF1945" i="19" s="1"/>
  <c r="AF1962" i="19" s="1"/>
  <c r="AF1946" i="19"/>
  <c r="AF587" i="19"/>
  <c r="AF604" i="19" s="1"/>
  <c r="AF580" i="19"/>
  <c r="AF581" i="19" s="1"/>
  <c r="AF582" i="19" s="1"/>
  <c r="AF583" i="19" s="1"/>
  <c r="AF584" i="19" s="1"/>
  <c r="AF585" i="19" s="1"/>
  <c r="AF586" i="19" s="1"/>
  <c r="I5" i="21"/>
  <c r="I12" i="21" s="1"/>
  <c r="E12" i="17"/>
  <c r="F8" i="12"/>
  <c r="F9" i="12"/>
  <c r="G11" i="12"/>
  <c r="I28" i="12"/>
  <c r="AF5019" i="19" l="1"/>
  <c r="AF5036" i="19" s="1"/>
  <c r="AF5005" i="19"/>
  <c r="AF5006" i="19" s="1"/>
  <c r="AF5007" i="19" s="1"/>
  <c r="AF5008" i="19" s="1"/>
  <c r="AF5009" i="19" s="1"/>
  <c r="AF5010" i="19" s="1"/>
  <c r="AF5011" i="19" s="1"/>
  <c r="AF5012" i="19" s="1"/>
  <c r="AF5013" i="19" s="1"/>
  <c r="AF5014" i="19" s="1"/>
  <c r="AF5015" i="19" s="1"/>
  <c r="AF5016" i="19" s="1"/>
  <c r="AF5017" i="19" s="1"/>
  <c r="AF5018" i="19" s="1"/>
  <c r="AF4956" i="19"/>
  <c r="AF4957" i="19" s="1"/>
  <c r="AF4958" i="19" s="1"/>
  <c r="AF4959" i="19" s="1"/>
  <c r="AF4960" i="19" s="1"/>
  <c r="AF4961" i="19" s="1"/>
  <c r="AF4962" i="19" s="1"/>
  <c r="AF4963" i="19" s="1"/>
  <c r="AF4964" i="19" s="1"/>
  <c r="AF4965" i="19" s="1"/>
  <c r="AF4966" i="19" s="1"/>
  <c r="AF4967" i="19" s="1"/>
  <c r="AF4968" i="19" s="1"/>
  <c r="AF4969" i="19" s="1"/>
  <c r="AF4970" i="19" s="1"/>
  <c r="AF4971" i="19" s="1"/>
  <c r="AF4972" i="19" s="1"/>
  <c r="AF4973" i="19" s="1"/>
  <c r="AF4974" i="19" s="1"/>
  <c r="AF4975" i="19" s="1"/>
  <c r="AF4976" i="19" s="1"/>
  <c r="AF4977" i="19" s="1"/>
  <c r="AF4978" i="19" s="1"/>
  <c r="AF4979" i="19" s="1"/>
  <c r="AF4980" i="19" s="1"/>
  <c r="AF4981" i="19" s="1"/>
  <c r="AF4982" i="19" s="1"/>
  <c r="AF4983" i="19" s="1"/>
  <c r="AF4984" i="19" s="1"/>
  <c r="AF4985" i="19" s="1"/>
  <c r="AF4986" i="19" s="1"/>
  <c r="AF1963" i="19"/>
  <c r="AF1964" i="19" s="1"/>
  <c r="AF1965" i="19" s="1"/>
  <c r="AF1966" i="19" s="1"/>
  <c r="AF1967" i="19" s="1"/>
  <c r="AF1968" i="19" s="1"/>
  <c r="AF1969" i="19" s="1"/>
  <c r="AF1970" i="19" s="1"/>
  <c r="AF1971" i="19" s="1"/>
  <c r="AF1972" i="19" s="1"/>
  <c r="AF1973" i="19" s="1"/>
  <c r="AF1974" i="19" s="1"/>
  <c r="AF1975" i="19" s="1"/>
  <c r="AF1976" i="19" s="1"/>
  <c r="AF1977" i="19" s="1"/>
  <c r="AF1978" i="19" s="1"/>
  <c r="AF1979" i="19" s="1"/>
  <c r="AF1980" i="19"/>
  <c r="AF1998" i="19" s="1"/>
  <c r="AF611" i="19"/>
  <c r="AF628" i="19" s="1"/>
  <c r="AF605" i="19"/>
  <c r="AF606" i="19" s="1"/>
  <c r="AF607" i="19" s="1"/>
  <c r="AF608" i="19" s="1"/>
  <c r="AF609" i="19" s="1"/>
  <c r="AF610" i="19" s="1"/>
  <c r="I32" i="23"/>
  <c r="I8" i="21"/>
  <c r="I9" i="21" s="1"/>
  <c r="I10" i="21" s="1"/>
  <c r="F11" i="12"/>
  <c r="G16" i="11"/>
  <c r="G15" i="11"/>
  <c r="G14" i="11"/>
  <c r="G13" i="11"/>
  <c r="G12" i="11"/>
  <c r="G11" i="11"/>
  <c r="G10" i="11"/>
  <c r="G9" i="11"/>
  <c r="G8" i="11"/>
  <c r="G12" i="8"/>
  <c r="E16" i="11"/>
  <c r="AF5037" i="19" l="1"/>
  <c r="AF5038" i="19" s="1"/>
  <c r="AF5039" i="19" s="1"/>
  <c r="AF5040" i="19" s="1"/>
  <c r="AF5041" i="19" s="1"/>
  <c r="AF5042" i="19" s="1"/>
  <c r="AF5043" i="19" s="1"/>
  <c r="AF5044" i="19" s="1"/>
  <c r="AF5045" i="19" s="1"/>
  <c r="AF5046" i="19" s="1"/>
  <c r="AF5047" i="19" s="1"/>
  <c r="AF5048" i="19" s="1"/>
  <c r="AF5049" i="19"/>
  <c r="AF5066" i="19" s="1"/>
  <c r="AF641" i="19"/>
  <c r="AF658" i="19" s="1"/>
  <c r="AF682" i="19" s="1"/>
  <c r="AF629" i="19"/>
  <c r="AF630" i="19" s="1"/>
  <c r="AF631" i="19" s="1"/>
  <c r="AF632" i="19" s="1"/>
  <c r="AF633" i="19" s="1"/>
  <c r="AF634" i="19" s="1"/>
  <c r="AF635" i="19" s="1"/>
  <c r="AF636" i="19" s="1"/>
  <c r="AF637" i="19" s="1"/>
  <c r="AF638" i="19" s="1"/>
  <c r="AF639" i="19" s="1"/>
  <c r="AF640" i="19" s="1"/>
  <c r="I8" i="23"/>
  <c r="I9" i="23" s="1"/>
  <c r="I10" i="23" s="1"/>
  <c r="E15" i="11"/>
  <c r="F15" i="11"/>
  <c r="F8" i="11"/>
  <c r="F16" i="11"/>
  <c r="F12" i="8"/>
  <c r="H34" i="11"/>
  <c r="H33" i="11"/>
  <c r="H32" i="11"/>
  <c r="H31" i="11"/>
  <c r="H30" i="11"/>
  <c r="H29" i="11"/>
  <c r="H27" i="11"/>
  <c r="H26" i="11"/>
  <c r="H25" i="11"/>
  <c r="H24" i="11"/>
  <c r="H23" i="11"/>
  <c r="H22" i="11"/>
  <c r="H21" i="11"/>
  <c r="H18" i="11"/>
  <c r="AF5067" i="19" l="1"/>
  <c r="AF5068" i="19" s="1"/>
  <c r="AF5069" i="19" s="1"/>
  <c r="AF5070" i="19" s="1"/>
  <c r="AF5071" i="19" s="1"/>
  <c r="AF5072" i="19" s="1"/>
  <c r="AF5073" i="19" s="1"/>
  <c r="AF5074" i="19" s="1"/>
  <c r="AF5075" i="19" s="1"/>
  <c r="AF5076" i="19" s="1"/>
  <c r="AF5077" i="19" s="1"/>
  <c r="AF5078" i="19" s="1"/>
  <c r="AF5079" i="19" s="1"/>
  <c r="AF5080" i="19" s="1"/>
  <c r="AF5081" i="19" s="1"/>
  <c r="AF5082" i="19" s="1"/>
  <c r="AF5083" i="19" s="1"/>
  <c r="AF5084" i="19" s="1"/>
  <c r="AF5085" i="19" s="1"/>
  <c r="AF5086" i="19" s="1"/>
  <c r="AF5087" i="19" s="1"/>
  <c r="AF5088" i="19" s="1"/>
  <c r="AF5089" i="19" s="1"/>
  <c r="AF5090" i="19" s="1"/>
  <c r="AF5091" i="19" s="1"/>
  <c r="AF5092" i="19" s="1"/>
  <c r="AF5093" i="19" s="1"/>
  <c r="AF5094" i="19" s="1"/>
  <c r="AF5095" i="19" s="1"/>
  <c r="AF5096" i="19" s="1"/>
  <c r="AF5097" i="19" s="1"/>
  <c r="AF5114" i="19" s="1"/>
  <c r="AF1999" i="19"/>
  <c r="AF2000" i="19" s="1"/>
  <c r="AF2001" i="19" s="1"/>
  <c r="AF2002" i="19" s="1"/>
  <c r="AF2003" i="19" s="1"/>
  <c r="AF2004" i="19" s="1"/>
  <c r="AF2005" i="19" s="1"/>
  <c r="AF2006" i="19" s="1"/>
  <c r="AF2007" i="19" s="1"/>
  <c r="AF2008" i="19" s="1"/>
  <c r="AF2009" i="19" s="1"/>
  <c r="AF2010" i="19" s="1"/>
  <c r="AF2011" i="19" s="1"/>
  <c r="AF2012" i="19" s="1"/>
  <c r="AF2013" i="19" s="1"/>
  <c r="AF2014" i="19" s="1"/>
  <c r="AF2015" i="19" s="1"/>
  <c r="AF2016" i="19" s="1"/>
  <c r="AF2017" i="19" s="1"/>
  <c r="AF2018" i="19" s="1"/>
  <c r="AF2019" i="19" s="1"/>
  <c r="AF2020" i="19" s="1"/>
  <c r="AF2021" i="19" s="1"/>
  <c r="AF2022" i="19" s="1"/>
  <c r="AF2023" i="19" s="1"/>
  <c r="AF2024" i="19" s="1"/>
  <c r="AF2025" i="19" s="1"/>
  <c r="AF2026" i="19" s="1"/>
  <c r="AF2027" i="19" s="1"/>
  <c r="AF2028" i="19" s="1"/>
  <c r="AF2029" i="19" s="1"/>
  <c r="AF2030" i="19" s="1"/>
  <c r="AF2031" i="19" s="1"/>
  <c r="AF2032" i="19" s="1"/>
  <c r="AF2033" i="19" s="1"/>
  <c r="AF2034" i="19" s="1"/>
  <c r="AF2035" i="19" s="1"/>
  <c r="AF2036" i="19" s="1"/>
  <c r="AF2037" i="19" s="1"/>
  <c r="AF2038" i="19"/>
  <c r="AF2055" i="19" s="1"/>
  <c r="AF659" i="19"/>
  <c r="AF660" i="19" s="1"/>
  <c r="AF661" i="19" s="1"/>
  <c r="AF662" i="19" s="1"/>
  <c r="AF663" i="19" s="1"/>
  <c r="AF664" i="19" s="1"/>
  <c r="AF665" i="19" s="1"/>
  <c r="AF666" i="19" s="1"/>
  <c r="AF667" i="19" s="1"/>
  <c r="AF668" i="19" s="1"/>
  <c r="AF669" i="19" s="1"/>
  <c r="AF670" i="19" s="1"/>
  <c r="AF671" i="19" s="1"/>
  <c r="AF672" i="19" s="1"/>
  <c r="AF673" i="19" s="1"/>
  <c r="AF674" i="19" s="1"/>
  <c r="AF675" i="19" s="1"/>
  <c r="AF676" i="19" s="1"/>
  <c r="AF677" i="19" s="1"/>
  <c r="AF678" i="19" s="1"/>
  <c r="AF679" i="19" s="1"/>
  <c r="AF680" i="19" s="1"/>
  <c r="AF681" i="19" s="1"/>
  <c r="E13" i="11"/>
  <c r="F10" i="11"/>
  <c r="F14" i="11"/>
  <c r="E10" i="11"/>
  <c r="E14" i="11"/>
  <c r="E11" i="11"/>
  <c r="E12" i="11"/>
  <c r="F9" i="11"/>
  <c r="F11" i="11"/>
  <c r="E8" i="11"/>
  <c r="F12" i="11"/>
  <c r="E9" i="11"/>
  <c r="F13" i="11"/>
  <c r="I35" i="11"/>
  <c r="G18" i="11"/>
  <c r="G11" i="8"/>
  <c r="G10" i="8"/>
  <c r="G9" i="8"/>
  <c r="G8" i="8"/>
  <c r="I5" i="8"/>
  <c r="H31" i="8"/>
  <c r="H30" i="8"/>
  <c r="H29" i="8"/>
  <c r="H28" i="8"/>
  <c r="H27" i="8"/>
  <c r="H26" i="8"/>
  <c r="H24" i="8"/>
  <c r="H23" i="8"/>
  <c r="H22" i="8"/>
  <c r="H21" i="8"/>
  <c r="H20" i="8"/>
  <c r="H19" i="8"/>
  <c r="H18" i="8"/>
  <c r="H15" i="8"/>
  <c r="E12" i="8"/>
  <c r="E9" i="8"/>
  <c r="AF5115" i="19" l="1"/>
  <c r="AF5116" i="19" s="1"/>
  <c r="AF5117" i="19" s="1"/>
  <c r="AF5118" i="19" s="1"/>
  <c r="AF5119" i="19" s="1"/>
  <c r="AF5120" i="19" s="1"/>
  <c r="AF5121" i="19" s="1"/>
  <c r="AF5122" i="19" s="1"/>
  <c r="AF5123" i="19" s="1"/>
  <c r="AF5140" i="19" s="1"/>
  <c r="AF5171" i="19" s="1"/>
  <c r="AF2064" i="19"/>
  <c r="AF2056" i="19"/>
  <c r="AF2057" i="19" s="1"/>
  <c r="AF2058" i="19" s="1"/>
  <c r="AF2059" i="19" s="1"/>
  <c r="AF2060" i="19" s="1"/>
  <c r="AF2061" i="19" s="1"/>
  <c r="AF2062" i="19" s="1"/>
  <c r="AF2063" i="19" s="1"/>
  <c r="AF2080" i="19" s="1"/>
  <c r="AF700" i="19"/>
  <c r="AF708" i="19" s="1"/>
  <c r="AF725" i="19" s="1"/>
  <c r="AF742" i="19" s="1"/>
  <c r="I32" i="8"/>
  <c r="E10" i="12"/>
  <c r="F9" i="8"/>
  <c r="E8" i="8"/>
  <c r="F18" i="11"/>
  <c r="E10" i="8"/>
  <c r="F10" i="8"/>
  <c r="F8" i="8"/>
  <c r="E11" i="8"/>
  <c r="F11" i="8"/>
  <c r="G15" i="8"/>
  <c r="AF5188" i="19" l="1"/>
  <c r="AF5141" i="19"/>
  <c r="AF5142" i="19" s="1"/>
  <c r="AF5143" i="19" s="1"/>
  <c r="AF5144" i="19" s="1"/>
  <c r="AF5145" i="19" s="1"/>
  <c r="AF5146" i="19" s="1"/>
  <c r="AF5147" i="19" s="1"/>
  <c r="AF5148" i="19" s="1"/>
  <c r="AF5149" i="19" s="1"/>
  <c r="AF5150" i="19" s="1"/>
  <c r="AF5151" i="19" s="1"/>
  <c r="AF5152" i="19" s="1"/>
  <c r="AF5153" i="19" s="1"/>
  <c r="AF5154" i="19" s="1"/>
  <c r="AF5155" i="19" s="1"/>
  <c r="AF5156" i="19" s="1"/>
  <c r="AF5157" i="19" s="1"/>
  <c r="AF5158" i="19" s="1"/>
  <c r="AF5159" i="19" s="1"/>
  <c r="AF5160" i="19" s="1"/>
  <c r="AF5161" i="19" s="1"/>
  <c r="AF5162" i="19" s="1"/>
  <c r="AF5163" i="19" s="1"/>
  <c r="AF5164" i="19" s="1"/>
  <c r="AF5165" i="19" s="1"/>
  <c r="AF5166" i="19" s="1"/>
  <c r="AF5167" i="19" s="1"/>
  <c r="AF5168" i="19" s="1"/>
  <c r="AF5169" i="19" s="1"/>
  <c r="AF5170" i="19" s="1"/>
  <c r="AF2081" i="19"/>
  <c r="AF2082" i="19" s="1"/>
  <c r="AF2083" i="19" s="1"/>
  <c r="AF2084" i="19" s="1"/>
  <c r="AF2085" i="19" s="1"/>
  <c r="AF2086" i="19" s="1"/>
  <c r="AF2087" i="19" s="1"/>
  <c r="AF2088" i="19" s="1"/>
  <c r="AF2089" i="19" s="1"/>
  <c r="AF2090" i="19" s="1"/>
  <c r="AF2091" i="19"/>
  <c r="AF2107" i="19" s="1"/>
  <c r="AF701" i="19"/>
  <c r="AF702" i="19" s="1"/>
  <c r="AF703" i="19" s="1"/>
  <c r="AF704" i="19" s="1"/>
  <c r="AF705" i="19" s="1"/>
  <c r="AF706" i="19" s="1"/>
  <c r="AF707" i="19" s="1"/>
  <c r="AF759" i="19"/>
  <c r="AF760" i="19" s="1"/>
  <c r="AF726" i="19"/>
  <c r="AF727" i="19" s="1"/>
  <c r="AF728" i="19" s="1"/>
  <c r="AF729" i="19" s="1"/>
  <c r="AF730" i="19" s="1"/>
  <c r="AF731" i="19" s="1"/>
  <c r="AF732" i="19" s="1"/>
  <c r="AF733" i="19" s="1"/>
  <c r="AF734" i="19" s="1"/>
  <c r="AF735" i="19" s="1"/>
  <c r="AF736" i="19" s="1"/>
  <c r="AF737" i="19" s="1"/>
  <c r="AF738" i="19" s="1"/>
  <c r="AF739" i="19" s="1"/>
  <c r="AF740" i="19" s="1"/>
  <c r="AF741" i="19" s="1"/>
  <c r="E14" i="8"/>
  <c r="I8" i="8"/>
  <c r="I9" i="8" s="1"/>
  <c r="I10" i="8" s="1"/>
  <c r="I11" i="8" s="1"/>
  <c r="I12" i="8" s="1"/>
  <c r="I8" i="11"/>
  <c r="E17" i="11"/>
  <c r="I17" i="11" s="1"/>
  <c r="I37" i="11" s="1"/>
  <c r="F15" i="8"/>
  <c r="AF5189" i="19" l="1"/>
  <c r="AF5190" i="19" s="1"/>
  <c r="AF5191" i="19" s="1"/>
  <c r="AF5192" i="19" s="1"/>
  <c r="AF5193" i="19" s="1"/>
  <c r="AF5194" i="19" s="1"/>
  <c r="AF2108" i="19"/>
  <c r="AF2109" i="19" s="1"/>
  <c r="AF2110" i="19" s="1"/>
  <c r="AF2111" i="19" s="1"/>
  <c r="AF2112" i="19" s="1"/>
  <c r="AF2113" i="19" s="1"/>
  <c r="AF2114" i="19" s="1"/>
  <c r="AF2115" i="19" s="1"/>
  <c r="AF2116" i="19" s="1"/>
  <c r="AF2117" i="19" s="1"/>
  <c r="AF2118" i="19" s="1"/>
  <c r="AF2119" i="19" s="1"/>
  <c r="AF2120" i="19" s="1"/>
  <c r="AF2121" i="19" s="1"/>
  <c r="AF2122" i="19" s="1"/>
  <c r="AF2123" i="19" s="1"/>
  <c r="AF2124" i="19" s="1"/>
  <c r="AF2125" i="19" s="1"/>
  <c r="AF2126" i="19" s="1"/>
  <c r="AF2127" i="19" s="1"/>
  <c r="AF2128" i="19" s="1"/>
  <c r="AF2129" i="19" s="1"/>
  <c r="AF2130" i="19" s="1"/>
  <c r="AF2131" i="19" s="1"/>
  <c r="AF2132" i="19" s="1"/>
  <c r="AF2133" i="19" s="1"/>
  <c r="AF2134" i="19" s="1"/>
  <c r="AF2135" i="19" s="1"/>
  <c r="AF2136" i="19" s="1"/>
  <c r="AF2137" i="19" s="1"/>
  <c r="AF2138" i="19" s="1"/>
  <c r="AF2139" i="19" s="1"/>
  <c r="AF2140" i="19" s="1"/>
  <c r="AF2141" i="19" s="1"/>
  <c r="AF2142" i="19" s="1"/>
  <c r="AF2143" i="19" s="1"/>
  <c r="AF2144" i="19" s="1"/>
  <c r="AF2145" i="19" s="1"/>
  <c r="AF2146" i="19" s="1"/>
  <c r="AF2147" i="19"/>
  <c r="AF2164" i="19" s="1"/>
  <c r="AF2174" i="19" s="1"/>
  <c r="AF2191" i="19" s="1"/>
  <c r="AF2210" i="19" s="1"/>
  <c r="AF2227" i="19" s="1"/>
  <c r="AF766" i="19"/>
  <c r="AF783" i="19" s="1"/>
  <c r="AF790" i="19" s="1"/>
  <c r="AF807" i="19" s="1"/>
  <c r="AF819" i="19" s="1"/>
  <c r="AF836" i="19" s="1"/>
  <c r="AF844" i="19" s="1"/>
  <c r="AF861" i="19" s="1"/>
  <c r="AF885" i="19" s="1"/>
  <c r="AF901" i="19" s="1"/>
  <c r="AF761" i="19"/>
  <c r="AF762" i="19" s="1"/>
  <c r="AF763" i="19" s="1"/>
  <c r="AF764" i="19" s="1"/>
  <c r="AF765" i="19" s="1"/>
  <c r="I14" i="8"/>
  <c r="I34" i="8" s="1"/>
  <c r="I9" i="11"/>
  <c r="K11" i="8"/>
  <c r="G10" i="5"/>
  <c r="F10" i="5" s="1"/>
  <c r="G9" i="5"/>
  <c r="F9" i="5" s="1"/>
  <c r="G8" i="5"/>
  <c r="F8" i="5" s="1"/>
  <c r="AF5195" i="19" l="1"/>
  <c r="AF5196" i="19" s="1"/>
  <c r="AF5213" i="19" s="1"/>
  <c r="AF5214" i="19" s="1"/>
  <c r="AF5215" i="19" s="1"/>
  <c r="AF5216" i="19" s="1"/>
  <c r="AF2228" i="19"/>
  <c r="AF2229" i="19" s="1"/>
  <c r="AF2230" i="19" s="1"/>
  <c r="AF2231" i="19" s="1"/>
  <c r="AF2232" i="19" s="1"/>
  <c r="AF2233" i="19" s="1"/>
  <c r="AF2234" i="19" s="1"/>
  <c r="AF2235" i="19" s="1"/>
  <c r="AF2236" i="19" s="1"/>
  <c r="AF2237" i="19" s="1"/>
  <c r="AF2238" i="19" s="1"/>
  <c r="AF2239" i="19" s="1"/>
  <c r="AF2240" i="19" s="1"/>
  <c r="AF2241" i="19" s="1"/>
  <c r="AF2242" i="19" s="1"/>
  <c r="AF2243" i="19" s="1"/>
  <c r="AF2244" i="19" s="1"/>
  <c r="AF2245" i="19" s="1"/>
  <c r="AF2246" i="19" s="1"/>
  <c r="AF2247" i="19" s="1"/>
  <c r="AF2248" i="19" s="1"/>
  <c r="AF2249" i="19" s="1"/>
  <c r="AF2250" i="19" s="1"/>
  <c r="AF2251" i="19" s="1"/>
  <c r="AF2252" i="19" s="1"/>
  <c r="AF2253" i="19"/>
  <c r="AF2270" i="19" s="1"/>
  <c r="AF2271" i="19" s="1"/>
  <c r="AF2165" i="19"/>
  <c r="AF2166" i="19" s="1"/>
  <c r="AF2167" i="19" s="1"/>
  <c r="AF2168" i="19" s="1"/>
  <c r="AF2169" i="19" s="1"/>
  <c r="AF2170" i="19" s="1"/>
  <c r="AF2171" i="19" s="1"/>
  <c r="AF2172" i="19" s="1"/>
  <c r="AF2173" i="19" s="1"/>
  <c r="AF2192" i="19"/>
  <c r="AF2193" i="19" s="1"/>
  <c r="AF2194" i="19" s="1"/>
  <c r="AF2195" i="19" s="1"/>
  <c r="AF2196" i="19" s="1"/>
  <c r="AF2197" i="19" s="1"/>
  <c r="AF2198" i="19" s="1"/>
  <c r="AF2199" i="19" s="1"/>
  <c r="AF2200" i="19" s="1"/>
  <c r="AF2201" i="19" s="1"/>
  <c r="AF2202" i="19" s="1"/>
  <c r="AF2203" i="19" s="1"/>
  <c r="AF2204" i="19" s="1"/>
  <c r="AF902" i="19"/>
  <c r="AF903" i="19" s="1"/>
  <c r="AF904" i="19" s="1"/>
  <c r="AF905" i="19" s="1"/>
  <c r="AF906" i="19" s="1"/>
  <c r="AF907" i="19" s="1"/>
  <c r="AF908" i="19" s="1"/>
  <c r="AF909" i="19" s="1"/>
  <c r="AF910" i="19" s="1"/>
  <c r="AF911" i="19" s="1"/>
  <c r="AF912" i="19" s="1"/>
  <c r="AF913" i="19" s="1"/>
  <c r="AF931" i="19" s="1"/>
  <c r="AF914" i="19"/>
  <c r="AF784" i="19"/>
  <c r="AF785" i="19" s="1"/>
  <c r="AF786" i="19" s="1"/>
  <c r="AF787" i="19" s="1"/>
  <c r="AF788" i="19" s="1"/>
  <c r="AF789" i="19" s="1"/>
  <c r="AF808" i="19" s="1"/>
  <c r="AF809" i="19" s="1"/>
  <c r="AF810" i="19" s="1"/>
  <c r="AF811" i="19" s="1"/>
  <c r="AF812" i="19" s="1"/>
  <c r="AF813" i="19" s="1"/>
  <c r="AF814" i="19" s="1"/>
  <c r="AF815" i="19" s="1"/>
  <c r="AF816" i="19" s="1"/>
  <c r="AF817" i="19" s="1"/>
  <c r="AF818" i="19" s="1"/>
  <c r="I10" i="11"/>
  <c r="I11" i="11" s="1"/>
  <c r="I12" i="11" s="1"/>
  <c r="I13" i="11" s="1"/>
  <c r="I14" i="11" s="1"/>
  <c r="I15" i="11" s="1"/>
  <c r="I16" i="11" s="1"/>
  <c r="D8" i="7"/>
  <c r="D9" i="7"/>
  <c r="AF5217" i="19" l="1"/>
  <c r="AF5218" i="19" s="1"/>
  <c r="AF5219" i="19" s="1"/>
  <c r="AF5236" i="19" s="1"/>
  <c r="AF5237" i="19" s="1"/>
  <c r="AF5238" i="19" s="1"/>
  <c r="AF5239" i="19" s="1"/>
  <c r="AF5240" i="19" s="1"/>
  <c r="AF5241" i="19" s="1"/>
  <c r="AF5242" i="19" s="1"/>
  <c r="AF5243" i="19" s="1"/>
  <c r="AF5244" i="19" s="1"/>
  <c r="AF5245" i="19" s="1"/>
  <c r="AF5246" i="19" s="1"/>
  <c r="AF5247" i="19" s="1"/>
  <c r="AF5248" i="19" s="1"/>
  <c r="AF5249" i="19" s="1"/>
  <c r="AF5250" i="19" s="1"/>
  <c r="AF5251" i="19" s="1"/>
  <c r="AF5252" i="19" s="1"/>
  <c r="AF5253" i="19" s="1"/>
  <c r="AF5254" i="19" s="1"/>
  <c r="AF5255" i="19" s="1"/>
  <c r="AF5256" i="19" s="1"/>
  <c r="AF5257" i="19" s="1"/>
  <c r="AF5275" i="19" s="1"/>
  <c r="AF5276" i="19" s="1"/>
  <c r="AF5277" i="19" s="1"/>
  <c r="AF5278" i="19" s="1"/>
  <c r="AF5279" i="19" s="1"/>
  <c r="AF5280" i="19" s="1"/>
  <c r="AF5281" i="19" s="1"/>
  <c r="AF5282" i="19" s="1"/>
  <c r="AF5283" i="19" s="1"/>
  <c r="AF5284" i="19" s="1"/>
  <c r="AF5285" i="19" s="1"/>
  <c r="AF5286" i="19" s="1"/>
  <c r="AF5287" i="19" s="1"/>
  <c r="AF5288" i="19" s="1"/>
  <c r="AF5289" i="19" s="1"/>
  <c r="AF5290" i="19" s="1"/>
  <c r="AF2272" i="19"/>
  <c r="AF2273" i="19" s="1"/>
  <c r="AF2274" i="19" s="1"/>
  <c r="AF2292" i="19" s="1"/>
  <c r="AF2275" i="19"/>
  <c r="AF2205" i="19"/>
  <c r="AF2206" i="19" s="1"/>
  <c r="AF2207" i="19" s="1"/>
  <c r="AF2208" i="19" s="1"/>
  <c r="AF2209" i="19" s="1"/>
  <c r="AF932" i="19"/>
  <c r="AF933" i="19" s="1"/>
  <c r="AF934" i="19" s="1"/>
  <c r="AF935" i="19" s="1"/>
  <c r="AF936" i="19" s="1"/>
  <c r="AF937" i="19" s="1"/>
  <c r="AF938" i="19" s="1"/>
  <c r="AF939" i="19" s="1"/>
  <c r="AF940" i="19" s="1"/>
  <c r="AF941" i="19" s="1"/>
  <c r="AF942" i="19" s="1"/>
  <c r="AF960" i="19" s="1"/>
  <c r="AF943" i="19"/>
  <c r="AF837" i="19"/>
  <c r="AF838" i="19" s="1"/>
  <c r="AF839" i="19" s="1"/>
  <c r="AF840" i="19" s="1"/>
  <c r="AF841" i="19" s="1"/>
  <c r="AF842" i="19" s="1"/>
  <c r="AF843" i="19" s="1"/>
  <c r="F12" i="7"/>
  <c r="F11" i="7"/>
  <c r="F10" i="7"/>
  <c r="F9" i="7"/>
  <c r="G31" i="7"/>
  <c r="G30" i="7"/>
  <c r="G29" i="7"/>
  <c r="G28" i="7"/>
  <c r="G27" i="7"/>
  <c r="G26" i="7"/>
  <c r="G24" i="7"/>
  <c r="G23" i="7"/>
  <c r="G22" i="7"/>
  <c r="G21" i="7"/>
  <c r="G20" i="7"/>
  <c r="G19" i="7"/>
  <c r="G18" i="7"/>
  <c r="G15" i="7"/>
  <c r="D12" i="7"/>
  <c r="D11" i="7"/>
  <c r="D10" i="7"/>
  <c r="H5" i="7"/>
  <c r="AF5291" i="19" l="1"/>
  <c r="AF5292" i="19" s="1"/>
  <c r="AF5293" i="19" s="1"/>
  <c r="AF5294" i="19" s="1"/>
  <c r="AF5295" i="19" s="1"/>
  <c r="AF5296" i="19" s="1"/>
  <c r="AF5297" i="19" s="1"/>
  <c r="AF5298" i="19" s="1"/>
  <c r="AF5318" i="19" s="1"/>
  <c r="AF5319" i="19" s="1"/>
  <c r="AF5320" i="19" s="1"/>
  <c r="AF5321" i="19" s="1"/>
  <c r="AF5322" i="19" s="1"/>
  <c r="AF5323" i="19" s="1"/>
  <c r="AF5324" i="19" s="1"/>
  <c r="AF2325" i="19"/>
  <c r="AF2293" i="19"/>
  <c r="AF961" i="19"/>
  <c r="AF962" i="19" s="1"/>
  <c r="AF963" i="19" s="1"/>
  <c r="AF964" i="19" s="1"/>
  <c r="AF965" i="19" s="1"/>
  <c r="AF966" i="19" s="1"/>
  <c r="AF967" i="19" s="1"/>
  <c r="AF968" i="19" s="1"/>
  <c r="AF969" i="19" s="1"/>
  <c r="AF970" i="19" s="1"/>
  <c r="AF971" i="19" s="1"/>
  <c r="AF972" i="19" s="1"/>
  <c r="AF973" i="19" s="1"/>
  <c r="AF974" i="19" s="1"/>
  <c r="AF975" i="19" s="1"/>
  <c r="AF976" i="19" s="1"/>
  <c r="AF977" i="19" s="1"/>
  <c r="AF978" i="19" s="1"/>
  <c r="AF979" i="19" s="1"/>
  <c r="AF996" i="19" s="1"/>
  <c r="AF980" i="19"/>
  <c r="H32" i="7"/>
  <c r="AF862" i="19"/>
  <c r="AF863" i="19" s="1"/>
  <c r="AF864" i="19" s="1"/>
  <c r="AF865" i="19" s="1"/>
  <c r="AF866" i="19" s="1"/>
  <c r="AF867" i="19" s="1"/>
  <c r="AF868" i="19" s="1"/>
  <c r="AF869" i="19" s="1"/>
  <c r="AF870" i="19" s="1"/>
  <c r="AF871" i="19" s="1"/>
  <c r="AF872" i="19" s="1"/>
  <c r="AF873" i="19" s="1"/>
  <c r="AF874" i="19" s="1"/>
  <c r="AF875" i="19" s="1"/>
  <c r="AF876" i="19" s="1"/>
  <c r="AF877" i="19" s="1"/>
  <c r="AF878" i="19" s="1"/>
  <c r="AF879" i="19" s="1"/>
  <c r="AF880" i="19" s="1"/>
  <c r="AF881" i="19" s="1"/>
  <c r="AF882" i="19" s="1"/>
  <c r="AF883" i="19" s="1"/>
  <c r="AF884" i="19" s="1"/>
  <c r="D14" i="7"/>
  <c r="F15" i="7"/>
  <c r="AF5325" i="19" l="1"/>
  <c r="AF5326" i="19" s="1"/>
  <c r="AF5327" i="19" s="1"/>
  <c r="AF5328" i="19" s="1"/>
  <c r="AF5329" i="19" s="1"/>
  <c r="AF5330" i="19" s="1"/>
  <c r="AF5348" i="19" s="1"/>
  <c r="AF5349" i="19" s="1"/>
  <c r="AF5350" i="19" s="1"/>
  <c r="AF5351" i="19" s="1"/>
  <c r="AF5352" i="19" s="1"/>
  <c r="AF5353" i="19" s="1"/>
  <c r="AF5354" i="19" s="1"/>
  <c r="AF5355" i="19" s="1"/>
  <c r="AF5356" i="19" s="1"/>
  <c r="AF5357" i="19" s="1"/>
  <c r="AF5358" i="19" s="1"/>
  <c r="AF5359" i="19" s="1"/>
  <c r="AF5360" i="19" s="1"/>
  <c r="AF5361" i="19" s="1"/>
  <c r="AF5362" i="19" s="1"/>
  <c r="AF5363" i="19" s="1"/>
  <c r="AF5364" i="19" s="1"/>
  <c r="AF5365" i="19" s="1"/>
  <c r="AF5366" i="19" s="1"/>
  <c r="AF5367" i="19" s="1"/>
  <c r="AF5368" i="19" s="1"/>
  <c r="AF5388" i="19" s="1"/>
  <c r="AF5389" i="19" s="1"/>
  <c r="AF5390" i="19" s="1"/>
  <c r="AF5391" i="19" s="1"/>
  <c r="AF5392" i="19" s="1"/>
  <c r="AF5393" i="19" s="1"/>
  <c r="AF5394" i="19" s="1"/>
  <c r="AF5395" i="19" s="1"/>
  <c r="AF5396" i="19" s="1"/>
  <c r="AF5397" i="19" s="1"/>
  <c r="AF5398" i="19" s="1"/>
  <c r="AF5399" i="19" s="1"/>
  <c r="AF5400" i="19" s="1"/>
  <c r="AF5401" i="19" s="1"/>
  <c r="AF5402" i="19" s="1"/>
  <c r="AF5403" i="19" s="1"/>
  <c r="AF5404" i="19" s="1"/>
  <c r="AF5405" i="19" s="1"/>
  <c r="AF5406" i="19" s="1"/>
  <c r="AF5407" i="19" s="1"/>
  <c r="AF5408" i="19" s="1"/>
  <c r="AF5409" i="19" s="1"/>
  <c r="AF5410" i="19" s="1"/>
  <c r="AF5411" i="19" s="1"/>
  <c r="AF5412" i="19" s="1"/>
  <c r="AF5413" i="19" s="1"/>
  <c r="AF5414" i="19" s="1"/>
  <c r="AF5415" i="19" s="1"/>
  <c r="AF5416" i="19" s="1"/>
  <c r="AF5417" i="19" s="1"/>
  <c r="AF5418" i="19" s="1"/>
  <c r="AF5419" i="19" s="1"/>
  <c r="AF5420" i="19" s="1"/>
  <c r="AF5421" i="19" s="1"/>
  <c r="AF5422" i="19" s="1"/>
  <c r="AF5423" i="19" s="1"/>
  <c r="AF5424" i="19" s="1"/>
  <c r="AF5425" i="19" s="1"/>
  <c r="AF5426" i="19" s="1"/>
  <c r="AF5427" i="19" s="1"/>
  <c r="AF5428" i="19" s="1"/>
  <c r="AF5429" i="19" s="1"/>
  <c r="AF5430" i="19" s="1"/>
  <c r="AF5431" i="19" s="1"/>
  <c r="AF5432" i="19" s="1"/>
  <c r="AF5433" i="19" s="1"/>
  <c r="AF5434" i="19" s="1"/>
  <c r="AF5435" i="19" s="1"/>
  <c r="AF5436" i="19" s="1"/>
  <c r="AF5437" i="19" s="1"/>
  <c r="AF5438" i="19" s="1"/>
  <c r="AF5439" i="19" s="1"/>
  <c r="AF5440" i="19" s="1"/>
  <c r="AF5441" i="19" s="1"/>
  <c r="AF5442" i="19" s="1"/>
  <c r="AF5443" i="19" s="1"/>
  <c r="AF5444" i="19" s="1"/>
  <c r="AF5445" i="19" s="1"/>
  <c r="AF5446" i="19" s="1"/>
  <c r="AF5447" i="19" s="1"/>
  <c r="AF5448" i="19" s="1"/>
  <c r="AF5449" i="19" s="1"/>
  <c r="AF5450" i="19" s="1"/>
  <c r="AF5451" i="19" s="1"/>
  <c r="AF5452" i="19" s="1"/>
  <c r="AF5453" i="19" s="1"/>
  <c r="AF5454" i="19" s="1"/>
  <c r="AF5455" i="19" s="1"/>
  <c r="AF5456" i="19" s="1"/>
  <c r="AF5457" i="19" s="1"/>
  <c r="AF2294" i="19"/>
  <c r="AF997" i="19"/>
  <c r="AF998" i="19" s="1"/>
  <c r="AF999" i="19" s="1"/>
  <c r="AF1000" i="19" s="1"/>
  <c r="AF1001" i="19" s="1"/>
  <c r="AF1002" i="19" s="1"/>
  <c r="AF1003" i="19" s="1"/>
  <c r="AF1004" i="19" s="1"/>
  <c r="AF1005" i="19" s="1"/>
  <c r="AF1023" i="19" s="1"/>
  <c r="AF1006" i="19"/>
  <c r="H31" i="5"/>
  <c r="H30" i="5"/>
  <c r="H29" i="5"/>
  <c r="H28" i="5"/>
  <c r="H27" i="5"/>
  <c r="H26" i="5"/>
  <c r="H24" i="5"/>
  <c r="H23" i="5"/>
  <c r="H22" i="5"/>
  <c r="H21" i="5"/>
  <c r="H20" i="5"/>
  <c r="H19" i="5"/>
  <c r="H18" i="5"/>
  <c r="H15" i="5"/>
  <c r="AF2295" i="19" l="1"/>
  <c r="AF1024" i="19"/>
  <c r="AF1025" i="19" s="1"/>
  <c r="AF1026" i="19" s="1"/>
  <c r="AF1027" i="19" s="1"/>
  <c r="AF1028" i="19" s="1"/>
  <c r="AF1029" i="19" s="1"/>
  <c r="AF1030" i="19" s="1"/>
  <c r="AF1031" i="19" s="1"/>
  <c r="AF1032" i="19" s="1"/>
  <c r="AF1033" i="19" s="1"/>
  <c r="AF1034" i="19" s="1"/>
  <c r="AF1035" i="19" s="1"/>
  <c r="AF1036" i="19" s="1"/>
  <c r="AF1037" i="19" s="1"/>
  <c r="AF1038" i="19" s="1"/>
  <c r="AF1039" i="19" s="1"/>
  <c r="AF1040" i="19" s="1"/>
  <c r="AF1041" i="19" s="1"/>
  <c r="AF1042" i="19" s="1"/>
  <c r="AF1043" i="19" s="1"/>
  <c r="AF1060" i="19" s="1"/>
  <c r="AF1061" i="19" s="1"/>
  <c r="AF1062" i="19" s="1"/>
  <c r="AF1063" i="19" s="1"/>
  <c r="AF1064" i="19" s="1"/>
  <c r="AF1065" i="19" s="1"/>
  <c r="AF1066" i="19" s="1"/>
  <c r="AF1067" i="19" s="1"/>
  <c r="AF1068" i="19" s="1"/>
  <c r="AF1069" i="19" s="1"/>
  <c r="AF1070" i="19" s="1"/>
  <c r="AF1071" i="19" s="1"/>
  <c r="AF1072" i="19" s="1"/>
  <c r="AF1073" i="19" s="1"/>
  <c r="AF1074" i="19" s="1"/>
  <c r="AF1075" i="19" s="1"/>
  <c r="AF1076" i="19" s="1"/>
  <c r="AF1077" i="19" s="1"/>
  <c r="AF1078" i="19" s="1"/>
  <c r="AF1095" i="19" s="1"/>
  <c r="AF1044" i="19"/>
  <c r="G15" i="5"/>
  <c r="I32" i="5"/>
  <c r="AF5458" i="19" l="1"/>
  <c r="AF5476" i="19" s="1"/>
  <c r="AF5477" i="19" s="1"/>
  <c r="AF5478" i="19" s="1"/>
  <c r="AF5479" i="19" s="1"/>
  <c r="AF5480" i="19" s="1"/>
  <c r="AF5481" i="19" s="1"/>
  <c r="AF5482" i="19" s="1"/>
  <c r="AF5483" i="19" s="1"/>
  <c r="AF5484" i="19" s="1"/>
  <c r="AF5485" i="19" s="1"/>
  <c r="AF5503" i="19" s="1"/>
  <c r="AF5504" i="19" s="1"/>
  <c r="AF5505" i="19" s="1"/>
  <c r="AF5506" i="19" s="1"/>
  <c r="AF5507" i="19" s="1"/>
  <c r="AF5508" i="19" s="1"/>
  <c r="AF5509" i="19" s="1"/>
  <c r="AF5510" i="19" s="1"/>
  <c r="AF5511" i="19" s="1"/>
  <c r="AF5512" i="19" s="1"/>
  <c r="AF5513" i="19" s="1"/>
  <c r="AF5514" i="19" s="1"/>
  <c r="AF5515" i="19" s="1"/>
  <c r="AF5516" i="19" s="1"/>
  <c r="AF5517" i="19" s="1"/>
  <c r="AF5518" i="19" s="1"/>
  <c r="AF5519" i="19" s="1"/>
  <c r="AF5520" i="19" s="1"/>
  <c r="AF5521" i="19" s="1"/>
  <c r="AF5522" i="19" s="1"/>
  <c r="AF5523" i="19" s="1"/>
  <c r="AF5524" i="19" s="1"/>
  <c r="AF5525" i="19" s="1"/>
  <c r="AF2296" i="19"/>
  <c r="AF1096" i="19"/>
  <c r="AF1097" i="19" s="1"/>
  <c r="AF1098" i="19" s="1"/>
  <c r="AF1099" i="19" s="1"/>
  <c r="AF1100" i="19" s="1"/>
  <c r="AF1101" i="19" s="1"/>
  <c r="AF1102" i="19" s="1"/>
  <c r="AF1103" i="19" s="1"/>
  <c r="AF1104" i="19" s="1"/>
  <c r="AF1105" i="19" s="1"/>
  <c r="AF1106" i="19" s="1"/>
  <c r="AF1107" i="19" s="1"/>
  <c r="AF1108" i="19" s="1"/>
  <c r="AF1109" i="19" s="1"/>
  <c r="AF1110" i="19" s="1"/>
  <c r="AF1111" i="19" s="1"/>
  <c r="AF1112" i="19"/>
  <c r="AF1129" i="19" s="1"/>
  <c r="AF1135" i="19" s="1"/>
  <c r="E11" i="7"/>
  <c r="E12" i="7"/>
  <c r="E8" i="7"/>
  <c r="E9" i="7"/>
  <c r="E10" i="7"/>
  <c r="F15" i="5"/>
  <c r="AF5526" i="19" l="1"/>
  <c r="AF5527" i="19" s="1"/>
  <c r="AF5545" i="19" s="1"/>
  <c r="AF2297" i="19"/>
  <c r="AF1130" i="19"/>
  <c r="AF1131" i="19" s="1"/>
  <c r="AF1132" i="19" s="1"/>
  <c r="AF1133" i="19" s="1"/>
  <c r="AF1134" i="19" s="1"/>
  <c r="AF1152" i="19" s="1"/>
  <c r="AF1170" i="19" s="1"/>
  <c r="E14" i="5"/>
  <c r="E15" i="7"/>
  <c r="H14" i="7" s="1"/>
  <c r="H34" i="7" s="1"/>
  <c r="H8" i="7"/>
  <c r="H9" i="7" s="1"/>
  <c r="H10" i="7" s="1"/>
  <c r="H11" i="7" s="1"/>
  <c r="H12" i="7" s="1"/>
  <c r="AF5546" i="19" l="1"/>
  <c r="AF5547" i="19" s="1"/>
  <c r="AF5548" i="19" s="1"/>
  <c r="AF5549" i="19" s="1"/>
  <c r="AF5550" i="19" s="1"/>
  <c r="AF5551" i="19" s="1"/>
  <c r="AF5552" i="19" s="1"/>
  <c r="AF5553" i="19" s="1"/>
  <c r="AF5554" i="19" s="1"/>
  <c r="AF5555" i="19" s="1"/>
  <c r="AF5556" i="19" s="1"/>
  <c r="AF5557" i="19" s="1"/>
  <c r="AF5558" i="19" s="1"/>
  <c r="AF5559" i="19" s="1"/>
  <c r="AF5560" i="19" s="1"/>
  <c r="AF5561" i="19" s="1"/>
  <c r="AF5562" i="19"/>
  <c r="AF2298" i="19"/>
  <c r="AF1153" i="19"/>
  <c r="AF1154" i="19" s="1"/>
  <c r="AF1155" i="19" s="1"/>
  <c r="AF1156" i="19" s="1"/>
  <c r="AF1157" i="19" s="1"/>
  <c r="AF1158" i="19" s="1"/>
  <c r="AF1159" i="19" s="1"/>
  <c r="AF1160" i="19" s="1"/>
  <c r="AF1161" i="19" s="1"/>
  <c r="AF1162" i="19" s="1"/>
  <c r="AF1163" i="19" s="1"/>
  <c r="AF1164" i="19" s="1"/>
  <c r="AF1165" i="19" s="1"/>
  <c r="AF1166" i="19" s="1"/>
  <c r="AF1167" i="19" s="1"/>
  <c r="AF1168" i="19" s="1"/>
  <c r="AF1169" i="19" s="1"/>
  <c r="AF1185" i="19" s="1"/>
  <c r="AF1198" i="19" s="1"/>
  <c r="I8" i="5"/>
  <c r="I9" i="5" s="1"/>
  <c r="I10" i="5" s="1"/>
  <c r="I11" i="5" s="1"/>
  <c r="I12" i="5" s="1"/>
  <c r="I14" i="5"/>
  <c r="I34" i="5" s="1"/>
  <c r="AF5580" i="19" l="1"/>
  <c r="AF5581" i="19" s="1"/>
  <c r="AF5582" i="19" s="1"/>
  <c r="AF5583" i="19" s="1"/>
  <c r="AF5584" i="19" s="1"/>
  <c r="AF5585" i="19" s="1"/>
  <c r="AF5586" i="19" s="1"/>
  <c r="AF5587" i="19" s="1"/>
  <c r="AF5588" i="19" s="1"/>
  <c r="AF2299" i="19"/>
  <c r="AF1213" i="19"/>
  <c r="AF1231" i="19" s="1"/>
  <c r="AF1247" i="19" s="1"/>
  <c r="AF1248" i="19" s="1"/>
  <c r="AF1249" i="19" s="1"/>
  <c r="AF1250" i="19" s="1"/>
  <c r="AF1251" i="19" s="1"/>
  <c r="AF1252" i="19" s="1"/>
  <c r="AF1253" i="19" s="1"/>
  <c r="AF1254" i="19" s="1"/>
  <c r="AF1255" i="19" s="1"/>
  <c r="AF1256" i="19" s="1"/>
  <c r="AF1257" i="19" s="1"/>
  <c r="AF1258" i="19" s="1"/>
  <c r="AF1259" i="19" s="1"/>
  <c r="AF1260" i="19" s="1"/>
  <c r="AF1261" i="19" s="1"/>
  <c r="AF1202" i="19"/>
  <c r="AF1186" i="19"/>
  <c r="AF1187" i="19" s="1"/>
  <c r="AF1188" i="19" s="1"/>
  <c r="AF1189" i="19" s="1"/>
  <c r="AF1190" i="19" s="1"/>
  <c r="AF1191" i="19" s="1"/>
  <c r="AF1192" i="19" s="1"/>
  <c r="AF1193" i="19" s="1"/>
  <c r="AF1194" i="19" s="1"/>
  <c r="AF1195" i="19" s="1"/>
  <c r="AF1196" i="19" s="1"/>
  <c r="AF1197" i="19" s="1"/>
  <c r="I5" i="12"/>
  <c r="I8" i="12" s="1"/>
  <c r="AF5589" i="19" l="1"/>
  <c r="AF5607" i="19" s="1"/>
  <c r="AF2300" i="19"/>
  <c r="AF1262" i="19"/>
  <c r="AF1279" i="19"/>
  <c r="AF1214" i="19"/>
  <c r="AF1215" i="19" s="1"/>
  <c r="AF1216" i="19" s="1"/>
  <c r="AF1217" i="19" s="1"/>
  <c r="AF1218" i="19" s="1"/>
  <c r="AF1219" i="19" s="1"/>
  <c r="AF1220" i="19" s="1"/>
  <c r="AF1221" i="19" s="1"/>
  <c r="AF1222" i="19" s="1"/>
  <c r="I9" i="12"/>
  <c r="I10" i="12"/>
  <c r="I30" i="12" s="1"/>
  <c r="F33" i="12" s="1"/>
  <c r="AF5624" i="19" l="1"/>
  <c r="AF5643" i="19" s="1"/>
  <c r="AF5644" i="19" s="1"/>
  <c r="AF5645" i="19" s="1"/>
  <c r="AF5646" i="19" s="1"/>
  <c r="AF5647" i="19" s="1"/>
  <c r="AF5648" i="19" s="1"/>
  <c r="AF5649" i="19" s="1"/>
  <c r="AF5650" i="19" s="1"/>
  <c r="AF5651" i="19" s="1"/>
  <c r="AF5652" i="19" s="1"/>
  <c r="AF5653" i="19" s="1"/>
  <c r="AF5654" i="19" s="1"/>
  <c r="AF5655" i="19" s="1"/>
  <c r="AF5656" i="19" s="1"/>
  <c r="AF5657" i="19" s="1"/>
  <c r="AF5658" i="19" s="1"/>
  <c r="AF5659" i="19" s="1"/>
  <c r="AF5608" i="19"/>
  <c r="AF5609" i="19" s="1"/>
  <c r="AF5610" i="19" s="1"/>
  <c r="AF5611" i="19" s="1"/>
  <c r="AF5612" i="19" s="1"/>
  <c r="AF5613" i="19" s="1"/>
  <c r="AF5614" i="19" s="1"/>
  <c r="AF5615" i="19" s="1"/>
  <c r="AF5616" i="19" s="1"/>
  <c r="AF5617" i="19" s="1"/>
  <c r="AF5618" i="19" s="1"/>
  <c r="AF5619" i="19" s="1"/>
  <c r="AF5620" i="19" s="1"/>
  <c r="AF5621" i="19" s="1"/>
  <c r="AF5622" i="19" s="1"/>
  <c r="AF5623" i="19" s="1"/>
  <c r="AF2301" i="19"/>
  <c r="AF1280" i="19"/>
  <c r="AF1281" i="19" s="1"/>
  <c r="AF1282" i="19" s="1"/>
  <c r="AF1283" i="19" s="1"/>
  <c r="AF1284" i="19" s="1"/>
  <c r="AF1285" i="19" s="1"/>
  <c r="AF1286" i="19" s="1"/>
  <c r="AF1287" i="19" s="1"/>
  <c r="AF1288" i="19" s="1"/>
  <c r="AF1289" i="19" s="1"/>
  <c r="AF1290" i="19" s="1"/>
  <c r="AF1291" i="19" s="1"/>
  <c r="AF1292" i="19" s="1"/>
  <c r="AF1293" i="19" s="1"/>
  <c r="AF1294" i="19" s="1"/>
  <c r="AF1295" i="19" s="1"/>
  <c r="AF1296" i="19" s="1"/>
  <c r="AF1314" i="19" s="1"/>
  <c r="AF1298" i="19"/>
  <c r="AF1223" i="19"/>
  <c r="AF1224" i="19" s="1"/>
  <c r="AF1225" i="19" s="1"/>
  <c r="AF1226" i="19" s="1"/>
  <c r="AF1227" i="19" s="1"/>
  <c r="AF1228" i="19" s="1"/>
  <c r="AF1229" i="19" s="1"/>
  <c r="AF1230" i="19" s="1"/>
  <c r="I5" i="17"/>
  <c r="I5" i="13"/>
  <c r="I8" i="13" s="1"/>
  <c r="I9" i="13" s="1"/>
  <c r="AF5660" i="19" l="1"/>
  <c r="AF5680" i="19" s="1"/>
  <c r="AF5681" i="19" s="1"/>
  <c r="AF5682" i="19" s="1"/>
  <c r="AF5683" i="19" s="1"/>
  <c r="AF5684" i="19" s="1"/>
  <c r="AF5702" i="19" s="1"/>
  <c r="AF5703" i="19" s="1"/>
  <c r="AF5704" i="19" s="1"/>
  <c r="AF5705" i="19" s="1"/>
  <c r="AF5706" i="19" s="1"/>
  <c r="AF5707" i="19" s="1"/>
  <c r="AF5708" i="19" s="1"/>
  <c r="AF5709" i="19" s="1"/>
  <c r="AF5710" i="19" s="1"/>
  <c r="AF5711" i="19" s="1"/>
  <c r="AF5712" i="19" s="1"/>
  <c r="AF5713" i="19" s="1"/>
  <c r="AF5714" i="19" s="1"/>
  <c r="AF5715" i="19" s="1"/>
  <c r="AF5716" i="19" s="1"/>
  <c r="AF5717" i="19" s="1"/>
  <c r="AF5718" i="19" s="1"/>
  <c r="AF5719" i="19" s="1"/>
  <c r="AF5720" i="19" s="1"/>
  <c r="AF5721" i="19" s="1"/>
  <c r="AF5722" i="19" s="1"/>
  <c r="AF5723" i="19" s="1"/>
  <c r="AF5724" i="19" s="1"/>
  <c r="AF5725" i="19" s="1"/>
  <c r="AF5726" i="19" s="1"/>
  <c r="AF5727" i="19" s="1"/>
  <c r="AF5728" i="19" s="1"/>
  <c r="AF5729" i="19" s="1"/>
  <c r="AF5730" i="19" s="1"/>
  <c r="AF5731" i="19" s="1"/>
  <c r="AF5732" i="19" s="1"/>
  <c r="AF5733" i="19" s="1"/>
  <c r="AF5751" i="19" s="1"/>
  <c r="AF5752" i="19" s="1"/>
  <c r="AF5753" i="19" s="1"/>
  <c r="AF5754" i="19" s="1"/>
  <c r="AF5755" i="19" s="1"/>
  <c r="AF5756" i="19" s="1"/>
  <c r="AF5757" i="19" s="1"/>
  <c r="AF5758" i="19" s="1"/>
  <c r="AF5759" i="19" s="1"/>
  <c r="AF5760" i="19" s="1"/>
  <c r="AF5761" i="19" s="1"/>
  <c r="AF5762" i="19" s="1"/>
  <c r="AF5763" i="19" s="1"/>
  <c r="AF5764" i="19" s="1"/>
  <c r="AF5765" i="19" s="1"/>
  <c r="AF5766" i="19" s="1"/>
  <c r="AF5767" i="19" s="1"/>
  <c r="AF5768" i="19" s="1"/>
  <c r="AF5769" i="19" s="1"/>
  <c r="AF5770" i="19" s="1"/>
  <c r="AF5771" i="19" s="1"/>
  <c r="AF5772" i="19" s="1"/>
  <c r="AF5773" i="19" s="1"/>
  <c r="AF5774" i="19" s="1"/>
  <c r="AF5775" i="19" s="1"/>
  <c r="AF5776" i="19" s="1"/>
  <c r="AF5777" i="19" s="1"/>
  <c r="AF5778" i="19" s="1"/>
  <c r="AF5779" i="19" s="1"/>
  <c r="AF5780" i="19" s="1"/>
  <c r="AF5781" i="19" s="1"/>
  <c r="AF5782" i="19" s="1"/>
  <c r="AF5783" i="19" s="1"/>
  <c r="AF5784" i="19" s="1"/>
  <c r="AF5785" i="19" s="1"/>
  <c r="AF5786" i="19" s="1"/>
  <c r="AF5787" i="19" s="1"/>
  <c r="AF5788" i="19" s="1"/>
  <c r="AF5789" i="19" s="1"/>
  <c r="AF5790" i="19" s="1"/>
  <c r="AF5791" i="19" s="1"/>
  <c r="AF5792" i="19" s="1"/>
  <c r="AF5811" i="19" s="1"/>
  <c r="AF5812" i="19" s="1"/>
  <c r="AF5813" i="19" s="1"/>
  <c r="AF5814" i="19" s="1"/>
  <c r="AF5815" i="19" s="1"/>
  <c r="AF5816" i="19" s="1"/>
  <c r="AF5817" i="19" s="1"/>
  <c r="AF5818" i="19" s="1"/>
  <c r="AF5819" i="19" s="1"/>
  <c r="AF5820" i="19" s="1"/>
  <c r="AF5821" i="19" s="1"/>
  <c r="AF5822" i="19" s="1"/>
  <c r="AF5823" i="19" s="1"/>
  <c r="AF5824" i="19" s="1"/>
  <c r="AF5825" i="19" s="1"/>
  <c r="AF5826" i="19" s="1"/>
  <c r="AF5844" i="19" s="1"/>
  <c r="AF5845" i="19" s="1"/>
  <c r="AF5846" i="19" s="1"/>
  <c r="AF5847" i="19" s="1"/>
  <c r="AF5848" i="19" s="1"/>
  <c r="AF5849" i="19" s="1"/>
  <c r="AF5850" i="19" s="1"/>
  <c r="AF5867" i="19" s="1"/>
  <c r="AF5868" i="19" s="1"/>
  <c r="AF5869" i="19" s="1"/>
  <c r="AF5870" i="19" s="1"/>
  <c r="AF5871" i="19" s="1"/>
  <c r="AF5872" i="19" s="1"/>
  <c r="AF5873" i="19" s="1"/>
  <c r="AF5874" i="19" s="1"/>
  <c r="AF5875" i="19" s="1"/>
  <c r="AF5876" i="19" s="1"/>
  <c r="AF5877" i="19" s="1"/>
  <c r="AF5878" i="19" s="1"/>
  <c r="AF5879" i="19" s="1"/>
  <c r="AF5880" i="19" s="1"/>
  <c r="AF5881" i="19" s="1"/>
  <c r="AF5882" i="19" s="1"/>
  <c r="AF5883" i="19" s="1"/>
  <c r="AF5903" i="19" s="1"/>
  <c r="AF5904" i="19" s="1"/>
  <c r="AF5905" i="19" s="1"/>
  <c r="AF5906" i="19" s="1"/>
  <c r="AF5907" i="19" s="1"/>
  <c r="AF5908" i="19" s="1"/>
  <c r="AF5926" i="19" s="1"/>
  <c r="AF5927" i="19" s="1"/>
  <c r="AF5928" i="19" s="1"/>
  <c r="AF5929" i="19" s="1"/>
  <c r="AF5930" i="19" s="1"/>
  <c r="AF5931" i="19" s="1"/>
  <c r="AF5932" i="19" s="1"/>
  <c r="AF5933" i="19" s="1"/>
  <c r="AF5934" i="19" s="1"/>
  <c r="AF5935" i="19" s="1"/>
  <c r="AF5936" i="19" s="1"/>
  <c r="AF5937" i="19" s="1"/>
  <c r="AF5938" i="19" s="1"/>
  <c r="AF5939" i="19" s="1"/>
  <c r="AF5940" i="19" s="1"/>
  <c r="AF5941" i="19" s="1"/>
  <c r="AF5942" i="19" s="1"/>
  <c r="AF5943" i="19" s="1"/>
  <c r="AF5962" i="19" s="1"/>
  <c r="AF5963" i="19" s="1"/>
  <c r="AF5964" i="19" s="1"/>
  <c r="AF5965" i="19" s="1"/>
  <c r="AF5966" i="19" s="1"/>
  <c r="AF5967" i="19" s="1"/>
  <c r="AF5968" i="19" s="1"/>
  <c r="AF5969" i="19" s="1"/>
  <c r="AF5970" i="19" s="1"/>
  <c r="AF5971" i="19" s="1"/>
  <c r="AF5972" i="19" s="1"/>
  <c r="AF5973" i="19" s="1"/>
  <c r="AF5974" i="19" s="1"/>
  <c r="AF5975" i="19" s="1"/>
  <c r="AF5976" i="19" s="1"/>
  <c r="AF5977" i="19" s="1"/>
  <c r="AF5978" i="19" s="1"/>
  <c r="AF5979" i="19" s="1"/>
  <c r="AF5980" i="19" s="1"/>
  <c r="AF5981" i="19" s="1"/>
  <c r="AF5982" i="19" s="1"/>
  <c r="AF5983" i="19" s="1"/>
  <c r="AF5984" i="19" s="1"/>
  <c r="AF5985" i="19" s="1"/>
  <c r="AF5986" i="19" s="1"/>
  <c r="AF5987" i="19" s="1"/>
  <c r="AF5988" i="19" s="1"/>
  <c r="AF5989" i="19" s="1"/>
  <c r="AF5990" i="19" s="1"/>
  <c r="AF5991" i="19" s="1"/>
  <c r="AF5992" i="19" s="1"/>
  <c r="AF5993" i="19" s="1"/>
  <c r="AF5994" i="19" s="1"/>
  <c r="AF5995" i="19" s="1"/>
  <c r="AF5996" i="19" s="1"/>
  <c r="AF6016" i="19" s="1"/>
  <c r="AF6017" i="19" s="1"/>
  <c r="AF6018" i="19" s="1"/>
  <c r="AF6019" i="19" s="1"/>
  <c r="AF6020" i="19" s="1"/>
  <c r="AF6021" i="19" s="1"/>
  <c r="AF6022" i="19" s="1"/>
  <c r="AF6023" i="19" s="1"/>
  <c r="AF6024" i="19" s="1"/>
  <c r="AF6025" i="19" s="1"/>
  <c r="AF6026" i="19" s="1"/>
  <c r="AF6027" i="19" s="1"/>
  <c r="AF6028" i="19" s="1"/>
  <c r="AF6029" i="19" s="1"/>
  <c r="AF6030" i="19" s="1"/>
  <c r="AF6031" i="19" s="1"/>
  <c r="AF6032" i="19" s="1"/>
  <c r="AF6033" i="19" s="1"/>
  <c r="AF6034" i="19" s="1"/>
  <c r="AF6053" i="19" s="1"/>
  <c r="AF6054" i="19" s="1"/>
  <c r="AF6055" i="19" s="1"/>
  <c r="AF6056" i="19" s="1"/>
  <c r="AF6057" i="19" s="1"/>
  <c r="AF6058" i="19" s="1"/>
  <c r="AF6059" i="19" s="1"/>
  <c r="AF6060" i="19" s="1"/>
  <c r="AF6061" i="19" s="1"/>
  <c r="AF6062" i="19" s="1"/>
  <c r="AF6063" i="19" s="1"/>
  <c r="AF6064" i="19" s="1"/>
  <c r="AF6065" i="19" s="1"/>
  <c r="AF6066" i="19" s="1"/>
  <c r="AF6067" i="19" s="1"/>
  <c r="AF6068" i="19" s="1"/>
  <c r="AF6069" i="19" s="1"/>
  <c r="AF6070" i="19" s="1"/>
  <c r="AF2302" i="19"/>
  <c r="AF1315" i="19"/>
  <c r="AF1316" i="19" s="1"/>
  <c r="AF1317" i="19" s="1"/>
  <c r="AF1318" i="19" s="1"/>
  <c r="AF1319" i="19" s="1"/>
  <c r="AF1320" i="19" s="1"/>
  <c r="AF1321" i="19" s="1"/>
  <c r="AF1322" i="19" s="1"/>
  <c r="AF1323" i="19" s="1"/>
  <c r="AF1324" i="19" s="1"/>
  <c r="AF1325" i="19" s="1"/>
  <c r="AF1326" i="19" s="1"/>
  <c r="AF1327" i="19" s="1"/>
  <c r="AF1328" i="19" s="1"/>
  <c r="AF1329" i="19" s="1"/>
  <c r="AF1330" i="19" s="1"/>
  <c r="AF1331" i="19" s="1"/>
  <c r="AF1332" i="19" s="1"/>
  <c r="AF1333" i="19" s="1"/>
  <c r="AF1334" i="19" s="1"/>
  <c r="AF1335" i="19" s="1"/>
  <c r="AF1336" i="19" s="1"/>
  <c r="AF1337" i="19" s="1"/>
  <c r="AF1338" i="19" s="1"/>
  <c r="AF1339" i="19" s="1"/>
  <c r="AF1340" i="19" s="1"/>
  <c r="AF1341" i="19" s="1"/>
  <c r="AF1342" i="19" s="1"/>
  <c r="AF1343" i="19" s="1"/>
  <c r="AF1344" i="19" s="1"/>
  <c r="AF1345" i="19" s="1"/>
  <c r="AF1346" i="19" s="1"/>
  <c r="AF1347" i="19" s="1"/>
  <c r="AF1348" i="19" s="1"/>
  <c r="AF1349" i="19" s="1"/>
  <c r="AF1350" i="19" s="1"/>
  <c r="AF1351" i="19" s="1"/>
  <c r="AF1352" i="19" s="1"/>
  <c r="AF1353" i="19" s="1"/>
  <c r="AF1354" i="19" s="1"/>
  <c r="AF1355" i="19" s="1"/>
  <c r="AF1356" i="19" s="1"/>
  <c r="AF1357" i="19" s="1"/>
  <c r="AF1358" i="19" s="1"/>
  <c r="AF1359" i="19" s="1"/>
  <c r="AF1360" i="19" s="1"/>
  <c r="AF1361" i="19"/>
  <c r="I8" i="17"/>
  <c r="I9" i="17" s="1"/>
  <c r="I10" i="17" s="1"/>
  <c r="I12" i="17"/>
  <c r="AF6071" i="19" l="1"/>
  <c r="AF6072" i="19" s="1"/>
  <c r="AF6073" i="19" s="1"/>
  <c r="AF6074" i="19" s="1"/>
  <c r="AF6075" i="19" s="1"/>
  <c r="AF6076" i="19" s="1"/>
  <c r="AF6077" i="19" s="1"/>
  <c r="AF6078" i="19" s="1"/>
  <c r="AF6079" i="19" s="1"/>
  <c r="AF6080" i="19" s="1"/>
  <c r="AF6081" i="19" s="1"/>
  <c r="AF6082" i="19" s="1"/>
  <c r="AF6083" i="19" s="1"/>
  <c r="AF6101" i="19" s="1"/>
  <c r="AF6102" i="19" s="1"/>
  <c r="AF6103" i="19" s="1"/>
  <c r="AF6104" i="19" s="1"/>
  <c r="AF6105" i="19" s="1"/>
  <c r="AF6106" i="19" s="1"/>
  <c r="AF6107" i="19" s="1"/>
  <c r="AF6108" i="19" s="1"/>
  <c r="AF6109" i="19" s="1"/>
  <c r="AF6110" i="19" s="1"/>
  <c r="AF6111" i="19" s="1"/>
  <c r="AF6112" i="19" s="1"/>
  <c r="AF6113" i="19" s="1"/>
  <c r="AF6114" i="19" s="1"/>
  <c r="AF6115" i="19" s="1"/>
  <c r="AF6116" i="19" s="1"/>
  <c r="AF6117" i="19" s="1"/>
  <c r="AF6136" i="19" s="1"/>
  <c r="AF6137" i="19" s="1"/>
  <c r="AF6138" i="19" s="1"/>
  <c r="AF6139" i="19" s="1"/>
  <c r="AF6140" i="19" s="1"/>
  <c r="AF6141" i="19" s="1"/>
  <c r="AF2303" i="19"/>
  <c r="AF1364" i="19"/>
  <c r="AF1377" i="19" s="1"/>
  <c r="AF1490" i="19"/>
  <c r="AF1491" i="19" s="1"/>
  <c r="AF1492" i="19" s="1"/>
  <c r="AF1493" i="19" s="1"/>
  <c r="AF1494" i="19" s="1"/>
  <c r="AF1495" i="19" s="1"/>
  <c r="AF1496" i="19" s="1"/>
  <c r="AF1497" i="19" s="1"/>
  <c r="AF1498" i="19" s="1"/>
  <c r="AF1499" i="19" s="1"/>
  <c r="AF1500" i="19" s="1"/>
  <c r="AF1501" i="19" s="1"/>
  <c r="AF1502" i="19" s="1"/>
  <c r="AF1503" i="19" s="1"/>
  <c r="AF1504" i="19" s="1"/>
  <c r="AF2304" i="19" l="1"/>
  <c r="AF1365" i="19"/>
  <c r="AF1366" i="19" s="1"/>
  <c r="AF1367" i="19" s="1"/>
  <c r="AF2305" i="19" l="1"/>
  <c r="AF1368" i="19"/>
  <c r="AF1369" i="19" s="1"/>
  <c r="AF1370" i="19" s="1"/>
  <c r="AF1371" i="19" s="1"/>
  <c r="AF1372" i="19" s="1"/>
  <c r="AF1373" i="19" s="1"/>
  <c r="AF1374" i="19" s="1"/>
  <c r="AF1375" i="19" s="1"/>
  <c r="AF1376" i="19" s="1"/>
  <c r="AF2306" i="19" l="1"/>
  <c r="AF2307" i="19" l="1"/>
  <c r="AF2308" i="19" l="1"/>
  <c r="AF2309" i="19" l="1"/>
  <c r="AF2310" i="19" l="1"/>
  <c r="AF2311" i="19" l="1"/>
  <c r="AF2312" i="19" l="1"/>
  <c r="AF2313" i="19" l="1"/>
  <c r="AF2314" i="19" l="1"/>
  <c r="AF2315" i="19" l="1"/>
  <c r="AF2316" i="19" l="1"/>
  <c r="AF2317" i="19" l="1"/>
  <c r="AF2318" i="19" l="1"/>
  <c r="AF2319" i="19" l="1"/>
  <c r="AF2320" i="19" l="1"/>
  <c r="AF2321" i="19" l="1"/>
  <c r="AF2322" i="19" l="1"/>
  <c r="AF2323" i="19" l="1"/>
  <c r="AF2324" i="19" l="1"/>
  <c r="AF2342" i="19" l="1"/>
  <c r="AF2343" i="19" l="1"/>
  <c r="AF2364" i="19"/>
  <c r="AF2344" i="19" l="1"/>
  <c r="AF2345" i="19" l="1"/>
  <c r="AF2346" i="19" l="1"/>
  <c r="AF2347" i="19" l="1"/>
  <c r="AF2348" i="19" l="1"/>
  <c r="AF2349" i="19" l="1"/>
  <c r="AF2350" i="19" l="1"/>
  <c r="AF2351" i="19" l="1"/>
  <c r="AF2352" i="19" l="1"/>
  <c r="AF2353" i="19" l="1"/>
  <c r="AF2354" i="19" l="1"/>
  <c r="AF2355" i="19" l="1"/>
  <c r="AF2356" i="19" l="1"/>
  <c r="AF2357" i="19" l="1"/>
  <c r="AF2358" i="19" l="1"/>
  <c r="AF2359" i="19" l="1"/>
  <c r="AF2360" i="19" l="1"/>
  <c r="AF2361" i="19" l="1"/>
  <c r="AF2362" i="19" l="1"/>
  <c r="AF2363" i="19" l="1"/>
  <c r="AF2381" i="19" l="1"/>
  <c r="AF2382" i="19" l="1"/>
  <c r="AF2391" i="19"/>
  <c r="AF2383" i="19" l="1"/>
  <c r="AF2384" i="19" l="1"/>
  <c r="AF2385" i="19" l="1"/>
  <c r="AF2386" i="19" l="1"/>
  <c r="AF2387" i="19" l="1"/>
  <c r="AF2388" i="19" l="1"/>
  <c r="AF2389" i="19" l="1"/>
  <c r="AF2390" i="19" l="1"/>
  <c r="AF2408" i="19" l="1"/>
  <c r="AF2409" i="19" l="1"/>
  <c r="AF2439" i="19"/>
  <c r="AF2456" i="19" l="1"/>
  <c r="AF2410" i="19"/>
  <c r="AF2475" i="19" l="1"/>
  <c r="AF2457" i="19"/>
  <c r="AF2411" i="19"/>
  <c r="AF2492" i="19" l="1"/>
  <c r="AF2412" i="19"/>
  <c r="AF2458" i="19"/>
  <c r="AF2503" i="19" l="1"/>
  <c r="AF2493" i="19"/>
  <c r="AF2459" i="19"/>
  <c r="AF2413" i="19"/>
  <c r="AF2414" i="19" l="1"/>
  <c r="AF2460" i="19"/>
  <c r="AF2494" i="19"/>
  <c r="AF2520" i="19"/>
  <c r="AF2415" i="19" l="1"/>
  <c r="AF2521" i="19"/>
  <c r="AF2562" i="19"/>
  <c r="AF2495" i="19"/>
  <c r="AF2461" i="19"/>
  <c r="AF2416" i="19" l="1"/>
  <c r="AF2462" i="19"/>
  <c r="AF2496" i="19"/>
  <c r="AF2579" i="19"/>
  <c r="AF2522" i="19"/>
  <c r="AF2523" i="19" l="1"/>
  <c r="AF2417" i="19"/>
  <c r="AF2580" i="19"/>
  <c r="AF2595" i="19"/>
  <c r="AF2611" i="19" s="1"/>
  <c r="AF2621" i="19" s="1"/>
  <c r="AF2637" i="19" s="1"/>
  <c r="AF2497" i="19"/>
  <c r="AF2463" i="19"/>
  <c r="AF2524" i="19" l="1"/>
  <c r="AF2498" i="19"/>
  <c r="AF2581" i="19"/>
  <c r="AF2418" i="19"/>
  <c r="AF2464" i="19"/>
  <c r="AF2419" i="19" l="1"/>
  <c r="AF2525" i="19"/>
  <c r="AF2582" i="19"/>
  <c r="AF2612" i="19"/>
  <c r="AF2499" i="19"/>
  <c r="AF2465" i="19"/>
  <c r="AF2500" i="19" l="1"/>
  <c r="AF2420" i="19"/>
  <c r="AF2613" i="19"/>
  <c r="AF2583" i="19"/>
  <c r="AF2466" i="19"/>
  <c r="AF2526" i="19"/>
  <c r="AF2501" i="19" l="1"/>
  <c r="AF2467" i="19"/>
  <c r="AF2584" i="19"/>
  <c r="AF2614" i="19"/>
  <c r="AF2527" i="19"/>
  <c r="AF2421" i="19"/>
  <c r="AF2528" i="19" l="1"/>
  <c r="AF2502" i="19"/>
  <c r="AF2615" i="19"/>
  <c r="AF2585" i="19"/>
  <c r="AF2422" i="19"/>
  <c r="AF2468" i="19"/>
  <c r="AF2529" i="19" l="1"/>
  <c r="AF2423" i="19"/>
  <c r="AF2586" i="19"/>
  <c r="AF2616" i="19"/>
  <c r="AF2617" i="19" s="1"/>
  <c r="AF2618" i="19" s="1"/>
  <c r="AF2619" i="19" s="1"/>
  <c r="AF2620" i="19" s="1"/>
  <c r="AF2469" i="19"/>
  <c r="AF2638" i="19" l="1"/>
  <c r="AF2639" i="19" s="1"/>
  <c r="AF2640" i="19" s="1"/>
  <c r="AF2641" i="19" s="1"/>
  <c r="AF2642" i="19"/>
  <c r="AF2658" i="19" s="1"/>
  <c r="AF2470" i="19"/>
  <c r="AF2530" i="19"/>
  <c r="AF2587" i="19"/>
  <c r="AF2424" i="19"/>
  <c r="AF2659" i="19" l="1"/>
  <c r="AF2660" i="19" s="1"/>
  <c r="AF2661" i="19" s="1"/>
  <c r="AF2662" i="19"/>
  <c r="AF2678" i="19" s="1"/>
  <c r="AF2425" i="19"/>
  <c r="AF2471" i="19"/>
  <c r="AF2588" i="19"/>
  <c r="AF2531" i="19"/>
  <c r="AF2679" i="19" l="1"/>
  <c r="AF2680" i="19" s="1"/>
  <c r="AF2681" i="19" s="1"/>
  <c r="AF2682" i="19" s="1"/>
  <c r="AF2683" i="19" s="1"/>
  <c r="AF2684" i="19" s="1"/>
  <c r="AF2685" i="19" s="1"/>
  <c r="AF2686" i="19" s="1"/>
  <c r="AF2687" i="19" s="1"/>
  <c r="AF2688" i="19" s="1"/>
  <c r="AF2689" i="19" s="1"/>
  <c r="AF2690" i="19" s="1"/>
  <c r="AF2691" i="19" s="1"/>
  <c r="AF2692" i="19" s="1"/>
  <c r="AF2693" i="19" s="1"/>
  <c r="AF2694" i="19" s="1"/>
  <c r="AF2695" i="19" s="1"/>
  <c r="AF2696" i="19" s="1"/>
  <c r="AF2697" i="19" s="1"/>
  <c r="AF2698" i="19" s="1"/>
  <c r="AF2699" i="19" s="1"/>
  <c r="AF2700" i="19" s="1"/>
  <c r="AF2701" i="19" s="1"/>
  <c r="AF2702" i="19" s="1"/>
  <c r="AF2703" i="19" s="1"/>
  <c r="AF2704" i="19" s="1"/>
  <c r="AF2705" i="19" s="1"/>
  <c r="AF2706" i="19" s="1"/>
  <c r="AF2707" i="19" s="1"/>
  <c r="AF2708" i="19" s="1"/>
  <c r="AF2725" i="19" s="1"/>
  <c r="AF2709" i="19"/>
  <c r="AF2532" i="19"/>
  <c r="AF2426" i="19"/>
  <c r="AF2589" i="19"/>
  <c r="AF2472" i="19"/>
  <c r="AF2726" i="19" l="1"/>
  <c r="AF2727" i="19" s="1"/>
  <c r="AF2728" i="19" s="1"/>
  <c r="AF2729" i="19" s="1"/>
  <c r="AF2730" i="19" s="1"/>
  <c r="AF2731" i="19" s="1"/>
  <c r="AF2732" i="19" s="1"/>
  <c r="AF2733" i="19" s="1"/>
  <c r="AF2734" i="19"/>
  <c r="AF2751" i="19" s="1"/>
  <c r="AF2762" i="19" s="1"/>
  <c r="AF2473" i="19"/>
  <c r="AF2533" i="19"/>
  <c r="AF2590" i="19"/>
  <c r="AF2427" i="19"/>
  <c r="AF2474" i="19" l="1"/>
  <c r="AF2428" i="19"/>
  <c r="AF2591" i="19"/>
  <c r="AF2534" i="19"/>
  <c r="AF2535" i="19" l="1"/>
  <c r="AF2592" i="19"/>
  <c r="AF2429" i="19"/>
  <c r="AF2536" i="19" l="1"/>
  <c r="AF2430" i="19"/>
  <c r="AF2593" i="19"/>
  <c r="AF2537" i="19" l="1"/>
  <c r="AF2594" i="19"/>
  <c r="AF2431" i="19"/>
  <c r="AF2538" i="19" l="1"/>
  <c r="AF2432" i="19"/>
  <c r="AF2539" i="19" l="1"/>
  <c r="AF2433" i="19"/>
  <c r="AF2540" i="19" l="1"/>
  <c r="AF2434" i="19"/>
  <c r="AF2541" i="19" l="1"/>
  <c r="AF2435" i="19"/>
  <c r="AF2542" i="19" l="1"/>
  <c r="AF2436" i="19"/>
  <c r="AF2543" i="19" l="1"/>
  <c r="AF2437" i="19"/>
  <c r="AF2544" i="19" l="1"/>
  <c r="AF2438" i="19"/>
  <c r="AF2545" i="19" l="1"/>
  <c r="AF2546" i="19" l="1"/>
  <c r="AF2547" i="19" l="1"/>
  <c r="AF2548" i="19" l="1"/>
  <c r="AF2549" i="19" l="1"/>
  <c r="AF2550" i="19" l="1"/>
  <c r="AF2551" i="19" l="1"/>
  <c r="AF2552" i="19" l="1"/>
  <c r="AF2553" i="19" l="1"/>
  <c r="AF2554" i="19" l="1"/>
  <c r="AF2555" i="19" l="1"/>
  <c r="AF2556" i="19" l="1"/>
  <c r="AF2557" i="19" l="1"/>
  <c r="AF2558" i="19" l="1"/>
  <c r="AF2559" i="19" l="1"/>
  <c r="AF2560" i="19" l="1"/>
  <c r="AF2561" i="19" l="1"/>
  <c r="AF2752" i="19"/>
  <c r="AF2753" i="19" s="1"/>
  <c r="AF2754" i="19" s="1"/>
  <c r="AF2755" i="19" s="1"/>
  <c r="AF2756" i="19" s="1"/>
  <c r="AF2757" i="19" s="1"/>
  <c r="AF2758" i="19" s="1"/>
  <c r="AF2759" i="19" s="1"/>
  <c r="AF2760" i="19" s="1"/>
  <c r="AF2761" i="19" s="1"/>
  <c r="AE137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RECEPCION2</author>
    <author>Comif Chajul</author>
  </authors>
  <commentList>
    <comment ref="I8" authorId="0" shapeId="0" xr:uid="{398FE04D-0DE7-458D-B087-2D2CB4A5C2AB}">
      <text>
        <r>
          <rPr>
            <b/>
            <sz val="9"/>
            <color indexed="81"/>
            <rFont val="Tahoma"/>
            <family val="2"/>
          </rPr>
          <t>RECEPCION2:</t>
        </r>
        <r>
          <rPr>
            <sz val="9"/>
            <color indexed="81"/>
            <rFont val="Tahoma"/>
            <family val="2"/>
          </rPr>
          <t xml:space="preserve">
</t>
        </r>
      </text>
    </comment>
    <comment ref="F9" authorId="1" shapeId="0" xr:uid="{8E934238-63AE-4E30-926C-483252F49CDF}">
      <text>
        <r>
          <rPr>
            <b/>
            <sz val="9"/>
            <color indexed="81"/>
            <rFont val="Tahoma"/>
            <family val="2"/>
          </rPr>
          <t>Comif Chajul:</t>
        </r>
        <r>
          <rPr>
            <sz val="9"/>
            <color indexed="81"/>
            <rFont val="Tahoma"/>
            <family val="2"/>
          </rPr>
          <t xml:space="preserve">
</t>
        </r>
      </text>
    </comment>
    <comment ref="F35" authorId="1" shapeId="0" xr:uid="{9686FF55-0666-4DBD-B6A3-4F0F083D00BF}">
      <text>
        <r>
          <rPr>
            <b/>
            <sz val="9"/>
            <color indexed="81"/>
            <rFont val="Tahoma"/>
            <family val="2"/>
          </rPr>
          <t>Comif Chajul:</t>
        </r>
        <r>
          <rPr>
            <sz val="9"/>
            <color indexed="81"/>
            <rFont val="Tahoma"/>
            <family val="2"/>
          </rPr>
          <t xml:space="preserve">
</t>
        </r>
      </text>
    </comment>
    <comment ref="G35" authorId="1" shapeId="0" xr:uid="{DC75721D-E675-4BA6-B5F7-DB611FBBE4B2}">
      <text>
        <r>
          <rPr>
            <b/>
            <sz val="9"/>
            <color indexed="81"/>
            <rFont val="Tahoma"/>
            <family val="2"/>
          </rPr>
          <t>Comif Chajul:</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RECEPCION2</author>
    <author>Comif Chajul</author>
  </authors>
  <commentList>
    <comment ref="I8" authorId="0" shapeId="0" xr:uid="{BAB45B93-2B36-41A1-8152-46A9141F3318}">
      <text>
        <r>
          <rPr>
            <b/>
            <sz val="9"/>
            <color indexed="81"/>
            <rFont val="Tahoma"/>
            <family val="2"/>
          </rPr>
          <t>RECEPCION2:</t>
        </r>
        <r>
          <rPr>
            <sz val="9"/>
            <color indexed="81"/>
            <rFont val="Tahoma"/>
            <family val="2"/>
          </rPr>
          <t xml:space="preserve">
</t>
        </r>
      </text>
    </comment>
    <comment ref="F9" authorId="1" shapeId="0" xr:uid="{CC1D037E-E8DD-448F-AD47-1B895F7F17CA}">
      <text>
        <r>
          <rPr>
            <b/>
            <sz val="9"/>
            <color indexed="81"/>
            <rFont val="Tahoma"/>
            <family val="2"/>
          </rPr>
          <t>Comif Chajul:</t>
        </r>
        <r>
          <rPr>
            <sz val="9"/>
            <color indexed="81"/>
            <rFont val="Tahoma"/>
            <family val="2"/>
          </rPr>
          <t xml:space="preserve">
</t>
        </r>
      </text>
    </comment>
    <comment ref="F35" authorId="1" shapeId="0" xr:uid="{0B93CD41-F3DE-4BAC-8971-90D4ABFA15D7}">
      <text>
        <r>
          <rPr>
            <b/>
            <sz val="9"/>
            <color indexed="81"/>
            <rFont val="Tahoma"/>
            <family val="2"/>
          </rPr>
          <t>Comif Chajul:</t>
        </r>
        <r>
          <rPr>
            <sz val="9"/>
            <color indexed="81"/>
            <rFont val="Tahoma"/>
            <family val="2"/>
          </rPr>
          <t xml:space="preserve">
</t>
        </r>
      </text>
    </comment>
    <comment ref="G35" authorId="1" shapeId="0" xr:uid="{042C1AD1-68A3-40B2-B270-001E7B7411EC}">
      <text>
        <r>
          <rPr>
            <b/>
            <sz val="9"/>
            <color indexed="81"/>
            <rFont val="Tahoma"/>
            <family val="2"/>
          </rPr>
          <t>Comif Chajul:</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RECEPCION2</author>
    <author>Comif Chajul</author>
  </authors>
  <commentList>
    <comment ref="I8" authorId="0" shapeId="0" xr:uid="{1D9CB4A5-7187-4E8D-993A-9DCCD0578D77}">
      <text>
        <r>
          <rPr>
            <b/>
            <sz val="9"/>
            <color indexed="81"/>
            <rFont val="Tahoma"/>
            <family val="2"/>
          </rPr>
          <t>RECEPCION2:</t>
        </r>
        <r>
          <rPr>
            <sz val="9"/>
            <color indexed="81"/>
            <rFont val="Tahoma"/>
            <family val="2"/>
          </rPr>
          <t xml:space="preserve">
</t>
        </r>
      </text>
    </comment>
    <comment ref="F9" authorId="1" shapeId="0" xr:uid="{F29E53E8-9E2B-49E1-A475-7019B80C0E06}">
      <text>
        <r>
          <rPr>
            <b/>
            <sz val="9"/>
            <color indexed="81"/>
            <rFont val="Tahoma"/>
            <family val="2"/>
          </rPr>
          <t>Comif Chajul:</t>
        </r>
        <r>
          <rPr>
            <sz val="9"/>
            <color indexed="81"/>
            <rFont val="Tahoma"/>
            <family val="2"/>
          </rPr>
          <t xml:space="preserve">
</t>
        </r>
      </text>
    </comment>
    <comment ref="F35" authorId="1" shapeId="0" xr:uid="{373A3233-FFD2-4CB2-B8DB-3C4C06A94795}">
      <text>
        <r>
          <rPr>
            <b/>
            <sz val="9"/>
            <color indexed="81"/>
            <rFont val="Tahoma"/>
            <family val="2"/>
          </rPr>
          <t>Comif Chajul:</t>
        </r>
        <r>
          <rPr>
            <sz val="9"/>
            <color indexed="81"/>
            <rFont val="Tahoma"/>
            <family val="2"/>
          </rPr>
          <t xml:space="preserve">
</t>
        </r>
      </text>
    </comment>
    <comment ref="G35" authorId="1" shapeId="0" xr:uid="{02183165-92B9-4D7E-AD59-6A61733ED777}">
      <text>
        <r>
          <rPr>
            <b/>
            <sz val="9"/>
            <color indexed="81"/>
            <rFont val="Tahoma"/>
            <family val="2"/>
          </rPr>
          <t>Comif Chajul:</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RECEPCION2</author>
    <author>Comif Chajul</author>
  </authors>
  <commentList>
    <comment ref="I8" authorId="0" shapeId="0" xr:uid="{7FFDB81B-7F21-4351-8C1B-EAB66FD181CB}">
      <text>
        <r>
          <rPr>
            <b/>
            <sz val="9"/>
            <color indexed="81"/>
            <rFont val="Tahoma"/>
            <family val="2"/>
          </rPr>
          <t>RECEPCION2:</t>
        </r>
        <r>
          <rPr>
            <sz val="9"/>
            <color indexed="81"/>
            <rFont val="Tahoma"/>
            <family val="2"/>
          </rPr>
          <t xml:space="preserve">
</t>
        </r>
      </text>
    </comment>
    <comment ref="F9" authorId="1" shapeId="0" xr:uid="{B6094777-0DF7-4EB4-8BF9-A13C8C19C1BA}">
      <text>
        <r>
          <rPr>
            <b/>
            <sz val="9"/>
            <color indexed="81"/>
            <rFont val="Tahoma"/>
            <family val="2"/>
          </rPr>
          <t>Comif Chajul:</t>
        </r>
        <r>
          <rPr>
            <sz val="9"/>
            <color indexed="81"/>
            <rFont val="Tahoma"/>
            <family val="2"/>
          </rPr>
          <t xml:space="preserve">
</t>
        </r>
      </text>
    </comment>
    <comment ref="F35" authorId="1" shapeId="0" xr:uid="{2EC9FA94-8B96-4CC2-B9D3-D28864244DCE}">
      <text>
        <r>
          <rPr>
            <b/>
            <sz val="9"/>
            <color indexed="81"/>
            <rFont val="Tahoma"/>
            <family val="2"/>
          </rPr>
          <t>Comif Chajul:</t>
        </r>
        <r>
          <rPr>
            <sz val="9"/>
            <color indexed="81"/>
            <rFont val="Tahoma"/>
            <family val="2"/>
          </rPr>
          <t xml:space="preserve">
</t>
        </r>
      </text>
    </comment>
    <comment ref="G35" authorId="1" shapeId="0" xr:uid="{4012B71E-3F5E-4849-9418-7E914F8E373F}">
      <text>
        <r>
          <rPr>
            <b/>
            <sz val="9"/>
            <color indexed="81"/>
            <rFont val="Tahoma"/>
            <family val="2"/>
          </rPr>
          <t>Comif Chajul:</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RECEPCION2</author>
    <author>Comif Chajul</author>
  </authors>
  <commentList>
    <comment ref="I8" authorId="0" shapeId="0" xr:uid="{2F2B1D7B-0757-4FB6-B278-75F42C664ADA}">
      <text>
        <r>
          <rPr>
            <b/>
            <sz val="9"/>
            <color indexed="81"/>
            <rFont val="Tahoma"/>
            <family val="2"/>
          </rPr>
          <t>RECEPCION2:</t>
        </r>
        <r>
          <rPr>
            <sz val="9"/>
            <color indexed="81"/>
            <rFont val="Tahoma"/>
            <family val="2"/>
          </rPr>
          <t xml:space="preserve">
</t>
        </r>
      </text>
    </comment>
    <comment ref="F9" authorId="1" shapeId="0" xr:uid="{B47F2AE1-B334-4EBB-B2D6-F229EF51DA26}">
      <text>
        <r>
          <rPr>
            <b/>
            <sz val="9"/>
            <color indexed="81"/>
            <rFont val="Tahoma"/>
            <family val="2"/>
          </rPr>
          <t>Comif Chajul:</t>
        </r>
        <r>
          <rPr>
            <sz val="9"/>
            <color indexed="81"/>
            <rFont val="Tahoma"/>
            <family val="2"/>
          </rPr>
          <t xml:space="preserve">
</t>
        </r>
      </text>
    </comment>
    <comment ref="F35" authorId="1" shapeId="0" xr:uid="{37427D20-32F9-4747-A963-12B0BDC316BA}">
      <text>
        <r>
          <rPr>
            <b/>
            <sz val="9"/>
            <color indexed="81"/>
            <rFont val="Tahoma"/>
            <family val="2"/>
          </rPr>
          <t>Comif Chajul:</t>
        </r>
        <r>
          <rPr>
            <sz val="9"/>
            <color indexed="81"/>
            <rFont val="Tahoma"/>
            <family val="2"/>
          </rPr>
          <t xml:space="preserve">
</t>
        </r>
      </text>
    </comment>
    <comment ref="G35" authorId="1" shapeId="0" xr:uid="{BE492219-91B4-4D5B-87B5-405787FB40FD}">
      <text>
        <r>
          <rPr>
            <b/>
            <sz val="9"/>
            <color indexed="81"/>
            <rFont val="Tahoma"/>
            <family val="2"/>
          </rPr>
          <t>Comif Chajul:</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Comif Chajul</author>
  </authors>
  <commentList>
    <comment ref="F9" authorId="0" shapeId="0" xr:uid="{4DD19995-2A07-4237-9EAB-8BF1C9FF8A5B}">
      <text>
        <r>
          <rPr>
            <b/>
            <sz val="9"/>
            <color indexed="81"/>
            <rFont val="Tahoma"/>
            <family val="2"/>
          </rPr>
          <t>Comif Chajul:</t>
        </r>
        <r>
          <rPr>
            <sz val="9"/>
            <color indexed="81"/>
            <rFont val="Tahoma"/>
            <family val="2"/>
          </rPr>
          <t xml:space="preserve">
</t>
        </r>
      </text>
    </comment>
    <comment ref="F35" authorId="0" shapeId="0" xr:uid="{848F447B-AA27-413F-BE9C-0A77F69E53AB}">
      <text>
        <r>
          <rPr>
            <b/>
            <sz val="9"/>
            <color indexed="81"/>
            <rFont val="Tahoma"/>
            <family val="2"/>
          </rPr>
          <t>Comif Chajul:</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Comif Chajul</author>
  </authors>
  <commentList>
    <comment ref="F9" authorId="0" shapeId="0" xr:uid="{B1454315-610D-4ABD-BD4E-D86430053B2A}">
      <text>
        <r>
          <rPr>
            <b/>
            <sz val="9"/>
            <color indexed="81"/>
            <rFont val="Tahoma"/>
            <family val="2"/>
          </rPr>
          <t>Comif Chajul:</t>
        </r>
        <r>
          <rPr>
            <sz val="9"/>
            <color indexed="81"/>
            <rFont val="Tahoma"/>
            <family val="2"/>
          </rPr>
          <t xml:space="preserve">
</t>
        </r>
      </text>
    </comment>
    <comment ref="F34" authorId="0" shapeId="0" xr:uid="{C2CE385C-C70F-42F4-AE40-7C2635EE8B99}">
      <text>
        <r>
          <rPr>
            <b/>
            <sz val="9"/>
            <color indexed="81"/>
            <rFont val="Tahoma"/>
            <family val="2"/>
          </rPr>
          <t>Comif Chajul:</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Comif Chajul</author>
  </authors>
  <commentList>
    <comment ref="F33" authorId="0" shapeId="0" xr:uid="{CB4D06B1-D49A-4BB2-AC9E-06BC9E9C06AE}">
      <text>
        <r>
          <rPr>
            <b/>
            <sz val="9"/>
            <color indexed="81"/>
            <rFont val="Tahoma"/>
            <family val="2"/>
          </rPr>
          <t>Comif Chajul:</t>
        </r>
        <r>
          <rPr>
            <sz val="9"/>
            <color indexed="81"/>
            <rFont val="Tahoma"/>
            <family val="2"/>
          </rPr>
          <t xml:space="preserve">
</t>
        </r>
      </text>
    </comment>
  </commentList>
</comments>
</file>

<file path=xl/sharedStrings.xml><?xml version="1.0" encoding="utf-8"?>
<sst xmlns="http://schemas.openxmlformats.org/spreadsheetml/2006/main" count="20850" uniqueCount="4573">
  <si>
    <t>FECHA</t>
  </si>
  <si>
    <t xml:space="preserve"> </t>
  </si>
  <si>
    <t xml:space="preserve">DESCRIPCION </t>
  </si>
  <si>
    <t>INGRESO</t>
  </si>
  <si>
    <t>EGRESO</t>
  </si>
  <si>
    <t>EG</t>
  </si>
  <si>
    <t>"MAYA INVERSIONES FUTURAS" RESPONSABILIDAD LIMITADA</t>
  </si>
  <si>
    <t>COOPERATIVA INTEGRAL DE AHORRO Y CREDITO</t>
  </si>
  <si>
    <t>NOMBRE DEL BENEFICIARIO</t>
  </si>
  <si>
    <t>SALDO</t>
  </si>
  <si>
    <t>Año</t>
  </si>
  <si>
    <t>TIPO</t>
  </si>
  <si>
    <t>01</t>
  </si>
  <si>
    <t>DEPOSITO DE AHORRO CORRIENTE</t>
  </si>
  <si>
    <t>MARIA CECILIA IJOM RIVERA</t>
  </si>
  <si>
    <t>MARIA MARTA CABA MO</t>
  </si>
  <si>
    <t>LORENZA RAQUEL PANTZAY SANCHEZ</t>
  </si>
  <si>
    <t>IN</t>
  </si>
  <si>
    <t>MARGARITA CABA CANAY</t>
  </si>
  <si>
    <t>GASPAR ESCOBAR CABA</t>
  </si>
  <si>
    <t>Cooperativa Integral de Ahorro y Credito</t>
  </si>
  <si>
    <t>"Maya Inversiones Futuras", R.L.</t>
  </si>
  <si>
    <t>Arqueo de Caja</t>
  </si>
  <si>
    <t>(+)</t>
  </si>
  <si>
    <t>(-)</t>
  </si>
  <si>
    <t>Ingresos 2015</t>
  </si>
  <si>
    <t>Doc. Ingreso</t>
  </si>
  <si>
    <t>Doc. Egreso</t>
  </si>
  <si>
    <t>Igresos</t>
  </si>
  <si>
    <t>Egresos</t>
  </si>
  <si>
    <t>Depositos</t>
  </si>
  <si>
    <t>Facturas</t>
  </si>
  <si>
    <t>Total Ingresos</t>
  </si>
  <si>
    <t>Total de Egresos</t>
  </si>
  <si>
    <t>ARQUEO DEL EFECTIVO</t>
  </si>
  <si>
    <t>Recuento</t>
  </si>
  <si>
    <t>Cantidad</t>
  </si>
  <si>
    <t xml:space="preserve">Billetes </t>
  </si>
  <si>
    <t>Denominacion</t>
  </si>
  <si>
    <t>Total</t>
  </si>
  <si>
    <t>Q.200.00</t>
  </si>
  <si>
    <t>Q.100.00</t>
  </si>
  <si>
    <t>Q.50.00</t>
  </si>
  <si>
    <t>Q.20.00</t>
  </si>
  <si>
    <t>Q.10.00</t>
  </si>
  <si>
    <t>Q.5.00</t>
  </si>
  <si>
    <t>Q.1.00</t>
  </si>
  <si>
    <t>Monedas</t>
  </si>
  <si>
    <t>Q.0.50</t>
  </si>
  <si>
    <t>Q.0.25</t>
  </si>
  <si>
    <t>Q.0.10</t>
  </si>
  <si>
    <t>Q.0.05</t>
  </si>
  <si>
    <t>Q.0.01</t>
  </si>
  <si>
    <t>Total Efectivo</t>
  </si>
  <si>
    <t>DIFERENCIA</t>
  </si>
  <si>
    <t xml:space="preserve">presentandonos       los      documentos   de   ingresos  y   egresos   como  tambien   los   depositos y </t>
  </si>
  <si>
    <r>
      <t>facturas para proceder a realizar la revision  se encontro un sobrante de</t>
    </r>
    <r>
      <rPr>
        <u/>
        <sz val="12"/>
        <rFont val="Calibri"/>
        <family val="2"/>
        <scheme val="minor"/>
      </rPr>
      <t xml:space="preserve">  Q. 0.02. Centavos  </t>
    </r>
    <r>
      <rPr>
        <sz val="12"/>
        <rFont val="Calibri"/>
        <family val="2"/>
        <scheme val="minor"/>
      </rPr>
      <t xml:space="preserve">de acuerdo con el </t>
    </r>
  </si>
  <si>
    <t>arqueo y  se incluyo con el total del efectivo encontrado. La diferencia radica en los centavos.</t>
  </si>
  <si>
    <t>caso de faltante sera reembolsado de inmediato por la persona encargada cuando se hace  el arqueo.</t>
  </si>
  <si>
    <t xml:space="preserve">Se    devolvieron     los    documentos   de    forma  íntegra   a la persona   encargada   sin que haga  falta   </t>
  </si>
  <si>
    <t>alguno de los documentos recibiendolos en su entera satisfaccion.</t>
  </si>
  <si>
    <t xml:space="preserve">Observaciones:  </t>
  </si>
  <si>
    <t xml:space="preserve">Luis Santiago Ceto Bernal </t>
  </si>
  <si>
    <t>Julio Vicente Perez Soliz</t>
  </si>
  <si>
    <t>Presidente</t>
  </si>
  <si>
    <t>Secretario</t>
  </si>
  <si>
    <t>Catarina Guzman Raymundo</t>
  </si>
  <si>
    <t>Receptor-Pagador</t>
  </si>
  <si>
    <t>Vocal I</t>
  </si>
  <si>
    <t>21/08/2023 Hora:3:00 pm a 6:15 pm</t>
  </si>
  <si>
    <t>Agosto</t>
  </si>
  <si>
    <t xml:space="preserve">Saldo Inicial  (al 27/04/2023) Según Auxiliar </t>
  </si>
  <si>
    <t>El dia 21 de Agosto de 2023 se hizo arqueo al Receptor Pagador  Lorenza Raquel Pantzay Sánchez,  en su presencia</t>
  </si>
  <si>
    <t>Lorenza Raquel Pantzay Sanchez</t>
  </si>
  <si>
    <t xml:space="preserve">El  sobrante   Q.20.00 se deposita en la cuenta del banco por decision unanime de la comision de vigilancia </t>
  </si>
  <si>
    <t>256 al 280</t>
  </si>
  <si>
    <t>27 al 28</t>
  </si>
  <si>
    <t>Ingresos</t>
  </si>
  <si>
    <t>Septiembre</t>
  </si>
  <si>
    <t>281 al 331</t>
  </si>
  <si>
    <t>Octubre</t>
  </si>
  <si>
    <t>335 al 379</t>
  </si>
  <si>
    <t>29 al 42</t>
  </si>
  <si>
    <t>43 AL 55</t>
  </si>
  <si>
    <t>octubre</t>
  </si>
  <si>
    <t>281 al 334</t>
  </si>
  <si>
    <t>43 al 55</t>
  </si>
  <si>
    <t>El dia 02 de Noviembre de 2023 se hizo arqueo al Receptor Pagador  Lorenza Raquel Pantzay Sánchez,  en su presencia</t>
  </si>
  <si>
    <r>
      <t>facturas para proceder a realizar la revision  se encontro un sobrante de</t>
    </r>
    <r>
      <rPr>
        <u/>
        <sz val="12"/>
        <rFont val="Calibri"/>
        <family val="2"/>
        <scheme val="minor"/>
      </rPr>
      <t xml:space="preserve">  -Q. 0.07. Centavos  </t>
    </r>
    <r>
      <rPr>
        <sz val="12"/>
        <rFont val="Calibri"/>
        <family val="2"/>
        <scheme val="minor"/>
      </rPr>
      <t xml:space="preserve">de acuerdo con el </t>
    </r>
  </si>
  <si>
    <t xml:space="preserve">El  sobrante   Q.0.00 se deposita en la cuenta del banco por decision unanime de la comision de vigilancia </t>
  </si>
  <si>
    <t>02/11/2023 Hora:3:00 pm a 6:15 pm</t>
  </si>
  <si>
    <t>11</t>
  </si>
  <si>
    <t>RETIRO DE AHORRO CORRIENTE</t>
  </si>
  <si>
    <t>0000582</t>
  </si>
  <si>
    <t>0000583</t>
  </si>
  <si>
    <t>0000584</t>
  </si>
  <si>
    <t>0000585</t>
  </si>
  <si>
    <t xml:space="preserve">Saldo Inicial  (al 03/11/2023) Según Auxiliar </t>
  </si>
  <si>
    <t>08/03/2024 Hora:3:00 pm a 6:00 pm</t>
  </si>
  <si>
    <t>Noviembre/23</t>
  </si>
  <si>
    <t>Diciembre/23</t>
  </si>
  <si>
    <t>Enero/2024</t>
  </si>
  <si>
    <t>Febrero/2024</t>
  </si>
  <si>
    <t>Marzo/2024</t>
  </si>
  <si>
    <t>380 al 431</t>
  </si>
  <si>
    <t>56 al 64</t>
  </si>
  <si>
    <t>432 al 504</t>
  </si>
  <si>
    <t>65 al 79</t>
  </si>
  <si>
    <t>505 al 561</t>
  </si>
  <si>
    <t>562 al 612</t>
  </si>
  <si>
    <t>80 al 97</t>
  </si>
  <si>
    <t>98 al  112</t>
  </si>
  <si>
    <t>613 al 630</t>
  </si>
  <si>
    <t>113 al 115</t>
  </si>
  <si>
    <t>415-5-1</t>
  </si>
  <si>
    <t>4-5-1</t>
  </si>
  <si>
    <t>588-5-1</t>
  </si>
  <si>
    <t>17-6-1</t>
  </si>
  <si>
    <t>RETIRO DE AHORRO A PLAZO FIJO</t>
  </si>
  <si>
    <t>ANDRES BRITO CHEL</t>
  </si>
  <si>
    <t>0</t>
  </si>
  <si>
    <t>631 al 664</t>
  </si>
  <si>
    <t>116 al 127</t>
  </si>
  <si>
    <t>665 al 722</t>
  </si>
  <si>
    <t>Abril/2024</t>
  </si>
  <si>
    <t>Mayo/2024</t>
  </si>
  <si>
    <t>Junio/2024</t>
  </si>
  <si>
    <t>Julio/2024</t>
  </si>
  <si>
    <t>Agosto/2024</t>
  </si>
  <si>
    <t>Septiembre/2024</t>
  </si>
  <si>
    <t>Octubre/2024</t>
  </si>
  <si>
    <t>Noviembre/2024</t>
  </si>
  <si>
    <t>723 al 782</t>
  </si>
  <si>
    <t>128 al 140</t>
  </si>
  <si>
    <t>141 al 156</t>
  </si>
  <si>
    <t>783 al 821</t>
  </si>
  <si>
    <t>157 al 167</t>
  </si>
  <si>
    <t>822 al 897</t>
  </si>
  <si>
    <t>168 al 182</t>
  </si>
  <si>
    <t>898 al 958</t>
  </si>
  <si>
    <t>183 al 202</t>
  </si>
  <si>
    <t>959 al 1028</t>
  </si>
  <si>
    <t>203 al 228</t>
  </si>
  <si>
    <t>1029 al 1101</t>
  </si>
  <si>
    <t>229 al 242</t>
  </si>
  <si>
    <t>1102 al 1138</t>
  </si>
  <si>
    <t>244 al 254</t>
  </si>
  <si>
    <t>El dia 18 de Noviembre de 2024 se hizo arqueo al Receptor Pagador  Lorenza Raquel Pantzay Sánchez,  en su presencia</t>
  </si>
  <si>
    <r>
      <t>facturas para proceder a realizar la revision  se encontro un sobrante de</t>
    </r>
    <r>
      <rPr>
        <u/>
        <sz val="12"/>
        <rFont val="Calibri"/>
        <family val="2"/>
        <scheme val="minor"/>
      </rPr>
      <t xml:space="preserve">  -Q. 0.02. Centavos  </t>
    </r>
    <r>
      <rPr>
        <sz val="12"/>
        <rFont val="Calibri"/>
        <family val="2"/>
        <scheme val="minor"/>
      </rPr>
      <t xml:space="preserve">de acuerdo con el </t>
    </r>
  </si>
  <si>
    <t>18/11/2024 Hora:9:00 am a 3:00 pm</t>
  </si>
  <si>
    <t>Fecha</t>
  </si>
  <si>
    <t xml:space="preserve">Saldo Inicial  (al 09/03/2024) Según Auxiliar </t>
  </si>
  <si>
    <t xml:space="preserve">El  sobrante se queda en caja por decision unanime de la comision de vigilancia </t>
  </si>
  <si>
    <t>Magdalena Guzman Marcos</t>
  </si>
  <si>
    <t>Secretaria</t>
  </si>
  <si>
    <t>95-6-1</t>
  </si>
  <si>
    <t xml:space="preserve">Saldo Inicial  (al 18/11/2024) Según Auxiliar </t>
  </si>
  <si>
    <t>Diciembre/2024</t>
  </si>
  <si>
    <t>1139 al 1187</t>
  </si>
  <si>
    <t>255 al 260</t>
  </si>
  <si>
    <t>261 al 282</t>
  </si>
  <si>
    <t>31/12/2024 Hora:9:00 am a 11:00 am</t>
  </si>
  <si>
    <t>Diego Laynez Asicona</t>
  </si>
  <si>
    <t>El dia 31 de Diciembre de 2024 se hizo arqueo al Promotor de Créditos Diego Laynez Asicona,  en su presencia</t>
  </si>
  <si>
    <t>Promotor de Créditos</t>
  </si>
  <si>
    <t>1188 al 1296</t>
  </si>
  <si>
    <t>INTERESES HIPOTECARIOS</t>
  </si>
  <si>
    <t>LIQUIDACION DE CAJA CHICA</t>
  </si>
  <si>
    <t>MORA SOBRE PRESTAMOS</t>
  </si>
  <si>
    <t>26/02/2025 Hora: 14:00 pm a 16:30 pm</t>
  </si>
  <si>
    <t xml:space="preserve">Saldo Inicial  (al 01/01/2025) Según Auxiliar </t>
  </si>
  <si>
    <t>Enero/2025</t>
  </si>
  <si>
    <t>1297 al 1368</t>
  </si>
  <si>
    <t>283 al 303</t>
  </si>
  <si>
    <t>Febrero/2025</t>
  </si>
  <si>
    <t>1369 al 1420</t>
  </si>
  <si>
    <t>304 al 323</t>
  </si>
  <si>
    <t>El dia 26 de Febrero de 2025  se hizo arqueo al Receptor Pagador  Lorenza Raquel Pantzay Sánchez,  en su presencia</t>
  </si>
  <si>
    <t xml:space="preserve"> Lorenza Raquel Pantzay Sánchez</t>
  </si>
  <si>
    <t>Receptor Pagador</t>
  </si>
  <si>
    <t>Maya Inversiones Futuras, R.L.</t>
  </si>
  <si>
    <t xml:space="preserve"> -   </t>
  </si>
  <si>
    <t xml:space="preserve">facturas para proceder a realizar la revision  se encontro un sobrante de  -Q. 0.02. Centavos  de acuerdo con el </t>
  </si>
  <si>
    <t>INTERESES FIDUCIARIOS</t>
  </si>
  <si>
    <t>1421 al 1427</t>
  </si>
  <si>
    <t>324 al 324</t>
  </si>
  <si>
    <t>Marzo/2025</t>
  </si>
  <si>
    <t>Abril/2025</t>
  </si>
  <si>
    <t>1428 al 1485</t>
  </si>
  <si>
    <t>332 al 356</t>
  </si>
  <si>
    <t>1486 al 1543</t>
  </si>
  <si>
    <t>357 al 372</t>
  </si>
  <si>
    <t>24/04/2025 Hora: 14:30 pm a 16:30 pm</t>
  </si>
  <si>
    <t xml:space="preserve">Saldo Inicial  (al 26/02/2025) Según Auxiliar </t>
  </si>
  <si>
    <t>El dia 24 de Abril de 2025  se hizo arqueo al Receptor Pagador  Lorenza Raquel Pantzay Sánchez,  en su presencia</t>
  </si>
  <si>
    <t>IIIIIIIIIIIIIIIIIIIIIIIIIIIIIIIIIIIIII</t>
  </si>
  <si>
    <t>4-3-2025</t>
  </si>
  <si>
    <t xml:space="preserve">                   AUXILIAR DE CAJA AG. CHAJUL</t>
  </si>
  <si>
    <t xml:space="preserve">                         (Expresado en Quetzales)</t>
  </si>
  <si>
    <t>Doc. No</t>
  </si>
  <si>
    <t>Cuenta No.</t>
  </si>
  <si>
    <t>Canton Ilom, Chajul Quiche</t>
  </si>
  <si>
    <t>NIT: 6270731-0</t>
  </si>
  <si>
    <t xml:space="preserve">         EG-Bi</t>
  </si>
  <si>
    <t>Remesa</t>
  </si>
  <si>
    <t>GN</t>
  </si>
  <si>
    <t xml:space="preserve">            ING-Bi</t>
  </si>
  <si>
    <t>Servicios</t>
  </si>
  <si>
    <t>Retiro Mon.</t>
  </si>
  <si>
    <t>Depositos Mon.</t>
  </si>
  <si>
    <t>Mes</t>
  </si>
  <si>
    <t xml:space="preserve">  TRANSACCIONES AGENTE Bi</t>
  </si>
  <si>
    <t>CANTIDAD</t>
  </si>
  <si>
    <t xml:space="preserve">CONTEO EN EFECTIVO </t>
  </si>
  <si>
    <t xml:space="preserve">BILLETES </t>
  </si>
  <si>
    <t xml:space="preserve">                    ELABORADO POR                 F.</t>
  </si>
  <si>
    <t>15</t>
  </si>
  <si>
    <t>COLABORADOR                     F.</t>
  </si>
  <si>
    <t xml:space="preserve">MONEDAS </t>
  </si>
  <si>
    <t xml:space="preserve">TOTAL </t>
  </si>
  <si>
    <t>CONTADORA GENERAL           F.</t>
  </si>
  <si>
    <t>7</t>
  </si>
  <si>
    <t>1</t>
  </si>
  <si>
    <t>3</t>
  </si>
  <si>
    <t>2</t>
  </si>
  <si>
    <t>67-2-2025</t>
  </si>
  <si>
    <t>EGBi</t>
  </si>
  <si>
    <t>Junio/20225</t>
  </si>
  <si>
    <t>1679 al 1702</t>
  </si>
  <si>
    <t>417 al 421</t>
  </si>
  <si>
    <t xml:space="preserve">Saldo Inicial  (al 24/06/2025) Según Auxiliar </t>
  </si>
  <si>
    <t>46</t>
  </si>
  <si>
    <t>Julio/2025</t>
  </si>
  <si>
    <t>Agosto/2025</t>
  </si>
  <si>
    <t>1703 al 1762</t>
  </si>
  <si>
    <t>422 al 455</t>
  </si>
  <si>
    <t>456 al 476</t>
  </si>
  <si>
    <t>1763 al 1799</t>
  </si>
  <si>
    <t>El dia 22 de Agosto de 2025  se hizo arqueo al Promotor de Crédito Diego Laynez Asiona,  en su presencia</t>
  </si>
  <si>
    <t>Promotor de Crédito</t>
  </si>
  <si>
    <t>22/08/2025 Hora: 14:30 pm a 17:00 pm</t>
  </si>
  <si>
    <t xml:space="preserve">facturas para proceder a realizar la revision  se encontro un sobrante de  Q. 0.00. Centavos  de acuerdo con el </t>
  </si>
  <si>
    <t>AhoCorriente</t>
  </si>
  <si>
    <t>Plazo Fijo</t>
  </si>
  <si>
    <t>Aportaciones</t>
  </si>
  <si>
    <t>Ingreso Asoc.</t>
  </si>
  <si>
    <t>Comisiones</t>
  </si>
  <si>
    <t>ABN Prestamos/INT./Mora y Otros</t>
  </si>
  <si>
    <t>Colocacion</t>
  </si>
  <si>
    <t>Ingresos y Egresos Propios</t>
  </si>
  <si>
    <t>47</t>
  </si>
  <si>
    <t>SALDO INICIAL DEL DIA - - - - - - - - - -</t>
  </si>
  <si>
    <t>445-5-2025</t>
  </si>
  <si>
    <t xml:space="preserve">Saldo Inicial  (al 22/08/2025) Según Auxiliar </t>
  </si>
  <si>
    <t>Octubre/2025</t>
  </si>
  <si>
    <t>Lorenza Raquel Pantzay Sánchez</t>
  </si>
  <si>
    <t>COBROS POR CUENTA AJENA BI DEPOSITOS</t>
  </si>
  <si>
    <t>SUMAS- - - - - - - - - -</t>
  </si>
  <si>
    <t>93</t>
  </si>
  <si>
    <t>80</t>
  </si>
  <si>
    <t>87</t>
  </si>
  <si>
    <t>MARIA RIVERA ESCOBAR</t>
  </si>
  <si>
    <t>148-5-1</t>
  </si>
  <si>
    <t>326</t>
  </si>
  <si>
    <t>02/01/2026Hora: 10:00 pm a 13:00 pm</t>
  </si>
  <si>
    <t>Noviembre/2025</t>
  </si>
  <si>
    <t>Diciembre/2025</t>
  </si>
  <si>
    <t>1955 al 1971</t>
  </si>
  <si>
    <t>532 al 536</t>
  </si>
  <si>
    <t>1972 al 2050</t>
  </si>
  <si>
    <t>537 al 555</t>
  </si>
  <si>
    <t>2051 al 2234</t>
  </si>
  <si>
    <t>556 al 581</t>
  </si>
  <si>
    <t>El dia 02 de Enero de 2026  se hizo arqueo al Receptor Pagador Lorenza Raquel Pantzay Sánchez,  en su presencia</t>
  </si>
  <si>
    <t>002235</t>
  </si>
  <si>
    <t>1221-5-1</t>
  </si>
  <si>
    <t>002236</t>
  </si>
  <si>
    <t>002237</t>
  </si>
  <si>
    <t>002238</t>
  </si>
  <si>
    <t>002239</t>
  </si>
  <si>
    <t>002240</t>
  </si>
  <si>
    <t>002241</t>
  </si>
  <si>
    <t>JACINTA OFELIA PACHECO HIJOM</t>
  </si>
  <si>
    <t>SALDO INICIAL 2,026</t>
  </si>
  <si>
    <t>002242</t>
  </si>
  <si>
    <t>17-5-1</t>
  </si>
  <si>
    <t>240</t>
  </si>
  <si>
    <t>710</t>
  </si>
  <si>
    <t>94</t>
  </si>
  <si>
    <t>002243</t>
  </si>
  <si>
    <t>13-2-2024</t>
  </si>
  <si>
    <t>MANUEL ELIAS CABA CABA</t>
  </si>
  <si>
    <t>0000586</t>
  </si>
  <si>
    <t>13-5-1</t>
  </si>
  <si>
    <t>0000587</t>
  </si>
  <si>
    <t>1024</t>
  </si>
  <si>
    <t>74</t>
  </si>
  <si>
    <t>309</t>
  </si>
  <si>
    <t>88</t>
  </si>
  <si>
    <t>4</t>
  </si>
  <si>
    <t>002244</t>
  </si>
  <si>
    <t>ROSA HERNANDEZ DEL BARRIO</t>
  </si>
  <si>
    <t>002245</t>
  </si>
  <si>
    <t>MARIA CABA RIVERA</t>
  </si>
  <si>
    <t>002246</t>
  </si>
  <si>
    <t>MAGDALENA SANCHEZ CABA</t>
  </si>
  <si>
    <t>002247</t>
  </si>
  <si>
    <t>ANA RAMIREZ LAYNEZ</t>
  </si>
  <si>
    <t>002248</t>
  </si>
  <si>
    <t>JUANA SANCHEZ CABA</t>
  </si>
  <si>
    <t>0000588</t>
  </si>
  <si>
    <t>AUT:022696</t>
  </si>
  <si>
    <t>BERNARDO FREDY PEREZ RAMIREZ</t>
  </si>
  <si>
    <t>COOPERATIVA INTEGRAL DE AHORRO Y CREDITO MAYA INVERSIONES FUTURAS</t>
  </si>
  <si>
    <t>AUT:079752</t>
  </si>
  <si>
    <t>AUT:121435</t>
  </si>
  <si>
    <t>JACINTA GALLEGO</t>
  </si>
  <si>
    <t>IGLESIA EVANGELICA MISION JESUS FUENTE DE VIDA JUIL</t>
  </si>
  <si>
    <t>1515</t>
  </si>
  <si>
    <t>6</t>
  </si>
  <si>
    <t>307</t>
  </si>
  <si>
    <t>002249</t>
  </si>
  <si>
    <t>74-2-2025</t>
  </si>
  <si>
    <t>MARIA DEL BARRIO ANAY</t>
  </si>
  <si>
    <t>002250</t>
  </si>
  <si>
    <t>123-1-2025</t>
  </si>
  <si>
    <t>MANUEL ASICONA CABA</t>
  </si>
  <si>
    <t>002251</t>
  </si>
  <si>
    <t>147-5-1</t>
  </si>
  <si>
    <t>BARTOLOME RIVERA RAMIREZ</t>
  </si>
  <si>
    <t>002252</t>
  </si>
  <si>
    <t>128-1-2025</t>
  </si>
  <si>
    <t>DIEGO RIVERA RAMOS</t>
  </si>
  <si>
    <t>002253</t>
  </si>
  <si>
    <t>DIEGO PEREZ TORRES</t>
  </si>
  <si>
    <t>27-2-2024</t>
  </si>
  <si>
    <t>AUT:084176</t>
  </si>
  <si>
    <t>KARIN EMILIA VASQUEZ PEREZ DE TAYUN</t>
  </si>
  <si>
    <t>AUT:144969</t>
  </si>
  <si>
    <t>NICOLAS BRITO</t>
  </si>
  <si>
    <t>COBROS POR CUENTA AJENA BI SERVICIOS</t>
  </si>
  <si>
    <t>AUT:073283</t>
  </si>
  <si>
    <t>JULIO ALBERTO VASQUEZ CHILISNA</t>
  </si>
  <si>
    <t>AUT:116511</t>
  </si>
  <si>
    <t>LUCAS CABA ESCOBAR</t>
  </si>
  <si>
    <t>109-1-2025</t>
  </si>
  <si>
    <t>124-1-2025</t>
  </si>
  <si>
    <t>126-1-2025</t>
  </si>
  <si>
    <t>1035-1-2024</t>
  </si>
  <si>
    <t>77-5-1</t>
  </si>
  <si>
    <t>002254</t>
  </si>
  <si>
    <t>66-2-2025</t>
  </si>
  <si>
    <t>FRANCISCO COBO CABA</t>
  </si>
  <si>
    <t>0000589</t>
  </si>
  <si>
    <t>34-5-1</t>
  </si>
  <si>
    <t>SEBASTIAN ELIAS PANTZAY SANCHEZ</t>
  </si>
  <si>
    <t>86</t>
  </si>
  <si>
    <t>301</t>
  </si>
  <si>
    <t>1843</t>
  </si>
  <si>
    <t>71</t>
  </si>
  <si>
    <t>002255</t>
  </si>
  <si>
    <t>153-1-2025</t>
  </si>
  <si>
    <t>FRANCISCO GALLEGO SANCHEZ</t>
  </si>
  <si>
    <t>002256</t>
  </si>
  <si>
    <t>38-5-1</t>
  </si>
  <si>
    <t>ROSA RAYMUNDO ANAY</t>
  </si>
  <si>
    <t>JUANA CANAY MENDEZ DE SANCHEZ</t>
  </si>
  <si>
    <t>50-5-1</t>
  </si>
  <si>
    <t>0000590</t>
  </si>
  <si>
    <t xml:space="preserve">AUT:015990 </t>
  </si>
  <si>
    <t>PABLO RAYMUNDO LAYNES</t>
  </si>
  <si>
    <t>165-1-1</t>
  </si>
  <si>
    <t>JUAN MATEO RAYMUNDO</t>
  </si>
  <si>
    <t>CUOTA DE INGRESO</t>
  </si>
  <si>
    <t>002257</t>
  </si>
  <si>
    <t>002258</t>
  </si>
  <si>
    <t>165-5-1</t>
  </si>
  <si>
    <t>002259</t>
  </si>
  <si>
    <t>002260</t>
  </si>
  <si>
    <t>163-1-1</t>
  </si>
  <si>
    <t>DOMINGO MENDOZA ASICONA</t>
  </si>
  <si>
    <t>002261</t>
  </si>
  <si>
    <t>002262</t>
  </si>
  <si>
    <t>163-5-1</t>
  </si>
  <si>
    <t>002263</t>
  </si>
  <si>
    <t>COMISIONES SOBRE PRESTAMOS</t>
  </si>
  <si>
    <t>002264</t>
  </si>
  <si>
    <t>164-1-1</t>
  </si>
  <si>
    <t>MARTA MARICELA ESCOBAR PEREZ</t>
  </si>
  <si>
    <t>002265</t>
  </si>
  <si>
    <t>002266</t>
  </si>
  <si>
    <t>34-3-2025</t>
  </si>
  <si>
    <t>002267</t>
  </si>
  <si>
    <t>002268</t>
  </si>
  <si>
    <t>163-1-2026</t>
  </si>
  <si>
    <t>DESEMBOLSO DE CREDITO</t>
  </si>
  <si>
    <t>0000591</t>
  </si>
  <si>
    <t>11576218</t>
  </si>
  <si>
    <t xml:space="preserve">COOPERATIVA MAYA INVERSIONES FUTURAS </t>
  </si>
  <si>
    <t>GASTOS ADMINISTRATIVOS</t>
  </si>
  <si>
    <t>11576219</t>
  </si>
  <si>
    <t>CANCELACION</t>
  </si>
  <si>
    <t>5</t>
  </si>
  <si>
    <t>002269</t>
  </si>
  <si>
    <t>62-5-1</t>
  </si>
  <si>
    <t>PETRONILA PEREZ CANAY DE IJOM</t>
  </si>
  <si>
    <t>002270</t>
  </si>
  <si>
    <t>86-1-2024</t>
  </si>
  <si>
    <t>FRANCISCO HU RIVERA</t>
  </si>
  <si>
    <t>002271</t>
  </si>
  <si>
    <t>1211323248</t>
  </si>
  <si>
    <t>3442010380</t>
  </si>
  <si>
    <t>COOPERATIVA MAYA INVERSIONES FUTURAS</t>
  </si>
  <si>
    <t>1210941071</t>
  </si>
  <si>
    <t>79-1-2024</t>
  </si>
  <si>
    <t>JUANA HERNANDEZ DEL BARRIO</t>
  </si>
  <si>
    <t>AUT:098923</t>
  </si>
  <si>
    <t>IGLESIA EVANGELICA MISION FUENTE DE VIDA</t>
  </si>
  <si>
    <t>0000592</t>
  </si>
  <si>
    <t>53-5-1</t>
  </si>
  <si>
    <t>ELENA CABA CABA</t>
  </si>
  <si>
    <t>DEPOSITO DE ASOCIADO</t>
  </si>
  <si>
    <t>AUT:080645</t>
  </si>
  <si>
    <t>PEDRO JESUS LAYNEZ RIVERA</t>
  </si>
  <si>
    <t>AUT:092133</t>
  </si>
  <si>
    <t>GASPAR EDWIN TELIZ MENDOZA</t>
  </si>
  <si>
    <t>AUT:061776</t>
  </si>
  <si>
    <t>MUGUEL ROSOLINO RAYMUNDO ANAY</t>
  </si>
  <si>
    <t>AUT:012135</t>
  </si>
  <si>
    <t>TERESA ASICONA ASICONA</t>
  </si>
  <si>
    <t>90</t>
  </si>
  <si>
    <t>45</t>
  </si>
  <si>
    <t>002272</t>
  </si>
  <si>
    <t>68-1-2024</t>
  </si>
  <si>
    <t>AMALIA DIAZ CABA</t>
  </si>
  <si>
    <t>002273</t>
  </si>
  <si>
    <t>134-1-2025</t>
  </si>
  <si>
    <t>BARTOLOME CABA IJOM</t>
  </si>
  <si>
    <t>002274</t>
  </si>
  <si>
    <t>121-1-2025</t>
  </si>
  <si>
    <t>MARGARITA GALLEGO CABA</t>
  </si>
  <si>
    <t>002275</t>
  </si>
  <si>
    <t>120-1-2025</t>
  </si>
  <si>
    <t>CATARINA CABA RIVERA</t>
  </si>
  <si>
    <t>002276</t>
  </si>
  <si>
    <t>166-1-1</t>
  </si>
  <si>
    <t>JUAN RAMIREZ LAYNEZ</t>
  </si>
  <si>
    <t>JUANA RAMIREZ LAYNEZ</t>
  </si>
  <si>
    <t>002277</t>
  </si>
  <si>
    <t>002278</t>
  </si>
  <si>
    <t>122-1-2025</t>
  </si>
  <si>
    <t>MARIA MENDEZ LAYNEZ</t>
  </si>
  <si>
    <t>002279</t>
  </si>
  <si>
    <t>809-2-2024</t>
  </si>
  <si>
    <t>FRANCISCO IJOM LOPEZ</t>
  </si>
  <si>
    <t>002280</t>
  </si>
  <si>
    <t>39-3-2025</t>
  </si>
  <si>
    <t xml:space="preserve">ANTONIO RIEVERA CABA </t>
  </si>
  <si>
    <t>002281</t>
  </si>
  <si>
    <t>166-5-1</t>
  </si>
  <si>
    <t>14962338</t>
  </si>
  <si>
    <t>002282</t>
  </si>
  <si>
    <t>002283</t>
  </si>
  <si>
    <t>167-1-1</t>
  </si>
  <si>
    <t>ROSA DIAZ SANCHEZ</t>
  </si>
  <si>
    <t>002284</t>
  </si>
  <si>
    <t>002285</t>
  </si>
  <si>
    <t>167-5-1</t>
  </si>
  <si>
    <t>AUT:109292</t>
  </si>
  <si>
    <t>ANA MARIA CARMEN SANCHEZ</t>
  </si>
  <si>
    <t>537</t>
  </si>
  <si>
    <t>530</t>
  </si>
  <si>
    <t>529</t>
  </si>
  <si>
    <t>523</t>
  </si>
  <si>
    <t>76</t>
  </si>
  <si>
    <t>670</t>
  </si>
  <si>
    <t>0000593</t>
  </si>
  <si>
    <t>7-5-1</t>
  </si>
  <si>
    <t>MARIA LAYNEZ RAMIREZ</t>
  </si>
  <si>
    <t>AUT:118919</t>
  </si>
  <si>
    <t>EDY BRITO CEDILLO</t>
  </si>
  <si>
    <t>75</t>
  </si>
  <si>
    <t>002286</t>
  </si>
  <si>
    <t>76-3-205</t>
  </si>
  <si>
    <t>MARIA CABA CHAVAZ</t>
  </si>
  <si>
    <t>002287</t>
  </si>
  <si>
    <t>20-2-2024</t>
  </si>
  <si>
    <t>ANA CABA CABA</t>
  </si>
  <si>
    <t>102</t>
  </si>
  <si>
    <t>305</t>
  </si>
  <si>
    <t>002288</t>
  </si>
  <si>
    <t>56-5-1</t>
  </si>
  <si>
    <t>MARIA ESCOBAR PACHECO</t>
  </si>
  <si>
    <t>002289</t>
  </si>
  <si>
    <t>72-2-2025</t>
  </si>
  <si>
    <t>ROSA CABA HU</t>
  </si>
  <si>
    <t>AUT:052746</t>
  </si>
  <si>
    <t>KARIN EMILIA VASQUEZ DE TAYUN</t>
  </si>
  <si>
    <t>AUT:098063</t>
  </si>
  <si>
    <t>HILDA ISABELA IJOM GALLEGO</t>
  </si>
  <si>
    <t>AUT:103095</t>
  </si>
  <si>
    <t>SEBASTIAN MO PACHECO</t>
  </si>
  <si>
    <t>AUT:103515</t>
  </si>
  <si>
    <t>002290</t>
  </si>
  <si>
    <t>111-1-2025</t>
  </si>
  <si>
    <t>JUANA RAMIREZ CABA</t>
  </si>
  <si>
    <t>002291</t>
  </si>
  <si>
    <t>133-1-2025</t>
  </si>
  <si>
    <t>MARIA ANAY PACHECO</t>
  </si>
  <si>
    <t>002292</t>
  </si>
  <si>
    <t>002293</t>
  </si>
  <si>
    <t>41-5-1</t>
  </si>
  <si>
    <t>0000594</t>
  </si>
  <si>
    <t>MARGARITA RIVERA HU</t>
  </si>
  <si>
    <t>0000595</t>
  </si>
  <si>
    <t>AUT:118810</t>
  </si>
  <si>
    <t>105</t>
  </si>
  <si>
    <t>67</t>
  </si>
  <si>
    <t>002294</t>
  </si>
  <si>
    <t>169-1-1</t>
  </si>
  <si>
    <t>FRANCISCO PASCUAL PEDRO</t>
  </si>
  <si>
    <t>002295</t>
  </si>
  <si>
    <t>002296</t>
  </si>
  <si>
    <t>170-1-1</t>
  </si>
  <si>
    <t>MARIA GASPAR TOMAS DE PASCUAL</t>
  </si>
  <si>
    <t>002297</t>
  </si>
  <si>
    <t>002298</t>
  </si>
  <si>
    <t>170-5-1</t>
  </si>
  <si>
    <t>002299</t>
  </si>
  <si>
    <t>168-1-1</t>
  </si>
  <si>
    <t>ANTONIO ROBERTO CABA XINIC</t>
  </si>
  <si>
    <t>002300</t>
  </si>
  <si>
    <t>002301</t>
  </si>
  <si>
    <t>168-5-1</t>
  </si>
  <si>
    <t>002302</t>
  </si>
  <si>
    <t>002303</t>
  </si>
  <si>
    <t>AUT:116949</t>
  </si>
  <si>
    <t>MARGARITA OFELIA LAYNEZ SANCHEZ</t>
  </si>
  <si>
    <t>COBROS POR CUENTA AJENA BI PAQUETIGOS</t>
  </si>
  <si>
    <t>AUT:025885</t>
  </si>
  <si>
    <t>EDUARDO REY AGUARE BATZ</t>
  </si>
  <si>
    <t>AUT:017361</t>
  </si>
  <si>
    <t>JACINTA ASICONA</t>
  </si>
  <si>
    <t>AUT:103401</t>
  </si>
  <si>
    <t xml:space="preserve">EG </t>
  </si>
  <si>
    <t>0000596</t>
  </si>
  <si>
    <t>2-168-1-2026</t>
  </si>
  <si>
    <t>ANTONIO RIVERA CABA</t>
  </si>
  <si>
    <t>107</t>
  </si>
  <si>
    <t>65</t>
  </si>
  <si>
    <t>300</t>
  </si>
  <si>
    <t>002304</t>
  </si>
  <si>
    <t>171-1-1</t>
  </si>
  <si>
    <t>JACINTA CANAY RIVERA DE IJOM</t>
  </si>
  <si>
    <t>002305</t>
  </si>
  <si>
    <t>002306</t>
  </si>
  <si>
    <t>78-1-2024</t>
  </si>
  <si>
    <t>ELENA CABA VI DE CABA</t>
  </si>
  <si>
    <t>002307</t>
  </si>
  <si>
    <t>172-1-1</t>
  </si>
  <si>
    <t>PABLO MO BATZ</t>
  </si>
  <si>
    <t>002308</t>
  </si>
  <si>
    <t>61</t>
  </si>
  <si>
    <t>84</t>
  </si>
  <si>
    <t>14</t>
  </si>
  <si>
    <t>002309</t>
  </si>
  <si>
    <t>131-1-2025</t>
  </si>
  <si>
    <t>PABLO ESCOBAR CHAVEZ</t>
  </si>
  <si>
    <t>0000597</t>
  </si>
  <si>
    <t>MARGARITA CBA CANAY</t>
  </si>
  <si>
    <t>002310</t>
  </si>
  <si>
    <t>172-5-1</t>
  </si>
  <si>
    <t>002311</t>
  </si>
  <si>
    <t>0000598</t>
  </si>
  <si>
    <t>2-172-1-2026</t>
  </si>
  <si>
    <t>0000599</t>
  </si>
  <si>
    <t>0000600</t>
  </si>
  <si>
    <t>105-5-1</t>
  </si>
  <si>
    <t>MARIA MENDOZA CABA DE RAYMUNDO</t>
  </si>
  <si>
    <t>101</t>
  </si>
  <si>
    <t>60</t>
  </si>
  <si>
    <t>10</t>
  </si>
  <si>
    <t>298</t>
  </si>
  <si>
    <t>002312</t>
  </si>
  <si>
    <t>DOMINGO RAMIREZ ASICONA</t>
  </si>
  <si>
    <t>152-1-2025</t>
  </si>
  <si>
    <t>002313</t>
  </si>
  <si>
    <t>467-6-2</t>
  </si>
  <si>
    <t>CIPRIANO BOP PEREZ ENRIQUE ANTONIO SOLANO CABA</t>
  </si>
  <si>
    <t>DEPOSITO DE AHORRO A PLAZO FIJO</t>
  </si>
  <si>
    <t>002314</t>
  </si>
  <si>
    <t>173-1-1</t>
  </si>
  <si>
    <t>MARIA RAMIREZ HU</t>
  </si>
  <si>
    <t>002316</t>
  </si>
  <si>
    <t>002315</t>
  </si>
  <si>
    <t>171-5-1</t>
  </si>
  <si>
    <t>002317</t>
  </si>
  <si>
    <t>002318</t>
  </si>
  <si>
    <t>173-5-1</t>
  </si>
  <si>
    <t>002319</t>
  </si>
  <si>
    <t>174-1-1</t>
  </si>
  <si>
    <t>MARGARITA CANAY ASICONA DE MATEO</t>
  </si>
  <si>
    <t>002320</t>
  </si>
  <si>
    <t>002321</t>
  </si>
  <si>
    <t>174-5-1</t>
  </si>
  <si>
    <t>14974037</t>
  </si>
  <si>
    <t>0000601</t>
  </si>
  <si>
    <t>297</t>
  </si>
  <si>
    <t>55</t>
  </si>
  <si>
    <t>482</t>
  </si>
  <si>
    <t>002322</t>
  </si>
  <si>
    <t>002323</t>
  </si>
  <si>
    <t>002324</t>
  </si>
  <si>
    <t>165-1-2025</t>
  </si>
  <si>
    <t>17652886</t>
  </si>
  <si>
    <t>17652887</t>
  </si>
  <si>
    <t>AUT:052153</t>
  </si>
  <si>
    <t>56109263</t>
  </si>
  <si>
    <t>TRASLADO DE FONDOS</t>
  </si>
  <si>
    <t>54</t>
  </si>
  <si>
    <t>17</t>
  </si>
  <si>
    <t>002325</t>
  </si>
  <si>
    <t>002326</t>
  </si>
  <si>
    <t>72-1-2024</t>
  </si>
  <si>
    <t>0000602</t>
  </si>
  <si>
    <t>85</t>
  </si>
  <si>
    <t>480</t>
  </si>
  <si>
    <t>56109318</t>
  </si>
  <si>
    <t>0000603</t>
  </si>
  <si>
    <t>99-5-1</t>
  </si>
  <si>
    <t>ROSA TELIS MATEO</t>
  </si>
  <si>
    <t>0000604</t>
  </si>
  <si>
    <t>0000605</t>
  </si>
  <si>
    <t>19-5-1</t>
  </si>
  <si>
    <t>MARGARITA RIVERA ESCOBAR</t>
  </si>
  <si>
    <t>0000606</t>
  </si>
  <si>
    <t>002327</t>
  </si>
  <si>
    <t>175-1-1</t>
  </si>
  <si>
    <t>REYNA ESCOBAR PEREZ</t>
  </si>
  <si>
    <t>002328</t>
  </si>
  <si>
    <t>002329</t>
  </si>
  <si>
    <t>176-1-1</t>
  </si>
  <si>
    <t>DOMINGO PACHECO PEREZ</t>
  </si>
  <si>
    <t>002330</t>
  </si>
  <si>
    <t>0000607</t>
  </si>
  <si>
    <t>DIEGO LAYNEZ ASICONA</t>
  </si>
  <si>
    <t>PAGO DE VACACIONES POR FALTA DE GOCE COMPRENDIDO EN EL PERIODO DEL 07/12/2024 AL 07/12/2024</t>
  </si>
  <si>
    <t>466</t>
  </si>
  <si>
    <t>91</t>
  </si>
  <si>
    <t>302</t>
  </si>
  <si>
    <t>481</t>
  </si>
  <si>
    <t>79</t>
  </si>
  <si>
    <t>8</t>
  </si>
  <si>
    <t>522</t>
  </si>
  <si>
    <t>1141</t>
  </si>
  <si>
    <t>48</t>
  </si>
  <si>
    <t>308</t>
  </si>
  <si>
    <t>504</t>
  </si>
  <si>
    <t>1113</t>
  </si>
  <si>
    <t>1284</t>
  </si>
  <si>
    <t>306</t>
  </si>
  <si>
    <t>1564</t>
  </si>
  <si>
    <t>21</t>
  </si>
  <si>
    <t>496</t>
  </si>
  <si>
    <t>1496</t>
  </si>
  <si>
    <t>493</t>
  </si>
  <si>
    <t>1593</t>
  </si>
  <si>
    <t>1254</t>
  </si>
  <si>
    <t>3870</t>
  </si>
  <si>
    <t>19</t>
  </si>
  <si>
    <t>16</t>
  </si>
  <si>
    <t>295</t>
  </si>
  <si>
    <t>002331</t>
  </si>
  <si>
    <t>114-1-2025</t>
  </si>
  <si>
    <t>MARGARITA CABA RIVERA</t>
  </si>
  <si>
    <t>002332</t>
  </si>
  <si>
    <t>113-1-2025</t>
  </si>
  <si>
    <t>MARIA CABA LAYNEZ</t>
  </si>
  <si>
    <t>002333</t>
  </si>
  <si>
    <t>75-2-2024</t>
  </si>
  <si>
    <t>TERESA HERNANDEZ DEL BARRIO</t>
  </si>
  <si>
    <t>002334</t>
  </si>
  <si>
    <t>97-1-2024</t>
  </si>
  <si>
    <t>ROSA IJOM CABA DE HU</t>
  </si>
  <si>
    <t>002335</t>
  </si>
  <si>
    <t>1040-1-2024</t>
  </si>
  <si>
    <t>JUANA IJOM RAMIREZ</t>
  </si>
  <si>
    <t>002336</t>
  </si>
  <si>
    <t>761-3-2024</t>
  </si>
  <si>
    <t>JUAN CHAVEZ CHEL</t>
  </si>
  <si>
    <t>002337</t>
  </si>
  <si>
    <t>95-5-1</t>
  </si>
  <si>
    <t>JACINTA OFELIA PACHECO IJOM</t>
  </si>
  <si>
    <t>0000608</t>
  </si>
  <si>
    <t>18-5-1</t>
  </si>
  <si>
    <t>MARIA MATEO IJOM</t>
  </si>
  <si>
    <t>477</t>
  </si>
  <si>
    <t>002338</t>
  </si>
  <si>
    <t>177-1-1</t>
  </si>
  <si>
    <t>MIGUEL RAMIREZ IJOM</t>
  </si>
  <si>
    <t>002339</t>
  </si>
  <si>
    <t>002340</t>
  </si>
  <si>
    <t>178-1-1</t>
  </si>
  <si>
    <t>MARIA ASICONA ESCOBAR</t>
  </si>
  <si>
    <t>002341</t>
  </si>
  <si>
    <t>002342</t>
  </si>
  <si>
    <t>178-5-1</t>
  </si>
  <si>
    <t>002344</t>
  </si>
  <si>
    <t>807-3-2024</t>
  </si>
  <si>
    <t>ELENA LAYNEZ RAMIREZ</t>
  </si>
  <si>
    <t>52</t>
  </si>
  <si>
    <t>50</t>
  </si>
  <si>
    <t>DOMINGO MENDOZA CABA</t>
  </si>
  <si>
    <t>149-5-1</t>
  </si>
  <si>
    <t>0000609</t>
  </si>
  <si>
    <t>17648701</t>
  </si>
  <si>
    <t>002345</t>
  </si>
  <si>
    <t>177-5-1</t>
  </si>
  <si>
    <t>002346</t>
  </si>
  <si>
    <t>HERMENEGILDO LOPEZ RAMOS</t>
  </si>
  <si>
    <t>0000610</t>
  </si>
  <si>
    <t>2-105-1-2026</t>
  </si>
  <si>
    <t>PRESTAMO CONCEDIDO</t>
  </si>
  <si>
    <t>002347</t>
  </si>
  <si>
    <t>002348</t>
  </si>
  <si>
    <t>201</t>
  </si>
  <si>
    <t>002349</t>
  </si>
  <si>
    <t>002350</t>
  </si>
  <si>
    <t>176-5-1</t>
  </si>
  <si>
    <t>17648352</t>
  </si>
  <si>
    <t>002351</t>
  </si>
  <si>
    <t>43-5-1</t>
  </si>
  <si>
    <t>ANA SANCHEZ CABA</t>
  </si>
  <si>
    <t>002352</t>
  </si>
  <si>
    <t>101-2-2025</t>
  </si>
  <si>
    <t>JUANA CABA GUZMAN</t>
  </si>
  <si>
    <t>002353</t>
  </si>
  <si>
    <t>002354</t>
  </si>
  <si>
    <t>3-5-1</t>
  </si>
  <si>
    <t>0000611</t>
  </si>
  <si>
    <t>JUANA SANCHEZ CABA DE BRITO</t>
  </si>
  <si>
    <t>0000612</t>
  </si>
  <si>
    <t>0000613</t>
  </si>
  <si>
    <t>0000614</t>
  </si>
  <si>
    <t>49-5-1</t>
  </si>
  <si>
    <t>MANUELA YESSICA SANCHEZ CABA</t>
  </si>
  <si>
    <t>0000615</t>
  </si>
  <si>
    <t>0000616</t>
  </si>
  <si>
    <t>44</t>
  </si>
  <si>
    <t>02</t>
  </si>
  <si>
    <t>002355</t>
  </si>
  <si>
    <t>179-1-1</t>
  </si>
  <si>
    <t>MARIA CABA CABA</t>
  </si>
  <si>
    <t>002356</t>
  </si>
  <si>
    <t>002357</t>
  </si>
  <si>
    <t>180-1-1</t>
  </si>
  <si>
    <t>PETRONILA GUZMAN RAMIREZ</t>
  </si>
  <si>
    <t>002358</t>
  </si>
  <si>
    <t>002359</t>
  </si>
  <si>
    <t>181-1-1</t>
  </si>
  <si>
    <t>ROSA GUZMAN RAMIREZ</t>
  </si>
  <si>
    <t>002360</t>
  </si>
  <si>
    <t>002361</t>
  </si>
  <si>
    <t>181-5-1</t>
  </si>
  <si>
    <t>002362</t>
  </si>
  <si>
    <t>40-2-2025</t>
  </si>
  <si>
    <t>MARIA CECILIA CABA RAYMUNDO</t>
  </si>
  <si>
    <t>002363</t>
  </si>
  <si>
    <t>002364</t>
  </si>
  <si>
    <t>002365</t>
  </si>
  <si>
    <t>132-5-1</t>
  </si>
  <si>
    <t>MELCHOR LAYNEZ ASICONA</t>
  </si>
  <si>
    <t>002367</t>
  </si>
  <si>
    <t>002366</t>
  </si>
  <si>
    <t>180-5-1</t>
  </si>
  <si>
    <t>14976792</t>
  </si>
  <si>
    <t>002368</t>
  </si>
  <si>
    <t>179-5-1</t>
  </si>
  <si>
    <t>002369</t>
  </si>
  <si>
    <t>14976793</t>
  </si>
  <si>
    <t>0000617</t>
  </si>
  <si>
    <t>.</t>
  </si>
  <si>
    <t>002343</t>
  </si>
  <si>
    <t>42-5-1</t>
  </si>
  <si>
    <t>ELENA CABA RIVERA</t>
  </si>
  <si>
    <t>002370</t>
  </si>
  <si>
    <t>002371</t>
  </si>
  <si>
    <t>002372</t>
  </si>
  <si>
    <t>002373</t>
  </si>
  <si>
    <t>002374</t>
  </si>
  <si>
    <t>1-415-5-2026</t>
  </si>
  <si>
    <t>0000619</t>
  </si>
  <si>
    <t>0000618</t>
  </si>
  <si>
    <t>1-13-3-2026</t>
  </si>
  <si>
    <t>1934906296</t>
  </si>
  <si>
    <t>53912624</t>
  </si>
  <si>
    <t>485</t>
  </si>
  <si>
    <t>51</t>
  </si>
  <si>
    <t>476</t>
  </si>
  <si>
    <t>182</t>
  </si>
  <si>
    <t>38</t>
  </si>
  <si>
    <t>174</t>
  </si>
  <si>
    <t xml:space="preserve">002375 </t>
  </si>
  <si>
    <t>002376</t>
  </si>
  <si>
    <t>MANUELA ASICONA CABA</t>
  </si>
  <si>
    <t>002377</t>
  </si>
  <si>
    <t>182-1-1</t>
  </si>
  <si>
    <t>TEREZA RIVERA CHIVAZ</t>
  </si>
  <si>
    <t>002378</t>
  </si>
  <si>
    <t>002379</t>
  </si>
  <si>
    <t>94-5-1</t>
  </si>
  <si>
    <t>ROSA CABA RAMIREZ</t>
  </si>
  <si>
    <t>002380</t>
  </si>
  <si>
    <t>002381</t>
  </si>
  <si>
    <t>95-6-2</t>
  </si>
  <si>
    <t>002382</t>
  </si>
  <si>
    <t>182-5-1</t>
  </si>
  <si>
    <t>002383</t>
  </si>
  <si>
    <t>0000620</t>
  </si>
  <si>
    <t>0000621</t>
  </si>
  <si>
    <t>99934733</t>
  </si>
  <si>
    <t>34</t>
  </si>
  <si>
    <t>172</t>
  </si>
  <si>
    <t>475</t>
  </si>
  <si>
    <t>002384</t>
  </si>
  <si>
    <t>25-5-1</t>
  </si>
  <si>
    <t>VICENTE LAYNEZ CABA</t>
  </si>
  <si>
    <t>002385</t>
  </si>
  <si>
    <t>78-5-1</t>
  </si>
  <si>
    <t>0000622</t>
  </si>
  <si>
    <t>*** ANULADO ***</t>
  </si>
  <si>
    <t>0000623</t>
  </si>
  <si>
    <t>PAGO DE ARRENDAMIENTO DE OFICINA E INSTALACION DE AGENCIA CHAJUL</t>
  </si>
  <si>
    <t>0000624</t>
  </si>
  <si>
    <t>AUT:130136</t>
  </si>
  <si>
    <t>JUANA ARELY RIVERA MENDOZA</t>
  </si>
  <si>
    <t>33</t>
  </si>
  <si>
    <t>170</t>
  </si>
  <si>
    <t>472</t>
  </si>
  <si>
    <t>0000625</t>
  </si>
  <si>
    <t>2-5-1</t>
  </si>
  <si>
    <t>JUANA HU GALINDO</t>
  </si>
  <si>
    <t>AUT:107646</t>
  </si>
  <si>
    <t>MARGARITA MENDOZA CABA</t>
  </si>
  <si>
    <t>MARIA ELENA CUMATZIL CHIVA</t>
  </si>
  <si>
    <t>MATEO CANAY ASICONA</t>
  </si>
  <si>
    <t>NEXEL MAZATENANAGO</t>
  </si>
  <si>
    <t>AUT:057638</t>
  </si>
  <si>
    <t>002386</t>
  </si>
  <si>
    <t>9-5-1</t>
  </si>
  <si>
    <t>LUCAS ASICONA SANCHEZ</t>
  </si>
  <si>
    <t>32</t>
  </si>
  <si>
    <t>169</t>
  </si>
  <si>
    <t>AUT:111519</t>
  </si>
  <si>
    <t>ROSA RAMIREZ HU</t>
  </si>
  <si>
    <t>AUT:107533</t>
  </si>
  <si>
    <t>MARIA CASTRO GARCIA</t>
  </si>
  <si>
    <t>AUT:117766</t>
  </si>
  <si>
    <t>LUCAS CABA ASICONA</t>
  </si>
  <si>
    <t>AUT:117253</t>
  </si>
  <si>
    <t>AUT:116003</t>
  </si>
  <si>
    <t>AUT:014064</t>
  </si>
  <si>
    <t xml:space="preserve">ANA ENGRACIA RAYMUNDO CETO </t>
  </si>
  <si>
    <t>ELENA CABA ASICONA DE LAYNEZ</t>
  </si>
  <si>
    <t>AUT:127367</t>
  </si>
  <si>
    <t>TERESA LAYNEZ MENDOZA</t>
  </si>
  <si>
    <t>AUT:121692</t>
  </si>
  <si>
    <t>AUT:012038</t>
  </si>
  <si>
    <t>DOMINGO XINIX BOP</t>
  </si>
  <si>
    <t>D R CORPORACION S A</t>
  </si>
  <si>
    <t>AUT:061139</t>
  </si>
  <si>
    <t>AUT:132906</t>
  </si>
  <si>
    <t>FUNDACION GENESIS</t>
  </si>
  <si>
    <t>150</t>
  </si>
  <si>
    <t>470</t>
  </si>
  <si>
    <t>82</t>
  </si>
  <si>
    <t>TOMAS LAYNEZ RAMIREZ</t>
  </si>
  <si>
    <t>AUT:106181</t>
  </si>
  <si>
    <t>AUT:113128</t>
  </si>
  <si>
    <t>PAULA AJANEL CALEL</t>
  </si>
  <si>
    <t>AUT:113956</t>
  </si>
  <si>
    <t>AUT:030834</t>
  </si>
  <si>
    <t>DOMINGO XINIC BOP</t>
  </si>
  <si>
    <t>002387</t>
  </si>
  <si>
    <t>587-2-2023</t>
  </si>
  <si>
    <t>MARIA CANAY CABA</t>
  </si>
  <si>
    <t>27</t>
  </si>
  <si>
    <t>162</t>
  </si>
  <si>
    <t>002388</t>
  </si>
  <si>
    <t>140-5-1</t>
  </si>
  <si>
    <t>MARIA ANAY IJOM</t>
  </si>
  <si>
    <t>002389</t>
  </si>
  <si>
    <t>002390</t>
  </si>
  <si>
    <t>002391</t>
  </si>
  <si>
    <t>002392</t>
  </si>
  <si>
    <t>002393</t>
  </si>
  <si>
    <t>002394</t>
  </si>
  <si>
    <t>002395</t>
  </si>
  <si>
    <t>002396</t>
  </si>
  <si>
    <t>002397</t>
  </si>
  <si>
    <t>163</t>
  </si>
  <si>
    <t>26</t>
  </si>
  <si>
    <t>002398</t>
  </si>
  <si>
    <t>34-4-2026</t>
  </si>
  <si>
    <t>53918226</t>
  </si>
  <si>
    <t>COOPERATIVA MAYA INVERSIONES FUTURAS R L</t>
  </si>
  <si>
    <t>002399</t>
  </si>
  <si>
    <t>REPOSICION DE LIBRETA</t>
  </si>
  <si>
    <t>002400</t>
  </si>
  <si>
    <t>AUT:102615</t>
  </si>
  <si>
    <t>AUT:112748</t>
  </si>
  <si>
    <t>002403</t>
  </si>
  <si>
    <t xml:space="preserve">SUMAS DE TODO EL MES- - - - - - - </t>
  </si>
  <si>
    <t>002404</t>
  </si>
  <si>
    <t>184-1-1</t>
  </si>
  <si>
    <t>DIONICIO ESTEBAN SANCHEZ ORTEGA</t>
  </si>
  <si>
    <t>183-1-1</t>
  </si>
  <si>
    <t>ROSA ASICONA ASICONA DE RAMIREZ</t>
  </si>
  <si>
    <t>002401</t>
  </si>
  <si>
    <t>002402</t>
  </si>
  <si>
    <t>14972118</t>
  </si>
  <si>
    <t xml:space="preserve">COOPERATIVA MAYA INVERSIONES FUTURAS R L </t>
  </si>
  <si>
    <t>002405</t>
  </si>
  <si>
    <t>002406</t>
  </si>
  <si>
    <t>002407</t>
  </si>
  <si>
    <t>183-5-1</t>
  </si>
  <si>
    <t>31</t>
  </si>
  <si>
    <t>161</t>
  </si>
  <si>
    <t>465</t>
  </si>
  <si>
    <t>002408</t>
  </si>
  <si>
    <t>002409</t>
  </si>
  <si>
    <t>22-3-2025</t>
  </si>
  <si>
    <t>DOMINGO LOPEZ CABA</t>
  </si>
  <si>
    <t>AUT:029741</t>
  </si>
  <si>
    <t>PEDRO JUAN ORDOÑEZ GOMEZ</t>
  </si>
  <si>
    <t>AUT:204455</t>
  </si>
  <si>
    <t>0000626</t>
  </si>
  <si>
    <t xml:space="preserve">GASTOS SOBRE SILLAS PARA IGLESIA </t>
  </si>
  <si>
    <t>002410</t>
  </si>
  <si>
    <t>415-5-2026</t>
  </si>
  <si>
    <t>002411</t>
  </si>
  <si>
    <t>002412</t>
  </si>
  <si>
    <t>166-1-2026</t>
  </si>
  <si>
    <t>JUANA SANCHEZ LAYNEZ</t>
  </si>
  <si>
    <t>002413</t>
  </si>
  <si>
    <t>002414</t>
  </si>
  <si>
    <t>002415</t>
  </si>
  <si>
    <t>002416</t>
  </si>
  <si>
    <t>53918486</t>
  </si>
  <si>
    <t>17651512</t>
  </si>
  <si>
    <t>002417</t>
  </si>
  <si>
    <t>184-5-1</t>
  </si>
  <si>
    <t>DIONISIO ESTEBAN SANCHEZ ORTEGA</t>
  </si>
  <si>
    <t>002418</t>
  </si>
  <si>
    <t>17655318</t>
  </si>
  <si>
    <t>002421</t>
  </si>
  <si>
    <t>002419</t>
  </si>
  <si>
    <t>185-1-1</t>
  </si>
  <si>
    <t>MARIA MAGALI SANCHEZ CANAY</t>
  </si>
  <si>
    <t>002420</t>
  </si>
  <si>
    <t>185-5-1</t>
  </si>
  <si>
    <t>002422</t>
  </si>
  <si>
    <t>AUT:095003</t>
  </si>
  <si>
    <t>23</t>
  </si>
  <si>
    <t>002423</t>
  </si>
  <si>
    <t>186-1-1</t>
  </si>
  <si>
    <t>MARIA CANAY ASICONA</t>
  </si>
  <si>
    <t>002424</t>
  </si>
  <si>
    <t>002425</t>
  </si>
  <si>
    <t>186-5-1</t>
  </si>
  <si>
    <t>AUT:090978</t>
  </si>
  <si>
    <t>0000627</t>
  </si>
  <si>
    <t>2-187-1-2026</t>
  </si>
  <si>
    <t>JUAN DIAZ HERNANDEZ</t>
  </si>
  <si>
    <t>002426</t>
  </si>
  <si>
    <t>187-1-1</t>
  </si>
  <si>
    <t>002427</t>
  </si>
  <si>
    <t>002428</t>
  </si>
  <si>
    <t>187-5-1</t>
  </si>
  <si>
    <t>002429</t>
  </si>
  <si>
    <t>002430</t>
  </si>
  <si>
    <t>IGLESIA EVANGELICA MISION FUENTE DE VIDA JUIL</t>
  </si>
  <si>
    <t>002431</t>
  </si>
  <si>
    <t>587-3-2025</t>
  </si>
  <si>
    <t>AUT:080423</t>
  </si>
  <si>
    <t>AUT:022250</t>
  </si>
  <si>
    <t>ELEUTERIA GARCIA CABA CANAY</t>
  </si>
  <si>
    <t>AUT:207571</t>
  </si>
  <si>
    <t>RAQUEL SANCHEZ</t>
  </si>
  <si>
    <t>0000628</t>
  </si>
  <si>
    <t>AUT:142355</t>
  </si>
  <si>
    <t xml:space="preserve">PABLO BRITO VELASCO </t>
  </si>
  <si>
    <t>AUT:114151</t>
  </si>
  <si>
    <t>PETRONILA PEREZ CANAY</t>
  </si>
  <si>
    <t>AUT:127335</t>
  </si>
  <si>
    <t xml:space="preserve">ELEUTERIA LUCIA CABA CANAY </t>
  </si>
  <si>
    <t>002432</t>
  </si>
  <si>
    <t>172-1-2026</t>
  </si>
  <si>
    <t>002433</t>
  </si>
  <si>
    <t>002434</t>
  </si>
  <si>
    <t>002435</t>
  </si>
  <si>
    <t>188-1-1</t>
  </si>
  <si>
    <t>MANUELA OFELIA LAYNEZ DEL BARRIO DE GUZMAN</t>
  </si>
  <si>
    <t>002436</t>
  </si>
  <si>
    <t>002437</t>
  </si>
  <si>
    <t>188-5-1</t>
  </si>
  <si>
    <t>002438</t>
  </si>
  <si>
    <t>0000629</t>
  </si>
  <si>
    <t>172-2-2026</t>
  </si>
  <si>
    <t>PABLO MOBATZ</t>
  </si>
  <si>
    <t>0000630</t>
  </si>
  <si>
    <t>188-1-2026</t>
  </si>
  <si>
    <t>49</t>
  </si>
  <si>
    <t>002439</t>
  </si>
  <si>
    <t>002440</t>
  </si>
  <si>
    <t>002441</t>
  </si>
  <si>
    <t>002442</t>
  </si>
  <si>
    <t>002443</t>
  </si>
  <si>
    <t>76-3-2025</t>
  </si>
  <si>
    <t>002444</t>
  </si>
  <si>
    <t>002445</t>
  </si>
  <si>
    <t>AUT:103907</t>
  </si>
  <si>
    <t>AUT:135903</t>
  </si>
  <si>
    <t>MARIA CABA ASICONA</t>
  </si>
  <si>
    <t>157</t>
  </si>
  <si>
    <t>002446</t>
  </si>
  <si>
    <t>168-1-2026</t>
  </si>
  <si>
    <t>002447</t>
  </si>
  <si>
    <t>528</t>
  </si>
  <si>
    <t>0000631</t>
  </si>
  <si>
    <t xml:space="preserve">MARIA MENDOZA CABA DE RAYMUNDO </t>
  </si>
  <si>
    <t>AUT:104067</t>
  </si>
  <si>
    <t>ROSA CECILIA IJOM PEREZ</t>
  </si>
  <si>
    <t>AUT:087479</t>
  </si>
  <si>
    <t xml:space="preserve">GASPAR CABA ESCOBAR </t>
  </si>
  <si>
    <t>002452</t>
  </si>
  <si>
    <t>190-5-1</t>
  </si>
  <si>
    <t>MARIA RIVERA NUNAL</t>
  </si>
  <si>
    <t>002450</t>
  </si>
  <si>
    <t>190-1-1</t>
  </si>
  <si>
    <t>002451</t>
  </si>
  <si>
    <t>002453</t>
  </si>
  <si>
    <t>26-5-1</t>
  </si>
  <si>
    <t>MANUELA PACHECO SANCHEZ</t>
  </si>
  <si>
    <t xml:space="preserve">DEPOSITO DE AHORRO CORRIENTE </t>
  </si>
  <si>
    <t>0000632</t>
  </si>
  <si>
    <t>2-189-1-2026</t>
  </si>
  <si>
    <t xml:space="preserve">MAGDALENA MENDOZA RIVERA </t>
  </si>
  <si>
    <t>0000633</t>
  </si>
  <si>
    <t xml:space="preserve">VICENTE LAYNEZ CABA </t>
  </si>
  <si>
    <t xml:space="preserve">RETIRO DE AHORRO CORRIENTE </t>
  </si>
  <si>
    <t>002448</t>
  </si>
  <si>
    <t>189-1-1</t>
  </si>
  <si>
    <t>002449</t>
  </si>
  <si>
    <t xml:space="preserve">CUOTA DE INGRESO </t>
  </si>
  <si>
    <t>002454</t>
  </si>
  <si>
    <t>189-5-1</t>
  </si>
  <si>
    <t>002455</t>
  </si>
  <si>
    <t xml:space="preserve">COMISIONES SOBRE PRESTAMOS </t>
  </si>
  <si>
    <t>002456</t>
  </si>
  <si>
    <t xml:space="preserve">DIEGO LAYNEZ ASICONA </t>
  </si>
  <si>
    <t>0000634</t>
  </si>
  <si>
    <t>2-3-1-2026</t>
  </si>
  <si>
    <t xml:space="preserve">DESEMBOLSO DE CREDITO </t>
  </si>
  <si>
    <t>002457</t>
  </si>
  <si>
    <t>159</t>
  </si>
  <si>
    <t>002458</t>
  </si>
  <si>
    <t>002459</t>
  </si>
  <si>
    <t xml:space="preserve">JUANA CANAY MENDEZ </t>
  </si>
  <si>
    <t>AUT:6568285</t>
  </si>
  <si>
    <t>MATEO ISAIAS LAYNEZ PACHECO</t>
  </si>
  <si>
    <t>AUT:129516</t>
  </si>
  <si>
    <t xml:space="preserve">MARIA EMILIA CABA ASICONA </t>
  </si>
  <si>
    <t>002460</t>
  </si>
  <si>
    <t>191-1-1</t>
  </si>
  <si>
    <t>ROSA BECA CABA DE CABA</t>
  </si>
  <si>
    <t>002461</t>
  </si>
  <si>
    <t>002462</t>
  </si>
  <si>
    <t>POR EXTRAVIO DE LIBRETA</t>
  </si>
  <si>
    <t>002463</t>
  </si>
  <si>
    <t>171-1-2026</t>
  </si>
  <si>
    <t>002464</t>
  </si>
  <si>
    <t>AUT:019974</t>
  </si>
  <si>
    <t>002465</t>
  </si>
  <si>
    <t>191-5-1</t>
  </si>
  <si>
    <t xml:space="preserve">ROSA BECA CABA DE CABA </t>
  </si>
  <si>
    <t>002466</t>
  </si>
  <si>
    <t>002467</t>
  </si>
  <si>
    <t xml:space="preserve">LUCAS ASICONA SANCHEZ </t>
  </si>
  <si>
    <t>002468</t>
  </si>
  <si>
    <t>192-1-1</t>
  </si>
  <si>
    <t xml:space="preserve">AURA MARINA ANTONIA LAYNEZ DEL BARRIO </t>
  </si>
  <si>
    <t>002469</t>
  </si>
  <si>
    <t>002470</t>
  </si>
  <si>
    <t>192-5-1</t>
  </si>
  <si>
    <t>002471</t>
  </si>
  <si>
    <t>33831187</t>
  </si>
  <si>
    <t>116</t>
  </si>
  <si>
    <t>0000635</t>
  </si>
  <si>
    <t>2-192-1-2026</t>
  </si>
  <si>
    <t>3381</t>
  </si>
  <si>
    <t>3444</t>
  </si>
  <si>
    <t>2293</t>
  </si>
  <si>
    <t>2915</t>
  </si>
  <si>
    <t>2975</t>
  </si>
  <si>
    <t>1780</t>
  </si>
  <si>
    <t>2004</t>
  </si>
  <si>
    <t>1265</t>
  </si>
  <si>
    <t>867</t>
  </si>
  <si>
    <t>1105</t>
  </si>
  <si>
    <t>1037</t>
  </si>
  <si>
    <t>42</t>
  </si>
  <si>
    <t>535</t>
  </si>
  <si>
    <t>471</t>
  </si>
  <si>
    <t>35</t>
  </si>
  <si>
    <t>914</t>
  </si>
  <si>
    <t>897</t>
  </si>
  <si>
    <t>28</t>
  </si>
  <si>
    <t>1120</t>
  </si>
  <si>
    <t>930</t>
  </si>
  <si>
    <t>931</t>
  </si>
  <si>
    <t>574</t>
  </si>
  <si>
    <t>671</t>
  </si>
  <si>
    <t>1330</t>
  </si>
  <si>
    <t>818</t>
  </si>
  <si>
    <t>002472</t>
  </si>
  <si>
    <t>169-1-2026</t>
  </si>
  <si>
    <t xml:space="preserve">FRANCISCO PASCUAL PEDRO </t>
  </si>
  <si>
    <t>002473</t>
  </si>
  <si>
    <t xml:space="preserve">DOMINGO MENDOZA CABA </t>
  </si>
  <si>
    <t>002474</t>
  </si>
  <si>
    <t>165-2-2026</t>
  </si>
  <si>
    <t xml:space="preserve">JUAN MATEO RAYMUNDO </t>
  </si>
  <si>
    <t>002475</t>
  </si>
  <si>
    <t>32-6-3</t>
  </si>
  <si>
    <t xml:space="preserve">JUANA RAYMUNDO ANAY </t>
  </si>
  <si>
    <t xml:space="preserve">DEPOSITO DE AHORRO A PLAZO FIJO </t>
  </si>
  <si>
    <t>002476</t>
  </si>
  <si>
    <t>193-1-1</t>
  </si>
  <si>
    <t xml:space="preserve">TERESA LAYNEZ ASICONA </t>
  </si>
  <si>
    <t>002477</t>
  </si>
  <si>
    <t>002478</t>
  </si>
  <si>
    <t>193-5-1</t>
  </si>
  <si>
    <t>0000636</t>
  </si>
  <si>
    <t>32-6-2</t>
  </si>
  <si>
    <t xml:space="preserve">RETIRO DE AHORRO A PLAZO FIJO </t>
  </si>
  <si>
    <t>AUT:152648</t>
  </si>
  <si>
    <t xml:space="preserve">MARIA CABA ASICONA </t>
  </si>
  <si>
    <t>1039</t>
  </si>
  <si>
    <t>RETIRO DE AHORRO A PLAZO FIJO INTERES NETO</t>
  </si>
  <si>
    <t>521</t>
  </si>
  <si>
    <t>24</t>
  </si>
  <si>
    <t>29</t>
  </si>
  <si>
    <t>1060</t>
  </si>
  <si>
    <t>20</t>
  </si>
  <si>
    <t>1200</t>
  </si>
  <si>
    <t>418</t>
  </si>
  <si>
    <t>Enero/2026</t>
  </si>
  <si>
    <t>Febrero/2026</t>
  </si>
  <si>
    <t>2235 al 2354</t>
  </si>
  <si>
    <t>582 al 616</t>
  </si>
  <si>
    <t xml:space="preserve">Saldo Inicial  (al 31/12/2025) Según Auxiliar </t>
  </si>
  <si>
    <t>002479</t>
  </si>
  <si>
    <t>002480</t>
  </si>
  <si>
    <t>194-1-1</t>
  </si>
  <si>
    <t>PABLO HU</t>
  </si>
  <si>
    <t>002481</t>
  </si>
  <si>
    <t>002482</t>
  </si>
  <si>
    <t>194-6-1</t>
  </si>
  <si>
    <t>AUT:094685</t>
  </si>
  <si>
    <t>SHENY ELIZABETH TORRES ENRIQUEZ</t>
  </si>
  <si>
    <t>002483</t>
  </si>
  <si>
    <t>57-3-2023</t>
  </si>
  <si>
    <t xml:space="preserve">MANUELA PACHECO CABA </t>
  </si>
  <si>
    <t xml:space="preserve">INTERESES HIPOTECARIOS </t>
  </si>
  <si>
    <t>0000637</t>
  </si>
  <si>
    <t>PETRONILA PEREZ CAMAY DE IJOM</t>
  </si>
  <si>
    <t>56102671</t>
  </si>
  <si>
    <t>142</t>
  </si>
  <si>
    <t>002484</t>
  </si>
  <si>
    <t>105-1-2026</t>
  </si>
  <si>
    <t>002485</t>
  </si>
  <si>
    <t>2052947723</t>
  </si>
  <si>
    <t>1643</t>
  </si>
  <si>
    <t>1035</t>
  </si>
  <si>
    <t>ESTA BOLETA FUE DEPOSITADO CON FECHA 05/02/2024 PERO FUE INGRESADO CON FCHA 24/02/2026</t>
  </si>
  <si>
    <t>1100</t>
  </si>
  <si>
    <t>141</t>
  </si>
  <si>
    <t>1232</t>
  </si>
  <si>
    <t>173</t>
  </si>
  <si>
    <t>***  ANULADO ***</t>
  </si>
  <si>
    <t>1507</t>
  </si>
  <si>
    <t>002486</t>
  </si>
  <si>
    <t>002487</t>
  </si>
  <si>
    <t>002488</t>
  </si>
  <si>
    <t>POR TERMINACION DE LIBRETA</t>
  </si>
  <si>
    <t>JUANA RAYMUNDO ANAY</t>
  </si>
  <si>
    <t>002489</t>
  </si>
  <si>
    <t>002490</t>
  </si>
  <si>
    <t>002491</t>
  </si>
  <si>
    <t>195-1-1</t>
  </si>
  <si>
    <t>MARIA IJOM RIVERA</t>
  </si>
  <si>
    <t>002492</t>
  </si>
  <si>
    <t>002493</t>
  </si>
  <si>
    <t>195-5-1</t>
  </si>
  <si>
    <t>002494</t>
  </si>
  <si>
    <t>002495</t>
  </si>
  <si>
    <t>530-5-1</t>
  </si>
  <si>
    <t>JACINTO CHAVEZ RAYMUNDO</t>
  </si>
  <si>
    <t>AUT:061311</t>
  </si>
  <si>
    <t>AUT:069746</t>
  </si>
  <si>
    <t>ESTEBAN IJOM HU</t>
  </si>
  <si>
    <t>AUT:119339</t>
  </si>
  <si>
    <t>DOMINGO RAMIREZ CABA</t>
  </si>
  <si>
    <t>0000638</t>
  </si>
  <si>
    <t>0000639</t>
  </si>
  <si>
    <t>2-195-1-2026</t>
  </si>
  <si>
    <t>1499</t>
  </si>
  <si>
    <t>171</t>
  </si>
  <si>
    <t>002496</t>
  </si>
  <si>
    <t>002497</t>
  </si>
  <si>
    <t>002498</t>
  </si>
  <si>
    <t>002499</t>
  </si>
  <si>
    <t>0024500</t>
  </si>
  <si>
    <t>002501</t>
  </si>
  <si>
    <t>002502</t>
  </si>
  <si>
    <t>AUT:071904</t>
  </si>
  <si>
    <t>HECTOR GEOVANI TZOC TOHOM</t>
  </si>
  <si>
    <t>AUT:119911</t>
  </si>
  <si>
    <t>MARIA LOPEZ ZUÑIGA</t>
  </si>
  <si>
    <t>53919430</t>
  </si>
  <si>
    <t>AUT:131827</t>
  </si>
  <si>
    <t>MARIA SOLIS CUIN</t>
  </si>
  <si>
    <t>143</t>
  </si>
  <si>
    <t>1038</t>
  </si>
  <si>
    <t>Saldo Inicial---------</t>
  </si>
  <si>
    <t>002503</t>
  </si>
  <si>
    <t>002504</t>
  </si>
  <si>
    <t>JUANA CHAVEZ CHEL</t>
  </si>
  <si>
    <t>002505</t>
  </si>
  <si>
    <t>196-1-1</t>
  </si>
  <si>
    <t xml:space="preserve">MARIA SANCHEZ RIVERA </t>
  </si>
  <si>
    <t>002506</t>
  </si>
  <si>
    <t>002507</t>
  </si>
  <si>
    <t>197-1-1</t>
  </si>
  <si>
    <t>MANUELA CABA DEL BARRIO</t>
  </si>
  <si>
    <t>002508</t>
  </si>
  <si>
    <t>002509</t>
  </si>
  <si>
    <t>PEDRO DEL BARRIO ANAY</t>
  </si>
  <si>
    <t>002510</t>
  </si>
  <si>
    <t>002511</t>
  </si>
  <si>
    <t>198-5-1</t>
  </si>
  <si>
    <t>PEDRO ASICONA CABA</t>
  </si>
  <si>
    <t>002513</t>
  </si>
  <si>
    <t>002512</t>
  </si>
  <si>
    <t>002514</t>
  </si>
  <si>
    <t>200-1-1</t>
  </si>
  <si>
    <t>002516</t>
  </si>
  <si>
    <t>MARGARITA OFELIA LOPEZ LAYNEZ</t>
  </si>
  <si>
    <t>002517</t>
  </si>
  <si>
    <t>201-1-1</t>
  </si>
  <si>
    <t>002518</t>
  </si>
  <si>
    <t>002519</t>
  </si>
  <si>
    <t>201-5-1</t>
  </si>
  <si>
    <t>002520</t>
  </si>
  <si>
    <t>IGLESIA EVANGELICA MISION JESUSU FUENTE DE VIDAA</t>
  </si>
  <si>
    <t>AUT:002053</t>
  </si>
  <si>
    <t>IGLE EVAN MIS JESUS FUENTE DE VIDA JUIL</t>
  </si>
  <si>
    <t>002521</t>
  </si>
  <si>
    <t>202-1-1</t>
  </si>
  <si>
    <t>PEDRO LUIS TOMA LUX</t>
  </si>
  <si>
    <t>002522</t>
  </si>
  <si>
    <t>203-1-1</t>
  </si>
  <si>
    <t>CRISTINA ELIZABETH CAAL TUM DE TOMA</t>
  </si>
  <si>
    <t>002524</t>
  </si>
  <si>
    <t>002523</t>
  </si>
  <si>
    <t>002525</t>
  </si>
  <si>
    <t>002527</t>
  </si>
  <si>
    <t>002526</t>
  </si>
  <si>
    <t>203-5-1</t>
  </si>
  <si>
    <t>002528</t>
  </si>
  <si>
    <t>002529</t>
  </si>
  <si>
    <t>197-5-1</t>
  </si>
  <si>
    <t>MANUELA CABA DEL BARRIO DE CABA</t>
  </si>
  <si>
    <t>002530</t>
  </si>
  <si>
    <t>002531</t>
  </si>
  <si>
    <t>196-5-1</t>
  </si>
  <si>
    <t>MARIA SANCHEZ RIVERA DE CABA</t>
  </si>
  <si>
    <t>002532</t>
  </si>
  <si>
    <t>002533</t>
  </si>
  <si>
    <t>199-5-1</t>
  </si>
  <si>
    <t>002534</t>
  </si>
  <si>
    <t>100-5-1</t>
  </si>
  <si>
    <t>*** ANULADO **</t>
  </si>
  <si>
    <t>CATARINA LOPEZ VI DE VI</t>
  </si>
  <si>
    <t>17649505</t>
  </si>
  <si>
    <t>COOPERATIVA MAYA INVERSSIONES FUTURAS</t>
  </si>
  <si>
    <t>17659977</t>
  </si>
  <si>
    <t>33830097</t>
  </si>
  <si>
    <t>0000640</t>
  </si>
  <si>
    <t>83-5-1</t>
  </si>
  <si>
    <t>ELSA MANUELABOP MO DE CABA</t>
  </si>
  <si>
    <t>0000641</t>
  </si>
  <si>
    <t>0000642</t>
  </si>
  <si>
    <t>11-1-1</t>
  </si>
  <si>
    <t>FRANCISCO LAYNEZ RIVERA</t>
  </si>
  <si>
    <t>11-5-1</t>
  </si>
  <si>
    <t>0000643</t>
  </si>
  <si>
    <t>0000644</t>
  </si>
  <si>
    <t>10-5-1</t>
  </si>
  <si>
    <t>MARIA HU MENDEZ DE CABA</t>
  </si>
  <si>
    <t>0000645</t>
  </si>
  <si>
    <t>10-1-1</t>
  </si>
  <si>
    <t xml:space="preserve">MARIA HU MENDEZ </t>
  </si>
  <si>
    <t>CATARINA CHEL HERMOZO</t>
  </si>
  <si>
    <t>0000646</t>
  </si>
  <si>
    <t>0000647</t>
  </si>
  <si>
    <t>2-202-1-2026</t>
  </si>
  <si>
    <t>0000648</t>
  </si>
  <si>
    <t>2-203-1-2026</t>
  </si>
  <si>
    <t>0000649</t>
  </si>
  <si>
    <t>0000650</t>
  </si>
  <si>
    <t>002536</t>
  </si>
  <si>
    <t>138-8-1</t>
  </si>
  <si>
    <t>002535</t>
  </si>
  <si>
    <t>YEIKO GASPAR IJOM CANAY</t>
  </si>
  <si>
    <t>JOSE TERRAZA GALLEGO</t>
  </si>
  <si>
    <t>010043</t>
  </si>
  <si>
    <t>AUT:024049</t>
  </si>
  <si>
    <t>MAYNOR HUMBERTO MENCHU CHIROY</t>
  </si>
  <si>
    <t>FRANCISCO CORDOVA</t>
  </si>
  <si>
    <t>0000651</t>
  </si>
  <si>
    <t>2-204-1-2026</t>
  </si>
  <si>
    <t>JUAN ESCOBAR CHAVEZ</t>
  </si>
  <si>
    <t>002538</t>
  </si>
  <si>
    <t>002537</t>
  </si>
  <si>
    <t>204-5-1</t>
  </si>
  <si>
    <t>002539</t>
  </si>
  <si>
    <t>002540</t>
  </si>
  <si>
    <t>204-1-1</t>
  </si>
  <si>
    <t>002541</t>
  </si>
  <si>
    <t>SUMAS DE TODO EL MES</t>
  </si>
  <si>
    <t>28/02/2026 Hora: 8:30 am a 15:00 pm</t>
  </si>
  <si>
    <t>El dia 28 de Febrero de 2026  se hizo arqueo al Receptor Pagador Lorenza Raquel Pantzay Sánchez,  en su presencia</t>
  </si>
  <si>
    <t>617 al 651</t>
  </si>
  <si>
    <t>2355 al 2541</t>
  </si>
  <si>
    <t>Rutilio Estanislao  Sáenz Rivera</t>
  </si>
  <si>
    <t>Saldo Inicial despues de Arqueo</t>
  </si>
  <si>
    <t>03</t>
  </si>
  <si>
    <t>MARIA CECILIA ASICONA DIAZ</t>
  </si>
  <si>
    <t>AUT:129354</t>
  </si>
  <si>
    <t>002542</t>
  </si>
  <si>
    <t>139-5-1</t>
  </si>
  <si>
    <t xml:space="preserve">MIGUEL ASICONA LAYNEZ </t>
  </si>
  <si>
    <t>002543</t>
  </si>
  <si>
    <t xml:space="preserve">MARIA CECILIA CABA RAYMUNDO </t>
  </si>
  <si>
    <t>AUT:110196</t>
  </si>
  <si>
    <t xml:space="preserve">PETRONILA PEREZ CANAY </t>
  </si>
  <si>
    <t>AUT:136296</t>
  </si>
  <si>
    <t xml:space="preserve">LUCAS CABA ESCOBAR </t>
  </si>
  <si>
    <t>002544</t>
  </si>
  <si>
    <t xml:space="preserve">ROSA CABA HU </t>
  </si>
  <si>
    <t>0000652</t>
  </si>
  <si>
    <t xml:space="preserve">LORENZA RAQUEL PANTZAY SANCHEZ </t>
  </si>
  <si>
    <t>LIQUIDACION DE CAJA CHICA CORESPONDIENTE AL MES DE FEBRERO 2026</t>
  </si>
  <si>
    <t>002545</t>
  </si>
  <si>
    <t>200-5-1</t>
  </si>
  <si>
    <t xml:space="preserve">MARGARITA OFELIA LOPEZ LAYNEZ </t>
  </si>
  <si>
    <t>002546</t>
  </si>
  <si>
    <t>99931994</t>
  </si>
  <si>
    <t>COOPERATIVA MAYA INVERCIONES</t>
  </si>
  <si>
    <t>002549</t>
  </si>
  <si>
    <t>9</t>
  </si>
  <si>
    <t>002547</t>
  </si>
  <si>
    <t>177-1-2026</t>
  </si>
  <si>
    <t>002548</t>
  </si>
  <si>
    <t>Saldo Inicial -----------</t>
  </si>
  <si>
    <t>002550</t>
  </si>
  <si>
    <t>MARI MARTA CABA MO</t>
  </si>
  <si>
    <t>22</t>
  </si>
  <si>
    <t>002551</t>
  </si>
  <si>
    <t>176-1-2026</t>
  </si>
  <si>
    <t xml:space="preserve">DOMINGO  PACHECO PEREZ           </t>
  </si>
  <si>
    <t>121</t>
  </si>
  <si>
    <t>787880338</t>
  </si>
  <si>
    <t>AUT:094119</t>
  </si>
  <si>
    <t>002552</t>
  </si>
  <si>
    <t>3-1-2026</t>
  </si>
  <si>
    <t>002553</t>
  </si>
  <si>
    <t>141-5-1</t>
  </si>
  <si>
    <t xml:space="preserve">TERESA ASICONA ANAY </t>
  </si>
  <si>
    <t>002554</t>
  </si>
  <si>
    <t xml:space="preserve">MARIA RAMIREZ HU </t>
  </si>
  <si>
    <t>JULIO VASQUEZ</t>
  </si>
  <si>
    <t xml:space="preserve">RETIRO CUENTA MONETARIA </t>
  </si>
  <si>
    <t>002555</t>
  </si>
  <si>
    <t>182-1-2026</t>
  </si>
  <si>
    <t>AUT:103219</t>
  </si>
  <si>
    <t xml:space="preserve">CARMEN GREGORIA SANTIAGO </t>
  </si>
  <si>
    <t>002556</t>
  </si>
  <si>
    <t>205-1-1</t>
  </si>
  <si>
    <t xml:space="preserve">MARGARITA LUX LAYNEZ </t>
  </si>
  <si>
    <t>002557</t>
  </si>
  <si>
    <t>0000653</t>
  </si>
  <si>
    <t xml:space="preserve">ROSA TELIS MATEO </t>
  </si>
  <si>
    <t>002558</t>
  </si>
  <si>
    <t xml:space="preserve">LORENZA RAQUEL PANZTAY SANCHEZ </t>
  </si>
  <si>
    <t>0000654</t>
  </si>
  <si>
    <t>67-5-1</t>
  </si>
  <si>
    <t xml:space="preserve">ANDRES BRITO CHEL </t>
  </si>
  <si>
    <t>002559</t>
  </si>
  <si>
    <t>13-3-2026</t>
  </si>
  <si>
    <t xml:space="preserve">MANUEL ELIAS CABA CABA </t>
  </si>
  <si>
    <t>002560</t>
  </si>
  <si>
    <t>002561</t>
  </si>
  <si>
    <t xml:space="preserve">DOMIGO LOPEZ CABA </t>
  </si>
  <si>
    <t>002563</t>
  </si>
  <si>
    <t>002562</t>
  </si>
  <si>
    <t>205-5-1</t>
  </si>
  <si>
    <t>0000656</t>
  </si>
  <si>
    <t>002564</t>
  </si>
  <si>
    <t>44-1-2023</t>
  </si>
  <si>
    <t xml:space="preserve">MARIA SUSANA ASICONA LAYNEZ </t>
  </si>
  <si>
    <t>002565</t>
  </si>
  <si>
    <t>189-1-2026</t>
  </si>
  <si>
    <t>MAGDALENA MENDOZA RIVERA</t>
  </si>
  <si>
    <t>2-205-1-2026</t>
  </si>
  <si>
    <t>0000655</t>
  </si>
  <si>
    <t xml:space="preserve">MELCHOR LAYNEZ ASICONA </t>
  </si>
  <si>
    <t>123</t>
  </si>
  <si>
    <t>002566</t>
  </si>
  <si>
    <t>206-1-1</t>
  </si>
  <si>
    <t xml:space="preserve">ROSA RAMIREZ ORTEGA </t>
  </si>
  <si>
    <t>002567</t>
  </si>
  <si>
    <t>002568</t>
  </si>
  <si>
    <t>184-5-2</t>
  </si>
  <si>
    <t>898241472</t>
  </si>
  <si>
    <t>0000657</t>
  </si>
  <si>
    <t xml:space="preserve">ROSA RAYMUNDO ANAY </t>
  </si>
  <si>
    <t>002569</t>
  </si>
  <si>
    <t>206-5-1</t>
  </si>
  <si>
    <t>002570</t>
  </si>
  <si>
    <t>0000658</t>
  </si>
  <si>
    <t>427-5-1</t>
  </si>
  <si>
    <t xml:space="preserve">MARGARITA LAYNEZ LAYNEZ </t>
  </si>
  <si>
    <t>17655687</t>
  </si>
  <si>
    <t>103</t>
  </si>
  <si>
    <t>TRASLADO DE REINTEGRO DE 25/02/2026 DE ANTICIPOS DE GASTOS VARIOS</t>
  </si>
  <si>
    <t>AUT:012472</t>
  </si>
  <si>
    <t>7820047574</t>
  </si>
  <si>
    <t>COOPERATIVA MAYA INVERSIINES FUTURAS</t>
  </si>
  <si>
    <t>96892155</t>
  </si>
  <si>
    <t>0000659</t>
  </si>
  <si>
    <t>56103465</t>
  </si>
  <si>
    <t xml:space="preserve">JUANA ARELY RIVERA MENDOZA </t>
  </si>
  <si>
    <t xml:space="preserve">PETRONILA PEREZ CANAY DE IJOM </t>
  </si>
  <si>
    <t>1043</t>
  </si>
  <si>
    <t>002571</t>
  </si>
  <si>
    <t>002572</t>
  </si>
  <si>
    <t xml:space="preserve">ANA RAMIREZ LAYNEZ </t>
  </si>
  <si>
    <t>002573</t>
  </si>
  <si>
    <t xml:space="preserve">MAGDALENA SANCHEZ CABA </t>
  </si>
  <si>
    <t>002574</t>
  </si>
  <si>
    <t xml:space="preserve">CATARINA CABA RIVERA </t>
  </si>
  <si>
    <t>002575</t>
  </si>
  <si>
    <t xml:space="preserve">MARGARITA GALLEGO CABA </t>
  </si>
  <si>
    <t>002576</t>
  </si>
  <si>
    <t xml:space="preserve">FRANCISCO IJOM LOPEZ </t>
  </si>
  <si>
    <t>002577</t>
  </si>
  <si>
    <t>183-1-2026</t>
  </si>
  <si>
    <t xml:space="preserve">ROSA ASCONA ASICONA DE RAMIREZ </t>
  </si>
  <si>
    <t>0000660</t>
  </si>
  <si>
    <t>273-5-1</t>
  </si>
  <si>
    <t>MAGDALENA RIVERA MENDOZA</t>
  </si>
  <si>
    <t>AUT:134592</t>
  </si>
  <si>
    <t>PEDRO CABA RAMIREZ</t>
  </si>
  <si>
    <t>002578</t>
  </si>
  <si>
    <t>207-1-1</t>
  </si>
  <si>
    <t xml:space="preserve">PEDRO LAYNEZ  ORTEGA </t>
  </si>
  <si>
    <t>002579</t>
  </si>
  <si>
    <t>002580</t>
  </si>
  <si>
    <t>207-5-1</t>
  </si>
  <si>
    <t>AUT:157453</t>
  </si>
  <si>
    <t xml:space="preserve">MARIA CABA RIVERA </t>
  </si>
  <si>
    <t xml:space="preserve">ANA AMALIA CANAY CABA </t>
  </si>
  <si>
    <t>AUT:106756</t>
  </si>
  <si>
    <t>AUT:123515</t>
  </si>
  <si>
    <t>002581</t>
  </si>
  <si>
    <t>208/1/1</t>
  </si>
  <si>
    <t>MARGARITA VERONICA RAMIREZ LUX</t>
  </si>
  <si>
    <t>002582</t>
  </si>
  <si>
    <t>002584</t>
  </si>
  <si>
    <t>002585</t>
  </si>
  <si>
    <t>002583</t>
  </si>
  <si>
    <t>14963950</t>
  </si>
  <si>
    <t xml:space="preserve">COOPERATIVA MAYA INVERSIONES </t>
  </si>
  <si>
    <t>81</t>
  </si>
  <si>
    <t>002586</t>
  </si>
  <si>
    <t>002587</t>
  </si>
  <si>
    <t xml:space="preserve">DIEGO RIVERA RAMOS </t>
  </si>
  <si>
    <t>002588</t>
  </si>
  <si>
    <t>208-5-1</t>
  </si>
  <si>
    <t>002589</t>
  </si>
  <si>
    <t>002590</t>
  </si>
  <si>
    <t xml:space="preserve">MARIA CANAY CABA </t>
  </si>
  <si>
    <t>AUT:005962</t>
  </si>
  <si>
    <t>0000661</t>
  </si>
  <si>
    <t>2-208-1-2026</t>
  </si>
  <si>
    <t xml:space="preserve">MARGARITA VERONICA RAMIREZ LUX </t>
  </si>
  <si>
    <t xml:space="preserve">POR DESEMBOLSO DE CREDITO </t>
  </si>
  <si>
    <t>AUT:103775</t>
  </si>
  <si>
    <t>AUT:013413</t>
  </si>
  <si>
    <t>175</t>
  </si>
  <si>
    <t>AUT:142767</t>
  </si>
  <si>
    <t xml:space="preserve">JUANA DE PAZ ASICONA </t>
  </si>
  <si>
    <t>sin movimiento</t>
  </si>
  <si>
    <t>saldo final</t>
  </si>
  <si>
    <t>0000662</t>
  </si>
  <si>
    <t>0000663</t>
  </si>
  <si>
    <t>AUT:110579</t>
  </si>
  <si>
    <t>002591</t>
  </si>
  <si>
    <t>5-2-2023</t>
  </si>
  <si>
    <t xml:space="preserve">JUANA ANAY ASICONA </t>
  </si>
  <si>
    <t>002592</t>
  </si>
  <si>
    <t xml:space="preserve">ROSA HERNANDEZ DEL BARRIO </t>
  </si>
  <si>
    <t>002593</t>
  </si>
  <si>
    <t>002594</t>
  </si>
  <si>
    <t xml:space="preserve">JACINTA OFELIA PACHECO IJOM </t>
  </si>
  <si>
    <t>AUT:128784</t>
  </si>
  <si>
    <t xml:space="preserve">MARIA SANTIAGO CABA DE ASICONA </t>
  </si>
  <si>
    <t>AUT:128966</t>
  </si>
  <si>
    <t>AUT:129697</t>
  </si>
  <si>
    <t>JUAN BOP LAYNEZ</t>
  </si>
  <si>
    <t>002595</t>
  </si>
  <si>
    <t xml:space="preserve">PABLO MO BATZ </t>
  </si>
  <si>
    <t xml:space="preserve">DOMINGO XINIC BOP </t>
  </si>
  <si>
    <t>AUT:009430</t>
  </si>
  <si>
    <t>002596</t>
  </si>
  <si>
    <t xml:space="preserve">AMALIA DIAZ CABA </t>
  </si>
  <si>
    <t>002597</t>
  </si>
  <si>
    <t xml:space="preserve">JUANA RAMIREZ LAYNEZ </t>
  </si>
  <si>
    <t>002598</t>
  </si>
  <si>
    <t xml:space="preserve">BARTOLOME CABA IJOM </t>
  </si>
  <si>
    <t>002599</t>
  </si>
  <si>
    <t>002600</t>
  </si>
  <si>
    <t>002601</t>
  </si>
  <si>
    <t>179-1-2026</t>
  </si>
  <si>
    <t xml:space="preserve">MARIA CABA CABA </t>
  </si>
  <si>
    <t>002602</t>
  </si>
  <si>
    <t>180-1-2026</t>
  </si>
  <si>
    <t xml:space="preserve">PETRONILA GUZMAN RAMIREZ </t>
  </si>
  <si>
    <t>002603</t>
  </si>
  <si>
    <t>185-1-2026</t>
  </si>
  <si>
    <t xml:space="preserve">MARIA MAGALI SANCHEZ CANAY </t>
  </si>
  <si>
    <t>002604</t>
  </si>
  <si>
    <t>211-1-1</t>
  </si>
  <si>
    <t xml:space="preserve">ROMUALDO MATEO SANTIAGO </t>
  </si>
  <si>
    <t>002605</t>
  </si>
  <si>
    <t>002606</t>
  </si>
  <si>
    <t>212-1-1</t>
  </si>
  <si>
    <t xml:space="preserve">CATARINA PACHECO CABA DE MATEO </t>
  </si>
  <si>
    <t>002607</t>
  </si>
  <si>
    <t>002608</t>
  </si>
  <si>
    <t>212-5-1</t>
  </si>
  <si>
    <t>0000664</t>
  </si>
  <si>
    <t xml:space="preserve">ELENA CABA CABA </t>
  </si>
  <si>
    <t xml:space="preserve">AUT:062436 </t>
  </si>
  <si>
    <t xml:space="preserve">MIGUEL ROSOLINO RAYMUNDO RAYMUNDO </t>
  </si>
  <si>
    <t>AUT:138173</t>
  </si>
  <si>
    <t xml:space="preserve">JUAN BOP LAYNEZ </t>
  </si>
  <si>
    <t>AUT:120824</t>
  </si>
  <si>
    <t>002609</t>
  </si>
  <si>
    <t>209-5-1</t>
  </si>
  <si>
    <t xml:space="preserve">NICOLAS CABA SOLANO </t>
  </si>
  <si>
    <t>002610</t>
  </si>
  <si>
    <t>002611</t>
  </si>
  <si>
    <t>209-1-1</t>
  </si>
  <si>
    <t>002612</t>
  </si>
  <si>
    <t>002613</t>
  </si>
  <si>
    <t>210-1-1</t>
  </si>
  <si>
    <t xml:space="preserve">ROSA CABA RAMIREZ </t>
  </si>
  <si>
    <t>002614</t>
  </si>
  <si>
    <t>002615</t>
  </si>
  <si>
    <t xml:space="preserve">MANUELA OFELIA LAYNEZ DEL BARRIO DE GUZMAN </t>
  </si>
  <si>
    <t>002616</t>
  </si>
  <si>
    <t>187-7-2026</t>
  </si>
  <si>
    <t>187-1-2026</t>
  </si>
  <si>
    <t xml:space="preserve">JUAN DIAZ HERNANDEZ </t>
  </si>
  <si>
    <t>06</t>
  </si>
  <si>
    <t>14973946</t>
  </si>
  <si>
    <t>53912467</t>
  </si>
  <si>
    <t>1074927680</t>
  </si>
  <si>
    <t>002617</t>
  </si>
  <si>
    <t xml:space="preserve">FRANCISCO GALLEGO SANCHEZ </t>
  </si>
  <si>
    <t>002618</t>
  </si>
  <si>
    <t xml:space="preserve">ANA CABA CABA </t>
  </si>
  <si>
    <t>002619</t>
  </si>
  <si>
    <t xml:space="preserve">MARGARITA CABA CANAY </t>
  </si>
  <si>
    <t xml:space="preserve">DEPOSITO DE AHORRO CORRIENTE  </t>
  </si>
  <si>
    <t>0000665</t>
  </si>
  <si>
    <t xml:space="preserve">MARIA RIVERA ESCOBAR </t>
  </si>
  <si>
    <t>AUT:113041</t>
  </si>
  <si>
    <t xml:space="preserve">CATARINA AGUARE BATZ </t>
  </si>
  <si>
    <t>AUT:113864</t>
  </si>
  <si>
    <t>0000666</t>
  </si>
  <si>
    <t>211-5-1</t>
  </si>
  <si>
    <t>002621</t>
  </si>
  <si>
    <t>96886102</t>
  </si>
  <si>
    <t>AUT:151729</t>
  </si>
  <si>
    <t>AUT:162642</t>
  </si>
  <si>
    <t>394</t>
  </si>
  <si>
    <t>1124</t>
  </si>
  <si>
    <t>002622</t>
  </si>
  <si>
    <t xml:space="preserve">DOMINGO RAMIREZ ASICONA </t>
  </si>
  <si>
    <t>002623</t>
  </si>
  <si>
    <t xml:space="preserve">MARIA MENDEZ LAYNEZ </t>
  </si>
  <si>
    <t>002624</t>
  </si>
  <si>
    <t xml:space="preserve">MARIA CABA CHAVAZ </t>
  </si>
  <si>
    <t>73-3-2025</t>
  </si>
  <si>
    <t>MARIA EMILIA CABA ASICONA</t>
  </si>
  <si>
    <t>AUT:124247</t>
  </si>
  <si>
    <t>002625</t>
  </si>
  <si>
    <t>002626</t>
  </si>
  <si>
    <t>28-5-1</t>
  </si>
  <si>
    <t>JUANA CRUZ TORREZ DE PEREZ</t>
  </si>
  <si>
    <t>96888195</t>
  </si>
  <si>
    <t xml:space="preserve">JACINTA CRISTINA GARCIA </t>
  </si>
  <si>
    <t>AUT:136184</t>
  </si>
  <si>
    <t>AUT:003058</t>
  </si>
  <si>
    <t>MIGUEL GRACIA TERRAZA</t>
  </si>
  <si>
    <t>1122</t>
  </si>
  <si>
    <t>199-1-1</t>
  </si>
  <si>
    <t xml:space="preserve">MARIA ANAY PACHECO </t>
  </si>
  <si>
    <t>72-1-2025</t>
  </si>
  <si>
    <t>002627</t>
  </si>
  <si>
    <t>002628</t>
  </si>
  <si>
    <t>002629</t>
  </si>
  <si>
    <t>002630</t>
  </si>
  <si>
    <t>002631</t>
  </si>
  <si>
    <t>002632</t>
  </si>
  <si>
    <t>213-1-1</t>
  </si>
  <si>
    <t>ROSA LOPEZ LAYNEZ</t>
  </si>
  <si>
    <t>002633</t>
  </si>
  <si>
    <t>142-5-1</t>
  </si>
  <si>
    <t xml:space="preserve">MARIA BATZ ORTEGA </t>
  </si>
  <si>
    <t>002634</t>
  </si>
  <si>
    <t xml:space="preserve">ANTONIO ROBERTO CABA XINIC </t>
  </si>
  <si>
    <t>0000667</t>
  </si>
  <si>
    <t xml:space="preserve">MARIA RIVERA NUNAL </t>
  </si>
  <si>
    <t>002635</t>
  </si>
  <si>
    <t>96894798</t>
  </si>
  <si>
    <t>002636</t>
  </si>
  <si>
    <t>213-5-1</t>
  </si>
  <si>
    <t>ROSA LAYNEZ LOPEZ</t>
  </si>
  <si>
    <t>002637</t>
  </si>
  <si>
    <t>002638</t>
  </si>
  <si>
    <t>390</t>
  </si>
  <si>
    <t>261</t>
  </si>
  <si>
    <t>002639</t>
  </si>
  <si>
    <t>48-5-1</t>
  </si>
  <si>
    <t>002641</t>
  </si>
  <si>
    <t xml:space="preserve">DIONICIO ESTEBAN SANCHEZ ORTEGA </t>
  </si>
  <si>
    <t>002640</t>
  </si>
  <si>
    <t>184-1-2026</t>
  </si>
  <si>
    <t xml:space="preserve">TERESA KIMBERLY CABA SANCHEZ </t>
  </si>
  <si>
    <t>AUT:114337</t>
  </si>
  <si>
    <t xml:space="preserve">NICOLAS BRITO </t>
  </si>
  <si>
    <t>AUT:000330</t>
  </si>
  <si>
    <t>EDWIN FERNANDO COC TOT</t>
  </si>
  <si>
    <t xml:space="preserve">MATEO CANAY ASICONA </t>
  </si>
  <si>
    <t>002642</t>
  </si>
  <si>
    <t>13</t>
  </si>
  <si>
    <t>391</t>
  </si>
  <si>
    <t>270</t>
  </si>
  <si>
    <t>1316481111</t>
  </si>
  <si>
    <t>TRASLADO DE FONDOS POR REINTEGRO DE PAGINA WEB (TRANSFERENCIA)</t>
  </si>
  <si>
    <t>002643</t>
  </si>
  <si>
    <t>1165-1-2025</t>
  </si>
  <si>
    <t xml:space="preserve">MAGDALENA RAYMUNDO GALLEGO </t>
  </si>
  <si>
    <t>002644</t>
  </si>
  <si>
    <t>428-5-1</t>
  </si>
  <si>
    <t xml:space="preserve">ROSA LAYNEZ RAMIREZ DE LAYNEZ </t>
  </si>
  <si>
    <t>AUT:016617</t>
  </si>
  <si>
    <t xml:space="preserve">FEDERICO BATZ </t>
  </si>
  <si>
    <t>56106939</t>
  </si>
  <si>
    <t>002645</t>
  </si>
  <si>
    <t>59-5-1</t>
  </si>
  <si>
    <t xml:space="preserve">TOMAS ASICONA LAYNEZ </t>
  </si>
  <si>
    <t>002646</t>
  </si>
  <si>
    <t>002647</t>
  </si>
  <si>
    <t>AURA MARINA ANTONIA LAYNEZ DE L BARRIO</t>
  </si>
  <si>
    <t>192-1-2026</t>
  </si>
  <si>
    <t>002648</t>
  </si>
  <si>
    <t>002649</t>
  </si>
  <si>
    <t xml:space="preserve">MARIA ESCOBAR PACHECO </t>
  </si>
  <si>
    <t>002650</t>
  </si>
  <si>
    <t>002651</t>
  </si>
  <si>
    <t xml:space="preserve">MANUEL LAYNEZ ASICONA </t>
  </si>
  <si>
    <t>23-5-1</t>
  </si>
  <si>
    <t>AUT:052950</t>
  </si>
  <si>
    <t>AUT:065469</t>
  </si>
  <si>
    <t>AUT:062246</t>
  </si>
  <si>
    <t xml:space="preserve">EUSEBIO VALERIANO BERNAL </t>
  </si>
  <si>
    <t>0000668</t>
  </si>
  <si>
    <t>2-59-1-2026</t>
  </si>
  <si>
    <t>0000669</t>
  </si>
  <si>
    <t>1123</t>
  </si>
  <si>
    <t>279</t>
  </si>
  <si>
    <t>002652</t>
  </si>
  <si>
    <t xml:space="preserve">BARTOLOME RIVERA RAMIREZ </t>
  </si>
  <si>
    <t>AUT:008466</t>
  </si>
  <si>
    <t xml:space="preserve">SALVADOR DIAZ RIVERA </t>
  </si>
  <si>
    <t>0000670</t>
  </si>
  <si>
    <t>002654</t>
  </si>
  <si>
    <t>002653</t>
  </si>
  <si>
    <t>0000671</t>
  </si>
  <si>
    <t>AUT:117407</t>
  </si>
  <si>
    <t>AUT:128968</t>
  </si>
  <si>
    <t xml:space="preserve">MARGARITA MENDOZA CABA </t>
  </si>
  <si>
    <t>AUT:106724</t>
  </si>
  <si>
    <t>AUT:106423</t>
  </si>
  <si>
    <t xml:space="preserve">AUT:074781 </t>
  </si>
  <si>
    <t xml:space="preserve">BERNARDO FREDY PEREZ RAMIREZ </t>
  </si>
  <si>
    <t>JUANA DE PAZ ASICONA</t>
  </si>
  <si>
    <t>002655</t>
  </si>
  <si>
    <t>165-2-20206</t>
  </si>
  <si>
    <t>002656</t>
  </si>
  <si>
    <t xml:space="preserve">SEBASTIAN ELIAS PANTZAY SANCHEZ </t>
  </si>
  <si>
    <t>AUT:071589</t>
  </si>
  <si>
    <t xml:space="preserve">JUANA CABA </t>
  </si>
  <si>
    <t>AUT:162837</t>
  </si>
  <si>
    <t>259</t>
  </si>
  <si>
    <t>389</t>
  </si>
  <si>
    <t>181</t>
  </si>
  <si>
    <t>1397</t>
  </si>
  <si>
    <t>002657</t>
  </si>
  <si>
    <t>002658</t>
  </si>
  <si>
    <t>191-1-2026</t>
  </si>
  <si>
    <t>002659</t>
  </si>
  <si>
    <t>002660</t>
  </si>
  <si>
    <t xml:space="preserve">MARIA DEL BARRIO ANAY </t>
  </si>
  <si>
    <t>002661</t>
  </si>
  <si>
    <t xml:space="preserve">MARIA MENDEZ CABA DE RAYMUNDO </t>
  </si>
  <si>
    <t>002662</t>
  </si>
  <si>
    <t>195-1-2026</t>
  </si>
  <si>
    <t xml:space="preserve">MARIA IJOM RIVERA </t>
  </si>
  <si>
    <t>002663</t>
  </si>
  <si>
    <t xml:space="preserve">MARIA CECILIA IJOM RIVERA </t>
  </si>
  <si>
    <t xml:space="preserve">INTERESES FIDUCIARIOS </t>
  </si>
  <si>
    <t>002664</t>
  </si>
  <si>
    <t xml:space="preserve">IGLESIA EVANGELICA MISION JESUS FUENTE DE VIDA JUIL </t>
  </si>
  <si>
    <t>002665</t>
  </si>
  <si>
    <t>002666</t>
  </si>
  <si>
    <t>002667</t>
  </si>
  <si>
    <t xml:space="preserve">POR DETERIORO DE LIBRETA </t>
  </si>
  <si>
    <t>002668</t>
  </si>
  <si>
    <t>002669</t>
  </si>
  <si>
    <t>002670</t>
  </si>
  <si>
    <t xml:space="preserve">MANUELA ASICONA CABA </t>
  </si>
  <si>
    <t>002671</t>
  </si>
  <si>
    <t>002672</t>
  </si>
  <si>
    <t>164-5-1</t>
  </si>
  <si>
    <t xml:space="preserve">MARTA MARICELA ESCOBAR PEREZ </t>
  </si>
  <si>
    <t>002673</t>
  </si>
  <si>
    <t>96888466</t>
  </si>
  <si>
    <t>AUT:025421</t>
  </si>
  <si>
    <t>JACINTA CRISTINA GARCIA COC</t>
  </si>
  <si>
    <t>AUT:062402</t>
  </si>
  <si>
    <t>0000672</t>
  </si>
  <si>
    <t>0000673</t>
  </si>
  <si>
    <t>105-6-1</t>
  </si>
  <si>
    <t>0000674</t>
  </si>
  <si>
    <t>0000675</t>
  </si>
  <si>
    <t>2-168-2-2026</t>
  </si>
  <si>
    <t xml:space="preserve">MARIA LOPEZ CORDOVA </t>
  </si>
  <si>
    <t>AUT:117181</t>
  </si>
  <si>
    <t>AUT:122093</t>
  </si>
  <si>
    <t>165</t>
  </si>
  <si>
    <t>387</t>
  </si>
  <si>
    <t>250</t>
  </si>
  <si>
    <t>IGNACIO DE LEON</t>
  </si>
  <si>
    <t>AUT:065376</t>
  </si>
  <si>
    <t>002674</t>
  </si>
  <si>
    <t>197-1-2026</t>
  </si>
  <si>
    <t xml:space="preserve">MANUELA CABA DEL BARRIO DE CABA  </t>
  </si>
  <si>
    <t>0000676</t>
  </si>
  <si>
    <t>44408885</t>
  </si>
  <si>
    <t>APORTACION ORDINARIA</t>
  </si>
  <si>
    <t xml:space="preserve">APORTACION ORDINARIA </t>
  </si>
  <si>
    <t xml:space="preserve">RETIRO DE APORTACION ORDINARIA </t>
  </si>
  <si>
    <t xml:space="preserve">APORTACION ORDINARIA  </t>
  </si>
  <si>
    <t>0000677</t>
  </si>
  <si>
    <t>002675</t>
  </si>
  <si>
    <t>136-1-2025</t>
  </si>
  <si>
    <t xml:space="preserve">FELICIANA PEREZ BERNAL </t>
  </si>
  <si>
    <t>AUT:005430</t>
  </si>
  <si>
    <t>6210637671</t>
  </si>
  <si>
    <t xml:space="preserve">HILDA ISABELA IJOM GALLEGO </t>
  </si>
  <si>
    <t>002677</t>
  </si>
  <si>
    <t>002678</t>
  </si>
  <si>
    <t>002676</t>
  </si>
  <si>
    <t xml:space="preserve">MIGUEL RAMIREZ IJOM </t>
  </si>
  <si>
    <t>002679</t>
  </si>
  <si>
    <t>AUT:136658</t>
  </si>
  <si>
    <t>53916775</t>
  </si>
  <si>
    <t>246</t>
  </si>
  <si>
    <t>388</t>
  </si>
  <si>
    <t>002680</t>
  </si>
  <si>
    <t xml:space="preserve">JUANA CABA GUZMAN </t>
  </si>
  <si>
    <t>002681</t>
  </si>
  <si>
    <t xml:space="preserve">MARGARITA CABA RIVERA </t>
  </si>
  <si>
    <t>002682</t>
  </si>
  <si>
    <t>196-1-2026</t>
  </si>
  <si>
    <t xml:space="preserve">MARIA SANCHEZ RIVERA DE CABA </t>
  </si>
  <si>
    <t>002683</t>
  </si>
  <si>
    <t>1037-1-2024</t>
  </si>
  <si>
    <t xml:space="preserve">CATARINA FELICI MARCOS BRITO </t>
  </si>
  <si>
    <t>002684</t>
  </si>
  <si>
    <t xml:space="preserve">TERESA HERNANDEZ DEL BARRIO </t>
  </si>
  <si>
    <t>002685</t>
  </si>
  <si>
    <t xml:space="preserve">MARIA CABA LAYNEZ </t>
  </si>
  <si>
    <t>002686</t>
  </si>
  <si>
    <t xml:space="preserve">ROSA IJOM CABA DE HU </t>
  </si>
  <si>
    <t>002687</t>
  </si>
  <si>
    <t>002688</t>
  </si>
  <si>
    <t>215-5-1</t>
  </si>
  <si>
    <t xml:space="preserve">PETRONA PEREZ RAYMUNDO </t>
  </si>
  <si>
    <t>002689</t>
  </si>
  <si>
    <t>15-1-1</t>
  </si>
  <si>
    <t>002690</t>
  </si>
  <si>
    <t>002691</t>
  </si>
  <si>
    <t xml:space="preserve">JUAN CHAVEZ CHEL </t>
  </si>
  <si>
    <t>002692</t>
  </si>
  <si>
    <t>204-1-2026</t>
  </si>
  <si>
    <t xml:space="preserve">JUAN ESCOBAR CHAVEZ </t>
  </si>
  <si>
    <t>002693</t>
  </si>
  <si>
    <t>002694</t>
  </si>
  <si>
    <t>216-1-1</t>
  </si>
  <si>
    <t>ANA PACHECO DIAZ</t>
  </si>
  <si>
    <t>002695</t>
  </si>
  <si>
    <t>002696</t>
  </si>
  <si>
    <t>216-5-1</t>
  </si>
  <si>
    <t>6210035066</t>
  </si>
  <si>
    <t>AUT:005579</t>
  </si>
  <si>
    <t xml:space="preserve">DOMINGO CORIO SANCHEZ </t>
  </si>
  <si>
    <t>0000678</t>
  </si>
  <si>
    <t>145-5-1</t>
  </si>
  <si>
    <t xml:space="preserve">IGNACIO RAMIREZ IJOM </t>
  </si>
  <si>
    <t>0000679</t>
  </si>
  <si>
    <t>0000680</t>
  </si>
  <si>
    <t xml:space="preserve">MARIA LAYNEZ RAMIREZ </t>
  </si>
  <si>
    <t xml:space="preserve">ANGELA MAYRA ROXANA CASTRO </t>
  </si>
  <si>
    <t>56104857</t>
  </si>
  <si>
    <t>AUT:127957</t>
  </si>
  <si>
    <t xml:space="preserve">MAGDALENA HERMOSO LOPEZ </t>
  </si>
  <si>
    <t>1880210776</t>
  </si>
  <si>
    <t>AUT:080183</t>
  </si>
  <si>
    <t xml:space="preserve">MUNDO MODA  </t>
  </si>
  <si>
    <t>386</t>
  </si>
  <si>
    <t>244</t>
  </si>
  <si>
    <t>ROSY MARICELDA CALEL IMUL</t>
  </si>
  <si>
    <t>214-1-1</t>
  </si>
  <si>
    <t>002697</t>
  </si>
  <si>
    <t>1038-1-2024</t>
  </si>
  <si>
    <t>MARTA PACHECO RAMIREZ</t>
  </si>
  <si>
    <t>002699</t>
  </si>
  <si>
    <t>002698</t>
  </si>
  <si>
    <t>0000681</t>
  </si>
  <si>
    <t>002700</t>
  </si>
  <si>
    <t xml:space="preserve">MARIA ASICONA ESCOBAR </t>
  </si>
  <si>
    <t>002701</t>
  </si>
  <si>
    <t>002702</t>
  </si>
  <si>
    <t>AUT:109061</t>
  </si>
  <si>
    <t>14964194</t>
  </si>
  <si>
    <t>1110</t>
  </si>
  <si>
    <t>AUT:112392</t>
  </si>
  <si>
    <t>AUT:115014</t>
  </si>
  <si>
    <t xml:space="preserve">FELIPE MATOM MARCOS </t>
  </si>
  <si>
    <t>180</t>
  </si>
  <si>
    <t>AUT:192109</t>
  </si>
  <si>
    <t>210</t>
  </si>
  <si>
    <t xml:space="preserve"> RAQUEL PANTZAY</t>
  </si>
  <si>
    <t xml:space="preserve">TRASLADO DE FONDOS  </t>
  </si>
  <si>
    <t>53916992</t>
  </si>
  <si>
    <t>1301</t>
  </si>
  <si>
    <t>144</t>
  </si>
  <si>
    <t>400</t>
  </si>
  <si>
    <t>918</t>
  </si>
  <si>
    <t>958</t>
  </si>
  <si>
    <t>1091</t>
  </si>
  <si>
    <t>002703</t>
  </si>
  <si>
    <t>002704</t>
  </si>
  <si>
    <t>002705</t>
  </si>
  <si>
    <t>171291184</t>
  </si>
  <si>
    <t>0000682</t>
  </si>
  <si>
    <t>ANA BEATRIZ TELIZ MATEO</t>
  </si>
  <si>
    <t>ROSA TELIZ MATEO</t>
  </si>
  <si>
    <t>0000683</t>
  </si>
  <si>
    <t>0000684</t>
  </si>
  <si>
    <t>0000685</t>
  </si>
  <si>
    <t>0000686</t>
  </si>
  <si>
    <t>AUT:105344</t>
  </si>
  <si>
    <t>AUT:134409</t>
  </si>
  <si>
    <t>AUT:108922</t>
  </si>
  <si>
    <t>AUT:108363</t>
  </si>
  <si>
    <t>AUT:164131</t>
  </si>
  <si>
    <t>102-5-1</t>
  </si>
  <si>
    <t>290</t>
  </si>
  <si>
    <t>1131</t>
  </si>
  <si>
    <t>1046</t>
  </si>
  <si>
    <t>285</t>
  </si>
  <si>
    <t>1133</t>
  </si>
  <si>
    <t>1044</t>
  </si>
  <si>
    <t>949</t>
  </si>
  <si>
    <t>1042</t>
  </si>
  <si>
    <t>1103</t>
  </si>
  <si>
    <t>002706</t>
  </si>
  <si>
    <t>002707</t>
  </si>
  <si>
    <t>002708</t>
  </si>
  <si>
    <t>217-1-1</t>
  </si>
  <si>
    <t xml:space="preserve">FRANCISCO GUADALUPE CABA DEL BARRIO </t>
  </si>
  <si>
    <t>002709</t>
  </si>
  <si>
    <t>002710</t>
  </si>
  <si>
    <t>002711</t>
  </si>
  <si>
    <t>002712</t>
  </si>
  <si>
    <t>002713</t>
  </si>
  <si>
    <t>1766757410</t>
  </si>
  <si>
    <t>0000687</t>
  </si>
  <si>
    <t>93-5-1</t>
  </si>
  <si>
    <t xml:space="preserve">MARIA CABA PACHECO DE MENDOZA </t>
  </si>
  <si>
    <t>0000688</t>
  </si>
  <si>
    <t>0000689</t>
  </si>
  <si>
    <t xml:space="preserve">DOMINGO RUBEN CANAY GALINDO </t>
  </si>
  <si>
    <t>HONORARIOS POR SERVICIOS DE INFORMATICA CORRESPONDIENTE AL MES DE MARZO 2026</t>
  </si>
  <si>
    <t>0000690</t>
  </si>
  <si>
    <t>0000691</t>
  </si>
  <si>
    <t xml:space="preserve">MARIA JULIANA LAYNEZ LAYNEZ </t>
  </si>
  <si>
    <t>HONORARIOS POR RECEPTOR PAGADOR CORRESPNDIENTE AL MES DE MARZO 2026</t>
  </si>
  <si>
    <t>0000692</t>
  </si>
  <si>
    <t xml:space="preserve">ROSY MARICELDA CALEL IMUL </t>
  </si>
  <si>
    <t>HONORARIOS POR SERVICIOS DE ATENCION A ASOCIADOS DEL 20 AL 31 DE MARZO 2026</t>
  </si>
  <si>
    <t>0000693</t>
  </si>
  <si>
    <t>GASPAR WALTER RAYMUNDO MENDOZA</t>
  </si>
  <si>
    <t>HONORARIOS POR SERVICIOS DE PROMOTOR DE CREDITOS, CORRESPONDIENTE AL MES DE MARZO 2026</t>
  </si>
  <si>
    <t>0000694</t>
  </si>
  <si>
    <t>LIQUIDACION DE CAJA CHICA CORRESPOINDIENTE AL MES DE MARZO 2026</t>
  </si>
  <si>
    <t>AUT:109929</t>
  </si>
  <si>
    <t xml:space="preserve">MARIA CECILIA ASICONA DIAZ </t>
  </si>
  <si>
    <t>AUT:132663</t>
  </si>
  <si>
    <t xml:space="preserve">ROSA CECILIA IJOM PEREZ </t>
  </si>
  <si>
    <t>AUT:0101958</t>
  </si>
  <si>
    <t xml:space="preserve">ESTEBAN SANCHEZ </t>
  </si>
  <si>
    <t>AUT:033702</t>
  </si>
  <si>
    <t>191</t>
  </si>
  <si>
    <t>854</t>
  </si>
  <si>
    <t>340</t>
  </si>
  <si>
    <t>145</t>
  </si>
  <si>
    <t>1098</t>
  </si>
  <si>
    <t>793</t>
  </si>
  <si>
    <t>225</t>
  </si>
  <si>
    <t>1015</t>
  </si>
  <si>
    <t>1137</t>
  </si>
  <si>
    <t>1900</t>
  </si>
  <si>
    <t>1140</t>
  </si>
  <si>
    <t>599</t>
  </si>
  <si>
    <t>355</t>
  </si>
  <si>
    <t>286</t>
  </si>
  <si>
    <t>1207</t>
  </si>
  <si>
    <t>385</t>
  </si>
  <si>
    <t>922</t>
  </si>
  <si>
    <t>905</t>
  </si>
  <si>
    <t>393</t>
  </si>
  <si>
    <t>395</t>
  </si>
  <si>
    <t>392</t>
  </si>
  <si>
    <t>1112</t>
  </si>
  <si>
    <t>2408</t>
  </si>
  <si>
    <t>1119</t>
  </si>
  <si>
    <t>1914</t>
  </si>
  <si>
    <t>1494</t>
  </si>
  <si>
    <t>984</t>
  </si>
  <si>
    <t>740</t>
  </si>
  <si>
    <t>335</t>
  </si>
  <si>
    <t>04</t>
  </si>
  <si>
    <t>002714</t>
  </si>
  <si>
    <t>AUT:050468</t>
  </si>
  <si>
    <t>0000695</t>
  </si>
  <si>
    <t xml:space="preserve">MARI ACECILIA IJOM RIVERA </t>
  </si>
  <si>
    <t>002715</t>
  </si>
  <si>
    <t>002716</t>
  </si>
  <si>
    <t>002717</t>
  </si>
  <si>
    <t>206-1-2026</t>
  </si>
  <si>
    <t>ROSA RAMIREZ ORTEGA</t>
  </si>
  <si>
    <t>002718</t>
  </si>
  <si>
    <t>218-1-1</t>
  </si>
  <si>
    <t>002719</t>
  </si>
  <si>
    <t>002720</t>
  </si>
  <si>
    <t>002721</t>
  </si>
  <si>
    <t>002722</t>
  </si>
  <si>
    <t>144-5-1</t>
  </si>
  <si>
    <t xml:space="preserve">CRISTINA TERESA ASICONA RIVERA </t>
  </si>
  <si>
    <t>002723</t>
  </si>
  <si>
    <t>002724</t>
  </si>
  <si>
    <t xml:space="preserve">ANA BEATRIZ TELIZ MATEO </t>
  </si>
  <si>
    <t>002725</t>
  </si>
  <si>
    <t>219-1-1</t>
  </si>
  <si>
    <t xml:space="preserve">GASPAR WALTER RAMUNDO MENDOZA </t>
  </si>
  <si>
    <t>002726</t>
  </si>
  <si>
    <t>002727</t>
  </si>
  <si>
    <t xml:space="preserve">DOMINGO LOPEZ CABA </t>
  </si>
  <si>
    <t>002728</t>
  </si>
  <si>
    <t>218-5-1</t>
  </si>
  <si>
    <t>002729</t>
  </si>
  <si>
    <t>219-5-1</t>
  </si>
  <si>
    <t>0000696</t>
  </si>
  <si>
    <t>65-5-1</t>
  </si>
  <si>
    <t>0000697</t>
  </si>
  <si>
    <t>PAGO DE ARRENDAMIENTO DE OFICINA E INSATLACIÓNES DE AGENCIA DE CHAJUL, CORRESPONDIENTE AL MES DE ABRIL DE 2026</t>
  </si>
  <si>
    <t>AUT:116427</t>
  </si>
  <si>
    <t>AUT:129461</t>
  </si>
  <si>
    <t>AUT:132877</t>
  </si>
  <si>
    <t>AUT:133861</t>
  </si>
  <si>
    <t>AUT:165628</t>
  </si>
  <si>
    <t>MARGARITA LAYNEZ</t>
  </si>
  <si>
    <t>AUT:196518</t>
  </si>
  <si>
    <t>194</t>
  </si>
  <si>
    <t>1096</t>
  </si>
  <si>
    <t>179</t>
  </si>
  <si>
    <t>002730</t>
  </si>
  <si>
    <t xml:space="preserve">ROSA HERNANDEZ DEL BARIO </t>
  </si>
  <si>
    <t>002731</t>
  </si>
  <si>
    <t>220-1-1</t>
  </si>
  <si>
    <t xml:space="preserve">MARIA DIAZ RIVERA DE RAYMUNDO </t>
  </si>
  <si>
    <t>002732</t>
  </si>
  <si>
    <t>002733</t>
  </si>
  <si>
    <t>220-5-1</t>
  </si>
  <si>
    <t>002734</t>
  </si>
  <si>
    <t>TERESSA RIVERA CHIVAZ</t>
  </si>
  <si>
    <t>002735</t>
  </si>
  <si>
    <t>209-1-2026</t>
  </si>
  <si>
    <t>002736</t>
  </si>
  <si>
    <t>MARIA BATZ ORTEGA</t>
  </si>
  <si>
    <t>002737</t>
  </si>
  <si>
    <t xml:space="preserve">ANA BETZAIDA RAMIREZ ASICONA </t>
  </si>
  <si>
    <t>002738</t>
  </si>
  <si>
    <t>002739</t>
  </si>
  <si>
    <t>222-1-1</t>
  </si>
  <si>
    <t>ANA ESCOBAR RIVERA</t>
  </si>
  <si>
    <t>002740</t>
  </si>
  <si>
    <t>002741</t>
  </si>
  <si>
    <t>151-5-1</t>
  </si>
  <si>
    <t xml:space="preserve">MARGARITA SANCHEZ LAYNEZ DE RAMIREZ </t>
  </si>
  <si>
    <t>002742</t>
  </si>
  <si>
    <t>002743</t>
  </si>
  <si>
    <t>221-8-1</t>
  </si>
  <si>
    <t>222-5-1</t>
  </si>
  <si>
    <t>0000698</t>
  </si>
  <si>
    <t>AUT:148293</t>
  </si>
  <si>
    <t>CLARITA LAYNEZ</t>
  </si>
  <si>
    <t>AUT:017749</t>
  </si>
  <si>
    <t>AUT:093527</t>
  </si>
  <si>
    <t>329</t>
  </si>
  <si>
    <t>1097</t>
  </si>
  <si>
    <t>178</t>
  </si>
  <si>
    <t>002744</t>
  </si>
  <si>
    <t xml:space="preserve">FRANCISCO COBO CABA </t>
  </si>
  <si>
    <t>002745</t>
  </si>
  <si>
    <t>0000699</t>
  </si>
  <si>
    <t>AUT:110127</t>
  </si>
  <si>
    <t xml:space="preserve">MARIA CABA </t>
  </si>
  <si>
    <t>AUT:045680</t>
  </si>
  <si>
    <t>002747</t>
  </si>
  <si>
    <t>221-4-2</t>
  </si>
  <si>
    <t>ANA BETZAIDA RAMIREZ ASICONA</t>
  </si>
  <si>
    <t>200</t>
  </si>
  <si>
    <t>002746</t>
  </si>
  <si>
    <t>1092</t>
  </si>
  <si>
    <t>002748</t>
  </si>
  <si>
    <t>002749</t>
  </si>
  <si>
    <t xml:space="preserve">ROSA ASICONA ASICONA  DE RAMIREZ </t>
  </si>
  <si>
    <t>002750</t>
  </si>
  <si>
    <t>002751</t>
  </si>
  <si>
    <t>002752</t>
  </si>
  <si>
    <t>002753</t>
  </si>
  <si>
    <t>213-1-2026</t>
  </si>
  <si>
    <t xml:space="preserve">ROSA LOPEZ LAYNEZ </t>
  </si>
  <si>
    <t>002754</t>
  </si>
  <si>
    <t>223-6-1</t>
  </si>
  <si>
    <t xml:space="preserve">MARGARITA MENDOZA CABA DE TELIS </t>
  </si>
  <si>
    <t>223-1-1</t>
  </si>
  <si>
    <t>002755</t>
  </si>
  <si>
    <t>002756</t>
  </si>
  <si>
    <t>56110027</t>
  </si>
  <si>
    <t>0000700</t>
  </si>
  <si>
    <t>IGNACIO RAMIREZ IJOM</t>
  </si>
  <si>
    <t>002757</t>
  </si>
  <si>
    <t>164-1-2026</t>
  </si>
  <si>
    <t>002758</t>
  </si>
  <si>
    <t>002759</t>
  </si>
  <si>
    <t>96893388</t>
  </si>
  <si>
    <t>96893387</t>
  </si>
  <si>
    <t>002760</t>
  </si>
  <si>
    <t xml:space="preserve">MARIA ANAY IJOM </t>
  </si>
  <si>
    <t>002761</t>
  </si>
  <si>
    <t>DOMINGO ASICONA</t>
  </si>
  <si>
    <t>002763</t>
  </si>
  <si>
    <t>002764</t>
  </si>
  <si>
    <t>224-1-1</t>
  </si>
  <si>
    <t>CONCEPCION IJOM SANCHEZ DE PACHECO</t>
  </si>
  <si>
    <t>002765</t>
  </si>
  <si>
    <t>224-5-1</t>
  </si>
  <si>
    <t>AUT:132894</t>
  </si>
  <si>
    <t>1085</t>
  </si>
  <si>
    <t>SUMA----------------</t>
  </si>
  <si>
    <t>SUMA-----------------------------</t>
  </si>
  <si>
    <t>002766</t>
  </si>
  <si>
    <t>002767</t>
  </si>
  <si>
    <t>002768</t>
  </si>
  <si>
    <t>002769</t>
  </si>
  <si>
    <t>002770</t>
  </si>
  <si>
    <t>JACINTA CANAY RIVARA DE IJOM</t>
  </si>
  <si>
    <t>AUT:043477</t>
  </si>
  <si>
    <t>JACINTA GARCIA</t>
  </si>
  <si>
    <t>AUT:079692</t>
  </si>
  <si>
    <t>AUT:024305</t>
  </si>
  <si>
    <t>AUT:031825</t>
  </si>
  <si>
    <t>0000701</t>
  </si>
  <si>
    <t xml:space="preserve">MANUELA PACHECO SANCHEZ </t>
  </si>
  <si>
    <t>002771</t>
  </si>
  <si>
    <t>223-5-1</t>
  </si>
  <si>
    <t>TERESA DEYSI MATEO ZUÑIGA</t>
  </si>
  <si>
    <t>225-1-1</t>
  </si>
  <si>
    <t>002772</t>
  </si>
  <si>
    <t>002773</t>
  </si>
  <si>
    <t>002774</t>
  </si>
  <si>
    <t>225-5-1</t>
  </si>
  <si>
    <t>0000702</t>
  </si>
  <si>
    <t>MARIA JULIANA LAYNEZ LAYNEZ</t>
  </si>
  <si>
    <t>suma -----------</t>
  </si>
  <si>
    <t>sumas -----------</t>
  </si>
  <si>
    <t>suma    -------------------------------------</t>
  </si>
  <si>
    <t>002775</t>
  </si>
  <si>
    <t>AUT:016905</t>
  </si>
  <si>
    <t>MIGUEL ROSOLINO RAYMUNDO RAYMUNDO</t>
  </si>
  <si>
    <t>002776</t>
  </si>
  <si>
    <t>002777</t>
  </si>
  <si>
    <t>AUT:164738</t>
  </si>
  <si>
    <t>1084</t>
  </si>
  <si>
    <t>002779</t>
  </si>
  <si>
    <t>002780</t>
  </si>
  <si>
    <t>002781</t>
  </si>
  <si>
    <t xml:space="preserve">JUANA HERNANDEZ DEL BARRIO </t>
  </si>
  <si>
    <t>002782</t>
  </si>
  <si>
    <t>002783</t>
  </si>
  <si>
    <t>002784</t>
  </si>
  <si>
    <t>MARTA CABA CHAVAZ</t>
  </si>
  <si>
    <t>002785</t>
  </si>
  <si>
    <t>002786</t>
  </si>
  <si>
    <t>002787</t>
  </si>
  <si>
    <t>226-1-1</t>
  </si>
  <si>
    <t>MELQUI GONZALES</t>
  </si>
  <si>
    <t>002788</t>
  </si>
  <si>
    <t>002789</t>
  </si>
  <si>
    <t>226-6-1</t>
  </si>
  <si>
    <t>002790</t>
  </si>
  <si>
    <t>1040-2-2026</t>
  </si>
  <si>
    <t xml:space="preserve">JUANA IJOM RAMIREZ </t>
  </si>
  <si>
    <t>002791</t>
  </si>
  <si>
    <t>227-1-1</t>
  </si>
  <si>
    <t>DELFIO CLEMENTE GONZALES ALVA</t>
  </si>
  <si>
    <t>002792</t>
  </si>
  <si>
    <t xml:space="preserve">ANTONIO RIVERA CABA </t>
  </si>
  <si>
    <t>002793</t>
  </si>
  <si>
    <t>002796</t>
  </si>
  <si>
    <t>227-6-1</t>
  </si>
  <si>
    <t>002794</t>
  </si>
  <si>
    <t>002795</t>
  </si>
  <si>
    <t>002797</t>
  </si>
  <si>
    <t>002798</t>
  </si>
  <si>
    <t>PEDRO LAYNEZ ORTEGA</t>
  </si>
  <si>
    <t>JUAN DIAZ HERNANADEZ</t>
  </si>
  <si>
    <t>002799</t>
  </si>
  <si>
    <t>0000704</t>
  </si>
  <si>
    <t>1-415-6-2026</t>
  </si>
  <si>
    <t>0000705</t>
  </si>
  <si>
    <t>0000706</t>
  </si>
  <si>
    <t>002778</t>
  </si>
  <si>
    <t>0000703</t>
  </si>
  <si>
    <t>AUT:112054</t>
  </si>
  <si>
    <t>MARIA CABA</t>
  </si>
  <si>
    <t>AUT:036144</t>
  </si>
  <si>
    <t>AUT:086924</t>
  </si>
  <si>
    <t>AUT:043951</t>
  </si>
  <si>
    <t xml:space="preserve">PABLO RAYMUNDO LAYNEZ </t>
  </si>
  <si>
    <t>203</t>
  </si>
  <si>
    <t>1077</t>
  </si>
  <si>
    <t>71726584</t>
  </si>
  <si>
    <t>0000707</t>
  </si>
  <si>
    <t>0000708</t>
  </si>
  <si>
    <t>AUT:071270</t>
  </si>
  <si>
    <t xml:space="preserve">ELENA CABA VI </t>
  </si>
  <si>
    <t>AUT:109128</t>
  </si>
  <si>
    <t>AUT:033101</t>
  </si>
  <si>
    <t xml:space="preserve">JOSEFA PACHECO MARCOS DE GUZMAN </t>
  </si>
  <si>
    <t>14963951</t>
  </si>
  <si>
    <t>71726673</t>
  </si>
  <si>
    <t xml:space="preserve">DOMINGO LÓPEZ MATEO </t>
  </si>
  <si>
    <t>MARGARITA MENDOZA CABA DE TELIS</t>
  </si>
  <si>
    <t>002800</t>
  </si>
  <si>
    <t>002801</t>
  </si>
  <si>
    <t>228-1-1</t>
  </si>
  <si>
    <t>ROSA LAYNEZ  ESCOBAR</t>
  </si>
  <si>
    <t>002802</t>
  </si>
  <si>
    <t>002803</t>
  </si>
  <si>
    <t>228-5-1</t>
  </si>
  <si>
    <t xml:space="preserve">ELEAZAR ESTEBAN CABA LAYNEZ </t>
  </si>
  <si>
    <t>229-1-1</t>
  </si>
  <si>
    <t>002804</t>
  </si>
  <si>
    <t>002805</t>
  </si>
  <si>
    <t>002806</t>
  </si>
  <si>
    <t>229-5-1</t>
  </si>
  <si>
    <t>1088</t>
  </si>
  <si>
    <t>65525720</t>
  </si>
  <si>
    <t>002807</t>
  </si>
  <si>
    <t xml:space="preserve">MARIA RIVERRA NUNAL </t>
  </si>
  <si>
    <t>002808</t>
  </si>
  <si>
    <t>211-1-2026</t>
  </si>
  <si>
    <t>AUT:103093</t>
  </si>
  <si>
    <t>MARIA RAMIREZ DIAZ</t>
  </si>
  <si>
    <t>002809</t>
  </si>
  <si>
    <t>800</t>
  </si>
  <si>
    <t>1258</t>
  </si>
  <si>
    <t>333</t>
  </si>
  <si>
    <t>1583</t>
  </si>
  <si>
    <t>108</t>
  </si>
  <si>
    <t>330</t>
  </si>
  <si>
    <t>1799</t>
  </si>
  <si>
    <t>1712</t>
  </si>
  <si>
    <t>2044</t>
  </si>
  <si>
    <t>2278</t>
  </si>
  <si>
    <t>104</t>
  </si>
  <si>
    <t>3531</t>
  </si>
  <si>
    <t>83</t>
  </si>
  <si>
    <t>320</t>
  </si>
  <si>
    <t>414</t>
  </si>
  <si>
    <t>322</t>
  </si>
  <si>
    <t>AUT:016678</t>
  </si>
  <si>
    <t>1060167002</t>
  </si>
  <si>
    <t>GUILLERMO ROBERTO XITIMUL PEREZ</t>
  </si>
  <si>
    <t>002810</t>
  </si>
  <si>
    <t>002811</t>
  </si>
  <si>
    <t>0000709</t>
  </si>
  <si>
    <t>0000710</t>
  </si>
  <si>
    <t>632-5-1</t>
  </si>
  <si>
    <t xml:space="preserve">MANUEL PACHECO ASICONA </t>
  </si>
  <si>
    <t>AUT:065868</t>
  </si>
  <si>
    <t>BARTOLOME GALLEGO</t>
  </si>
  <si>
    <t>18</t>
  </si>
  <si>
    <t>317</t>
  </si>
  <si>
    <t>1086</t>
  </si>
  <si>
    <t>002812</t>
  </si>
  <si>
    <t>AUT:112047</t>
  </si>
  <si>
    <t>AUT:111825</t>
  </si>
  <si>
    <t>647</t>
  </si>
  <si>
    <t>664</t>
  </si>
  <si>
    <t>318</t>
  </si>
  <si>
    <t>002813</t>
  </si>
  <si>
    <t>0000711</t>
  </si>
  <si>
    <t>002814</t>
  </si>
  <si>
    <t>002815</t>
  </si>
  <si>
    <t>0002816</t>
  </si>
  <si>
    <t>002817</t>
  </si>
  <si>
    <t>002818</t>
  </si>
  <si>
    <t>002819</t>
  </si>
  <si>
    <t>002820</t>
  </si>
  <si>
    <t>0000712</t>
  </si>
  <si>
    <t>AUT:121588</t>
  </si>
  <si>
    <t xml:space="preserve">PEDRO CABA RAMIREZ </t>
  </si>
  <si>
    <t>AUT:135130</t>
  </si>
  <si>
    <t>AUT:089104</t>
  </si>
  <si>
    <t>653</t>
  </si>
  <si>
    <t>1080</t>
  </si>
  <si>
    <t>321</t>
  </si>
  <si>
    <t>002821</t>
  </si>
  <si>
    <t>002822</t>
  </si>
  <si>
    <t>002823</t>
  </si>
  <si>
    <t>002824</t>
  </si>
  <si>
    <t>0000713</t>
  </si>
  <si>
    <t>1-587-4-2026</t>
  </si>
  <si>
    <t>POR DESEMBOLSO DE CREDITO</t>
  </si>
  <si>
    <t>0000714</t>
  </si>
  <si>
    <t>AUT:009667</t>
  </si>
  <si>
    <t>1083</t>
  </si>
  <si>
    <t>489</t>
  </si>
  <si>
    <t>53915867</t>
  </si>
  <si>
    <t>TERESA LAYNEZ ASICONA</t>
  </si>
  <si>
    <t>0000715</t>
  </si>
  <si>
    <t xml:space="preserve">SEBASTIA ELIAS PANTZAY SANCHEZ </t>
  </si>
  <si>
    <t>0000716</t>
  </si>
  <si>
    <t>053312</t>
  </si>
  <si>
    <t>6546696</t>
  </si>
  <si>
    <t>GASPAR CABA ESCOBAR</t>
  </si>
  <si>
    <t>056892</t>
  </si>
  <si>
    <t>7043472</t>
  </si>
  <si>
    <t>0000717</t>
  </si>
  <si>
    <t>14-5-1</t>
  </si>
  <si>
    <t>132478</t>
  </si>
  <si>
    <t>66202225680719</t>
  </si>
  <si>
    <t>ANA CABA ASICONA</t>
  </si>
  <si>
    <t>143792</t>
  </si>
  <si>
    <t>5646675461</t>
  </si>
  <si>
    <t>145716</t>
  </si>
  <si>
    <t>1001386647998</t>
  </si>
  <si>
    <t>1071</t>
  </si>
  <si>
    <t>002827</t>
  </si>
  <si>
    <t>002825</t>
  </si>
  <si>
    <t>MARIA SUSANA ASICONA LAYNEZ</t>
  </si>
  <si>
    <t>JUANA ANAY ASICONA</t>
  </si>
  <si>
    <t>002826</t>
  </si>
  <si>
    <t>004467</t>
  </si>
  <si>
    <t>PEDRO LUIZ</t>
  </si>
  <si>
    <t>NOEMI MATEO</t>
  </si>
  <si>
    <t xml:space="preserve">DEPOSITO DE AHORRO CORRIENTE INFANTO </t>
  </si>
  <si>
    <t>RUIS PEREZ</t>
  </si>
  <si>
    <t>070026</t>
  </si>
  <si>
    <t>026305</t>
  </si>
  <si>
    <t>209401</t>
  </si>
  <si>
    <t>33451250</t>
  </si>
  <si>
    <t>036827</t>
  </si>
  <si>
    <t>FERNANDO JOSE CASTELLANOS LOPEZ</t>
  </si>
  <si>
    <t>22/04/2026 Hora: 03:00 pm a 05:00 pm</t>
  </si>
  <si>
    <t xml:space="preserve">Saldo Inicial  (al 28/08/2026) Según Auxiliar </t>
  </si>
  <si>
    <t>Marzo/2026</t>
  </si>
  <si>
    <t>Abril/2026</t>
  </si>
  <si>
    <t>652 al 694</t>
  </si>
  <si>
    <t>2542 al 2713</t>
  </si>
  <si>
    <t>2714 al 2827</t>
  </si>
  <si>
    <t>695 al 717</t>
  </si>
  <si>
    <t>SUMA    -------------------------------------</t>
  </si>
  <si>
    <t>SUMA DEL 01-04-2026 AL 22-04-2026</t>
  </si>
  <si>
    <t>El dia 22 de Abril de 2026  se hizo arqueo al Receptor Pagador María Juliana Laynez Laynez,  en su presencia</t>
  </si>
  <si>
    <t>María Juliana Laynez Laynez</t>
  </si>
  <si>
    <t>319</t>
  </si>
  <si>
    <t>443</t>
  </si>
  <si>
    <t>G</t>
  </si>
  <si>
    <t>002828</t>
  </si>
  <si>
    <t>59-1-2026</t>
  </si>
  <si>
    <t>002829</t>
  </si>
  <si>
    <t>456</t>
  </si>
  <si>
    <t>12</t>
  </si>
  <si>
    <t>1069</t>
  </si>
  <si>
    <t>002830</t>
  </si>
  <si>
    <t>002831</t>
  </si>
  <si>
    <t xml:space="preserve">ROSA LAYNEZ ESCOBAR </t>
  </si>
  <si>
    <t>96887085</t>
  </si>
  <si>
    <t>002832</t>
  </si>
  <si>
    <t>002833</t>
  </si>
  <si>
    <t>112960</t>
  </si>
  <si>
    <t>2002407293863</t>
  </si>
  <si>
    <t xml:space="preserve">ELENA CABA ASICONA DE LAYNEZ </t>
  </si>
  <si>
    <t>002834</t>
  </si>
  <si>
    <t>119-1-2025</t>
  </si>
  <si>
    <t>IRMA ROSELIA AGUSTIN LOPEZ DE  SANCHEZ</t>
  </si>
  <si>
    <t>0000718</t>
  </si>
  <si>
    <t>119-5-1</t>
  </si>
  <si>
    <t>491</t>
  </si>
  <si>
    <t>002835</t>
  </si>
  <si>
    <t>002836</t>
  </si>
  <si>
    <t>40-2-2026</t>
  </si>
  <si>
    <t xml:space="preserve">MARIA SECILIA CABA RAYMUNDO </t>
  </si>
  <si>
    <t>002837</t>
  </si>
  <si>
    <t>002838</t>
  </si>
  <si>
    <t>199-1-2026</t>
  </si>
  <si>
    <t xml:space="preserve">PEDRO ASICONA CABA </t>
  </si>
  <si>
    <t>002839</t>
  </si>
  <si>
    <t xml:space="preserve">MARIA SANCHEZ DIAZ </t>
  </si>
  <si>
    <t xml:space="preserve">POR EXTRAVIO DE LIBRETA </t>
  </si>
  <si>
    <t>002840</t>
  </si>
  <si>
    <t>0000719</t>
  </si>
  <si>
    <t>135-5-1</t>
  </si>
  <si>
    <t>052392</t>
  </si>
  <si>
    <t>7820070196</t>
  </si>
  <si>
    <t>145641</t>
  </si>
  <si>
    <t>2002407514628</t>
  </si>
  <si>
    <t>MAGDALENA LAYNEZ ASICONA</t>
  </si>
  <si>
    <t xml:space="preserve">MAGDALENA PACHECO ANAY </t>
  </si>
  <si>
    <t>82019539722</t>
  </si>
  <si>
    <t>111123</t>
  </si>
  <si>
    <t>113429</t>
  </si>
  <si>
    <t>MT0008448164</t>
  </si>
  <si>
    <t>MT0008479863</t>
  </si>
  <si>
    <t>113831</t>
  </si>
  <si>
    <t>116605</t>
  </si>
  <si>
    <t>MT0008288898</t>
  </si>
  <si>
    <t>091021</t>
  </si>
  <si>
    <t>25</t>
  </si>
  <si>
    <t>925</t>
  </si>
  <si>
    <t>002841</t>
  </si>
  <si>
    <t>002842</t>
  </si>
  <si>
    <t>002843</t>
  </si>
  <si>
    <t>002844</t>
  </si>
  <si>
    <t>002845</t>
  </si>
  <si>
    <t>002846</t>
  </si>
  <si>
    <t xml:space="preserve">EDITORIAL Y CENTRO DE CAPACITACION ALMMA </t>
  </si>
  <si>
    <t>0270046105</t>
  </si>
  <si>
    <t>044948</t>
  </si>
  <si>
    <t>INBí</t>
  </si>
  <si>
    <t>002847</t>
  </si>
  <si>
    <t xml:space="preserve">MANUELA CABA DEL BARRIO DE CABA </t>
  </si>
  <si>
    <t>0000720</t>
  </si>
  <si>
    <t>61-5-1</t>
  </si>
  <si>
    <t xml:space="preserve">TERESA ASICONA RAMOS DE LOPEZ </t>
  </si>
  <si>
    <t>002848</t>
  </si>
  <si>
    <t>1075</t>
  </si>
  <si>
    <t>1762</t>
  </si>
  <si>
    <t>002849</t>
  </si>
  <si>
    <t>002850</t>
  </si>
  <si>
    <t>230-1-1</t>
  </si>
  <si>
    <t xml:space="preserve">MARIA ASICONA ASICONA DE IJOM </t>
  </si>
  <si>
    <t>002851</t>
  </si>
  <si>
    <t>002852</t>
  </si>
  <si>
    <t>231-1-1</t>
  </si>
  <si>
    <t xml:space="preserve">MARIA YULA LAYNEZ </t>
  </si>
  <si>
    <t>002853</t>
  </si>
  <si>
    <t>002854</t>
  </si>
  <si>
    <t>201869</t>
  </si>
  <si>
    <t>37375941</t>
  </si>
  <si>
    <t xml:space="preserve">TERESA ASICONA </t>
  </si>
  <si>
    <t>RUDY SEGURA</t>
  </si>
  <si>
    <t>46362498</t>
  </si>
  <si>
    <t>070900</t>
  </si>
  <si>
    <t>44422622</t>
  </si>
  <si>
    <t>002855</t>
  </si>
  <si>
    <t>168-2-2026</t>
  </si>
  <si>
    <t>1109</t>
  </si>
  <si>
    <t>002856</t>
  </si>
  <si>
    <t>230-5-1</t>
  </si>
  <si>
    <t>96889505</t>
  </si>
  <si>
    <t>002858</t>
  </si>
  <si>
    <t xml:space="preserve">JUANA CANAY MENDEZ DE SANCHEZ </t>
  </si>
  <si>
    <t>0000721</t>
  </si>
  <si>
    <t>002859</t>
  </si>
  <si>
    <t>231-5-1</t>
  </si>
  <si>
    <t>002860</t>
  </si>
  <si>
    <t>002861</t>
  </si>
  <si>
    <t>002862</t>
  </si>
  <si>
    <t>0000722</t>
  </si>
  <si>
    <t>002863</t>
  </si>
  <si>
    <t>660113937</t>
  </si>
  <si>
    <t>05</t>
  </si>
  <si>
    <t>002864</t>
  </si>
  <si>
    <t>002865</t>
  </si>
  <si>
    <t>002866</t>
  </si>
  <si>
    <t>232-1-1</t>
  </si>
  <si>
    <t xml:space="preserve">ANTONIO ISAAC CABA LAYNEZ </t>
  </si>
  <si>
    <t>002867</t>
  </si>
  <si>
    <t>002868</t>
  </si>
  <si>
    <t>**ANULADO**</t>
  </si>
  <si>
    <t>002869</t>
  </si>
  <si>
    <t>232-5-1</t>
  </si>
  <si>
    <t>002870</t>
  </si>
  <si>
    <t>002871</t>
  </si>
  <si>
    <t>GASPAR WALTER YAMUNDO MENDOZA</t>
  </si>
  <si>
    <t>002872</t>
  </si>
  <si>
    <t>002873</t>
  </si>
  <si>
    <t>002874</t>
  </si>
  <si>
    <t>002875</t>
  </si>
  <si>
    <t>121807</t>
  </si>
  <si>
    <t>16613677478</t>
  </si>
  <si>
    <t>ISABELA CALEL IMUL</t>
  </si>
  <si>
    <t>0000723</t>
  </si>
  <si>
    <t>0000724</t>
  </si>
  <si>
    <t>0000725</t>
  </si>
  <si>
    <t>0000726</t>
  </si>
  <si>
    <t xml:space="preserve">JUANA SANCHEZ CABA DE BRITO </t>
  </si>
  <si>
    <t>2-232-1-2026</t>
  </si>
  <si>
    <t>0000727</t>
  </si>
  <si>
    <t>187-2-2026</t>
  </si>
  <si>
    <t>0000728</t>
  </si>
  <si>
    <t>019337</t>
  </si>
  <si>
    <t>400400291237</t>
  </si>
  <si>
    <t>MARIA LAYNEZ LOPEZ</t>
  </si>
  <si>
    <t>002876</t>
  </si>
  <si>
    <t>002877</t>
  </si>
  <si>
    <t>214-7-1</t>
  </si>
  <si>
    <t>214-5-1</t>
  </si>
  <si>
    <t>DEPOSITO DE AHORRO PROGRAMADO</t>
  </si>
  <si>
    <t>570</t>
  </si>
  <si>
    <t>002857</t>
  </si>
  <si>
    <t>002878</t>
  </si>
  <si>
    <t xml:space="preserve">NECXEL MAZATENANGO </t>
  </si>
  <si>
    <t>0490066373</t>
  </si>
  <si>
    <t>031227</t>
  </si>
  <si>
    <t>0000729</t>
  </si>
  <si>
    <t xml:space="preserve">ELENA PACHECO GOMEZ </t>
  </si>
  <si>
    <t>66204042639002</t>
  </si>
  <si>
    <t>111801</t>
  </si>
  <si>
    <t>116153</t>
  </si>
  <si>
    <t>R02738674994</t>
  </si>
  <si>
    <t>808028448953</t>
  </si>
  <si>
    <t>115783</t>
  </si>
  <si>
    <t>0000730</t>
  </si>
  <si>
    <t>800-5-1</t>
  </si>
  <si>
    <t>MARIA ANASTACIA LAYNEZ CABA</t>
  </si>
  <si>
    <t>002879</t>
  </si>
  <si>
    <t>JOSEFA ESCOBAR TIJON</t>
  </si>
  <si>
    <t>MT0008467168</t>
  </si>
  <si>
    <t>153449</t>
  </si>
  <si>
    <t>30</t>
  </si>
  <si>
    <t>5646826546</t>
  </si>
  <si>
    <t>163417</t>
  </si>
  <si>
    <t>166510</t>
  </si>
  <si>
    <t>66203332402174</t>
  </si>
  <si>
    <t>002880</t>
  </si>
  <si>
    <t>002881</t>
  </si>
  <si>
    <t>002882</t>
  </si>
  <si>
    <t xml:space="preserve">TEREZA RIVERA CHIVAZ </t>
  </si>
  <si>
    <t>002883</t>
  </si>
  <si>
    <t>002884</t>
  </si>
  <si>
    <t xml:space="preserve">CATARINA CHEL HERMOSO </t>
  </si>
  <si>
    <t>002885</t>
  </si>
  <si>
    <t>002886</t>
  </si>
  <si>
    <t>445-5-1</t>
  </si>
  <si>
    <t xml:space="preserve">MARIA MARTA CABA MO </t>
  </si>
  <si>
    <t>002887</t>
  </si>
  <si>
    <t>002888</t>
  </si>
  <si>
    <t>002889</t>
  </si>
  <si>
    <t>28-1-2026</t>
  </si>
  <si>
    <t>0000732</t>
  </si>
  <si>
    <t>0000733</t>
  </si>
  <si>
    <t>0000731</t>
  </si>
  <si>
    <t>1-445-6-2026</t>
  </si>
  <si>
    <t>FRNCISCO COBO CABA</t>
  </si>
  <si>
    <t>CESAR ANIBAL SEGURA MAROQUIN</t>
  </si>
  <si>
    <t>116719</t>
  </si>
  <si>
    <t>103158</t>
  </si>
  <si>
    <t>160633</t>
  </si>
  <si>
    <t>66202884234468</t>
  </si>
  <si>
    <t>MT0008559477</t>
  </si>
  <si>
    <t>2361161548</t>
  </si>
  <si>
    <t>002890</t>
  </si>
  <si>
    <t>002891</t>
  </si>
  <si>
    <t>0000734</t>
  </si>
  <si>
    <t>002892</t>
  </si>
  <si>
    <t>150-5-1</t>
  </si>
  <si>
    <t xml:space="preserve">MARIA MENDOZA LAYNEZ DE ANAY </t>
  </si>
  <si>
    <t>MARGARITA ANAY XINIC DE ASICONA</t>
  </si>
  <si>
    <t>R97906480863</t>
  </si>
  <si>
    <t>151499</t>
  </si>
  <si>
    <t>313</t>
  </si>
  <si>
    <t>002893</t>
  </si>
  <si>
    <t>002894</t>
  </si>
  <si>
    <t>002895</t>
  </si>
  <si>
    <t>002896</t>
  </si>
  <si>
    <t>002897</t>
  </si>
  <si>
    <t>180-1-226</t>
  </si>
  <si>
    <t>0000735</t>
  </si>
  <si>
    <t xml:space="preserve">GASPAR WALTER RAYMUNDO MENDOZA </t>
  </si>
  <si>
    <t xml:space="preserve">JUANA CRUZ TORREZ DE PEREZ </t>
  </si>
  <si>
    <t>1259</t>
  </si>
  <si>
    <t>1427</t>
  </si>
  <si>
    <t>002898</t>
  </si>
  <si>
    <t>002899</t>
  </si>
  <si>
    <t>002900</t>
  </si>
  <si>
    <t>234-1-1</t>
  </si>
  <si>
    <t>MARIA CESIA  PACHECO RIVERA</t>
  </si>
  <si>
    <t>235-1-1</t>
  </si>
  <si>
    <t xml:space="preserve">MARGARITA RIVERA SANCHEZ DE PACHECO </t>
  </si>
  <si>
    <t>657</t>
  </si>
  <si>
    <t>327</t>
  </si>
  <si>
    <t>002901</t>
  </si>
  <si>
    <t>002902</t>
  </si>
  <si>
    <t>002903</t>
  </si>
  <si>
    <t>002904</t>
  </si>
  <si>
    <t>002905</t>
  </si>
  <si>
    <t>002906</t>
  </si>
  <si>
    <t>236-1-1</t>
  </si>
  <si>
    <t>JOSEFA LAYNEZ CABA</t>
  </si>
  <si>
    <t>237-1-1</t>
  </si>
  <si>
    <t xml:space="preserve">CATARINA MENDOZA LAYNEZ </t>
  </si>
  <si>
    <t>0000736</t>
  </si>
  <si>
    <t>MARIA MICAELA IJOM GALLEGO</t>
  </si>
  <si>
    <t>6210637622</t>
  </si>
  <si>
    <t>029664</t>
  </si>
  <si>
    <t>0000737</t>
  </si>
  <si>
    <t>002907</t>
  </si>
  <si>
    <t>093391</t>
  </si>
  <si>
    <t>6868366</t>
  </si>
  <si>
    <t>002908</t>
  </si>
  <si>
    <t>202-1-2026</t>
  </si>
  <si>
    <t xml:space="preserve">PEDRO LUIS TOMA LUX </t>
  </si>
  <si>
    <t>002909</t>
  </si>
  <si>
    <t>203-1-2026</t>
  </si>
  <si>
    <t>002910</t>
  </si>
  <si>
    <t>208-1-2026</t>
  </si>
  <si>
    <t>002911</t>
  </si>
  <si>
    <t>002912</t>
  </si>
  <si>
    <t>205-1-2026</t>
  </si>
  <si>
    <t>0000738</t>
  </si>
  <si>
    <t>202-5-1</t>
  </si>
  <si>
    <t>0000739</t>
  </si>
  <si>
    <t>0000740</t>
  </si>
  <si>
    <t>0000741</t>
  </si>
  <si>
    <t>0000742</t>
  </si>
  <si>
    <t>122894</t>
  </si>
  <si>
    <t>2002448174729</t>
  </si>
  <si>
    <t xml:space="preserve">MIGUEL GALLEGO CHAVEZ </t>
  </si>
  <si>
    <t>316</t>
  </si>
  <si>
    <t>193</t>
  </si>
  <si>
    <t>131102</t>
  </si>
  <si>
    <t>2002407759707</t>
  </si>
  <si>
    <t>0000743</t>
  </si>
  <si>
    <t>002913</t>
  </si>
  <si>
    <t>1034-5-1</t>
  </si>
  <si>
    <t>002915</t>
  </si>
  <si>
    <t>96887786</t>
  </si>
  <si>
    <t>96887787</t>
  </si>
  <si>
    <t>002916</t>
  </si>
  <si>
    <t>002917</t>
  </si>
  <si>
    <t>002918</t>
  </si>
  <si>
    <t>106168</t>
  </si>
  <si>
    <t>MT0008585930</t>
  </si>
  <si>
    <t>002919</t>
  </si>
  <si>
    <t>52-5-1</t>
  </si>
  <si>
    <t xml:space="preserve">MARTA CABA MATEO </t>
  </si>
  <si>
    <t>91-5-1</t>
  </si>
  <si>
    <t>002920</t>
  </si>
  <si>
    <t>002921</t>
  </si>
  <si>
    <t>162-5-1</t>
  </si>
  <si>
    <t>JUANA SANCHEZ CEDILLO</t>
  </si>
  <si>
    <t>0000744</t>
  </si>
  <si>
    <t>156-5-1</t>
  </si>
  <si>
    <t xml:space="preserve">ANA MENDOZA ESCOBAR </t>
  </si>
  <si>
    <t>0000746</t>
  </si>
  <si>
    <t>0000745</t>
  </si>
  <si>
    <t>MARIA DIAZ RIVERA DE RAYMUNDO</t>
  </si>
  <si>
    <t>4004002894469</t>
  </si>
  <si>
    <t>146921</t>
  </si>
  <si>
    <t>MAGDALENA BRITO SOLIZ</t>
  </si>
  <si>
    <t>085407</t>
  </si>
  <si>
    <t>0580293</t>
  </si>
  <si>
    <t>CARLOS HANSUER ESCOBAR MALDONADO</t>
  </si>
  <si>
    <t>0000747</t>
  </si>
  <si>
    <t>002922</t>
  </si>
  <si>
    <t>002923</t>
  </si>
  <si>
    <t>178-1-2026</t>
  </si>
  <si>
    <t xml:space="preserve">ELENA CABA RIVERA </t>
  </si>
  <si>
    <t>002924</t>
  </si>
  <si>
    <t>585</t>
  </si>
  <si>
    <t>303</t>
  </si>
  <si>
    <t>111017</t>
  </si>
  <si>
    <t>2002448540170</t>
  </si>
  <si>
    <t>CATARINA GRISELDA BRITO NUNAL</t>
  </si>
  <si>
    <t>KARIN EMILIA  VASQUEZ PEREZ DE TAYUN</t>
  </si>
  <si>
    <t>0210070280</t>
  </si>
  <si>
    <t>079781</t>
  </si>
  <si>
    <t>EGBí</t>
  </si>
  <si>
    <t>019223</t>
  </si>
  <si>
    <t>5737780</t>
  </si>
  <si>
    <t>125088</t>
  </si>
  <si>
    <t>MT0008470641</t>
  </si>
  <si>
    <t xml:space="preserve">MARIA LOPEZ LAYNEZ </t>
  </si>
  <si>
    <t>66203058436680</t>
  </si>
  <si>
    <t>127032</t>
  </si>
  <si>
    <t>124176</t>
  </si>
  <si>
    <t>66203262075909</t>
  </si>
  <si>
    <t>CRISTINA TERESA ASICONA RIVERA</t>
  </si>
  <si>
    <t>291</t>
  </si>
  <si>
    <t>0000748</t>
  </si>
  <si>
    <t>440</t>
  </si>
  <si>
    <t>002925</t>
  </si>
  <si>
    <t>002926</t>
  </si>
  <si>
    <t>002927</t>
  </si>
  <si>
    <t>124948</t>
  </si>
  <si>
    <t>2002448374626</t>
  </si>
  <si>
    <t xml:space="preserve">JUANA ARELY RIVERA MENODZA </t>
  </si>
  <si>
    <t>0000749</t>
  </si>
  <si>
    <t>002928</t>
  </si>
  <si>
    <t>42-1-2023</t>
  </si>
  <si>
    <t>2-42-2-2026</t>
  </si>
  <si>
    <t>0000750</t>
  </si>
  <si>
    <t>143617</t>
  </si>
  <si>
    <t>MT0008546715</t>
  </si>
  <si>
    <t xml:space="preserve">MARIA SÁNCHEZ ORTEGA </t>
  </si>
  <si>
    <t>002930</t>
  </si>
  <si>
    <t xml:space="preserve">DOMINGO LAYNEZ CABA </t>
  </si>
  <si>
    <t>5834344</t>
  </si>
  <si>
    <t>031948</t>
  </si>
  <si>
    <t>002931</t>
  </si>
  <si>
    <t>343</t>
  </si>
  <si>
    <t>181054</t>
  </si>
  <si>
    <t>2002448396466</t>
  </si>
  <si>
    <t>196</t>
  </si>
  <si>
    <t>280</t>
  </si>
  <si>
    <t>002932</t>
  </si>
  <si>
    <t>237-5-1</t>
  </si>
  <si>
    <t>002933</t>
  </si>
  <si>
    <t>11578623</t>
  </si>
  <si>
    <t>002620</t>
  </si>
  <si>
    <t>0000751</t>
  </si>
  <si>
    <t>002934</t>
  </si>
  <si>
    <t>002935</t>
  </si>
  <si>
    <t xml:space="preserve">ROSA ASICONA ASICONA DE RAMIREZ </t>
  </si>
  <si>
    <t>002936</t>
  </si>
  <si>
    <t>0000752</t>
  </si>
  <si>
    <t>0000753</t>
  </si>
  <si>
    <t>114837</t>
  </si>
  <si>
    <t>34259614</t>
  </si>
  <si>
    <t xml:space="preserve">MARIA LAYNEZ </t>
  </si>
  <si>
    <t>086064</t>
  </si>
  <si>
    <t>127528</t>
  </si>
  <si>
    <t>82017674440</t>
  </si>
  <si>
    <t xml:space="preserve">ANA CABA ASICONA  </t>
  </si>
  <si>
    <t>0000754</t>
  </si>
  <si>
    <t>349</t>
  </si>
  <si>
    <t>095012</t>
  </si>
  <si>
    <t>5454831</t>
  </si>
  <si>
    <t>08</t>
  </si>
  <si>
    <t>002937</t>
  </si>
  <si>
    <t>807-2-2023</t>
  </si>
  <si>
    <t>TRASLADO DE FONDO (TRANSFERENCIA)</t>
  </si>
  <si>
    <t>1070397758</t>
  </si>
  <si>
    <t xml:space="preserve">ELENA LAYNEZ RAMIREZ </t>
  </si>
  <si>
    <t>002929</t>
  </si>
  <si>
    <t>049488</t>
  </si>
  <si>
    <t>1073</t>
  </si>
  <si>
    <t>1066</t>
  </si>
  <si>
    <t>1074</t>
  </si>
  <si>
    <t>569</t>
  </si>
  <si>
    <t>560</t>
  </si>
  <si>
    <t>540</t>
  </si>
  <si>
    <t>525</t>
  </si>
  <si>
    <t>516</t>
  </si>
  <si>
    <t>511</t>
  </si>
  <si>
    <t>499</t>
  </si>
  <si>
    <t xml:space="preserve">002938 </t>
  </si>
  <si>
    <t xml:space="preserve">ROSA DIAZ SANCHEZ </t>
  </si>
  <si>
    <t>002939</t>
  </si>
  <si>
    <t>002940</t>
  </si>
  <si>
    <t>002941</t>
  </si>
  <si>
    <t>002942</t>
  </si>
  <si>
    <t>002943</t>
  </si>
  <si>
    <t>002944</t>
  </si>
  <si>
    <t xml:space="preserve">FRANCISCO HU RIVERA </t>
  </si>
  <si>
    <t>002945</t>
  </si>
  <si>
    <t>002946</t>
  </si>
  <si>
    <t>103-5-1</t>
  </si>
  <si>
    <t xml:space="preserve">MARIA AMELIA ASICONA DIAZ DE MATEO </t>
  </si>
  <si>
    <t>0000755</t>
  </si>
  <si>
    <t>2-202-2-2026</t>
  </si>
  <si>
    <t>002948</t>
  </si>
  <si>
    <t>202-1-2027</t>
  </si>
  <si>
    <t>202-1-2028</t>
  </si>
  <si>
    <t>002949</t>
  </si>
  <si>
    <t>002950</t>
  </si>
  <si>
    <t>002951</t>
  </si>
  <si>
    <t>136610</t>
  </si>
  <si>
    <t>200448429725</t>
  </si>
  <si>
    <t>002947</t>
  </si>
  <si>
    <t>002952</t>
  </si>
  <si>
    <t>002953</t>
  </si>
  <si>
    <t>500</t>
  </si>
  <si>
    <t>002954</t>
  </si>
  <si>
    <t>002955</t>
  </si>
  <si>
    <t>238-1-1</t>
  </si>
  <si>
    <t xml:space="preserve">JUANA MENDOZA CABA DE RIVERA </t>
  </si>
  <si>
    <t>238-5-1</t>
  </si>
  <si>
    <t>002957</t>
  </si>
  <si>
    <t>002956</t>
  </si>
  <si>
    <t>002958</t>
  </si>
  <si>
    <t>002959</t>
  </si>
  <si>
    <t>239-1-1</t>
  </si>
  <si>
    <t>MARTA CABA CABA</t>
  </si>
  <si>
    <t>002960</t>
  </si>
  <si>
    <t>239-5-1</t>
  </si>
  <si>
    <t>0000756</t>
  </si>
  <si>
    <t>278</t>
  </si>
  <si>
    <t>002961</t>
  </si>
  <si>
    <t>415-6-2026</t>
  </si>
  <si>
    <t xml:space="preserve">MARIA CECILIA IJOM RIEVERA </t>
  </si>
  <si>
    <t>44419257</t>
  </si>
  <si>
    <t>002962</t>
  </si>
  <si>
    <t>002963</t>
  </si>
  <si>
    <t>128-5-1</t>
  </si>
  <si>
    <t>002964</t>
  </si>
  <si>
    <t>11578882</t>
  </si>
  <si>
    <t>11578883</t>
  </si>
  <si>
    <t>002965</t>
  </si>
  <si>
    <t>234-5-1</t>
  </si>
  <si>
    <t xml:space="preserve">MARIA CESIA PACHECO RIVERA </t>
  </si>
  <si>
    <t>002966</t>
  </si>
  <si>
    <t>96885980</t>
  </si>
  <si>
    <t>497</t>
  </si>
  <si>
    <t>NC</t>
  </si>
  <si>
    <t>NOTA DE CREDITO POR ERROR DE RETIRO DE AHORRO CORRIENTE</t>
  </si>
  <si>
    <t>002967</t>
  </si>
  <si>
    <t>002968</t>
  </si>
  <si>
    <t>002969</t>
  </si>
  <si>
    <t>002970</t>
  </si>
  <si>
    <t>103422</t>
  </si>
  <si>
    <t>2002448935922</t>
  </si>
  <si>
    <t>MAGDALENA HERMOSO LOPEZ</t>
  </si>
  <si>
    <t xml:space="preserve">JUANA HERMOSO LOPEZ </t>
  </si>
  <si>
    <t>2002448984675</t>
  </si>
  <si>
    <t>103822</t>
  </si>
  <si>
    <t>103683</t>
  </si>
  <si>
    <t>2002448302445</t>
  </si>
  <si>
    <t xml:space="preserve">MIGUEL ROSOLINO RAYMUNDO ANAY </t>
  </si>
  <si>
    <t>6568814</t>
  </si>
  <si>
    <t>062237</t>
  </si>
  <si>
    <t>022120</t>
  </si>
  <si>
    <t>0210069837</t>
  </si>
  <si>
    <t xml:space="preserve">MAYLIN ESTEFANI JUAREZ LOPEZ </t>
  </si>
  <si>
    <t xml:space="preserve">KARIN EMILIA VASQUEZ PEREZ DE TAYUN </t>
  </si>
  <si>
    <t>052410</t>
  </si>
  <si>
    <t>002971</t>
  </si>
  <si>
    <t>164-2-2026</t>
  </si>
  <si>
    <t>002972</t>
  </si>
  <si>
    <t>002973</t>
  </si>
  <si>
    <t>DOMINGO MEDOZA ASICONA</t>
  </si>
  <si>
    <t>002974</t>
  </si>
  <si>
    <t>002975</t>
  </si>
  <si>
    <t>002976</t>
  </si>
  <si>
    <t>240-5-1</t>
  </si>
  <si>
    <t xml:space="preserve">DOMINGO GREGORIO IJOM ANAY </t>
  </si>
  <si>
    <t>002977</t>
  </si>
  <si>
    <t>240-1-1</t>
  </si>
  <si>
    <t>002978</t>
  </si>
  <si>
    <t>002979</t>
  </si>
  <si>
    <t>241-1-1</t>
  </si>
  <si>
    <t xml:space="preserve">MARIA ASICONA DIAZ DE IJOM </t>
  </si>
  <si>
    <t>002980</t>
  </si>
  <si>
    <t>099883</t>
  </si>
  <si>
    <t>0144473253</t>
  </si>
  <si>
    <t>RODRIGUEZ DAVID HERNANDEZ</t>
  </si>
  <si>
    <t>0000757</t>
  </si>
  <si>
    <t>0000758</t>
  </si>
  <si>
    <t>0000759</t>
  </si>
  <si>
    <t>0000760</t>
  </si>
  <si>
    <t>0000761</t>
  </si>
  <si>
    <t>1344</t>
  </si>
  <si>
    <t>042855</t>
  </si>
  <si>
    <t>30615489</t>
  </si>
  <si>
    <t>117586</t>
  </si>
  <si>
    <t>66202896211568</t>
  </si>
  <si>
    <t>002981</t>
  </si>
  <si>
    <t>69</t>
  </si>
  <si>
    <t>483</t>
  </si>
  <si>
    <t>59106188</t>
  </si>
  <si>
    <t>0000762</t>
  </si>
  <si>
    <t>282</t>
  </si>
  <si>
    <t>0000763</t>
  </si>
  <si>
    <t>002983</t>
  </si>
  <si>
    <t>587-4-2026</t>
  </si>
  <si>
    <t>111716</t>
  </si>
  <si>
    <t>MT0008654050</t>
  </si>
  <si>
    <t>MT0008603851</t>
  </si>
  <si>
    <t>111425</t>
  </si>
  <si>
    <t>112958</t>
  </si>
  <si>
    <t>66203548878249</t>
  </si>
  <si>
    <t>MT0008585824</t>
  </si>
  <si>
    <t>115751</t>
  </si>
  <si>
    <t>276</t>
  </si>
  <si>
    <t>002984</t>
  </si>
  <si>
    <t>002985</t>
  </si>
  <si>
    <t>0000764</t>
  </si>
  <si>
    <t>160463</t>
  </si>
  <si>
    <t>2002462173675</t>
  </si>
  <si>
    <t>002986</t>
  </si>
  <si>
    <t>061506</t>
  </si>
  <si>
    <t>6568831</t>
  </si>
  <si>
    <t xml:space="preserve">PEDRO JESUS LAYNEZ RIVERA </t>
  </si>
  <si>
    <t>TERESA ASICONA ANAY</t>
  </si>
  <si>
    <t>2037721</t>
  </si>
  <si>
    <t>051406</t>
  </si>
  <si>
    <t>002987</t>
  </si>
  <si>
    <t>002988</t>
  </si>
  <si>
    <t>002989</t>
  </si>
  <si>
    <t>002990</t>
  </si>
  <si>
    <t>002991</t>
  </si>
  <si>
    <t>002992</t>
  </si>
  <si>
    <t>242-1-1</t>
  </si>
  <si>
    <t>243-1-1</t>
  </si>
  <si>
    <t xml:space="preserve">ANDRES RIVERA ESCOBAR </t>
  </si>
  <si>
    <t xml:space="preserve">JUANA BATZ HU DE RIVERA </t>
  </si>
  <si>
    <t>146157</t>
  </si>
  <si>
    <t>59954035</t>
  </si>
  <si>
    <t>JUANA CABA</t>
  </si>
  <si>
    <t>6184338</t>
  </si>
  <si>
    <t>004542</t>
  </si>
  <si>
    <t>275</t>
  </si>
  <si>
    <t>002993</t>
  </si>
  <si>
    <t>002994</t>
  </si>
  <si>
    <t>11582351</t>
  </si>
  <si>
    <t>Suma-------------------------------</t>
  </si>
  <si>
    <t>0000765</t>
  </si>
  <si>
    <t>0000766</t>
  </si>
  <si>
    <t>0000767</t>
  </si>
  <si>
    <t>002995</t>
  </si>
  <si>
    <t>002996</t>
  </si>
  <si>
    <t xml:space="preserve">MARIA ANASTACIA LAYNEZ CABA </t>
  </si>
  <si>
    <t>002998</t>
  </si>
  <si>
    <t>002997</t>
  </si>
  <si>
    <t>242-5-1</t>
  </si>
  <si>
    <t>ANDRES RIVERA ESCOBAR</t>
  </si>
  <si>
    <t>56108450</t>
  </si>
  <si>
    <t>069348</t>
  </si>
  <si>
    <t>5136674</t>
  </si>
  <si>
    <t xml:space="preserve">MARCELINO CALEL HERRERA </t>
  </si>
  <si>
    <t>TERESA ASICONA</t>
  </si>
  <si>
    <t>172527</t>
  </si>
  <si>
    <t>052863</t>
  </si>
  <si>
    <t>7820049620</t>
  </si>
  <si>
    <t>MARIA MENDOZA  CABA DE RAYMUNDO</t>
  </si>
  <si>
    <t>0000769</t>
  </si>
  <si>
    <t>284</t>
  </si>
  <si>
    <t>002999</t>
  </si>
  <si>
    <t>228-1-2026</t>
  </si>
  <si>
    <t>33043838</t>
  </si>
  <si>
    <t>195</t>
  </si>
  <si>
    <t>0000770</t>
  </si>
  <si>
    <t>003000</t>
  </si>
  <si>
    <t>003001</t>
  </si>
  <si>
    <t>89-5-1</t>
  </si>
  <si>
    <t xml:space="preserve">LUCIA CABA CANAY DE CABA </t>
  </si>
  <si>
    <t>0000771</t>
  </si>
  <si>
    <t>89-6-1</t>
  </si>
  <si>
    <t>205</t>
  </si>
  <si>
    <t>469</t>
  </si>
  <si>
    <t>003002</t>
  </si>
  <si>
    <t>003003</t>
  </si>
  <si>
    <t>003004</t>
  </si>
  <si>
    <t>003005</t>
  </si>
  <si>
    <t>003006</t>
  </si>
  <si>
    <t>003007</t>
  </si>
  <si>
    <t>0000772</t>
  </si>
  <si>
    <t>0000773</t>
  </si>
  <si>
    <t>0000774</t>
  </si>
  <si>
    <t>0000775</t>
  </si>
  <si>
    <t>0000776</t>
  </si>
  <si>
    <t>003008</t>
  </si>
  <si>
    <t>003009</t>
  </si>
  <si>
    <t>89</t>
  </si>
  <si>
    <t>378</t>
  </si>
  <si>
    <t>003010</t>
  </si>
  <si>
    <t xml:space="preserve">TERESA HERNADEZ DEL BARRIO </t>
  </si>
  <si>
    <t>003011</t>
  </si>
  <si>
    <t>003012</t>
  </si>
  <si>
    <t>003013</t>
  </si>
  <si>
    <t>003014</t>
  </si>
  <si>
    <t>003015</t>
  </si>
  <si>
    <t>003016</t>
  </si>
  <si>
    <t>136800</t>
  </si>
  <si>
    <t>2002462538551</t>
  </si>
  <si>
    <t>273</t>
  </si>
  <si>
    <t>036708</t>
  </si>
  <si>
    <t>NELSON FRANCIA</t>
  </si>
  <si>
    <t>985</t>
  </si>
  <si>
    <t>464</t>
  </si>
  <si>
    <t>000077</t>
  </si>
  <si>
    <t>87-5-1</t>
  </si>
  <si>
    <t xml:space="preserve">JUANA ESPERANZA XINIC SANTIAGO  </t>
  </si>
  <si>
    <t>049274</t>
  </si>
  <si>
    <t>2038011</t>
  </si>
  <si>
    <t>003017</t>
  </si>
  <si>
    <t>003018</t>
  </si>
  <si>
    <t>003019</t>
  </si>
  <si>
    <t>003020</t>
  </si>
  <si>
    <t>003021</t>
  </si>
  <si>
    <t>233-1-1</t>
  </si>
  <si>
    <t xml:space="preserve">MARGARITA CABA CABA DE HERNANDEZ </t>
  </si>
  <si>
    <t>244-1-1</t>
  </si>
  <si>
    <t>003022</t>
  </si>
  <si>
    <t>244-5-1</t>
  </si>
  <si>
    <t>068968</t>
  </si>
  <si>
    <t>4784498</t>
  </si>
  <si>
    <t>DULCE YARANI GUZMAN VILLEDA</t>
  </si>
  <si>
    <t>023982</t>
  </si>
  <si>
    <t>073239</t>
  </si>
  <si>
    <t>271</t>
  </si>
  <si>
    <t>463</t>
  </si>
  <si>
    <t>1629472764</t>
  </si>
  <si>
    <t>003023</t>
  </si>
  <si>
    <t>230-1-2026</t>
  </si>
  <si>
    <t>MARIA ASICONA ASICONADE IJOM</t>
  </si>
  <si>
    <t xml:space="preserve">MARIA ANAY ESCOBAR </t>
  </si>
  <si>
    <t>003024</t>
  </si>
  <si>
    <t>003025</t>
  </si>
  <si>
    <t>523-5-1</t>
  </si>
  <si>
    <t>56101468</t>
  </si>
  <si>
    <t>0000778</t>
  </si>
  <si>
    <t>003026</t>
  </si>
  <si>
    <t>003027</t>
  </si>
  <si>
    <t>003028</t>
  </si>
  <si>
    <t>003029</t>
  </si>
  <si>
    <t>003030</t>
  </si>
  <si>
    <t>461</t>
  </si>
  <si>
    <t>003031</t>
  </si>
  <si>
    <t>003032</t>
  </si>
  <si>
    <t>200-1-2026</t>
  </si>
  <si>
    <t>0000779</t>
  </si>
  <si>
    <t>0000780</t>
  </si>
  <si>
    <t>0000781</t>
  </si>
  <si>
    <t>8-5-1</t>
  </si>
  <si>
    <t xml:space="preserve">MARIA RAMIREZ LOPEZ </t>
  </si>
  <si>
    <t>0000782</t>
  </si>
  <si>
    <t xml:space="preserve">DOMINGO PACHECO PEREZ </t>
  </si>
  <si>
    <t>093698</t>
  </si>
  <si>
    <t>044898</t>
  </si>
  <si>
    <t>091930</t>
  </si>
  <si>
    <t>ESTEBAN MARCELINO IJOM</t>
  </si>
  <si>
    <t>003033</t>
  </si>
  <si>
    <t>003034</t>
  </si>
  <si>
    <t>003035</t>
  </si>
  <si>
    <t>003036</t>
  </si>
  <si>
    <t>003037</t>
  </si>
  <si>
    <t>003038</t>
  </si>
  <si>
    <t>003039</t>
  </si>
  <si>
    <t>003040</t>
  </si>
  <si>
    <t>0000783</t>
  </si>
  <si>
    <t xml:space="preserve">JULIO VASQUEZ </t>
  </si>
  <si>
    <t>032906</t>
  </si>
  <si>
    <t>003041</t>
  </si>
  <si>
    <t>245-1-1</t>
  </si>
  <si>
    <t>MANUELA ORTEGA BOP</t>
  </si>
  <si>
    <t>245-5-1</t>
  </si>
  <si>
    <t>246-1-1</t>
  </si>
  <si>
    <t>246-5-1</t>
  </si>
  <si>
    <t xml:space="preserve">DIEGO CHAVEZ RIVERA </t>
  </si>
  <si>
    <t>003042</t>
  </si>
  <si>
    <t>003043</t>
  </si>
  <si>
    <t>131863</t>
  </si>
  <si>
    <t>66202735671963</t>
  </si>
  <si>
    <t>003044</t>
  </si>
  <si>
    <t>0000784</t>
  </si>
  <si>
    <t>189-5-2026</t>
  </si>
  <si>
    <t>1710838674</t>
  </si>
  <si>
    <t>254</t>
  </si>
  <si>
    <t>457</t>
  </si>
  <si>
    <t>0000785</t>
  </si>
  <si>
    <t>003045</t>
  </si>
  <si>
    <t>REINTEGRO DEL RECIBO NO.1629472764 FECHA 27/05/20026</t>
  </si>
  <si>
    <t>003046</t>
  </si>
  <si>
    <t>682</t>
  </si>
  <si>
    <t>003047</t>
  </si>
  <si>
    <t>57193585</t>
  </si>
  <si>
    <t>003048</t>
  </si>
  <si>
    <t>003049</t>
  </si>
  <si>
    <t>262</t>
  </si>
  <si>
    <t>003050</t>
  </si>
  <si>
    <t>003051</t>
  </si>
  <si>
    <t>003052</t>
  </si>
  <si>
    <t xml:space="preserve">MANUELA YESICA SANCHEZ CABA </t>
  </si>
  <si>
    <t>003053</t>
  </si>
  <si>
    <t>287</t>
  </si>
  <si>
    <t>455</t>
  </si>
  <si>
    <t>003054</t>
  </si>
  <si>
    <t>84-4-2024</t>
  </si>
  <si>
    <t>84-1-2024</t>
  </si>
  <si>
    <t xml:space="preserve">TERESA REGINA CHAVEZ ESCOBAR DE ESCOBAR </t>
  </si>
  <si>
    <t>444423541</t>
  </si>
  <si>
    <t>115-5-1</t>
  </si>
  <si>
    <t>003055</t>
  </si>
  <si>
    <t>003056</t>
  </si>
  <si>
    <t>444423540</t>
  </si>
  <si>
    <t>0000787</t>
  </si>
  <si>
    <t>003057</t>
  </si>
  <si>
    <t>003058</t>
  </si>
  <si>
    <t>003059</t>
  </si>
  <si>
    <t>003060</t>
  </si>
  <si>
    <t>003061</t>
  </si>
  <si>
    <t>MARGARITA SANCHEZ RAMIREZ</t>
  </si>
  <si>
    <t xml:space="preserve">MANUELA YESSICA SANCHEZ CABA </t>
  </si>
  <si>
    <t>0000788</t>
  </si>
  <si>
    <t>169-5-1</t>
  </si>
  <si>
    <t xml:space="preserve">COOPERATIVA MAYA INVERCIONES FUTURAS </t>
  </si>
  <si>
    <t>1859958887</t>
  </si>
  <si>
    <t>003062</t>
  </si>
  <si>
    <t>115-1-2025</t>
  </si>
  <si>
    <t xml:space="preserve">MAGARITA SANCHEZ RAMIREZ </t>
  </si>
  <si>
    <t>0000789</t>
  </si>
  <si>
    <t>003063</t>
  </si>
  <si>
    <t>003064</t>
  </si>
  <si>
    <t>003065</t>
  </si>
  <si>
    <t>POR DETERIORO DE LIBRETA</t>
  </si>
  <si>
    <t>110</t>
  </si>
  <si>
    <t>436</t>
  </si>
  <si>
    <t>264</t>
  </si>
  <si>
    <t>003066</t>
  </si>
  <si>
    <t>233-5-1</t>
  </si>
  <si>
    <t>33123637</t>
  </si>
  <si>
    <t>003067</t>
  </si>
  <si>
    <t>003068</t>
  </si>
  <si>
    <t xml:space="preserve">003068 </t>
  </si>
  <si>
    <t>0000790</t>
  </si>
  <si>
    <t>003069</t>
  </si>
  <si>
    <t>0000791</t>
  </si>
  <si>
    <t>0000792</t>
  </si>
  <si>
    <t>126</t>
  </si>
  <si>
    <t>486</t>
  </si>
  <si>
    <t>0000793</t>
  </si>
  <si>
    <t>88-5-1</t>
  </si>
  <si>
    <t xml:space="preserve">PATROCINIO ROMUALDO XINIC SANTIAGO </t>
  </si>
  <si>
    <t>003070</t>
  </si>
  <si>
    <t>003071</t>
  </si>
  <si>
    <t>003072</t>
  </si>
  <si>
    <t>003073</t>
  </si>
  <si>
    <t>445-6-2025</t>
  </si>
  <si>
    <t>56111305</t>
  </si>
  <si>
    <t xml:space="preserve">TRASLADO DE FONDOS </t>
  </si>
  <si>
    <t>003074</t>
  </si>
  <si>
    <t>003075</t>
  </si>
  <si>
    <t>003076</t>
  </si>
  <si>
    <t>11586393</t>
  </si>
  <si>
    <t>003077</t>
  </si>
  <si>
    <t>003078</t>
  </si>
  <si>
    <t>809-5-1</t>
  </si>
  <si>
    <t>11586392</t>
  </si>
  <si>
    <t xml:space="preserve">003079 </t>
  </si>
  <si>
    <t>003080</t>
  </si>
  <si>
    <t>003081</t>
  </si>
  <si>
    <t>003082</t>
  </si>
  <si>
    <t>003083</t>
  </si>
  <si>
    <t>1034-1-2026</t>
  </si>
  <si>
    <t>003084</t>
  </si>
  <si>
    <t>1976577122</t>
  </si>
  <si>
    <t>003085</t>
  </si>
  <si>
    <t>1976357618</t>
  </si>
  <si>
    <t>003086</t>
  </si>
  <si>
    <t>003087</t>
  </si>
  <si>
    <t xml:space="preserve">MANUEL ALIAS CABA CABA </t>
  </si>
  <si>
    <t>66202659764822</t>
  </si>
  <si>
    <t>143244</t>
  </si>
  <si>
    <t>017230</t>
  </si>
  <si>
    <t>JUANA MOLINA</t>
  </si>
  <si>
    <t>77</t>
  </si>
  <si>
    <t>1016</t>
  </si>
  <si>
    <t>105913</t>
  </si>
  <si>
    <t>66202254949473</t>
  </si>
  <si>
    <t>003088</t>
  </si>
  <si>
    <t>57</t>
  </si>
  <si>
    <t>2002468096675</t>
  </si>
  <si>
    <t>110588</t>
  </si>
  <si>
    <t>003089</t>
  </si>
  <si>
    <t>003090</t>
  </si>
  <si>
    <t>003091</t>
  </si>
  <si>
    <t>003092</t>
  </si>
  <si>
    <t>247-1-1</t>
  </si>
  <si>
    <t xml:space="preserve">PEDRO SANTIAGO CABA RAYMUNDO </t>
  </si>
  <si>
    <t>248-1-1</t>
  </si>
  <si>
    <t xml:space="preserve">NILA CECILIA LAYNEZ ASICONA </t>
  </si>
  <si>
    <t>0000794</t>
  </si>
  <si>
    <t>2-247-1-2026</t>
  </si>
  <si>
    <t>003093</t>
  </si>
  <si>
    <t>003094</t>
  </si>
  <si>
    <t>247-5-1</t>
  </si>
  <si>
    <t>003095</t>
  </si>
  <si>
    <t>003096</t>
  </si>
  <si>
    <t>0000795</t>
  </si>
  <si>
    <t>2-248-1-2026</t>
  </si>
  <si>
    <t>0000796</t>
  </si>
  <si>
    <t>0000797</t>
  </si>
  <si>
    <t>741</t>
  </si>
  <si>
    <t>COOPERATIVA MAYA INVERSIONES</t>
  </si>
  <si>
    <t xml:space="preserve">        </t>
  </si>
  <si>
    <t>33123638</t>
  </si>
  <si>
    <t>0000798</t>
  </si>
  <si>
    <t>0000799</t>
  </si>
  <si>
    <t>NOTA DE CREDITO POR DIFERENCIAL SEGÚN DOC.003076 0.02 CENTAVOS</t>
  </si>
  <si>
    <t>0000800</t>
  </si>
  <si>
    <t>724</t>
  </si>
  <si>
    <t>003097</t>
  </si>
  <si>
    <t>003098</t>
  </si>
  <si>
    <t>003099</t>
  </si>
  <si>
    <t>003100</t>
  </si>
  <si>
    <t>003101</t>
  </si>
  <si>
    <t>003102</t>
  </si>
  <si>
    <t>003103</t>
  </si>
  <si>
    <t>003104</t>
  </si>
  <si>
    <t>003105</t>
  </si>
  <si>
    <t>249-1-1</t>
  </si>
  <si>
    <t xml:space="preserve">JUANA RIVERA CABA DE GUZMÁN </t>
  </si>
  <si>
    <t>250-1-1</t>
  </si>
  <si>
    <t xml:space="preserve">MARÍA GUZMÁN RIVERA </t>
  </si>
  <si>
    <t>250-5-1</t>
  </si>
  <si>
    <t xml:space="preserve">MARIA GUZMÁN RIVERA </t>
  </si>
  <si>
    <t>104-5-1</t>
  </si>
  <si>
    <t xml:space="preserve">MARIA CABA CANAY </t>
  </si>
  <si>
    <t>110488</t>
  </si>
  <si>
    <t>2002468836546</t>
  </si>
  <si>
    <t xml:space="preserve">MARIA LOPEZ MATOM </t>
  </si>
  <si>
    <t>2002468697470</t>
  </si>
  <si>
    <t>122660</t>
  </si>
  <si>
    <t>453</t>
  </si>
  <si>
    <t>003106</t>
  </si>
  <si>
    <t>143-5-1</t>
  </si>
  <si>
    <t>0000801</t>
  </si>
  <si>
    <t>232-1-2026</t>
  </si>
  <si>
    <t>003107</t>
  </si>
  <si>
    <t>237-1-2026</t>
  </si>
  <si>
    <t>615</t>
  </si>
  <si>
    <t>003108</t>
  </si>
  <si>
    <t>003109</t>
  </si>
  <si>
    <t>003110</t>
  </si>
  <si>
    <t>003111</t>
  </si>
  <si>
    <t>003112</t>
  </si>
  <si>
    <t>251-1-1</t>
  </si>
  <si>
    <t xml:space="preserve">NOE DOMINGO BOP CABA </t>
  </si>
  <si>
    <t>003113</t>
  </si>
  <si>
    <t>003114</t>
  </si>
  <si>
    <t>003115</t>
  </si>
  <si>
    <t>003116</t>
  </si>
  <si>
    <t>249-5-1</t>
  </si>
  <si>
    <t>003117</t>
  </si>
  <si>
    <t>003118</t>
  </si>
  <si>
    <t>003119</t>
  </si>
  <si>
    <t>003120</t>
  </si>
  <si>
    <t>003121</t>
  </si>
  <si>
    <t>79-5-1</t>
  </si>
  <si>
    <t>003122</t>
  </si>
  <si>
    <t>003123</t>
  </si>
  <si>
    <t>11586822</t>
  </si>
  <si>
    <t>COOPERATIVA MAYA INVERSIONES FURURA</t>
  </si>
  <si>
    <t>11586821</t>
  </si>
  <si>
    <t>115886820</t>
  </si>
  <si>
    <t>11581029</t>
  </si>
  <si>
    <t>11581030</t>
  </si>
  <si>
    <t>11581018</t>
  </si>
  <si>
    <t>11581019</t>
  </si>
  <si>
    <t>1560770</t>
  </si>
  <si>
    <t>058127</t>
  </si>
  <si>
    <t>0000802</t>
  </si>
  <si>
    <t>449</t>
  </si>
  <si>
    <t>1399</t>
  </si>
  <si>
    <t>003124</t>
  </si>
  <si>
    <t>236-5-1</t>
  </si>
  <si>
    <t xml:space="preserve">JOSEFA LAYNEZ CABA </t>
  </si>
  <si>
    <t>33824053</t>
  </si>
  <si>
    <t>003125</t>
  </si>
  <si>
    <t>0000803</t>
  </si>
  <si>
    <t>0000804</t>
  </si>
  <si>
    <t>0000805</t>
  </si>
  <si>
    <t xml:space="preserve">TERESA ASICONA ASICONA </t>
  </si>
  <si>
    <t>003126</t>
  </si>
  <si>
    <t>003127</t>
  </si>
  <si>
    <t>003128</t>
  </si>
  <si>
    <t>123019</t>
  </si>
  <si>
    <t>2002468832009</t>
  </si>
  <si>
    <t>MARIA ELENA CUMATZIL CHIVALAN</t>
  </si>
  <si>
    <t>0000806</t>
  </si>
  <si>
    <t>0000807</t>
  </si>
  <si>
    <t>003129</t>
  </si>
  <si>
    <t>003130</t>
  </si>
  <si>
    <t>57197527</t>
  </si>
  <si>
    <t>705</t>
  </si>
  <si>
    <t>003131</t>
  </si>
  <si>
    <t>003132</t>
  </si>
  <si>
    <t>84-5-1</t>
  </si>
  <si>
    <t>444416336</t>
  </si>
  <si>
    <t>44416337</t>
  </si>
  <si>
    <t>0000808</t>
  </si>
  <si>
    <t>003133</t>
  </si>
  <si>
    <t>003134</t>
  </si>
  <si>
    <t>62582729</t>
  </si>
  <si>
    <t>0000809</t>
  </si>
  <si>
    <t>0000810</t>
  </si>
  <si>
    <t>0000811</t>
  </si>
  <si>
    <t>014152</t>
  </si>
  <si>
    <t>6546908</t>
  </si>
  <si>
    <t>66202418159747</t>
  </si>
  <si>
    <t>133936</t>
  </si>
  <si>
    <t>448</t>
  </si>
  <si>
    <t>257</t>
  </si>
  <si>
    <t>731</t>
  </si>
  <si>
    <t xml:space="preserve">APORTACION INFANTO </t>
  </si>
  <si>
    <t>003135</t>
  </si>
  <si>
    <t>0000812</t>
  </si>
  <si>
    <t>2002485216961</t>
  </si>
  <si>
    <t>114510</t>
  </si>
  <si>
    <t>003136</t>
  </si>
  <si>
    <t>33037365</t>
  </si>
  <si>
    <t>0000813</t>
  </si>
  <si>
    <t>1-445-7-2026</t>
  </si>
  <si>
    <t xml:space="preserve">POR DESEMBOLSO  DE CREDITO </t>
  </si>
  <si>
    <t>003137</t>
  </si>
  <si>
    <t>003138</t>
  </si>
  <si>
    <t>332</t>
  </si>
  <si>
    <t>229</t>
  </si>
  <si>
    <t>003139</t>
  </si>
  <si>
    <t>213--1-2026</t>
  </si>
  <si>
    <t>003140</t>
  </si>
  <si>
    <t>003141</t>
  </si>
  <si>
    <t>42-2-2026</t>
  </si>
  <si>
    <t>003142</t>
  </si>
  <si>
    <t xml:space="preserve">DIEGO PEREZ TORRES </t>
  </si>
  <si>
    <t>0000814</t>
  </si>
  <si>
    <t>0000815</t>
  </si>
  <si>
    <t>JUANA CURUZ TORREZ DE PEREZ</t>
  </si>
  <si>
    <t>113576</t>
  </si>
  <si>
    <t>4004003056170</t>
  </si>
  <si>
    <t>MARIA CASTRO CASTRO</t>
  </si>
  <si>
    <t xml:space="preserve">MARIA CASTRO GARCIA </t>
  </si>
  <si>
    <t>1001393642926</t>
  </si>
  <si>
    <t>114343</t>
  </si>
  <si>
    <t>003143</t>
  </si>
  <si>
    <t>MORA SOBRE PRESTAMOS HIPOTECARIOS</t>
  </si>
  <si>
    <t xml:space="preserve">MORA SOBRE PRESTAMOS HIPOTECARIOS </t>
  </si>
  <si>
    <t>MORA SOBRE PRESTAMOS FIDUCIARIOS</t>
  </si>
  <si>
    <t>003144</t>
  </si>
  <si>
    <t>003145</t>
  </si>
  <si>
    <t>003148</t>
  </si>
  <si>
    <t>128-2-2026</t>
  </si>
  <si>
    <t>234-1-2026</t>
  </si>
  <si>
    <t>055553</t>
  </si>
  <si>
    <t>0140372433</t>
  </si>
  <si>
    <t xml:space="preserve">CIA INTERNAC PROD Y SER SA </t>
  </si>
  <si>
    <t>0000816</t>
  </si>
  <si>
    <t>4004003072362</t>
  </si>
  <si>
    <t>154436</t>
  </si>
  <si>
    <t>155217</t>
  </si>
  <si>
    <t>2002485237230</t>
  </si>
  <si>
    <t xml:space="preserve">ANA ASICONA </t>
  </si>
  <si>
    <t>2002485264035</t>
  </si>
  <si>
    <t>161304</t>
  </si>
  <si>
    <t>732</t>
  </si>
  <si>
    <t>212</t>
  </si>
  <si>
    <t>342</t>
  </si>
  <si>
    <t>003147</t>
  </si>
  <si>
    <t>009391</t>
  </si>
  <si>
    <t>6545749</t>
  </si>
  <si>
    <t>003149</t>
  </si>
  <si>
    <t>003150</t>
  </si>
  <si>
    <t>252-1-1</t>
  </si>
  <si>
    <t xml:space="preserve">PEDRO ISAAC RIVERA CANAY </t>
  </si>
  <si>
    <t>253-1-1</t>
  </si>
  <si>
    <t xml:space="preserve">JUAN SANCHEZ LAYNEZ </t>
  </si>
  <si>
    <t>003151</t>
  </si>
  <si>
    <t>003152</t>
  </si>
  <si>
    <t>003153</t>
  </si>
  <si>
    <t>003154</t>
  </si>
  <si>
    <t>003155</t>
  </si>
  <si>
    <t>003156</t>
  </si>
  <si>
    <t>003157</t>
  </si>
  <si>
    <t>254-1-1</t>
  </si>
  <si>
    <t xml:space="preserve">MARIA ANGELICA IJOM DEL BARRIO </t>
  </si>
  <si>
    <t>255-1-1</t>
  </si>
  <si>
    <t>MARTA RAMIREZ RAMIREZ</t>
  </si>
  <si>
    <t>253-5-1</t>
  </si>
  <si>
    <t>003158</t>
  </si>
  <si>
    <t>003159</t>
  </si>
  <si>
    <t>0000818</t>
  </si>
  <si>
    <t>0000819</t>
  </si>
  <si>
    <t>003146</t>
  </si>
  <si>
    <t>142801</t>
  </si>
  <si>
    <t>4004003058429</t>
  </si>
  <si>
    <t xml:space="preserve">MARIA MATEO IJOM </t>
  </si>
  <si>
    <t>105-6-2</t>
  </si>
  <si>
    <t>003160</t>
  </si>
  <si>
    <t>11585322</t>
  </si>
  <si>
    <t>11585323</t>
  </si>
  <si>
    <t>184</t>
  </si>
  <si>
    <t>328</t>
  </si>
  <si>
    <t>003161</t>
  </si>
  <si>
    <t>003162</t>
  </si>
  <si>
    <t>003163</t>
  </si>
  <si>
    <t>003164</t>
  </si>
  <si>
    <t>003165</t>
  </si>
  <si>
    <t>003166</t>
  </si>
  <si>
    <t>003167</t>
  </si>
  <si>
    <t>003168</t>
  </si>
  <si>
    <t>003169</t>
  </si>
  <si>
    <t>003170</t>
  </si>
  <si>
    <t>256-1-1</t>
  </si>
  <si>
    <t>ANA US CONTRERAS DE CARDONA</t>
  </si>
  <si>
    <t>003171</t>
  </si>
  <si>
    <t>003172</t>
  </si>
  <si>
    <t>256-5-1</t>
  </si>
  <si>
    <t>032554</t>
  </si>
  <si>
    <t>1050235371</t>
  </si>
  <si>
    <t xml:space="preserve">MARYANY MAULIDY SOLORZANO GARCIA </t>
  </si>
  <si>
    <t>058985</t>
  </si>
  <si>
    <t>0000817</t>
  </si>
  <si>
    <t>0000820</t>
  </si>
  <si>
    <t>0000821</t>
  </si>
  <si>
    <t>27-5-1</t>
  </si>
  <si>
    <t>256-1-2026</t>
  </si>
  <si>
    <t>009843</t>
  </si>
  <si>
    <t>594</t>
  </si>
  <si>
    <t>538</t>
  </si>
  <si>
    <t>904</t>
  </si>
  <si>
    <t>0000822</t>
  </si>
  <si>
    <t>879</t>
  </si>
  <si>
    <t>33824054</t>
  </si>
  <si>
    <t>003173</t>
  </si>
  <si>
    <t>003174</t>
  </si>
  <si>
    <t>MANUELA OFELIA LAYNEZ DEL BARRIO DE GÚZMAN</t>
  </si>
  <si>
    <t>135895</t>
  </si>
  <si>
    <t>66203261401019</t>
  </si>
  <si>
    <t>839</t>
  </si>
  <si>
    <t>36</t>
  </si>
  <si>
    <t>003175</t>
  </si>
  <si>
    <t>0000823</t>
  </si>
  <si>
    <t>0000824</t>
  </si>
  <si>
    <t xml:space="preserve">MARGARITA MEDOZA CABA DE TELIS </t>
  </si>
  <si>
    <t xml:space="preserve">MARIA MENDOZ CABA DE RAYMUNDO </t>
  </si>
  <si>
    <t>0000825</t>
  </si>
  <si>
    <t>0000826</t>
  </si>
  <si>
    <t>134122</t>
  </si>
  <si>
    <t>2002485092326</t>
  </si>
  <si>
    <t>524</t>
  </si>
  <si>
    <t>0000827</t>
  </si>
  <si>
    <t>718</t>
  </si>
  <si>
    <t>003176</t>
  </si>
  <si>
    <t>003177</t>
  </si>
  <si>
    <t>003178</t>
  </si>
  <si>
    <t>003179</t>
  </si>
  <si>
    <t>0000828</t>
  </si>
  <si>
    <t>0000829</t>
  </si>
  <si>
    <t>EGBÍ</t>
  </si>
  <si>
    <t>128429</t>
  </si>
  <si>
    <t>120969</t>
  </si>
  <si>
    <t>66203123774446</t>
  </si>
  <si>
    <t>2002485928612</t>
  </si>
  <si>
    <t>129642</t>
  </si>
  <si>
    <t>808033399015</t>
  </si>
  <si>
    <t>487</t>
  </si>
  <si>
    <t>suma del 22 al 30 de abril</t>
  </si>
  <si>
    <t>Sumas del 01 al 30 de Mayo</t>
  </si>
  <si>
    <t>suma del 01 al 22 de junio</t>
  </si>
  <si>
    <t>22/06/2026 Hora: 03:00 pm a 05:00 pm</t>
  </si>
  <si>
    <t xml:space="preserve">Saldo Inicial  (al 22/04/2026) Según Auxiliar </t>
  </si>
  <si>
    <t>2828 al 2863</t>
  </si>
  <si>
    <t>2864 al 3046</t>
  </si>
  <si>
    <t>3047 al 3129</t>
  </si>
  <si>
    <t>718 al 722</t>
  </si>
  <si>
    <t>723 al 786</t>
  </si>
  <si>
    <t>787 al 829</t>
  </si>
  <si>
    <t>El dia 22 de Junio de 2026  se hizo arqueo al Receptor Pagador María Juliana Laynez Laynez,  en su presencia</t>
  </si>
  <si>
    <t>003180</t>
  </si>
  <si>
    <t>242-1-2026</t>
  </si>
  <si>
    <t>Saldo Inicial  DESPUES DE ARQUEO</t>
  </si>
  <si>
    <t>637</t>
  </si>
  <si>
    <t>003181</t>
  </si>
  <si>
    <t>003182</t>
  </si>
  <si>
    <t>003183</t>
  </si>
  <si>
    <t>003184</t>
  </si>
  <si>
    <t>003185</t>
  </si>
  <si>
    <t>003186</t>
  </si>
  <si>
    <t>031853</t>
  </si>
  <si>
    <t>0000830</t>
  </si>
  <si>
    <t>1735</t>
  </si>
  <si>
    <t>003188</t>
  </si>
  <si>
    <t>003189</t>
  </si>
  <si>
    <t>003187</t>
  </si>
  <si>
    <t>003190</t>
  </si>
  <si>
    <t>003191</t>
  </si>
  <si>
    <t>003192</t>
  </si>
  <si>
    <t>003193</t>
  </si>
  <si>
    <t>257-1-1</t>
  </si>
  <si>
    <t>258-5-1</t>
  </si>
  <si>
    <t>BLANCA MARIA RIVERA ASICONA</t>
  </si>
  <si>
    <t xml:space="preserve">FRANCISCO CABA RIVERA </t>
  </si>
  <si>
    <t>079956</t>
  </si>
  <si>
    <t>003194</t>
  </si>
  <si>
    <t>OSCAR DOMINGO CANAY PACHECO</t>
  </si>
  <si>
    <t xml:space="preserve">PAGO POR COPIAS DE DOCUMENTO </t>
  </si>
  <si>
    <t>44419874</t>
  </si>
  <si>
    <t>0000831</t>
  </si>
  <si>
    <t>0000832</t>
  </si>
  <si>
    <t xml:space="preserve">CATARINA FELICIA MARCOS BRITO </t>
  </si>
  <si>
    <t>526</t>
  </si>
  <si>
    <t>003195</t>
  </si>
  <si>
    <t>1287</t>
  </si>
  <si>
    <t>003196</t>
  </si>
  <si>
    <t>003197</t>
  </si>
  <si>
    <t>2-72-2-2025</t>
  </si>
  <si>
    <t>2-152-1-2025</t>
  </si>
  <si>
    <t>003198</t>
  </si>
  <si>
    <t>2-191-1-2026</t>
  </si>
  <si>
    <t>2-133-1-2025</t>
  </si>
  <si>
    <t>003199</t>
  </si>
  <si>
    <t>003200</t>
  </si>
  <si>
    <t>2-20-2-2024</t>
  </si>
  <si>
    <t>013666</t>
  </si>
  <si>
    <t>0320132558</t>
  </si>
  <si>
    <t xml:space="preserve">CARLOS MIGUEL MATEO PU </t>
  </si>
  <si>
    <t>0000833</t>
  </si>
  <si>
    <t>1-415-5-1</t>
  </si>
  <si>
    <t>003201</t>
  </si>
  <si>
    <t xml:space="preserve">ANTONIO ROBERTO XINIC CABA </t>
  </si>
  <si>
    <t>039780</t>
  </si>
  <si>
    <t>1831</t>
  </si>
  <si>
    <t>508</t>
  </si>
  <si>
    <t>016210</t>
  </si>
  <si>
    <t>003202</t>
  </si>
  <si>
    <t>2-113-1-2025</t>
  </si>
  <si>
    <t>003203</t>
  </si>
  <si>
    <t>003204</t>
  </si>
  <si>
    <t>2-259-1-1</t>
  </si>
  <si>
    <t xml:space="preserve">FRANCISCO RAMIREZ CABA </t>
  </si>
  <si>
    <t>0000834</t>
  </si>
  <si>
    <t>003205</t>
  </si>
  <si>
    <t>003206</t>
  </si>
  <si>
    <t>003207</t>
  </si>
  <si>
    <t>444421774</t>
  </si>
  <si>
    <t>0000835</t>
  </si>
  <si>
    <t>2-220-5-1</t>
  </si>
  <si>
    <t xml:space="preserve">MARIA DIAZ RIEVERA DE RAYMUNDO </t>
  </si>
  <si>
    <t>R97439651829</t>
  </si>
  <si>
    <t>119478</t>
  </si>
  <si>
    <t>0000836</t>
  </si>
  <si>
    <t>0000837</t>
  </si>
  <si>
    <t>2-49-5-1</t>
  </si>
  <si>
    <t>003208</t>
  </si>
  <si>
    <t>003209</t>
  </si>
  <si>
    <t>003210</t>
  </si>
  <si>
    <t>0000838</t>
  </si>
  <si>
    <t>1-190-5-1</t>
  </si>
  <si>
    <t>2-145-5-1</t>
  </si>
  <si>
    <t>545483291</t>
  </si>
  <si>
    <t>003211</t>
  </si>
  <si>
    <t>003212</t>
  </si>
  <si>
    <t>003213</t>
  </si>
  <si>
    <t>003214</t>
  </si>
  <si>
    <t>2-259-5-1</t>
  </si>
  <si>
    <t>11587733</t>
  </si>
  <si>
    <t>2-258-5-1</t>
  </si>
  <si>
    <t>11579525</t>
  </si>
  <si>
    <t>11579524</t>
  </si>
  <si>
    <t>1183</t>
  </si>
  <si>
    <t>11587734</t>
  </si>
  <si>
    <t>003215</t>
  </si>
  <si>
    <t>003216</t>
  </si>
  <si>
    <t>003217</t>
  </si>
  <si>
    <t>003218</t>
  </si>
  <si>
    <t>2-219-5-1</t>
  </si>
  <si>
    <t>1-184-5-2</t>
  </si>
  <si>
    <t>011921</t>
  </si>
  <si>
    <t>565366786</t>
  </si>
  <si>
    <t>62281664</t>
  </si>
  <si>
    <t>003219</t>
  </si>
  <si>
    <t>003220</t>
  </si>
  <si>
    <t>2-97-1-2024</t>
  </si>
  <si>
    <t>2-75-2-2024</t>
  </si>
  <si>
    <t>2-101-2-2025</t>
  </si>
  <si>
    <t>JUANA CABA JUZMAN</t>
  </si>
  <si>
    <t>2-114-1-2025</t>
  </si>
  <si>
    <t>003221</t>
  </si>
  <si>
    <t>2-3-5-1</t>
  </si>
  <si>
    <t>2-165-2-2026</t>
  </si>
  <si>
    <t>003222</t>
  </si>
  <si>
    <t>0000839</t>
  </si>
  <si>
    <t>0000840</t>
  </si>
  <si>
    <t>0000841</t>
  </si>
  <si>
    <t>0000842</t>
  </si>
  <si>
    <t>0000843</t>
  </si>
  <si>
    <t>2-14-5-1</t>
  </si>
  <si>
    <t>003223</t>
  </si>
  <si>
    <t>2-200-1-2026</t>
  </si>
  <si>
    <t>003224</t>
  </si>
  <si>
    <t>2-199-1-20026</t>
  </si>
  <si>
    <t>2-199-1-2026</t>
  </si>
  <si>
    <t>003225</t>
  </si>
  <si>
    <t>2-176-1-2026</t>
  </si>
  <si>
    <t>003226</t>
  </si>
  <si>
    <t>PEDO LIUS TOMA LUX</t>
  </si>
  <si>
    <t>161173</t>
  </si>
  <si>
    <t>33072173</t>
  </si>
  <si>
    <t>ANTONIA LAYNEZ</t>
  </si>
  <si>
    <t>003227</t>
  </si>
  <si>
    <t>2-165-5-1</t>
  </si>
  <si>
    <t>2-200-5-1</t>
  </si>
  <si>
    <t>2-199-5-1</t>
  </si>
  <si>
    <t>0000844</t>
  </si>
  <si>
    <t>0000845</t>
  </si>
  <si>
    <t>2-176-5-1</t>
  </si>
  <si>
    <t>2-202-5-1</t>
  </si>
  <si>
    <t>1002</t>
  </si>
  <si>
    <t>106</t>
  </si>
  <si>
    <t>0000846</t>
  </si>
  <si>
    <t>0000847</t>
  </si>
  <si>
    <t>1-588-5-1</t>
  </si>
  <si>
    <t>2-105-5-1</t>
  </si>
  <si>
    <t xml:space="preserve">MARIA MENDOA CABA DE RAYMUNDO </t>
  </si>
  <si>
    <t xml:space="preserve">MARGARITRA CABA CANAY </t>
  </si>
  <si>
    <t>003228</t>
  </si>
  <si>
    <t>0000848</t>
  </si>
  <si>
    <t>1-428-5-1</t>
  </si>
  <si>
    <t>ROSA LAYNEZ RAMIREZ DE LAYNEZ</t>
  </si>
  <si>
    <t>0000849</t>
  </si>
  <si>
    <t>003229</t>
  </si>
  <si>
    <t>2-149-5-1</t>
  </si>
  <si>
    <t>MT0008755761</t>
  </si>
  <si>
    <t>105414</t>
  </si>
  <si>
    <t>2-218-5-1</t>
  </si>
  <si>
    <t>003230</t>
  </si>
  <si>
    <t>44421847</t>
  </si>
  <si>
    <t>003231</t>
  </si>
  <si>
    <t>2-38-5-1</t>
  </si>
  <si>
    <t>003232</t>
  </si>
  <si>
    <t>2-240-1-2026</t>
  </si>
  <si>
    <t xml:space="preserve">DOMINGO GREGORIO IJOMANAY </t>
  </si>
  <si>
    <t>2-95-5-1</t>
  </si>
  <si>
    <t>003233</t>
  </si>
  <si>
    <t xml:space="preserve">TERESA LAYNEZ </t>
  </si>
  <si>
    <t>DOMINGO LAYNEZ</t>
  </si>
  <si>
    <t>37840793</t>
  </si>
  <si>
    <t>212898</t>
  </si>
  <si>
    <t>078107</t>
  </si>
  <si>
    <t>EGBï</t>
  </si>
  <si>
    <t>312</t>
  </si>
  <si>
    <t>304</t>
  </si>
  <si>
    <t>07</t>
  </si>
  <si>
    <t>003234</t>
  </si>
  <si>
    <t>1-807-2-2023</t>
  </si>
  <si>
    <t>003235</t>
  </si>
  <si>
    <t>2-94-5-1</t>
  </si>
  <si>
    <t>003236</t>
  </si>
  <si>
    <t>DOMINGO SANCHEZ LAYNEZ</t>
  </si>
  <si>
    <t>003237</t>
  </si>
  <si>
    <t>2-260-1-1</t>
  </si>
  <si>
    <t>INBI</t>
  </si>
  <si>
    <t>037419</t>
  </si>
  <si>
    <t>2-93-5-1</t>
  </si>
  <si>
    <t>MARIA CABA PACHECO DE MENDOZA</t>
  </si>
  <si>
    <t>2-193-5-1</t>
  </si>
  <si>
    <t>EGBI</t>
  </si>
  <si>
    <t>119965</t>
  </si>
  <si>
    <t>2002486520789</t>
  </si>
  <si>
    <t>99</t>
  </si>
  <si>
    <t>003239</t>
  </si>
  <si>
    <t>003238</t>
  </si>
  <si>
    <t>2-231-2-1</t>
  </si>
  <si>
    <t>MARIA YULA LAYNEZ</t>
  </si>
  <si>
    <t>2-230-1-2026</t>
  </si>
  <si>
    <t>MARIA ASICONA ASICONA DE IJOM</t>
  </si>
  <si>
    <t>134495</t>
  </si>
  <si>
    <t>1001395668809</t>
  </si>
  <si>
    <t>ANA ASICONA</t>
  </si>
  <si>
    <t>007555</t>
  </si>
  <si>
    <t>MIGUEL SANCHEZ CEDILLO</t>
  </si>
  <si>
    <t>062186</t>
  </si>
  <si>
    <t>6182029212</t>
  </si>
  <si>
    <t>MANUEL GOMEZ</t>
  </si>
  <si>
    <t>003240</t>
  </si>
  <si>
    <t>2-260-5-1</t>
  </si>
  <si>
    <t>003241</t>
  </si>
  <si>
    <t>003242</t>
  </si>
  <si>
    <t>2-140-5-1</t>
  </si>
  <si>
    <t>0000852</t>
  </si>
  <si>
    <t>2-19-5-1</t>
  </si>
  <si>
    <t>003243</t>
  </si>
  <si>
    <t>2-214-7-1</t>
  </si>
  <si>
    <t>003244</t>
  </si>
  <si>
    <t>003245</t>
  </si>
  <si>
    <t>2-261-1-1</t>
  </si>
  <si>
    <t>FRANCISCO  ALBERTO SANCHEZ LAYNEZ</t>
  </si>
  <si>
    <t>003246</t>
  </si>
  <si>
    <t>003247</t>
  </si>
  <si>
    <t>2-187-2-2026</t>
  </si>
  <si>
    <t>JUAN SANCHEZ HERNANDEZ</t>
  </si>
  <si>
    <t>226707</t>
  </si>
  <si>
    <t>11579906</t>
  </si>
  <si>
    <t>11579907</t>
  </si>
  <si>
    <t>2-182-1-2026</t>
  </si>
  <si>
    <t>003248</t>
  </si>
  <si>
    <t>003249</t>
  </si>
  <si>
    <t>003250</t>
  </si>
  <si>
    <t>MARIA DIAZ  RIVERA DE RAYMUNDO</t>
  </si>
  <si>
    <t>065223</t>
  </si>
  <si>
    <t>108560</t>
  </si>
  <si>
    <t>4004003123543</t>
  </si>
  <si>
    <t>003252</t>
  </si>
  <si>
    <t>2-22-3-2025</t>
  </si>
  <si>
    <t>324</t>
  </si>
  <si>
    <t>98</t>
  </si>
  <si>
    <t>003253</t>
  </si>
  <si>
    <t>ANTONIO ISAAC CABA LAYNEZ</t>
  </si>
  <si>
    <t>107759</t>
  </si>
  <si>
    <t>4004003133465</t>
  </si>
  <si>
    <t>MARTA LAYNEZ LOPEZ</t>
  </si>
  <si>
    <t>003254</t>
  </si>
  <si>
    <t>2-233-1-2026</t>
  </si>
  <si>
    <t>MARGARITA CABA CABA DE HERNANDEZ</t>
  </si>
  <si>
    <t>0000853</t>
  </si>
  <si>
    <t>2-53-5-1</t>
  </si>
  <si>
    <t>289</t>
  </si>
  <si>
    <t>97</t>
  </si>
  <si>
    <t>1-445-06-2026</t>
  </si>
  <si>
    <t>2-123-1-2025</t>
  </si>
  <si>
    <t>1-809-3-2026</t>
  </si>
  <si>
    <t>1-587-3-2025</t>
  </si>
  <si>
    <t>003251</t>
  </si>
  <si>
    <t>***ANULADO***</t>
  </si>
  <si>
    <t>090155</t>
  </si>
  <si>
    <t>ESTEBAN MARCELINO IJOM SANCHEZ</t>
  </si>
  <si>
    <t>032528</t>
  </si>
  <si>
    <t>072676</t>
  </si>
  <si>
    <t>2-262-1-1</t>
  </si>
  <si>
    <t>PEDRO MENDOZA ANAY</t>
  </si>
  <si>
    <t>2-206-1-2026</t>
  </si>
  <si>
    <t>TRASLADO DE FONDO DESDE  CAJA AGENCIA CENTRAL</t>
  </si>
  <si>
    <t>2-261-5-1</t>
  </si>
  <si>
    <t>FRANCISCO ALBERTO SANCHEZ LAYNEZ</t>
  </si>
  <si>
    <t>2-262-5-1</t>
  </si>
  <si>
    <t>2-262-1-2026</t>
  </si>
  <si>
    <t>57197905</t>
  </si>
  <si>
    <t>57197906</t>
  </si>
  <si>
    <t>NILA CECILIA LAYNEZ ASICONA</t>
  </si>
  <si>
    <t>ABONO SOBRE PRESTAMOS FIDUCIARIOS</t>
  </si>
  <si>
    <t>PEDRO SANTIAGO CABA RAYMUNDO</t>
  </si>
  <si>
    <t>2-179-1-2026</t>
  </si>
  <si>
    <t>1-1034-1-2026</t>
  </si>
  <si>
    <t>2-180-1-2026</t>
  </si>
  <si>
    <t>2-124-1-2025</t>
  </si>
  <si>
    <t>2-126-1-2025</t>
  </si>
  <si>
    <t>2-74-2-2025</t>
  </si>
  <si>
    <t>009623</t>
  </si>
  <si>
    <t>MAYNOR BARRIOS</t>
  </si>
  <si>
    <t>68</t>
  </si>
  <si>
    <t>1315</t>
  </si>
  <si>
    <t>MATEO CANAY ASICONA Y JUANA CLARITA LAYNEZ DEL BARRIO</t>
  </si>
  <si>
    <t>2-13-3-2026</t>
  </si>
  <si>
    <t>041024</t>
  </si>
  <si>
    <t>MARIA MICAELA IJOM  GALLEGO</t>
  </si>
  <si>
    <t>940273110</t>
  </si>
  <si>
    <t>1375</t>
  </si>
  <si>
    <t>128972</t>
  </si>
  <si>
    <t>2002514222944</t>
  </si>
  <si>
    <t>MARICELY ELENA IJOM RAMIREZ</t>
  </si>
  <si>
    <t>1067</t>
  </si>
  <si>
    <t>3276</t>
  </si>
  <si>
    <t>3277</t>
  </si>
  <si>
    <t>2-56-5-1</t>
  </si>
  <si>
    <t>3278</t>
  </si>
  <si>
    <t>2-263-1-1</t>
  </si>
  <si>
    <t>RONY TOMAS CABA LAYNEZ</t>
  </si>
  <si>
    <t>3279</t>
  </si>
  <si>
    <t>3280</t>
  </si>
  <si>
    <t>1-1040-2-2026</t>
  </si>
  <si>
    <t>3281</t>
  </si>
  <si>
    <t>2-121-1-2025</t>
  </si>
  <si>
    <t>3282</t>
  </si>
  <si>
    <t>2-120-1-2025</t>
  </si>
  <si>
    <t>3283</t>
  </si>
  <si>
    <t>2-79-2-2026</t>
  </si>
  <si>
    <t>3284</t>
  </si>
  <si>
    <t>3285</t>
  </si>
  <si>
    <t>3286</t>
  </si>
  <si>
    <t>3287</t>
  </si>
  <si>
    <t>3288</t>
  </si>
  <si>
    <t>859</t>
  </si>
  <si>
    <t>2-189-5-1</t>
  </si>
  <si>
    <t>MARGALENA MENDOZA RIVERA</t>
  </si>
  <si>
    <t>860</t>
  </si>
  <si>
    <t>861</t>
  </si>
  <si>
    <t>2-263-1-2026</t>
  </si>
  <si>
    <t>118466</t>
  </si>
  <si>
    <t>862</t>
  </si>
  <si>
    <t>3289</t>
  </si>
  <si>
    <t>135177</t>
  </si>
  <si>
    <t>082485</t>
  </si>
  <si>
    <t>863</t>
  </si>
  <si>
    <t>1544</t>
  </si>
  <si>
    <t>1044684751</t>
  </si>
  <si>
    <t>3290</t>
  </si>
  <si>
    <t>2-136-1-2025</t>
  </si>
  <si>
    <t>FELICIANA PEREZ BERNAL</t>
  </si>
  <si>
    <t>864</t>
  </si>
  <si>
    <t>105217</t>
  </si>
  <si>
    <t>MT0008813771</t>
  </si>
  <si>
    <t>57191056</t>
  </si>
  <si>
    <t>34420110380</t>
  </si>
  <si>
    <t>3291</t>
  </si>
  <si>
    <t>3292</t>
  </si>
  <si>
    <t>2-122-1-2025</t>
  </si>
  <si>
    <t>3293</t>
  </si>
  <si>
    <t>2-183-1-2026</t>
  </si>
  <si>
    <t>117674</t>
  </si>
  <si>
    <t>66203155115291</t>
  </si>
  <si>
    <t>3294</t>
  </si>
  <si>
    <t>2-67-2-2025</t>
  </si>
  <si>
    <t>43</t>
  </si>
  <si>
    <t>73</t>
  </si>
  <si>
    <t>865</t>
  </si>
  <si>
    <t>1282</t>
  </si>
  <si>
    <t>866</t>
  </si>
  <si>
    <t>3295</t>
  </si>
  <si>
    <t>3296</t>
  </si>
  <si>
    <t>2-246-1-2026</t>
  </si>
  <si>
    <t>DIEGO CHAVEZ RIVERA</t>
  </si>
  <si>
    <t>3297</t>
  </si>
  <si>
    <t>2-39-3-2025</t>
  </si>
  <si>
    <t>1091692778</t>
  </si>
  <si>
    <t>3298</t>
  </si>
  <si>
    <t>2-249-1-2026</t>
  </si>
  <si>
    <t>JUANA RIVERA CABA DE GUZMAN</t>
  </si>
  <si>
    <t>047546</t>
  </si>
  <si>
    <t>MIGUEL ROSOLINO RAYMUNDO ANAY</t>
  </si>
  <si>
    <t>047396</t>
  </si>
  <si>
    <t>1247</t>
  </si>
  <si>
    <t>57197788</t>
  </si>
  <si>
    <t>SALVADOR GENRY PACHECO RAMIREZ</t>
  </si>
  <si>
    <t>3299</t>
  </si>
  <si>
    <t>3300</t>
  </si>
  <si>
    <t>2-39-5-1</t>
  </si>
  <si>
    <t>3302</t>
  </si>
  <si>
    <t>3301</t>
  </si>
  <si>
    <t>2-213-1-2026</t>
  </si>
  <si>
    <t>3303</t>
  </si>
  <si>
    <t>2-264-1-1</t>
  </si>
  <si>
    <t>3304</t>
  </si>
  <si>
    <t>3305</t>
  </si>
  <si>
    <t>2-172-2-2026</t>
  </si>
  <si>
    <t>3306</t>
  </si>
  <si>
    <t>2-128-2-2026</t>
  </si>
  <si>
    <t>MATEO ISAIAS PACHECO LAYNEZ</t>
  </si>
  <si>
    <t>007442</t>
  </si>
  <si>
    <t>6568285</t>
  </si>
  <si>
    <t>3307</t>
  </si>
  <si>
    <t>2-209-1-2026</t>
  </si>
  <si>
    <t>NICOLAS CABA SOLANO</t>
  </si>
  <si>
    <t>2-39-4-2026</t>
  </si>
  <si>
    <t>3308</t>
  </si>
  <si>
    <t>868</t>
  </si>
  <si>
    <t>MATIAS HERNESTO CABA BOP</t>
  </si>
  <si>
    <t>6546942</t>
  </si>
  <si>
    <t>092790</t>
  </si>
  <si>
    <t>3309</t>
  </si>
  <si>
    <t>050441</t>
  </si>
  <si>
    <t xml:space="preserve">0 </t>
  </si>
  <si>
    <t>57191285</t>
  </si>
  <si>
    <t>3310</t>
  </si>
  <si>
    <t>3311</t>
  </si>
  <si>
    <t>2-185-2-2026</t>
  </si>
  <si>
    <t>MARIA MAGALY SANCHEZ CANAY</t>
  </si>
  <si>
    <t>184275</t>
  </si>
  <si>
    <t>16613456465</t>
  </si>
  <si>
    <t>230954</t>
  </si>
  <si>
    <t>16613392055</t>
  </si>
  <si>
    <t>241140</t>
  </si>
  <si>
    <t>16613456463</t>
  </si>
  <si>
    <t>137789</t>
  </si>
  <si>
    <t>137108</t>
  </si>
  <si>
    <t>4004003160789</t>
  </si>
  <si>
    <t>3312</t>
  </si>
  <si>
    <t>2-68-1-2024</t>
  </si>
  <si>
    <t>111596</t>
  </si>
  <si>
    <t>66203006774434</t>
  </si>
  <si>
    <t>CATARINA AGUARE BATZ</t>
  </si>
  <si>
    <t>1001396676033</t>
  </si>
  <si>
    <t>2002514406040</t>
  </si>
  <si>
    <t>58292956028</t>
  </si>
  <si>
    <t>125063</t>
  </si>
  <si>
    <t>2002514715426</t>
  </si>
  <si>
    <t>3313</t>
  </si>
  <si>
    <t>1200783523</t>
  </si>
  <si>
    <t>3314</t>
  </si>
  <si>
    <t>2-207-5-1</t>
  </si>
  <si>
    <t>846</t>
  </si>
  <si>
    <t>003315</t>
  </si>
  <si>
    <t>2-76-3-2025</t>
  </si>
  <si>
    <t>003316</t>
  </si>
  <si>
    <t>003317</t>
  </si>
  <si>
    <t>2-252-1-2026</t>
  </si>
  <si>
    <t>PEDRO ISAAC RIVERA CANAY</t>
  </si>
  <si>
    <t>003318</t>
  </si>
  <si>
    <t>2-265-1-1</t>
  </si>
  <si>
    <t>TERESA CABA ESCOBAR</t>
  </si>
  <si>
    <t>003319</t>
  </si>
  <si>
    <t>003320</t>
  </si>
  <si>
    <t>1-265-5-1</t>
  </si>
  <si>
    <t>TERESA ELVIA  BERNAL RIVERA</t>
  </si>
  <si>
    <t>003321</t>
  </si>
  <si>
    <t>2-265-5-1</t>
  </si>
  <si>
    <t>003322</t>
  </si>
  <si>
    <t>2-134-1-2025</t>
  </si>
  <si>
    <t>003323</t>
  </si>
  <si>
    <t>2-166-1-2026</t>
  </si>
  <si>
    <t>003324</t>
  </si>
  <si>
    <t>2-211-1-2026</t>
  </si>
  <si>
    <t>ROMUALDO MATEO SANTIAGO</t>
  </si>
  <si>
    <t>003325</t>
  </si>
  <si>
    <t>2-86-1-2024</t>
  </si>
  <si>
    <t>031514</t>
  </si>
  <si>
    <t>6543816</t>
  </si>
  <si>
    <t>0000869</t>
  </si>
  <si>
    <t>0000870</t>
  </si>
  <si>
    <t>TERESA ELVIA BERNAL RIVERA</t>
  </si>
  <si>
    <t>0000871</t>
  </si>
  <si>
    <t>2-211-5-1</t>
  </si>
  <si>
    <t>014136</t>
  </si>
  <si>
    <t>0147584535</t>
  </si>
  <si>
    <t>003326</t>
  </si>
  <si>
    <t>2-188-1-2026</t>
  </si>
  <si>
    <t>003327</t>
  </si>
  <si>
    <t>2-256-1-2026</t>
  </si>
  <si>
    <t>003328</t>
  </si>
  <si>
    <t>0000872</t>
  </si>
  <si>
    <t>1667</t>
  </si>
  <si>
    <t>ABONO SOBRE PRESTAMOS HIPOTECARIOS</t>
  </si>
  <si>
    <t>003329</t>
  </si>
  <si>
    <t>2-153-1-2025</t>
  </si>
  <si>
    <t>0000873</t>
  </si>
  <si>
    <t>2-4-5-1</t>
  </si>
  <si>
    <t>0000874</t>
  </si>
  <si>
    <t>215046</t>
  </si>
  <si>
    <t>245</t>
  </si>
  <si>
    <t>62285422</t>
  </si>
  <si>
    <t>039880</t>
  </si>
  <si>
    <t>040635</t>
  </si>
  <si>
    <t>PABLO RAYMUNDO LAYNEZ</t>
  </si>
  <si>
    <t>0000875</t>
  </si>
  <si>
    <t>117073</t>
  </si>
  <si>
    <t>1007397577630</t>
  </si>
  <si>
    <t>CRISTINA TEREZA ASICONA RIVERA</t>
  </si>
  <si>
    <t>003330</t>
  </si>
  <si>
    <t>1-59-3-2023</t>
  </si>
  <si>
    <t>MANUELA PACHECO CABA</t>
  </si>
  <si>
    <t>1056</t>
  </si>
  <si>
    <t>003331</t>
  </si>
  <si>
    <t>1-61-5-2026</t>
  </si>
  <si>
    <t>TERESA ASICONA RAMOS DE LOPEZ</t>
  </si>
  <si>
    <t>003332</t>
  </si>
  <si>
    <t>003333</t>
  </si>
  <si>
    <t>2-28-1-2026</t>
  </si>
  <si>
    <t>003334</t>
  </si>
  <si>
    <t>2-234-1-2026</t>
  </si>
  <si>
    <t>MARIA CECIA PACHECO RIVERA</t>
  </si>
  <si>
    <t>050461</t>
  </si>
  <si>
    <t>3190038442</t>
  </si>
  <si>
    <t>CORPORACION ALUARCA, S.A</t>
  </si>
  <si>
    <t>003335</t>
  </si>
  <si>
    <t>2-253-1-2026</t>
  </si>
  <si>
    <t>JUAN SANCHEZ LAYNEZ</t>
  </si>
  <si>
    <t>0000876</t>
  </si>
  <si>
    <t>2-253-5-1</t>
  </si>
  <si>
    <t>0000877</t>
  </si>
  <si>
    <t>035853</t>
  </si>
  <si>
    <t>JUANA CLARITA LAYNEZ DEL BARRIO</t>
  </si>
  <si>
    <t>PAGO POR CUENTA AJENA BI RETIRO</t>
  </si>
  <si>
    <t>061398</t>
  </si>
  <si>
    <t>046527</t>
  </si>
  <si>
    <t>003275</t>
  </si>
  <si>
    <t>148409</t>
  </si>
  <si>
    <t>2002514925638</t>
  </si>
  <si>
    <t>PAGO POR CUENTA AJENA BI REMESA</t>
  </si>
  <si>
    <t>100</t>
  </si>
  <si>
    <t>1004</t>
  </si>
  <si>
    <t>265</t>
  </si>
  <si>
    <t>41</t>
  </si>
  <si>
    <t>054850</t>
  </si>
  <si>
    <t>7820049976</t>
  </si>
  <si>
    <t>JUANA BERNAL BERNAL</t>
  </si>
  <si>
    <t>040319</t>
  </si>
  <si>
    <t>6568396</t>
  </si>
  <si>
    <t>LUCIA CABA CABA</t>
  </si>
  <si>
    <t>0000878</t>
  </si>
  <si>
    <t>0000879</t>
  </si>
  <si>
    <t>MATEO CANAY ASICONA Y JUANA CLARITA</t>
  </si>
  <si>
    <t>0000880</t>
  </si>
  <si>
    <t>003336</t>
  </si>
  <si>
    <t>2-66-2-2025</t>
  </si>
  <si>
    <t>003337</t>
  </si>
  <si>
    <t>1-IVCHA</t>
  </si>
  <si>
    <t>014538</t>
  </si>
  <si>
    <t>MIGUEL ASICONA LAYNEZ</t>
  </si>
  <si>
    <t>004573</t>
  </si>
  <si>
    <t>MARCELINO CALEL HERRERA</t>
  </si>
  <si>
    <t>0000881</t>
  </si>
  <si>
    <t>2-66-5-1</t>
  </si>
  <si>
    <t>0000882</t>
  </si>
  <si>
    <t>1-467-6-2</t>
  </si>
  <si>
    <t xml:space="preserve">CIPRIANO BOP PEREZ/ENRIQUE ANTONIO </t>
  </si>
  <si>
    <t xml:space="preserve">  </t>
  </si>
  <si>
    <t>003338</t>
  </si>
  <si>
    <t>1-467-5-1</t>
  </si>
  <si>
    <t>054126</t>
  </si>
  <si>
    <t>JACINTO JUAN RAYMUNDO</t>
  </si>
  <si>
    <t>003339</t>
  </si>
  <si>
    <t>2-266-1-1</t>
  </si>
  <si>
    <t xml:space="preserve">MARIA GUZMAN LAYNEZ </t>
  </si>
  <si>
    <t>003340</t>
  </si>
  <si>
    <t>2-IVCHA</t>
  </si>
  <si>
    <t>003341</t>
  </si>
  <si>
    <t>2-266-5-1</t>
  </si>
  <si>
    <t>003342</t>
  </si>
  <si>
    <t>003343</t>
  </si>
  <si>
    <t>2-25-5-1</t>
  </si>
  <si>
    <t>091548</t>
  </si>
  <si>
    <t>0000883</t>
  </si>
  <si>
    <t>2-266-1-2026</t>
  </si>
  <si>
    <t>0000884</t>
  </si>
  <si>
    <t>131349</t>
  </si>
  <si>
    <t>1001397811270</t>
  </si>
  <si>
    <t>MARGARITA CECILIA LAYNEZ</t>
  </si>
  <si>
    <t>2666</t>
  </si>
  <si>
    <t>RETIRO DE INTERESES A PLAZO FIJO</t>
  </si>
  <si>
    <t>BOL</t>
  </si>
  <si>
    <t>62283218</t>
  </si>
  <si>
    <t>003344</t>
  </si>
  <si>
    <t>003345</t>
  </si>
  <si>
    <t>003346</t>
  </si>
  <si>
    <t>0000885</t>
  </si>
  <si>
    <t>003347</t>
  </si>
  <si>
    <t>003348</t>
  </si>
  <si>
    <t>2-184-1-2026</t>
  </si>
  <si>
    <t>1003</t>
  </si>
  <si>
    <t>003349</t>
  </si>
  <si>
    <t>003350</t>
  </si>
  <si>
    <t>003351</t>
  </si>
  <si>
    <t>003352</t>
  </si>
  <si>
    <t>2-228-1-2026</t>
  </si>
  <si>
    <t>ROSA LAYNEZ ESCOBAR</t>
  </si>
  <si>
    <t>002142</t>
  </si>
  <si>
    <t>0000886</t>
  </si>
  <si>
    <t>2-228-5-1</t>
  </si>
  <si>
    <t>110849</t>
  </si>
  <si>
    <t>808097811555</t>
  </si>
  <si>
    <t>MANUELA LUCRECIA IJOM BOP</t>
  </si>
  <si>
    <t>110700</t>
  </si>
  <si>
    <t>1001398209169</t>
  </si>
  <si>
    <t>003353</t>
  </si>
  <si>
    <t>0000887</t>
  </si>
  <si>
    <t>003354</t>
  </si>
  <si>
    <t>315</t>
  </si>
  <si>
    <t>78</t>
  </si>
  <si>
    <t>0000888</t>
  </si>
  <si>
    <t>030505</t>
  </si>
  <si>
    <t>1226</t>
  </si>
  <si>
    <t xml:space="preserve">IN </t>
  </si>
  <si>
    <t>003355</t>
  </si>
  <si>
    <t>2-242-1-2026</t>
  </si>
  <si>
    <t>003356</t>
  </si>
  <si>
    <t>2-258-1-2026</t>
  </si>
  <si>
    <t>FRANCISCO CABA RIVERA</t>
  </si>
  <si>
    <t>003357</t>
  </si>
  <si>
    <t>2-259-1-2026</t>
  </si>
  <si>
    <t>FRANCISCO RAMIREZ CABA</t>
  </si>
  <si>
    <t>003358</t>
  </si>
  <si>
    <t>003359</t>
  </si>
  <si>
    <t>003360</t>
  </si>
  <si>
    <t>003361</t>
  </si>
  <si>
    <t>003362</t>
  </si>
  <si>
    <t>003363</t>
  </si>
  <si>
    <t>0000889</t>
  </si>
  <si>
    <t>108230</t>
  </si>
  <si>
    <t>2002522552326</t>
  </si>
  <si>
    <t>JACINTA SANCHEZ LOPEZ</t>
  </si>
  <si>
    <t>102568</t>
  </si>
  <si>
    <t>2002522377862</t>
  </si>
  <si>
    <t>PAGO POR CUENTA AJENA BI SERVICIO</t>
  </si>
  <si>
    <t>003364</t>
  </si>
  <si>
    <t>2-40-2-2025</t>
  </si>
  <si>
    <t>003365</t>
  </si>
  <si>
    <t>003366</t>
  </si>
  <si>
    <t>2-267-1-1</t>
  </si>
  <si>
    <t>MARIA CECILIA SANCHEZ VI</t>
  </si>
  <si>
    <t>0000890</t>
  </si>
  <si>
    <t>2-163-5-1</t>
  </si>
  <si>
    <t xml:space="preserve">DOMINGO MENDOZA ASICONA </t>
  </si>
  <si>
    <t>0000891</t>
  </si>
  <si>
    <t>2-164-5-1</t>
  </si>
  <si>
    <t>0000892</t>
  </si>
  <si>
    <t>2-267-1-2026</t>
  </si>
  <si>
    <t>0000893</t>
  </si>
  <si>
    <t>2-229-1-2026</t>
  </si>
  <si>
    <t>ELEAZAR SEBASTIAN CABA LAYNEZ</t>
  </si>
  <si>
    <t>0000894</t>
  </si>
  <si>
    <t>0000895</t>
  </si>
  <si>
    <t>2-236-5-1</t>
  </si>
  <si>
    <t>0000896</t>
  </si>
  <si>
    <t>2-234-5-1</t>
  </si>
  <si>
    <t>MARIA CESIA PACHECO RIVERA</t>
  </si>
  <si>
    <t>0000897</t>
  </si>
  <si>
    <t>2-131-5-1</t>
  </si>
  <si>
    <t>PABLO ESCOBAR</t>
  </si>
  <si>
    <t>0000898</t>
  </si>
  <si>
    <t>2-136-5-1</t>
  </si>
  <si>
    <t>0000899</t>
  </si>
  <si>
    <t>2-115-5-1</t>
  </si>
  <si>
    <t>0000900</t>
  </si>
  <si>
    <t>2-184-5-1</t>
  </si>
  <si>
    <t>0000901</t>
  </si>
  <si>
    <t>2-84-5-1</t>
  </si>
  <si>
    <t>TERESA REGINA CHAVEZ ESCOBAR DE ESCOBAR</t>
  </si>
  <si>
    <t>0000902</t>
  </si>
  <si>
    <t>2-34-5-1</t>
  </si>
  <si>
    <t>003367</t>
  </si>
  <si>
    <t>2-163-1-2026</t>
  </si>
  <si>
    <t>003368</t>
  </si>
  <si>
    <t>2-267-5-1</t>
  </si>
  <si>
    <t>003369</t>
  </si>
  <si>
    <t>003370</t>
  </si>
  <si>
    <t>003371</t>
  </si>
  <si>
    <t>2-229-5-1</t>
  </si>
  <si>
    <t>003372</t>
  </si>
  <si>
    <t>2-164-1-2026</t>
  </si>
  <si>
    <t>003373</t>
  </si>
  <si>
    <t>2-164-2-2026</t>
  </si>
  <si>
    <t>003374</t>
  </si>
  <si>
    <t>2-236-1-2026</t>
  </si>
  <si>
    <t>003375</t>
  </si>
  <si>
    <t>2-131-1-2025</t>
  </si>
  <si>
    <t>003377</t>
  </si>
  <si>
    <t>003376</t>
  </si>
  <si>
    <t>003378</t>
  </si>
  <si>
    <t>2-115-2-2026</t>
  </si>
  <si>
    <t>003379</t>
  </si>
  <si>
    <t>003380</t>
  </si>
  <si>
    <t>2-84-2-2026</t>
  </si>
  <si>
    <t>003381</t>
  </si>
  <si>
    <t>2-34-4-2026</t>
  </si>
  <si>
    <t>311</t>
  </si>
  <si>
    <t>1917</t>
  </si>
  <si>
    <t>003382</t>
  </si>
  <si>
    <t>TOMAS ASICONA LAYNEZ</t>
  </si>
  <si>
    <t>003383</t>
  </si>
  <si>
    <t>003384</t>
  </si>
  <si>
    <t>62283498</t>
  </si>
  <si>
    <t>115862</t>
  </si>
  <si>
    <t>4004003165857</t>
  </si>
  <si>
    <t>53</t>
  </si>
  <si>
    <t>927</t>
  </si>
  <si>
    <t>003385</t>
  </si>
  <si>
    <t>2-197-1-2026</t>
  </si>
  <si>
    <t>003386</t>
  </si>
  <si>
    <t>2-268-1-1</t>
  </si>
  <si>
    <t>SALVADOR RAMIREZ LAINEZ</t>
  </si>
  <si>
    <t>003387</t>
  </si>
  <si>
    <t>003388</t>
  </si>
  <si>
    <t>2-196-1-2026</t>
  </si>
  <si>
    <t>003389</t>
  </si>
  <si>
    <t>003390</t>
  </si>
  <si>
    <t>2-102-5-1</t>
  </si>
  <si>
    <t>124485</t>
  </si>
  <si>
    <t>MT0008779509</t>
  </si>
  <si>
    <t>132699</t>
  </si>
  <si>
    <t>1001398668359</t>
  </si>
  <si>
    <t>177</t>
  </si>
  <si>
    <t>0000903</t>
  </si>
  <si>
    <t>003391</t>
  </si>
  <si>
    <t>030203</t>
  </si>
  <si>
    <t>0380126284</t>
  </si>
  <si>
    <t>SHARON GERALDI VEGA HERNANDEZ DE PINEDA</t>
  </si>
  <si>
    <t>028582</t>
  </si>
  <si>
    <t>MAZATENANGO NEXCEL</t>
  </si>
  <si>
    <t>003392</t>
  </si>
  <si>
    <t>2-268-5-1</t>
  </si>
  <si>
    <t>003393</t>
  </si>
  <si>
    <t>57386778</t>
  </si>
  <si>
    <t>003394</t>
  </si>
  <si>
    <t>003395</t>
  </si>
  <si>
    <t>003396</t>
  </si>
  <si>
    <t>ROSA ASICONA ASICONA</t>
  </si>
  <si>
    <t>2-270-1-1</t>
  </si>
  <si>
    <t>1146</t>
  </si>
  <si>
    <t>57386779</t>
  </si>
  <si>
    <t>003397</t>
  </si>
  <si>
    <t>2-269-1-1</t>
  </si>
  <si>
    <t>TOMAS CABA CABA</t>
  </si>
  <si>
    <t>003398</t>
  </si>
  <si>
    <t>0000904</t>
  </si>
  <si>
    <t>RETIRO DE APORTACION ORDINARIA</t>
  </si>
  <si>
    <t>104223</t>
  </si>
  <si>
    <t>66204108126235</t>
  </si>
  <si>
    <t>003399</t>
  </si>
  <si>
    <t>2-271-1-1</t>
  </si>
  <si>
    <t>JACINTA IJOM ASICONA</t>
  </si>
  <si>
    <t>003400</t>
  </si>
  <si>
    <t>003401</t>
  </si>
  <si>
    <t>2-272-1-1</t>
  </si>
  <si>
    <t>MARIA ADELINA JOVITA CABA CANAY DE ZUÑIGA</t>
  </si>
  <si>
    <t>003402</t>
  </si>
  <si>
    <t>003403</t>
  </si>
  <si>
    <t>2-269-5-1</t>
  </si>
  <si>
    <t>003404</t>
  </si>
  <si>
    <t>2-271-5-1</t>
  </si>
  <si>
    <t>003405</t>
  </si>
  <si>
    <t>0000905</t>
  </si>
  <si>
    <t>2-269-1-2026</t>
  </si>
  <si>
    <t>0000906</t>
  </si>
  <si>
    <t>003406</t>
  </si>
  <si>
    <t>138652</t>
  </si>
  <si>
    <t>4004003218502</t>
  </si>
  <si>
    <t>1093</t>
  </si>
  <si>
    <t>105602</t>
  </si>
  <si>
    <t>5648594957</t>
  </si>
  <si>
    <t>EDWIN ARNOLDO YAT PACHECO</t>
  </si>
  <si>
    <t>095973</t>
  </si>
  <si>
    <t>SHAARON GERALDI VEGA HERNANDEZ DE PINEDA</t>
  </si>
  <si>
    <t>003407</t>
  </si>
  <si>
    <t>003408</t>
  </si>
  <si>
    <t>003409</t>
  </si>
  <si>
    <t>2-272-5-1</t>
  </si>
  <si>
    <t>003410</t>
  </si>
  <si>
    <t>57195253</t>
  </si>
  <si>
    <t>57195254</t>
  </si>
  <si>
    <t>1222</t>
  </si>
  <si>
    <t>003411</t>
  </si>
  <si>
    <t>003412</t>
  </si>
  <si>
    <t>2-72-1-2024</t>
  </si>
  <si>
    <t>0000907</t>
  </si>
  <si>
    <t>003413</t>
  </si>
  <si>
    <t>003414</t>
  </si>
  <si>
    <t>121446</t>
  </si>
  <si>
    <t>2002560268151</t>
  </si>
  <si>
    <t>MANUEL LAYNEZ ASICONA</t>
  </si>
  <si>
    <t>277</t>
  </si>
  <si>
    <t>149</t>
  </si>
  <si>
    <t>003415</t>
  </si>
  <si>
    <t>003416</t>
  </si>
  <si>
    <t>2-231-5-1</t>
  </si>
  <si>
    <t>1228</t>
  </si>
  <si>
    <t>003417</t>
  </si>
  <si>
    <t>1738858430</t>
  </si>
  <si>
    <t>44417041</t>
  </si>
  <si>
    <t>0000908</t>
  </si>
  <si>
    <t>0000909</t>
  </si>
  <si>
    <t>105197</t>
  </si>
  <si>
    <t>66203771648470</t>
  </si>
  <si>
    <t>MARIA CANAY CABA CANAY</t>
  </si>
  <si>
    <t>105727</t>
  </si>
  <si>
    <t>2002560296457</t>
  </si>
  <si>
    <t>MARIA MENDOZA CABA</t>
  </si>
  <si>
    <t>0000850</t>
  </si>
  <si>
    <t>0000851</t>
  </si>
  <si>
    <t>003255</t>
  </si>
  <si>
    <t>003256</t>
  </si>
  <si>
    <t>003257</t>
  </si>
  <si>
    <t>003258</t>
  </si>
  <si>
    <t>003259</t>
  </si>
  <si>
    <t>003260</t>
  </si>
  <si>
    <t>003261</t>
  </si>
  <si>
    <t>003262</t>
  </si>
  <si>
    <t>003263</t>
  </si>
  <si>
    <t>003264</t>
  </si>
  <si>
    <t>003265</t>
  </si>
  <si>
    <t>003266</t>
  </si>
  <si>
    <t>0000854</t>
  </si>
  <si>
    <t>003267</t>
  </si>
  <si>
    <t>003268</t>
  </si>
  <si>
    <t>003269</t>
  </si>
  <si>
    <t>003270</t>
  </si>
  <si>
    <t>003271</t>
  </si>
  <si>
    <t>003272</t>
  </si>
  <si>
    <t>003273</t>
  </si>
  <si>
    <t>003274</t>
  </si>
  <si>
    <t>0000855</t>
  </si>
  <si>
    <t>0000856</t>
  </si>
  <si>
    <t>0000857</t>
  </si>
  <si>
    <t>0000858</t>
  </si>
  <si>
    <t>2-263-5-1</t>
  </si>
  <si>
    <t>FEDERICO  BATZ</t>
  </si>
  <si>
    <t>2-109-1-2025</t>
  </si>
  <si>
    <t>003418</t>
  </si>
  <si>
    <t>2-5-2-2023</t>
  </si>
  <si>
    <t>557831</t>
  </si>
  <si>
    <t>41019655320016</t>
  </si>
  <si>
    <t>MARGARITA MON SANCHEZ DIAZ</t>
  </si>
  <si>
    <t>560908</t>
  </si>
  <si>
    <t>41016392260048</t>
  </si>
  <si>
    <t>JUANA RAQUEL PEREZ</t>
  </si>
  <si>
    <t>COBROS POR CUENTA AJENA BI PRESTAMO</t>
  </si>
  <si>
    <t>560732</t>
  </si>
  <si>
    <t>41019658820015</t>
  </si>
  <si>
    <t>MARIA LUKY SANTIAGO BATZ</t>
  </si>
  <si>
    <t>053667</t>
  </si>
  <si>
    <t>MIGUEL RAYMUNDO</t>
  </si>
  <si>
    <t>099507</t>
  </si>
  <si>
    <t>001087</t>
  </si>
  <si>
    <t>PAULINO SANCHEZ</t>
  </si>
  <si>
    <t>0000910</t>
  </si>
  <si>
    <t>299</t>
  </si>
  <si>
    <t>1246</t>
  </si>
  <si>
    <t>268</t>
  </si>
  <si>
    <t>003419</t>
  </si>
  <si>
    <t>2-169-1-2026</t>
  </si>
  <si>
    <t>1787156777</t>
  </si>
  <si>
    <t>003420</t>
  </si>
  <si>
    <t>1811098594</t>
  </si>
  <si>
    <t>1248</t>
  </si>
  <si>
    <t>003421</t>
  </si>
  <si>
    <t>004206</t>
  </si>
  <si>
    <t>0920028594</t>
  </si>
  <si>
    <t>DISTRIBUIDORA XELAJU SOCIEDAD ANONIMA</t>
  </si>
  <si>
    <t>0000911</t>
  </si>
  <si>
    <t>116402</t>
  </si>
  <si>
    <t>2002560483944</t>
  </si>
  <si>
    <t xml:space="preserve">PAGO POR CUENTA AJENA BI REMESA </t>
  </si>
  <si>
    <t>003422</t>
  </si>
  <si>
    <t>2-260-1-2026</t>
  </si>
  <si>
    <t>003423</t>
  </si>
  <si>
    <t>2-237-1-2026</t>
  </si>
  <si>
    <t>CATARINA MENDOZA LAYNEZ</t>
  </si>
  <si>
    <t>126362</t>
  </si>
  <si>
    <t>772011700881</t>
  </si>
  <si>
    <t>MARIA DEL CARMEN LAYNEZ</t>
  </si>
  <si>
    <t>003424</t>
  </si>
  <si>
    <t>2-261-1-2026</t>
  </si>
  <si>
    <t>003425</t>
  </si>
  <si>
    <t>003426</t>
  </si>
  <si>
    <t>003427</t>
  </si>
  <si>
    <t>003428</t>
  </si>
  <si>
    <t>MANUEL PACHECO ASICONA</t>
  </si>
  <si>
    <t>003429</t>
  </si>
  <si>
    <t>1-632-5-1</t>
  </si>
  <si>
    <t>095384</t>
  </si>
  <si>
    <t>6991450988</t>
  </si>
  <si>
    <t>BRENDA AMARILIS MENDEZ RAMIREZ</t>
  </si>
  <si>
    <t>148419</t>
  </si>
  <si>
    <t>66202740108468</t>
  </si>
  <si>
    <t>148598</t>
  </si>
  <si>
    <t>66204110052111</t>
  </si>
  <si>
    <t>155182</t>
  </si>
  <si>
    <t>2002560469504</t>
  </si>
  <si>
    <t>003430</t>
  </si>
  <si>
    <t>003431</t>
  </si>
  <si>
    <t>251</t>
  </si>
  <si>
    <t>003432</t>
  </si>
  <si>
    <t>003433</t>
  </si>
  <si>
    <t>1589</t>
  </si>
  <si>
    <t>2-273-1-1</t>
  </si>
  <si>
    <t>GASPAR ROBERTO MENDOZA AVILES</t>
  </si>
  <si>
    <t>003434</t>
  </si>
  <si>
    <t>003435</t>
  </si>
  <si>
    <t>003436</t>
  </si>
  <si>
    <t>003437</t>
  </si>
  <si>
    <t>003438</t>
  </si>
  <si>
    <t>2-274-1-1</t>
  </si>
  <si>
    <t xml:space="preserve">ROSA OFELIA IJOM IJOM </t>
  </si>
  <si>
    <t>003439</t>
  </si>
  <si>
    <t>003440</t>
  </si>
  <si>
    <t>003441</t>
  </si>
  <si>
    <t>003442</t>
  </si>
  <si>
    <t>003443</t>
  </si>
  <si>
    <t>108467</t>
  </si>
  <si>
    <t>MT0008909738</t>
  </si>
  <si>
    <t>CARMEN GREGORIA SANTIAGO</t>
  </si>
  <si>
    <t>003444</t>
  </si>
  <si>
    <t>003445</t>
  </si>
  <si>
    <t>2-275-1-1</t>
  </si>
  <si>
    <t>CIPRIANO BOP PEREZ</t>
  </si>
  <si>
    <t>003446</t>
  </si>
  <si>
    <t>2-275-5-1</t>
  </si>
  <si>
    <t>003447</t>
  </si>
  <si>
    <t>0000912</t>
  </si>
  <si>
    <t>118663</t>
  </si>
  <si>
    <t>2002522019325</t>
  </si>
  <si>
    <t>MAGDALENA ASICONA MATOM</t>
  </si>
  <si>
    <t>62284592</t>
  </si>
  <si>
    <t>036417</t>
  </si>
  <si>
    <t>53588922</t>
  </si>
  <si>
    <t>003448</t>
  </si>
  <si>
    <t>003449</t>
  </si>
  <si>
    <t>003450</t>
  </si>
  <si>
    <t>003451</t>
  </si>
  <si>
    <t>2-276-1-1</t>
  </si>
  <si>
    <t>ROSA CAROLINA CABA LAYNEZ</t>
  </si>
  <si>
    <t>003452</t>
  </si>
  <si>
    <t>003453</t>
  </si>
  <si>
    <t>003454</t>
  </si>
  <si>
    <t>2-277-1-1</t>
  </si>
  <si>
    <t>TOMAS CABA DEL BARRIO</t>
  </si>
  <si>
    <t>003455</t>
  </si>
  <si>
    <t>0000913</t>
  </si>
  <si>
    <t>2-9-5-1</t>
  </si>
  <si>
    <t>296</t>
  </si>
  <si>
    <t>1477</t>
  </si>
  <si>
    <t>249</t>
  </si>
  <si>
    <t>003456</t>
  </si>
  <si>
    <t>003457</t>
  </si>
  <si>
    <t>2-273-5-1</t>
  </si>
  <si>
    <t>63479624</t>
  </si>
  <si>
    <t>63479625</t>
  </si>
  <si>
    <t>003458</t>
  </si>
  <si>
    <t>003459</t>
  </si>
  <si>
    <t>2-178-1-2026</t>
  </si>
  <si>
    <t>0000914</t>
  </si>
  <si>
    <t>0000915</t>
  </si>
  <si>
    <t>2-178-5-1</t>
  </si>
  <si>
    <t>0000916</t>
  </si>
  <si>
    <t>2-52-5-1</t>
  </si>
  <si>
    <t>MARTA CABA MATEO</t>
  </si>
  <si>
    <t>003460</t>
  </si>
  <si>
    <t>2-22-3-2026</t>
  </si>
  <si>
    <t>62284792</t>
  </si>
  <si>
    <t>2-276-1-2026</t>
  </si>
  <si>
    <t>0000917</t>
  </si>
  <si>
    <t>003461</t>
  </si>
  <si>
    <t>003462</t>
  </si>
  <si>
    <t>2-276-5-1</t>
  </si>
  <si>
    <t>0000918</t>
  </si>
  <si>
    <t>0000919</t>
  </si>
  <si>
    <t>2-2-5-1</t>
  </si>
  <si>
    <t>0000920</t>
  </si>
  <si>
    <t>134394</t>
  </si>
  <si>
    <t>MT0008931266</t>
  </si>
  <si>
    <t>IGBI</t>
  </si>
  <si>
    <t>057401</t>
  </si>
  <si>
    <t>59044713</t>
  </si>
  <si>
    <t>003463</t>
  </si>
  <si>
    <t>003464</t>
  </si>
  <si>
    <t>003465</t>
  </si>
  <si>
    <t>003466</t>
  </si>
  <si>
    <t>003467</t>
  </si>
  <si>
    <t>003468</t>
  </si>
  <si>
    <t>0000921</t>
  </si>
  <si>
    <t>2-77-5-1</t>
  </si>
  <si>
    <t>103622</t>
  </si>
  <si>
    <t>2002560622478</t>
  </si>
  <si>
    <t>MARIA LOPEZ CORDOBA</t>
  </si>
  <si>
    <t>003469</t>
  </si>
  <si>
    <t>141908</t>
  </si>
  <si>
    <t>2002560845862</t>
  </si>
  <si>
    <t>234</t>
  </si>
  <si>
    <t>003470</t>
  </si>
  <si>
    <t>2-105-2-1</t>
  </si>
  <si>
    <t>003471</t>
  </si>
  <si>
    <t>0000922</t>
  </si>
  <si>
    <t>0640399</t>
  </si>
  <si>
    <t>153</t>
  </si>
  <si>
    <t>232</t>
  </si>
  <si>
    <t>003472</t>
  </si>
  <si>
    <t>003473</t>
  </si>
  <si>
    <t>2-278-1-1</t>
  </si>
  <si>
    <t>ROSA IMUL TIU DE CALEL</t>
  </si>
  <si>
    <t>003474</t>
  </si>
  <si>
    <t>003475</t>
  </si>
  <si>
    <t>2-278-5-1</t>
  </si>
  <si>
    <t>003476</t>
  </si>
  <si>
    <t>0000923</t>
  </si>
  <si>
    <t>2-99-5-1</t>
  </si>
  <si>
    <t>065131</t>
  </si>
  <si>
    <t>JULIO VAZQUES</t>
  </si>
  <si>
    <t>138438</t>
  </si>
  <si>
    <t>2002660194954</t>
  </si>
  <si>
    <t>136660</t>
  </si>
  <si>
    <t>4004003257987</t>
  </si>
  <si>
    <t>003477</t>
  </si>
  <si>
    <t>003478</t>
  </si>
  <si>
    <t>231</t>
  </si>
  <si>
    <t>116053</t>
  </si>
  <si>
    <t>886</t>
  </si>
  <si>
    <t>1036</t>
  </si>
  <si>
    <t>003479</t>
  </si>
  <si>
    <t>003480</t>
  </si>
  <si>
    <t>003481</t>
  </si>
  <si>
    <t>003482</t>
  </si>
  <si>
    <t>2-279-1-1</t>
  </si>
  <si>
    <t>MARTA MARIA CABA CABA</t>
  </si>
  <si>
    <t>003483</t>
  </si>
  <si>
    <t>003484</t>
  </si>
  <si>
    <t>003485</t>
  </si>
  <si>
    <t>003486</t>
  </si>
  <si>
    <t>003487</t>
  </si>
  <si>
    <t>2-280-1-1</t>
  </si>
  <si>
    <t xml:space="preserve">ANA BATZ SOLANO </t>
  </si>
  <si>
    <t>003488</t>
  </si>
  <si>
    <t>003489</t>
  </si>
  <si>
    <t>003490</t>
  </si>
  <si>
    <t>003491</t>
  </si>
  <si>
    <t>059937</t>
  </si>
  <si>
    <t>NEXCEL MAZATENANGO</t>
  </si>
  <si>
    <t>0000924</t>
  </si>
  <si>
    <t>MATEO CANAY ASICONA/JUANA CLARITA LAYNEZ DE BARRIO</t>
  </si>
  <si>
    <t>0000925</t>
  </si>
  <si>
    <t>032940</t>
  </si>
  <si>
    <t>0000926</t>
  </si>
  <si>
    <t>020751</t>
  </si>
  <si>
    <t>SANDRA REZINOS</t>
  </si>
  <si>
    <t>57199606</t>
  </si>
  <si>
    <t>003492</t>
  </si>
  <si>
    <t>003493</t>
  </si>
  <si>
    <t>2-281-1-1</t>
  </si>
  <si>
    <t>CATARINA BRITO CORIO DE BERNAL</t>
  </si>
  <si>
    <t>004546</t>
  </si>
  <si>
    <t>142684</t>
  </si>
  <si>
    <t>MT0008813585</t>
  </si>
  <si>
    <t>CATARINA GRISELDA BRITO</t>
  </si>
  <si>
    <t>1325</t>
  </si>
  <si>
    <t>057544</t>
  </si>
  <si>
    <t>145053</t>
  </si>
  <si>
    <t>1001400651605</t>
  </si>
  <si>
    <t>223</t>
  </si>
  <si>
    <t>152</t>
  </si>
  <si>
    <t>003495</t>
  </si>
  <si>
    <t>003494</t>
  </si>
  <si>
    <t>003496</t>
  </si>
  <si>
    <t>0000927</t>
  </si>
  <si>
    <t>066676</t>
  </si>
  <si>
    <t>220</t>
  </si>
  <si>
    <t>62282779</t>
  </si>
  <si>
    <t>0000928</t>
  </si>
  <si>
    <t>652</t>
  </si>
  <si>
    <t>003497</t>
  </si>
  <si>
    <t>2-281-5-1</t>
  </si>
  <si>
    <t>003498</t>
  </si>
  <si>
    <t>003499</t>
  </si>
  <si>
    <t>003500</t>
  </si>
  <si>
    <t>18257307</t>
  </si>
  <si>
    <t>18257309</t>
  </si>
  <si>
    <t>18257308</t>
  </si>
  <si>
    <t>187</t>
  </si>
  <si>
    <t>003501</t>
  </si>
  <si>
    <t>003502</t>
  </si>
  <si>
    <t>003503</t>
  </si>
  <si>
    <t>003504</t>
  </si>
  <si>
    <t>003505</t>
  </si>
  <si>
    <t>015347</t>
  </si>
  <si>
    <t>003506</t>
  </si>
  <si>
    <t>1-1221-5-1</t>
  </si>
  <si>
    <t>098946</t>
  </si>
  <si>
    <t>003507</t>
  </si>
  <si>
    <t>2-111-1-2025</t>
  </si>
  <si>
    <t>suma del 22 al 30 de junio</t>
  </si>
  <si>
    <t>suma del 01al 31 de julio</t>
  </si>
  <si>
    <t>003808</t>
  </si>
  <si>
    <t>2-185-1-2026</t>
  </si>
  <si>
    <t>003509</t>
  </si>
  <si>
    <t>003510</t>
  </si>
  <si>
    <t>2-117-5-1</t>
  </si>
  <si>
    <t>ELEUTERIA LUCIA CABA CANAY</t>
  </si>
  <si>
    <t>003511</t>
  </si>
  <si>
    <t>2-279-5-1</t>
  </si>
  <si>
    <t>003512</t>
  </si>
  <si>
    <t>006462</t>
  </si>
  <si>
    <t>7339452</t>
  </si>
  <si>
    <t>GERMAN MANUEL RAMIREZ SANCHEZ</t>
  </si>
  <si>
    <t>0000929</t>
  </si>
  <si>
    <t>0000930</t>
  </si>
  <si>
    <t>18007529</t>
  </si>
  <si>
    <t>62282937</t>
  </si>
  <si>
    <t>18007530</t>
  </si>
  <si>
    <t>1806</t>
  </si>
  <si>
    <t>003513</t>
  </si>
  <si>
    <t>003514</t>
  </si>
  <si>
    <t>003515</t>
  </si>
  <si>
    <t>003516</t>
  </si>
  <si>
    <t>2-282-1-1</t>
  </si>
  <si>
    <t>MARIA CANAY ASICONA DE SANCHEZ</t>
  </si>
  <si>
    <t>003517</t>
  </si>
  <si>
    <t>108923</t>
  </si>
  <si>
    <t>4004003265457</t>
  </si>
  <si>
    <t>151</t>
  </si>
  <si>
    <t>0000931</t>
  </si>
  <si>
    <t>junio/2026</t>
  </si>
  <si>
    <t>julio/2026</t>
  </si>
  <si>
    <t>agosto/2026</t>
  </si>
  <si>
    <t>1-393-5-1</t>
  </si>
  <si>
    <t>JUAN CEDILLO HERMOSO</t>
  </si>
  <si>
    <t>003518</t>
  </si>
  <si>
    <t>2-282-5-1</t>
  </si>
  <si>
    <t>003519</t>
  </si>
  <si>
    <t>003520</t>
  </si>
  <si>
    <t>0000932</t>
  </si>
  <si>
    <t>2-282-1-2026</t>
  </si>
  <si>
    <t>148</t>
  </si>
  <si>
    <t>211</t>
  </si>
  <si>
    <t>0000933</t>
  </si>
  <si>
    <t>1471</t>
  </si>
  <si>
    <t>003521</t>
  </si>
  <si>
    <t>0000934</t>
  </si>
  <si>
    <t>0000935</t>
  </si>
  <si>
    <t>112857</t>
  </si>
  <si>
    <t>147</t>
  </si>
  <si>
    <t>66204080264580</t>
  </si>
  <si>
    <t>125402</t>
  </si>
  <si>
    <t>1001400999923</t>
  </si>
  <si>
    <t>0000936</t>
  </si>
  <si>
    <t>2-148-5-1</t>
  </si>
  <si>
    <t>0000937</t>
  </si>
  <si>
    <t>1306</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</si>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</sst>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quot;* #,##0.00_-;\-&quot;Q&quot;* #,##0.00_-;_-&quot;Q&quot;* &quot;-&quot;??_-;_-@_-"/>
    <numFmt numFmtId="43" formatCode="_-* #,##0.00_-;\-* #,##0.00_-;_-* &quot;-&quot;??_-;_-@_-"/>
    <numFmt numFmtId="164" formatCode="_(* #,##0.00_);_(* \(#,##0.00\);_(* &quot;-&quot;??_);_(@_)"/>
    <numFmt numFmtId="165" formatCode="dd/mm/yy;@"/>
    <numFmt numFmtId="166" formatCode="_-[$Q-100A]* #,##0.00_ ;_-[$Q-100A]* \-#,##0.00\ ;_-[$Q-100A]* &quot;-&quot;??_ ;_-@_ "/>
    <numFmt numFmtId="167" formatCode="&quot;Q&quot;#,##0.00"/>
    <numFmt numFmtId="168" formatCode="_(* #,##0_);_(* \(#,##0\);_(* &quot;-&quot;??_);_(@_)"/>
    <numFmt numFmtId="169" formatCode="_-[$Q-100A]* #,##0.00_-;\-[$Q-100A]* #,##0.00_-;_-[$Q-100A]* &quot;-&quot;??_-;_-@_-"/>
  </numFmts>
  <fonts count="32" x14ac:knownFonts="1">
    <font>
      <sz val="11"/>
      <color theme="1"/>
      <name val="Calibri"/>
      <family val="2"/>
      <scheme val="minor"/>
    </font>
    <font>
      <sz val="11"/>
      <color indexed="8"/>
      <name val="Calibri"/>
      <family val="2"/>
    </font>
    <font>
      <sz val="11"/>
      <color indexed="8"/>
      <name val="Calibri"/>
      <family val="2"/>
    </font>
    <font>
      <sz val="12"/>
      <name val="Calibri"/>
      <family val="2"/>
      <scheme val="minor"/>
    </font>
    <font>
      <sz val="11"/>
      <name val="Calibri"/>
      <family val="2"/>
      <scheme val="minor"/>
    </font>
    <font>
      <sz val="12"/>
      <name val="Arial Black"/>
      <family val="2"/>
    </font>
    <font>
      <b/>
      <sz val="12"/>
      <name val="Calibri"/>
      <family val="2"/>
      <scheme val="minor"/>
    </font>
    <font>
      <b/>
      <sz val="12"/>
      <name val="Arial Black"/>
      <family val="2"/>
    </font>
    <font>
      <b/>
      <sz val="11"/>
      <name val="Calibri"/>
      <family val="2"/>
      <scheme val="minor"/>
    </font>
    <font>
      <b/>
      <u/>
      <sz val="12"/>
      <name val="Calibri"/>
      <family val="2"/>
      <scheme val="minor"/>
    </font>
    <font>
      <u/>
      <sz val="12"/>
      <name val="Calibri"/>
      <family val="2"/>
      <scheme val="minor"/>
    </font>
    <font>
      <sz val="9"/>
      <color indexed="81"/>
      <name val="Tahoma"/>
      <family val="2"/>
    </font>
    <font>
      <b/>
      <sz val="9"/>
      <color indexed="81"/>
      <name val="Tahoma"/>
      <family val="2"/>
    </font>
    <font>
      <b/>
      <sz val="8"/>
      <name val="Tahoma"/>
      <family val="2"/>
    </font>
    <font>
      <sz val="8"/>
      <name val="Tahoma"/>
      <family val="2"/>
    </font>
    <font>
      <sz val="8"/>
      <color theme="0"/>
      <name val="Tahoma"/>
      <family val="2"/>
    </font>
    <font>
      <sz val="8"/>
      <color theme="1"/>
      <name val="Tahoma"/>
      <family val="2"/>
    </font>
    <font>
      <sz val="8"/>
      <color rgb="FFFF0000"/>
      <name val="Tahoma"/>
      <family val="2"/>
    </font>
    <font>
      <b/>
      <sz val="8"/>
      <color rgb="FF0000FF"/>
      <name val="Tahoma"/>
      <family val="2"/>
    </font>
    <font>
      <b/>
      <sz val="8"/>
      <color rgb="FFFF0000"/>
      <name val="Tahoma"/>
      <family val="2"/>
    </font>
    <font>
      <sz val="8"/>
      <color rgb="FF0000FF"/>
      <name val="Tahoma"/>
      <family val="2"/>
    </font>
    <font>
      <sz val="9"/>
      <color theme="1"/>
      <name val="Tahoma"/>
      <family val="2"/>
    </font>
    <font>
      <b/>
      <sz val="9"/>
      <color theme="1"/>
      <name val="Tahoma"/>
      <family val="2"/>
    </font>
    <font>
      <sz val="8"/>
      <name val="Calibri"/>
      <family val="2"/>
      <scheme val="minor"/>
    </font>
    <font>
      <sz val="11"/>
      <color theme="1"/>
      <name val="Calibri"/>
      <family val="2"/>
      <scheme val="minor"/>
    </font>
    <font>
      <sz val="8"/>
      <color theme="1"/>
      <name val="Calibri"/>
      <family val="2"/>
      <scheme val="minor"/>
    </font>
    <font>
      <b/>
      <sz val="8"/>
      <color theme="1"/>
      <name val="Tahoma"/>
      <family val="2"/>
    </font>
    <font>
      <b/>
      <sz val="10"/>
      <name val="Tahoma"/>
      <family val="2"/>
    </font>
    <font>
      <b/>
      <sz val="9"/>
      <name val="Tahoma"/>
      <family val="2"/>
    </font>
    <font>
      <b/>
      <sz val="11.5"/>
      <name val="Calibri"/>
      <family val="2"/>
      <scheme val="minor"/>
    </font>
    <font>
      <u val="singleAccounting"/>
      <sz val="9"/>
      <color theme="1"/>
      <name val="Tahoma"/>
      <family val="2"/>
    </font>
    <font>
      <b/>
      <u val="singleAccounting"/>
      <sz val="8"/>
      <name val="Tahoma"/>
      <family val="2"/>
    </font>
  </fonts>
  <fills count="1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rgb="FF7030A0"/>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rgb="FF00B0F0"/>
        <bgColor indexed="64"/>
      </patternFill>
    </fill>
    <fill>
      <patternFill patternType="solid">
        <fgColor rgb="FF388600"/>
        <bgColor indexed="64"/>
      </patternFill>
    </fill>
    <fill>
      <patternFill patternType="solid">
        <fgColor rgb="FFFF0000"/>
        <bgColor indexed="64"/>
      </patternFill>
    </fill>
  </fills>
  <borders count="11">
    <border>
      <left/>
      <right/>
      <top/>
      <bottom/>
      <diagonal/>
    </border>
    <border>
      <left/>
      <right/>
      <top style="thin">
        <color indexed="64"/>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s>
  <cellStyleXfs count="6">
    <xf numFmtId="0" fontId="0" fillId="0" borderId="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4" fillId="0" borderId="0" applyFont="0" applyFill="0" applyBorder="0" applyAlignment="0" applyProtection="0"/>
  </cellStyleXfs>
  <cellXfs count="279">
    <xf numFmtId="0" fontId="0" fillId="0" borderId="0" xfId="0"/>
    <xf numFmtId="164" fontId="3" fillId="0" borderId="0" xfId="1" applyFont="1"/>
    <xf numFmtId="167" fontId="3" fillId="0" borderId="0" xfId="2" applyNumberFormat="1" applyFont="1"/>
    <xf numFmtId="167" fontId="5" fillId="0" borderId="0" xfId="2" applyNumberFormat="1" applyFont="1"/>
    <xf numFmtId="167" fontId="4" fillId="0" borderId="0" xfId="2" applyNumberFormat="1" applyFont="1"/>
    <xf numFmtId="167" fontId="6" fillId="0" borderId="0" xfId="2" applyNumberFormat="1" applyFont="1"/>
    <xf numFmtId="167" fontId="3" fillId="0" borderId="0" xfId="2" applyNumberFormat="1" applyFont="1" applyAlignment="1">
      <alignment horizontal="center"/>
    </xf>
    <xf numFmtId="167" fontId="7" fillId="0" borderId="0" xfId="2" applyNumberFormat="1" applyFont="1"/>
    <xf numFmtId="0" fontId="3" fillId="0" borderId="0" xfId="2" applyNumberFormat="1" applyFont="1" applyAlignment="1">
      <alignment horizontal="left"/>
    </xf>
    <xf numFmtId="167" fontId="3" fillId="0" borderId="0" xfId="2" applyNumberFormat="1" applyFont="1" applyFill="1"/>
    <xf numFmtId="167" fontId="8" fillId="0" borderId="0" xfId="2" applyNumberFormat="1" applyFont="1"/>
    <xf numFmtId="167" fontId="9" fillId="0" borderId="0" xfId="2" applyNumberFormat="1" applyFont="1"/>
    <xf numFmtId="168" fontId="3" fillId="0" borderId="0" xfId="2" applyNumberFormat="1" applyFont="1" applyAlignment="1">
      <alignment horizontal="center"/>
    </xf>
    <xf numFmtId="167" fontId="3" fillId="0" borderId="0" xfId="2" applyNumberFormat="1" applyFont="1" applyAlignment="1">
      <alignment horizontal="left"/>
    </xf>
    <xf numFmtId="167" fontId="6" fillId="2" borderId="0" xfId="2" applyNumberFormat="1" applyFont="1" applyFill="1"/>
    <xf numFmtId="167" fontId="3" fillId="0" borderId="1" xfId="2" applyNumberFormat="1" applyFont="1" applyBorder="1"/>
    <xf numFmtId="168" fontId="3" fillId="0" borderId="2" xfId="2" applyNumberFormat="1" applyFont="1" applyBorder="1" applyAlignment="1">
      <alignment horizontal="center"/>
    </xf>
    <xf numFmtId="168" fontId="3" fillId="0" borderId="3" xfId="2" applyNumberFormat="1" applyFont="1" applyBorder="1" applyAlignment="1">
      <alignment horizontal="center"/>
    </xf>
    <xf numFmtId="0" fontId="3" fillId="0" borderId="0" xfId="2" applyNumberFormat="1" applyFont="1" applyAlignment="1">
      <alignment horizontal="center"/>
    </xf>
    <xf numFmtId="49" fontId="3" fillId="0" borderId="0" xfId="2" applyNumberFormat="1" applyFont="1" applyFill="1" applyAlignment="1">
      <alignment horizontal="center"/>
    </xf>
    <xf numFmtId="49" fontId="3" fillId="0" borderId="0" xfId="2" applyNumberFormat="1" applyFont="1"/>
    <xf numFmtId="167" fontId="3" fillId="2" borderId="0" xfId="2" applyNumberFormat="1" applyFont="1" applyFill="1"/>
    <xf numFmtId="167" fontId="3" fillId="0" borderId="0" xfId="2" applyNumberFormat="1" applyFont="1" applyAlignment="1">
      <alignment horizontal="center" vertical="center"/>
    </xf>
    <xf numFmtId="169" fontId="3" fillId="0" borderId="0" xfId="2" applyNumberFormat="1" applyFont="1"/>
    <xf numFmtId="0" fontId="3" fillId="0" borderId="0" xfId="1" applyNumberFormat="1" applyFont="1"/>
    <xf numFmtId="168" fontId="3" fillId="0" borderId="0" xfId="1" applyNumberFormat="1" applyFont="1"/>
    <xf numFmtId="164" fontId="14" fillId="0" borderId="0" xfId="1" applyFont="1" applyFill="1" applyAlignment="1">
      <alignment vertical="center"/>
    </xf>
    <xf numFmtId="165" fontId="13" fillId="0" borderId="0" xfId="0" applyNumberFormat="1"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vertical="center"/>
    </xf>
    <xf numFmtId="165" fontId="14" fillId="0" borderId="0" xfId="0" applyNumberFormat="1" applyFont="1" applyAlignment="1">
      <alignment horizontal="left" vertical="center"/>
    </xf>
    <xf numFmtId="49"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right" vertical="center"/>
    </xf>
    <xf numFmtId="49" fontId="14" fillId="0" borderId="0" xfId="0" applyNumberFormat="1" applyFont="1" applyAlignment="1">
      <alignment vertical="center"/>
    </xf>
    <xf numFmtId="49" fontId="14" fillId="0" borderId="0" xfId="1" applyNumberFormat="1" applyFont="1" applyFill="1" applyAlignment="1">
      <alignment vertical="center"/>
    </xf>
    <xf numFmtId="49" fontId="14" fillId="0" borderId="0" xfId="0" applyNumberFormat="1" applyFont="1" applyAlignment="1">
      <alignment vertical="center" wrapText="1"/>
    </xf>
    <xf numFmtId="166" fontId="14" fillId="0" borderId="0" xfId="0" applyNumberFormat="1" applyFont="1" applyAlignment="1">
      <alignment vertical="center"/>
    </xf>
    <xf numFmtId="49" fontId="14" fillId="0" borderId="0" xfId="1" applyNumberFormat="1" applyFont="1" applyFill="1" applyAlignment="1">
      <alignment horizontal="center" vertical="center"/>
    </xf>
    <xf numFmtId="0" fontId="14" fillId="0" borderId="0" xfId="0" applyFont="1" applyAlignment="1">
      <alignment horizontal="center" vertical="center"/>
    </xf>
    <xf numFmtId="164" fontId="14" fillId="0" borderId="0" xfId="1" applyFont="1" applyFill="1" applyAlignment="1">
      <alignment horizontal="center" vertical="center"/>
    </xf>
    <xf numFmtId="165" fontId="13" fillId="3" borderId="0" xfId="0" applyNumberFormat="1" applyFont="1" applyFill="1" applyAlignment="1">
      <alignment horizontal="center" vertical="center"/>
    </xf>
    <xf numFmtId="49" fontId="13" fillId="3" borderId="0" xfId="0" applyNumberFormat="1" applyFont="1" applyFill="1" applyAlignment="1">
      <alignment horizontal="center" vertical="center"/>
    </xf>
    <xf numFmtId="49" fontId="13" fillId="3" borderId="0" xfId="0" applyNumberFormat="1" applyFont="1" applyFill="1" applyAlignment="1">
      <alignment horizontal="center" vertical="center" wrapText="1"/>
    </xf>
    <xf numFmtId="49" fontId="13" fillId="3" borderId="0" xfId="1" applyNumberFormat="1" applyFont="1" applyFill="1" applyAlignment="1">
      <alignment horizontal="center" vertical="center"/>
    </xf>
    <xf numFmtId="0" fontId="13" fillId="3" borderId="0" xfId="0" applyFont="1" applyFill="1" applyAlignment="1">
      <alignment horizontal="left" vertical="center"/>
    </xf>
    <xf numFmtId="0" fontId="13" fillId="3" borderId="0" xfId="0" applyFont="1" applyFill="1" applyAlignment="1">
      <alignment horizontal="center" vertical="center"/>
    </xf>
    <xf numFmtId="166" fontId="13" fillId="3" borderId="0" xfId="1" applyNumberFormat="1" applyFont="1" applyFill="1" applyAlignment="1">
      <alignment horizontal="center" vertical="center"/>
    </xf>
    <xf numFmtId="0" fontId="13" fillId="3" borderId="0" xfId="0" applyFont="1" applyFill="1" applyAlignment="1">
      <alignment vertical="center"/>
    </xf>
    <xf numFmtId="166" fontId="13" fillId="3" borderId="0" xfId="0" applyNumberFormat="1" applyFont="1" applyFill="1" applyAlignment="1">
      <alignment vertical="center"/>
    </xf>
    <xf numFmtId="0" fontId="15"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14" fontId="17" fillId="0" borderId="0" xfId="0" applyNumberFormat="1" applyFont="1" applyAlignment="1">
      <alignment horizontal="center" vertical="center"/>
    </xf>
    <xf numFmtId="0" fontId="20" fillId="0" borderId="4" xfId="0" applyFont="1" applyBorder="1" applyAlignment="1">
      <alignment horizontal="center" vertical="center"/>
    </xf>
    <xf numFmtId="0" fontId="17" fillId="4" borderId="0" xfId="0" applyFont="1" applyFill="1" applyAlignment="1">
      <alignment horizontal="center" vertical="center"/>
    </xf>
    <xf numFmtId="0" fontId="17" fillId="4" borderId="0" xfId="0" applyFont="1" applyFill="1" applyAlignment="1">
      <alignment horizontal="center" vertical="center" textRotation="90"/>
    </xf>
    <xf numFmtId="14" fontId="17" fillId="4" borderId="0" xfId="0" applyNumberFormat="1" applyFont="1" applyFill="1" applyAlignment="1">
      <alignment horizontal="center" vertical="center"/>
    </xf>
    <xf numFmtId="49" fontId="13" fillId="3" borderId="0" xfId="0" applyNumberFormat="1" applyFont="1" applyFill="1" applyAlignment="1">
      <alignment vertical="center"/>
    </xf>
    <xf numFmtId="0" fontId="21" fillId="0" borderId="0" xfId="0" applyFont="1" applyAlignment="1">
      <alignment horizontal="left" vertical="center"/>
    </xf>
    <xf numFmtId="0" fontId="21" fillId="0" borderId="0" xfId="0" applyFont="1" applyAlignment="1">
      <alignment vertical="center"/>
    </xf>
    <xf numFmtId="49" fontId="21" fillId="2" borderId="4" xfId="1" applyNumberFormat="1" applyFont="1" applyFill="1" applyBorder="1" applyAlignment="1">
      <alignment horizontal="left" vertical="center"/>
    </xf>
    <xf numFmtId="164" fontId="21" fillId="0" borderId="0" xfId="1" applyFont="1" applyFill="1" applyAlignment="1">
      <alignment vertical="center"/>
    </xf>
    <xf numFmtId="49" fontId="21" fillId="0" borderId="4" xfId="1" applyNumberFormat="1" applyFont="1" applyBorder="1" applyAlignment="1">
      <alignment horizontal="left" vertical="center"/>
    </xf>
    <xf numFmtId="0" fontId="22" fillId="0" borderId="4" xfId="0" applyFont="1" applyBorder="1" applyAlignment="1">
      <alignment horizontal="center" vertical="center"/>
    </xf>
    <xf numFmtId="0" fontId="21" fillId="0" borderId="4" xfId="0" applyFont="1" applyBorder="1" applyAlignment="1">
      <alignment horizontal="left" vertical="center"/>
    </xf>
    <xf numFmtId="49" fontId="21" fillId="0" borderId="4" xfId="1" applyNumberFormat="1" applyFont="1" applyBorder="1" applyAlignment="1">
      <alignment horizontal="right" vertical="center"/>
    </xf>
    <xf numFmtId="164" fontId="21" fillId="0" borderId="4" xfId="1" applyFont="1" applyBorder="1" applyAlignment="1">
      <alignment horizontal="center" vertical="center"/>
    </xf>
    <xf numFmtId="164" fontId="21" fillId="0" borderId="0" xfId="1" applyFont="1" applyBorder="1" applyAlignment="1">
      <alignment horizontal="right" vertical="center"/>
    </xf>
    <xf numFmtId="164" fontId="21" fillId="0" borderId="0" xfId="1" applyFont="1" applyBorder="1" applyAlignment="1">
      <alignment horizontal="center" vertical="center"/>
    </xf>
    <xf numFmtId="164" fontId="21" fillId="0" borderId="0" xfId="1" applyFont="1" applyAlignment="1">
      <alignment vertical="center"/>
    </xf>
    <xf numFmtId="164" fontId="21" fillId="2" borderId="10" xfId="1" applyFont="1" applyFill="1" applyBorder="1" applyAlignment="1">
      <alignment vertical="center"/>
    </xf>
    <xf numFmtId="0" fontId="13" fillId="0" borderId="0" xfId="0" applyFont="1" applyAlignment="1">
      <alignment vertical="center"/>
    </xf>
    <xf numFmtId="166" fontId="13" fillId="0" borderId="0" xfId="0" applyNumberFormat="1" applyFont="1" applyAlignment="1">
      <alignment vertical="center"/>
    </xf>
    <xf numFmtId="14" fontId="0" fillId="0" borderId="0" xfId="0" applyNumberFormat="1"/>
    <xf numFmtId="0" fontId="18" fillId="5" borderId="0" xfId="0" applyFont="1" applyFill="1" applyAlignment="1">
      <alignment horizontal="center" vertical="center"/>
    </xf>
    <xf numFmtId="0" fontId="20" fillId="5" borderId="4" xfId="0" applyFont="1" applyFill="1" applyBorder="1" applyAlignment="1">
      <alignment horizontal="center" vertical="center"/>
    </xf>
    <xf numFmtId="0" fontId="16" fillId="5" borderId="0" xfId="0" applyFont="1" applyFill="1" applyAlignment="1">
      <alignment horizontal="center" vertical="center"/>
    </xf>
    <xf numFmtId="0" fontId="16" fillId="5" borderId="0" xfId="0" applyFont="1" applyFill="1" applyAlignment="1">
      <alignment horizontal="center" vertical="top"/>
    </xf>
    <xf numFmtId="0" fontId="20" fillId="5" borderId="4" xfId="0" applyFont="1" applyFill="1" applyBorder="1" applyAlignment="1">
      <alignment horizontal="center" vertical="center" textRotation="90"/>
    </xf>
    <xf numFmtId="0" fontId="14" fillId="0" borderId="5" xfId="0" applyFont="1" applyBorder="1" applyAlignment="1">
      <alignment horizontal="left" vertical="center"/>
    </xf>
    <xf numFmtId="0" fontId="20" fillId="0" borderId="0" xfId="0" applyFont="1" applyAlignment="1">
      <alignment horizontal="center" vertical="center"/>
    </xf>
    <xf numFmtId="0" fontId="20" fillId="0" borderId="4" xfId="0" applyFont="1" applyBorder="1" applyAlignment="1">
      <alignment horizontal="center" vertical="center" textRotation="90"/>
    </xf>
    <xf numFmtId="0" fontId="20" fillId="0" borderId="4" xfId="0" applyFont="1" applyBorder="1" applyAlignment="1">
      <alignment horizontal="center" vertical="center" textRotation="90" wrapText="1"/>
    </xf>
    <xf numFmtId="0" fontId="17" fillId="0" borderId="2" xfId="0" applyFont="1" applyBorder="1" applyAlignment="1">
      <alignment horizontal="center" vertical="center"/>
    </xf>
    <xf numFmtId="0" fontId="17" fillId="0" borderId="4" xfId="0" applyFont="1" applyBorder="1" applyAlignment="1">
      <alignment horizontal="center" vertical="center" textRotation="90" wrapText="1"/>
    </xf>
    <xf numFmtId="0" fontId="17" fillId="0" borderId="4" xfId="0" applyFont="1" applyBorder="1" applyAlignment="1">
      <alignment horizontal="center" vertical="center" textRotation="90"/>
    </xf>
    <xf numFmtId="0" fontId="17" fillId="0" borderId="4" xfId="0" applyFont="1" applyBorder="1" applyAlignment="1">
      <alignment horizontal="center" vertical="center"/>
    </xf>
    <xf numFmtId="166" fontId="13" fillId="0" borderId="10" xfId="0" applyNumberFormat="1" applyFont="1" applyBorder="1" applyAlignment="1">
      <alignment vertical="center"/>
    </xf>
    <xf numFmtId="166" fontId="13" fillId="0" borderId="0" xfId="0" applyNumberFormat="1" applyFont="1" applyAlignment="1">
      <alignment horizontal="center" vertical="center"/>
    </xf>
    <xf numFmtId="166" fontId="13" fillId="0" borderId="0" xfId="1" applyNumberFormat="1" applyFont="1" applyFill="1" applyAlignment="1">
      <alignment vertical="center"/>
    </xf>
    <xf numFmtId="167" fontId="6" fillId="0" borderId="0" xfId="2" applyNumberFormat="1" applyFont="1" applyFill="1"/>
    <xf numFmtId="44" fontId="3" fillId="0" borderId="0" xfId="5" applyFont="1"/>
    <xf numFmtId="44" fontId="3" fillId="0" borderId="0" xfId="5" applyFont="1" applyAlignment="1">
      <alignment horizontal="center"/>
    </xf>
    <xf numFmtId="44" fontId="6" fillId="0" borderId="0" xfId="5" applyFont="1"/>
    <xf numFmtId="0" fontId="25" fillId="0" borderId="6" xfId="0" applyFont="1" applyBorder="1" applyAlignment="1">
      <alignment vertical="center" wrapText="1"/>
    </xf>
    <xf numFmtId="0" fontId="25" fillId="5" borderId="6" xfId="0" applyFont="1" applyFill="1" applyBorder="1" applyAlignment="1">
      <alignment vertical="center" wrapText="1"/>
    </xf>
    <xf numFmtId="0" fontId="25" fillId="0" borderId="7" xfId="0" applyFont="1" applyBorder="1" applyAlignment="1">
      <alignment vertical="center" wrapText="1"/>
    </xf>
    <xf numFmtId="0" fontId="25" fillId="4" borderId="0" xfId="0" applyFont="1" applyFill="1" applyAlignment="1">
      <alignment vertical="center" wrapText="1"/>
    </xf>
    <xf numFmtId="0" fontId="25" fillId="0" borderId="0" xfId="0" applyFont="1" applyAlignment="1">
      <alignment vertical="center" wrapText="1"/>
    </xf>
    <xf numFmtId="0" fontId="3" fillId="0" borderId="0" xfId="2" applyNumberFormat="1" applyFont="1"/>
    <xf numFmtId="0" fontId="3" fillId="0" borderId="0" xfId="2" applyNumberFormat="1" applyFont="1" applyFill="1"/>
    <xf numFmtId="0" fontId="3" fillId="0" borderId="0" xfId="2" applyNumberFormat="1" applyFont="1" applyFill="1" applyAlignment="1">
      <alignment horizontal="center"/>
    </xf>
    <xf numFmtId="0" fontId="6" fillId="0" borderId="0" xfId="2" applyNumberFormat="1" applyFont="1"/>
    <xf numFmtId="0" fontId="3" fillId="0" borderId="2" xfId="2" applyNumberFormat="1" applyFont="1" applyBorder="1" applyAlignment="1">
      <alignment horizontal="center"/>
    </xf>
    <xf numFmtId="0" fontId="3" fillId="0" borderId="3" xfId="2" applyNumberFormat="1" applyFont="1" applyBorder="1" applyAlignment="1">
      <alignment horizontal="center"/>
    </xf>
    <xf numFmtId="49" fontId="21" fillId="0" borderId="4" xfId="2" applyNumberFormat="1" applyFont="1" applyBorder="1" applyAlignment="1">
      <alignment horizontal="left" vertical="center"/>
    </xf>
    <xf numFmtId="49" fontId="21" fillId="0" borderId="4" xfId="2" applyNumberFormat="1" applyFont="1" applyBorder="1" applyAlignment="1">
      <alignment horizontal="right" vertical="center"/>
    </xf>
    <xf numFmtId="164" fontId="21" fillId="0" borderId="4" xfId="2" applyFont="1" applyBorder="1" applyAlignment="1">
      <alignment horizontal="center" vertical="center"/>
    </xf>
    <xf numFmtId="164" fontId="21" fillId="0" borderId="0" xfId="2" applyFont="1" applyFill="1" applyAlignment="1">
      <alignment vertical="center"/>
    </xf>
    <xf numFmtId="164" fontId="22" fillId="0" borderId="0" xfId="2" applyFont="1" applyFill="1" applyAlignment="1">
      <alignment vertical="center"/>
    </xf>
    <xf numFmtId="164" fontId="21" fillId="0" borderId="0" xfId="2" applyFont="1" applyAlignment="1">
      <alignment vertical="center"/>
    </xf>
    <xf numFmtId="44" fontId="21" fillId="2" borderId="10" xfId="5" applyFont="1" applyFill="1" applyBorder="1" applyAlignment="1">
      <alignment vertical="center"/>
    </xf>
    <xf numFmtId="49" fontId="14" fillId="0" borderId="0" xfId="1" applyNumberFormat="1" applyFont="1" applyFill="1" applyBorder="1" applyAlignment="1">
      <alignment vertical="center"/>
    </xf>
    <xf numFmtId="164" fontId="14" fillId="0" borderId="0" xfId="1" applyFont="1" applyFill="1" applyBorder="1" applyAlignment="1">
      <alignment vertical="center"/>
    </xf>
    <xf numFmtId="164" fontId="21" fillId="0" borderId="0" xfId="2" applyFont="1" applyFill="1" applyBorder="1" applyAlignment="1">
      <alignment vertical="center"/>
    </xf>
    <xf numFmtId="49" fontId="21" fillId="0" borderId="0" xfId="2" applyNumberFormat="1" applyFont="1" applyFill="1" applyBorder="1" applyAlignment="1">
      <alignment horizontal="left" vertical="center"/>
    </xf>
    <xf numFmtId="0" fontId="22" fillId="0" borderId="0" xfId="0" applyFont="1" applyAlignment="1">
      <alignment horizontal="center" vertical="center"/>
    </xf>
    <xf numFmtId="49" fontId="21" fillId="0" borderId="0" xfId="2" applyNumberFormat="1" applyFont="1" applyFill="1" applyBorder="1" applyAlignment="1">
      <alignment horizontal="right" vertical="center"/>
    </xf>
    <xf numFmtId="164" fontId="21" fillId="0" borderId="0" xfId="2" applyFont="1" applyFill="1" applyBorder="1" applyAlignment="1">
      <alignment horizontal="center" vertical="center"/>
    </xf>
    <xf numFmtId="49" fontId="14" fillId="0" borderId="0" xfId="0" applyNumberFormat="1" applyFont="1"/>
    <xf numFmtId="44" fontId="14" fillId="0" borderId="0" xfId="0" applyNumberFormat="1" applyFont="1" applyAlignment="1">
      <alignment vertical="center"/>
    </xf>
    <xf numFmtId="49" fontId="14" fillId="0" borderId="0" xfId="2" applyNumberFormat="1" applyFont="1" applyFill="1" applyAlignment="1">
      <alignment vertical="center"/>
    </xf>
    <xf numFmtId="164" fontId="14" fillId="0" borderId="0" xfId="2" applyFont="1" applyFill="1" applyAlignment="1">
      <alignment vertical="center"/>
    </xf>
    <xf numFmtId="49" fontId="16" fillId="0" borderId="0" xfId="2" applyNumberFormat="1" applyFont="1" applyFill="1" applyBorder="1" applyAlignment="1">
      <alignment vertical="center"/>
    </xf>
    <xf numFmtId="164" fontId="16" fillId="0" borderId="0" xfId="2" applyFont="1" applyFill="1" applyBorder="1" applyAlignment="1">
      <alignment vertical="center"/>
    </xf>
    <xf numFmtId="49" fontId="16" fillId="0" borderId="0" xfId="2" applyNumberFormat="1" applyFont="1" applyFill="1" applyBorder="1" applyAlignment="1"/>
    <xf numFmtId="0" fontId="16" fillId="0" borderId="0" xfId="2" applyNumberFormat="1" applyFont="1" applyFill="1" applyBorder="1" applyAlignment="1">
      <alignment vertical="center"/>
    </xf>
    <xf numFmtId="0" fontId="16" fillId="0" borderId="0" xfId="2" applyNumberFormat="1" applyFont="1" applyFill="1" applyBorder="1" applyAlignment="1"/>
    <xf numFmtId="49" fontId="14" fillId="0" borderId="0" xfId="0" applyNumberFormat="1" applyFont="1" applyAlignment="1">
      <alignment wrapText="1"/>
    </xf>
    <xf numFmtId="49" fontId="16" fillId="0" borderId="0" xfId="2" applyNumberFormat="1" applyFont="1" applyFill="1" applyBorder="1" applyAlignment="1">
      <alignment horizontal="left"/>
    </xf>
    <xf numFmtId="0" fontId="14" fillId="0" borderId="0" xfId="0" applyFont="1"/>
    <xf numFmtId="0" fontId="16" fillId="0" borderId="0" xfId="2" applyNumberFormat="1" applyFont="1" applyFill="1" applyBorder="1" applyAlignment="1">
      <alignment horizontal="center"/>
    </xf>
    <xf numFmtId="0" fontId="16" fillId="0" borderId="0" xfId="5" applyNumberFormat="1" applyFont="1" applyFill="1" applyBorder="1" applyAlignment="1"/>
    <xf numFmtId="0" fontId="16" fillId="0" borderId="0" xfId="2" applyNumberFormat="1" applyFont="1" applyFill="1" applyBorder="1" applyAlignment="1">
      <alignment horizontal="right"/>
    </xf>
    <xf numFmtId="0" fontId="21" fillId="0" borderId="0" xfId="2" applyNumberFormat="1" applyFont="1" applyFill="1" applyBorder="1" applyAlignment="1">
      <alignment horizontal="right"/>
    </xf>
    <xf numFmtId="0" fontId="21" fillId="0" borderId="0" xfId="2" applyNumberFormat="1" applyFont="1" applyFill="1" applyBorder="1" applyAlignment="1">
      <alignment horizontal="center"/>
    </xf>
    <xf numFmtId="0" fontId="21" fillId="0" borderId="0" xfId="2" applyNumberFormat="1" applyFont="1" applyFill="1" applyBorder="1" applyAlignment="1"/>
    <xf numFmtId="49" fontId="16" fillId="0" borderId="0" xfId="2" applyNumberFormat="1" applyFont="1" applyFill="1" applyBorder="1" applyAlignment="1">
      <alignment vertical="center" wrapText="1"/>
    </xf>
    <xf numFmtId="0" fontId="16" fillId="0" borderId="0" xfId="0" applyFont="1" applyAlignment="1">
      <alignment horizontal="center"/>
    </xf>
    <xf numFmtId="166" fontId="13" fillId="6" borderId="0" xfId="0" applyNumberFormat="1" applyFont="1" applyFill="1" applyAlignment="1">
      <alignment vertical="center"/>
    </xf>
    <xf numFmtId="165" fontId="13" fillId="6" borderId="0" xfId="0" applyNumberFormat="1" applyFont="1" applyFill="1" applyAlignment="1">
      <alignment horizontal="center" vertical="center"/>
    </xf>
    <xf numFmtId="0" fontId="13" fillId="6" borderId="0" xfId="0" applyFont="1" applyFill="1" applyAlignment="1">
      <alignment horizontal="right" vertical="center"/>
    </xf>
    <xf numFmtId="49" fontId="13" fillId="6" borderId="0" xfId="0" applyNumberFormat="1" applyFont="1" applyFill="1" applyAlignment="1">
      <alignment vertical="center"/>
    </xf>
    <xf numFmtId="49" fontId="26" fillId="6" borderId="0" xfId="2" applyNumberFormat="1" applyFont="1" applyFill="1" applyBorder="1" applyAlignment="1">
      <alignment horizontal="left"/>
    </xf>
    <xf numFmtId="0" fontId="13" fillId="6" borderId="0" xfId="0" applyFont="1" applyFill="1" applyAlignment="1">
      <alignment vertical="center"/>
    </xf>
    <xf numFmtId="0" fontId="13" fillId="6" borderId="0" xfId="0" applyFont="1" applyFill="1"/>
    <xf numFmtId="49" fontId="26" fillId="6" borderId="0" xfId="2" applyNumberFormat="1" applyFont="1" applyFill="1" applyBorder="1" applyAlignment="1"/>
    <xf numFmtId="165" fontId="14" fillId="7" borderId="0" xfId="0" applyNumberFormat="1" applyFont="1" applyFill="1" applyAlignment="1">
      <alignment horizontal="center" vertical="center"/>
    </xf>
    <xf numFmtId="0" fontId="14" fillId="7" borderId="0" xfId="0" applyFont="1" applyFill="1" applyAlignment="1">
      <alignment horizontal="right" vertical="center"/>
    </xf>
    <xf numFmtId="49" fontId="14" fillId="7" borderId="0" xfId="0" applyNumberFormat="1" applyFont="1" applyFill="1" applyAlignment="1">
      <alignment vertical="center"/>
    </xf>
    <xf numFmtId="49" fontId="14" fillId="7" borderId="0" xfId="0" applyNumberFormat="1" applyFont="1" applyFill="1" applyAlignment="1">
      <alignment vertical="center" wrapText="1"/>
    </xf>
    <xf numFmtId="0" fontId="14" fillId="7" borderId="0" xfId="0" applyFont="1" applyFill="1" applyAlignment="1">
      <alignment vertical="center"/>
    </xf>
    <xf numFmtId="166" fontId="14" fillId="7" borderId="0" xfId="0" applyNumberFormat="1" applyFont="1" applyFill="1" applyAlignment="1">
      <alignment vertical="center"/>
    </xf>
    <xf numFmtId="166" fontId="13" fillId="7" borderId="0" xfId="0" applyNumberFormat="1" applyFont="1" applyFill="1" applyAlignment="1">
      <alignment vertical="center"/>
    </xf>
    <xf numFmtId="49" fontId="13" fillId="6" borderId="0" xfId="0" applyNumberFormat="1" applyFont="1" applyFill="1" applyAlignment="1">
      <alignment vertical="center" wrapText="1"/>
    </xf>
    <xf numFmtId="49" fontId="14" fillId="0" borderId="0" xfId="2" applyNumberFormat="1" applyFont="1" applyFill="1" applyBorder="1" applyAlignment="1">
      <alignment vertical="center"/>
    </xf>
    <xf numFmtId="164" fontId="14" fillId="0" borderId="0" xfId="2" applyFont="1" applyFill="1" applyBorder="1" applyAlignment="1">
      <alignment vertical="center"/>
    </xf>
    <xf numFmtId="44" fontId="21" fillId="0" borderId="0" xfId="5" applyFont="1" applyFill="1" applyBorder="1" applyAlignment="1">
      <alignment vertical="center"/>
    </xf>
    <xf numFmtId="49" fontId="14" fillId="0" borderId="0" xfId="2" applyNumberFormat="1" applyFont="1" applyFill="1" applyBorder="1" applyAlignment="1"/>
    <xf numFmtId="0" fontId="14" fillId="0" borderId="0" xfId="2" applyNumberFormat="1" applyFont="1" applyFill="1" applyBorder="1" applyAlignment="1"/>
    <xf numFmtId="0" fontId="14" fillId="0" borderId="0" xfId="2" applyNumberFormat="1" applyFont="1" applyFill="1" applyBorder="1" applyAlignment="1">
      <alignment horizontal="center"/>
    </xf>
    <xf numFmtId="164" fontId="13" fillId="6" borderId="0" xfId="2" applyFont="1" applyFill="1" applyBorder="1" applyAlignment="1">
      <alignment vertical="center"/>
    </xf>
    <xf numFmtId="49" fontId="14" fillId="7" borderId="0" xfId="2" applyNumberFormat="1" applyFont="1" applyFill="1" applyBorder="1" applyAlignment="1">
      <alignment vertical="center"/>
    </xf>
    <xf numFmtId="164" fontId="14" fillId="7" borderId="0" xfId="2" applyFont="1" applyFill="1" applyBorder="1" applyAlignment="1">
      <alignment vertical="center"/>
    </xf>
    <xf numFmtId="49" fontId="13" fillId="6" borderId="0" xfId="2" applyNumberFormat="1" applyFont="1" applyFill="1" applyAlignment="1">
      <alignment vertical="center"/>
    </xf>
    <xf numFmtId="164" fontId="13" fillId="6" borderId="0" xfId="2" applyFont="1" applyFill="1" applyAlignment="1">
      <alignment vertical="center"/>
    </xf>
    <xf numFmtId="49" fontId="21" fillId="0" borderId="0" xfId="2" applyNumberFormat="1" applyFont="1" applyBorder="1" applyAlignment="1">
      <alignment horizontal="right" vertical="center"/>
    </xf>
    <xf numFmtId="164" fontId="21" fillId="0" borderId="0" xfId="2" applyFont="1" applyBorder="1" applyAlignment="1">
      <alignment horizontal="center" vertical="center"/>
    </xf>
    <xf numFmtId="49" fontId="13" fillId="6" borderId="0" xfId="1" applyNumberFormat="1" applyFont="1" applyFill="1" applyAlignment="1">
      <alignment vertical="center"/>
    </xf>
    <xf numFmtId="164" fontId="13" fillId="6" borderId="0" xfId="1" applyFont="1" applyFill="1" applyAlignment="1">
      <alignment vertical="center"/>
    </xf>
    <xf numFmtId="166" fontId="14" fillId="0" borderId="0" xfId="0" quotePrefix="1" applyNumberFormat="1" applyFont="1" applyAlignment="1">
      <alignment vertical="center"/>
    </xf>
    <xf numFmtId="0" fontId="21" fillId="0" borderId="0" xfId="0" applyFont="1" applyAlignment="1">
      <alignment horizontal="center" vertical="center"/>
    </xf>
    <xf numFmtId="164" fontId="14" fillId="0" borderId="0" xfId="1" quotePrefix="1" applyFont="1" applyFill="1" applyAlignment="1">
      <alignment vertical="center"/>
    </xf>
    <xf numFmtId="166" fontId="13" fillId="9" borderId="0" xfId="0" applyNumberFormat="1" applyFont="1" applyFill="1" applyAlignment="1">
      <alignment vertical="center"/>
    </xf>
    <xf numFmtId="165" fontId="13" fillId="9" borderId="0" xfId="0" applyNumberFormat="1" applyFont="1" applyFill="1" applyAlignment="1">
      <alignment horizontal="center" vertical="center"/>
    </xf>
    <xf numFmtId="0" fontId="13" fillId="9" borderId="0" xfId="0" applyFont="1" applyFill="1" applyAlignment="1">
      <alignment horizontal="right" vertical="center"/>
    </xf>
    <xf numFmtId="49" fontId="13" fillId="9" borderId="0" xfId="0" applyNumberFormat="1" applyFont="1" applyFill="1" applyAlignment="1">
      <alignment vertical="center"/>
    </xf>
    <xf numFmtId="49" fontId="13" fillId="9" borderId="0" xfId="0" applyNumberFormat="1" applyFont="1" applyFill="1" applyAlignment="1">
      <alignment vertical="center" wrapText="1"/>
    </xf>
    <xf numFmtId="49" fontId="13" fillId="9" borderId="0" xfId="1" applyNumberFormat="1" applyFont="1" applyFill="1" applyAlignment="1">
      <alignment vertical="center"/>
    </xf>
    <xf numFmtId="0" fontId="13" fillId="9" borderId="0" xfId="0" applyFont="1" applyFill="1" applyAlignment="1">
      <alignment vertical="center"/>
    </xf>
    <xf numFmtId="164" fontId="13" fillId="9" borderId="0" xfId="1" applyFont="1" applyFill="1" applyAlignment="1">
      <alignment vertical="center"/>
    </xf>
    <xf numFmtId="166" fontId="13" fillId="8" borderId="0" xfId="0" applyNumberFormat="1" applyFont="1" applyFill="1" applyAlignment="1">
      <alignment vertical="center"/>
    </xf>
    <xf numFmtId="165" fontId="13" fillId="8" borderId="0" xfId="0" applyNumberFormat="1" applyFont="1" applyFill="1" applyAlignment="1">
      <alignment horizontal="center" vertical="center"/>
    </xf>
    <xf numFmtId="0" fontId="13" fillId="8" borderId="0" xfId="0" applyFont="1" applyFill="1" applyAlignment="1">
      <alignment horizontal="right" vertical="center"/>
    </xf>
    <xf numFmtId="49" fontId="13" fillId="8" borderId="0" xfId="0" applyNumberFormat="1" applyFont="1" applyFill="1" applyAlignment="1">
      <alignment vertical="center"/>
    </xf>
    <xf numFmtId="49" fontId="13" fillId="8" borderId="0" xfId="0" applyNumberFormat="1" applyFont="1" applyFill="1" applyAlignment="1">
      <alignment vertical="center" wrapText="1"/>
    </xf>
    <xf numFmtId="49" fontId="13" fillId="8" borderId="0" xfId="1" applyNumberFormat="1" applyFont="1" applyFill="1" applyAlignment="1">
      <alignment vertical="center"/>
    </xf>
    <xf numFmtId="0" fontId="13" fillId="8" borderId="0" xfId="0" applyFont="1" applyFill="1" applyAlignment="1">
      <alignment vertical="center"/>
    </xf>
    <xf numFmtId="164" fontId="13" fillId="8" borderId="0" xfId="1" applyFont="1" applyFill="1" applyAlignment="1">
      <alignment vertical="center"/>
    </xf>
    <xf numFmtId="166" fontId="13" fillId="4" borderId="0" xfId="0" applyNumberFormat="1" applyFont="1" applyFill="1" applyAlignment="1">
      <alignment vertical="center"/>
    </xf>
    <xf numFmtId="165" fontId="13" fillId="4" borderId="0" xfId="0" applyNumberFormat="1" applyFont="1" applyFill="1" applyAlignment="1">
      <alignment horizontal="center" vertical="center"/>
    </xf>
    <xf numFmtId="0" fontId="13" fillId="4" borderId="0" xfId="0" applyFont="1" applyFill="1" applyAlignment="1">
      <alignment horizontal="right" vertical="center"/>
    </xf>
    <xf numFmtId="49" fontId="13" fillId="4" borderId="0" xfId="0" applyNumberFormat="1" applyFont="1" applyFill="1" applyAlignment="1">
      <alignment vertical="center"/>
    </xf>
    <xf numFmtId="49" fontId="13" fillId="4" borderId="0" xfId="0" applyNumberFormat="1" applyFont="1" applyFill="1" applyAlignment="1">
      <alignment vertical="center" wrapText="1"/>
    </xf>
    <xf numFmtId="49" fontId="13" fillId="4" borderId="0" xfId="1" applyNumberFormat="1" applyFont="1" applyFill="1" applyAlignment="1">
      <alignment vertical="center"/>
    </xf>
    <xf numFmtId="0" fontId="13" fillId="4" borderId="0" xfId="0" applyFont="1" applyFill="1" applyAlignment="1">
      <alignment vertical="center"/>
    </xf>
    <xf numFmtId="164" fontId="13" fillId="4" borderId="0" xfId="1" applyFont="1" applyFill="1" applyAlignment="1">
      <alignment vertical="center"/>
    </xf>
    <xf numFmtId="165" fontId="13" fillId="10" borderId="0" xfId="0" applyNumberFormat="1" applyFont="1" applyFill="1" applyAlignment="1">
      <alignment horizontal="center" vertical="center"/>
    </xf>
    <xf numFmtId="0" fontId="13" fillId="10" borderId="0" xfId="0" applyFont="1" applyFill="1" applyAlignment="1">
      <alignment horizontal="right" vertical="center"/>
    </xf>
    <xf numFmtId="49" fontId="13" fillId="10" borderId="0" xfId="0" applyNumberFormat="1" applyFont="1" applyFill="1" applyAlignment="1">
      <alignment vertical="center"/>
    </xf>
    <xf numFmtId="49" fontId="13" fillId="10" borderId="0" xfId="0" applyNumberFormat="1" applyFont="1" applyFill="1" applyAlignment="1">
      <alignment vertical="center" wrapText="1"/>
    </xf>
    <xf numFmtId="49" fontId="13" fillId="10" borderId="0" xfId="1" applyNumberFormat="1" applyFont="1" applyFill="1" applyAlignment="1">
      <alignment vertical="center"/>
    </xf>
    <xf numFmtId="0" fontId="13" fillId="10" borderId="0" xfId="0" applyFont="1" applyFill="1" applyAlignment="1">
      <alignment vertical="center"/>
    </xf>
    <xf numFmtId="164" fontId="13" fillId="10" borderId="0" xfId="1" applyFont="1" applyFill="1" applyAlignment="1">
      <alignment vertical="center"/>
    </xf>
    <xf numFmtId="166" fontId="13" fillId="10" borderId="0" xfId="0" applyNumberFormat="1" applyFont="1" applyFill="1" applyAlignment="1">
      <alignment vertical="center"/>
    </xf>
    <xf numFmtId="0" fontId="14" fillId="10" borderId="0" xfId="0" applyFont="1" applyFill="1" applyAlignment="1">
      <alignment vertical="center"/>
    </xf>
    <xf numFmtId="0" fontId="15" fillId="10" borderId="0" xfId="0" applyFont="1" applyFill="1" applyAlignment="1">
      <alignment vertical="center"/>
    </xf>
    <xf numFmtId="0" fontId="16" fillId="10" borderId="0" xfId="0" applyFont="1" applyFill="1" applyAlignment="1">
      <alignment horizontal="center" vertical="center"/>
    </xf>
    <xf numFmtId="0" fontId="17" fillId="10" borderId="0" xfId="0" applyFont="1" applyFill="1" applyAlignment="1">
      <alignment horizontal="center" vertical="center"/>
    </xf>
    <xf numFmtId="169" fontId="13" fillId="0" borderId="0" xfId="0" applyNumberFormat="1" applyFont="1" applyAlignment="1">
      <alignment vertical="center"/>
    </xf>
    <xf numFmtId="44" fontId="14" fillId="11" borderId="0" xfId="1" applyNumberFormat="1" applyFont="1" applyFill="1" applyAlignment="1">
      <alignment vertical="center"/>
    </xf>
    <xf numFmtId="165" fontId="14" fillId="11" borderId="0" xfId="0" applyNumberFormat="1" applyFont="1" applyFill="1" applyAlignment="1">
      <alignment horizontal="center" vertical="center"/>
    </xf>
    <xf numFmtId="0" fontId="14" fillId="11" borderId="0" xfId="0" applyFont="1" applyFill="1" applyAlignment="1">
      <alignment horizontal="right" vertical="center"/>
    </xf>
    <xf numFmtId="49" fontId="14" fillId="11" borderId="0" xfId="0" applyNumberFormat="1" applyFont="1" applyFill="1" applyAlignment="1">
      <alignment vertical="center"/>
    </xf>
    <xf numFmtId="49" fontId="14" fillId="11" borderId="0" xfId="0" applyNumberFormat="1" applyFont="1" applyFill="1" applyAlignment="1">
      <alignment vertical="center" wrapText="1"/>
    </xf>
    <xf numFmtId="0" fontId="14" fillId="11" borderId="0" xfId="0" applyFont="1" applyFill="1" applyAlignment="1">
      <alignment vertical="center"/>
    </xf>
    <xf numFmtId="49" fontId="14" fillId="0" borderId="0" xfId="2" applyNumberFormat="1" applyFont="1" applyFill="1" applyAlignment="1">
      <alignment horizontal="center" vertical="center"/>
    </xf>
    <xf numFmtId="49" fontId="26" fillId="6" borderId="0" xfId="0" applyNumberFormat="1" applyFont="1" applyFill="1" applyAlignment="1">
      <alignment horizontal="center"/>
    </xf>
    <xf numFmtId="49" fontId="13" fillId="12" borderId="0" xfId="0" applyNumberFormat="1" applyFont="1" applyFill="1" applyAlignment="1">
      <alignment vertical="center"/>
    </xf>
    <xf numFmtId="49" fontId="13" fillId="12" borderId="0" xfId="0" applyNumberFormat="1" applyFont="1" applyFill="1" applyAlignment="1">
      <alignment vertical="center" wrapText="1"/>
    </xf>
    <xf numFmtId="49" fontId="13" fillId="12" borderId="0" xfId="1" applyNumberFormat="1" applyFont="1" applyFill="1" applyAlignment="1">
      <alignment vertical="center"/>
    </xf>
    <xf numFmtId="0" fontId="13" fillId="12" borderId="0" xfId="0" applyFont="1" applyFill="1" applyAlignment="1">
      <alignment vertical="center"/>
    </xf>
    <xf numFmtId="164" fontId="13" fillId="12" borderId="0" xfId="1" applyFont="1" applyFill="1" applyAlignment="1">
      <alignment vertical="center"/>
    </xf>
    <xf numFmtId="166" fontId="13" fillId="12" borderId="0" xfId="0" applyNumberFormat="1" applyFont="1" applyFill="1" applyAlignment="1">
      <alignment vertical="center"/>
    </xf>
    <xf numFmtId="164" fontId="13" fillId="0" borderId="0" xfId="1" applyFont="1" applyFill="1" applyAlignment="1">
      <alignment vertical="center"/>
    </xf>
    <xf numFmtId="165" fontId="13" fillId="12" borderId="0" xfId="0" applyNumberFormat="1" applyFont="1" applyFill="1" applyAlignment="1">
      <alignment horizontal="center" vertical="center"/>
    </xf>
    <xf numFmtId="0" fontId="13" fillId="12" borderId="0" xfId="0" applyFont="1" applyFill="1" applyAlignment="1">
      <alignment horizontal="right" vertical="center"/>
    </xf>
    <xf numFmtId="0" fontId="27" fillId="0" borderId="0" xfId="0" applyFont="1" applyAlignment="1">
      <alignment vertical="center"/>
    </xf>
    <xf numFmtId="167" fontId="29" fillId="0" borderId="0" xfId="2" applyNumberFormat="1" applyFont="1"/>
    <xf numFmtId="166" fontId="13" fillId="0" borderId="1" xfId="0" applyNumberFormat="1" applyFont="1" applyBorder="1" applyAlignment="1">
      <alignment vertical="center"/>
    </xf>
    <xf numFmtId="164" fontId="30" fillId="0" borderId="0" xfId="2" applyFont="1" applyFill="1" applyAlignment="1">
      <alignment vertical="center"/>
    </xf>
    <xf numFmtId="167" fontId="13" fillId="0" borderId="0" xfId="0" applyNumberFormat="1" applyFont="1" applyAlignment="1">
      <alignment vertical="center"/>
    </xf>
    <xf numFmtId="44" fontId="14" fillId="0" borderId="0" xfId="1" applyNumberFormat="1" applyFont="1" applyFill="1" applyAlignment="1">
      <alignment vertical="center"/>
    </xf>
    <xf numFmtId="166" fontId="14" fillId="2" borderId="0" xfId="0" applyNumberFormat="1" applyFont="1" applyFill="1" applyAlignment="1">
      <alignment vertical="center"/>
    </xf>
    <xf numFmtId="164" fontId="14" fillId="0" borderId="0" xfId="0" applyNumberFormat="1" applyFont="1" applyAlignment="1">
      <alignment horizontal="right" vertical="center"/>
    </xf>
    <xf numFmtId="16" fontId="14" fillId="0" borderId="0" xfId="0" applyNumberFormat="1" applyFont="1" applyAlignment="1">
      <alignment vertical="center"/>
    </xf>
    <xf numFmtId="0" fontId="15" fillId="2" borderId="0" xfId="0" applyFont="1" applyFill="1" applyAlignment="1">
      <alignment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14" fillId="2" borderId="0" xfId="0" applyFont="1" applyFill="1" applyAlignment="1">
      <alignment vertical="center"/>
    </xf>
    <xf numFmtId="165" fontId="14" fillId="2" borderId="0" xfId="0" applyNumberFormat="1" applyFont="1" applyFill="1" applyAlignment="1">
      <alignment horizontal="center" vertical="center"/>
    </xf>
    <xf numFmtId="0" fontId="14" fillId="2" borderId="0" xfId="0" applyFont="1" applyFill="1" applyAlignment="1">
      <alignment horizontal="right" vertical="center"/>
    </xf>
    <xf numFmtId="49" fontId="14" fillId="2" borderId="0" xfId="0" applyNumberFormat="1" applyFont="1" applyFill="1" applyAlignment="1">
      <alignment vertical="center"/>
    </xf>
    <xf numFmtId="49" fontId="14" fillId="2" borderId="0" xfId="0" applyNumberFormat="1" applyFont="1" applyFill="1" applyAlignment="1">
      <alignment vertical="center" wrapText="1"/>
    </xf>
    <xf numFmtId="49" fontId="14" fillId="2" borderId="0" xfId="1" applyNumberFormat="1" applyFont="1" applyFill="1" applyAlignment="1">
      <alignment vertical="center"/>
    </xf>
    <xf numFmtId="164" fontId="14" fillId="2" borderId="0" xfId="1" applyFont="1" applyFill="1" applyAlignment="1">
      <alignment vertical="center"/>
    </xf>
    <xf numFmtId="166" fontId="13" fillId="2" borderId="0" xfId="0" applyNumberFormat="1" applyFont="1" applyFill="1" applyAlignment="1">
      <alignment vertical="center"/>
    </xf>
    <xf numFmtId="166" fontId="19" fillId="0" borderId="0" xfId="0" applyNumberFormat="1" applyFont="1" applyAlignment="1">
      <alignment vertical="center"/>
    </xf>
    <xf numFmtId="166" fontId="31" fillId="0" borderId="1" xfId="0" applyNumberFormat="1" applyFont="1" applyBorder="1" applyAlignment="1">
      <alignment vertical="center"/>
    </xf>
    <xf numFmtId="166" fontId="14" fillId="0" borderId="1" xfId="0" applyNumberFormat="1" applyFont="1" applyBorder="1" applyAlignment="1">
      <alignment vertical="center"/>
    </xf>
    <xf numFmtId="166" fontId="14" fillId="0" borderId="10" xfId="0" applyNumberFormat="1" applyFont="1" applyBorder="1" applyAlignment="1">
      <alignment vertical="center"/>
    </xf>
    <xf numFmtId="49" fontId="14" fillId="4" borderId="0" xfId="0" applyNumberFormat="1" applyFont="1" applyFill="1" applyAlignment="1">
      <alignment vertical="center"/>
    </xf>
    <xf numFmtId="169" fontId="16" fillId="0" borderId="0" xfId="0" applyNumberFormat="1" applyFont="1" applyAlignment="1">
      <alignment horizontal="center" vertical="center"/>
    </xf>
    <xf numFmtId="44" fontId="14" fillId="0" borderId="0" xfId="5" applyFont="1" applyAlignment="1">
      <alignment vertical="center"/>
    </xf>
    <xf numFmtId="169" fontId="14" fillId="0" borderId="0" xfId="0" applyNumberFormat="1" applyFont="1" applyAlignment="1">
      <alignment vertical="center"/>
    </xf>
    <xf numFmtId="2" fontId="14" fillId="0" borderId="0" xfId="0" applyNumberFormat="1" applyFont="1" applyAlignment="1">
      <alignment vertical="center" wrapText="1"/>
    </xf>
    <xf numFmtId="0" fontId="13" fillId="0" borderId="0" xfId="0" applyFont="1" applyAlignment="1">
      <alignment horizontal="right" vertical="center"/>
    </xf>
    <xf numFmtId="0" fontId="28" fillId="0" borderId="0" xfId="0" applyFont="1" applyAlignment="1">
      <alignment vertical="center"/>
    </xf>
    <xf numFmtId="49" fontId="14" fillId="13" borderId="0" xfId="0" applyNumberFormat="1" applyFont="1" applyFill="1" applyAlignment="1">
      <alignment vertical="center" wrapText="1"/>
    </xf>
    <xf numFmtId="17" fontId="14" fillId="0" borderId="0" xfId="0" applyNumberFormat="1" applyFont="1" applyAlignment="1">
      <alignment vertical="center"/>
    </xf>
    <xf numFmtId="166" fontId="26" fillId="0" borderId="1" xfId="0" applyNumberFormat="1" applyFont="1" applyBorder="1" applyAlignment="1">
      <alignment vertical="center"/>
    </xf>
    <xf numFmtId="0" fontId="21" fillId="2" borderId="4" xfId="0" applyFont="1" applyFill="1" applyBorder="1" applyAlignment="1">
      <alignment horizontal="center" vertical="center"/>
    </xf>
    <xf numFmtId="164" fontId="22" fillId="2" borderId="8" xfId="1" applyFont="1" applyFill="1" applyBorder="1" applyAlignment="1">
      <alignment horizontal="center" vertical="center"/>
    </xf>
    <xf numFmtId="164" fontId="22" fillId="2" borderId="3" xfId="1" applyFont="1" applyFill="1" applyBorder="1" applyAlignment="1">
      <alignment horizontal="center" vertical="center"/>
    </xf>
    <xf numFmtId="164" fontId="22" fillId="2" borderId="9" xfId="1" applyFont="1" applyFill="1" applyBorder="1" applyAlignment="1">
      <alignment horizontal="center" vertical="center"/>
    </xf>
    <xf numFmtId="164" fontId="22" fillId="2" borderId="8" xfId="2" applyFont="1" applyFill="1" applyBorder="1" applyAlignment="1">
      <alignment horizontal="center" vertical="center"/>
    </xf>
    <xf numFmtId="164" fontId="22" fillId="2" borderId="3" xfId="2" applyFont="1" applyFill="1" applyBorder="1" applyAlignment="1">
      <alignment horizontal="center" vertical="center"/>
    </xf>
    <xf numFmtId="164" fontId="22" fillId="2" borderId="9" xfId="2" applyFont="1" applyFill="1" applyBorder="1" applyAlignment="1">
      <alignment horizontal="center" vertical="center"/>
    </xf>
    <xf numFmtId="0" fontId="13" fillId="0" borderId="0" xfId="0" applyFont="1" applyAlignment="1">
      <alignment horizontal="center" vertical="center"/>
    </xf>
    <xf numFmtId="166" fontId="28" fillId="0" borderId="0" xfId="0" applyNumberFormat="1" applyFont="1" applyAlignment="1">
      <alignment horizontal="center" vertical="center"/>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25" fillId="0" borderId="7" xfId="0" applyFont="1" applyBorder="1" applyAlignment="1">
      <alignment horizontal="center" vertical="center" wrapText="1"/>
    </xf>
    <xf numFmtId="167" fontId="3" fillId="0" borderId="0" xfId="2" applyNumberFormat="1" applyFont="1" applyAlignment="1">
      <alignment horizontal="center"/>
    </xf>
    <xf numFmtId="167" fontId="3" fillId="0" borderId="0" xfId="2" applyNumberFormat="1" applyFont="1" applyAlignment="1">
      <alignment horizontal="center" vertical="center"/>
    </xf>
  </cellXfs>
  <cellStyles count="6">
    <cellStyle name="Millares" xfId="1" builtinId="3"/>
    <cellStyle name="Millares 2" xfId="2" xr:uid="{00000000-0005-0000-0000-000001000000}"/>
    <cellStyle name="Millares 2 2" xfId="4" xr:uid="{8D9BD0D8-550B-46B6-A0C1-F44E6F4E5203}"/>
    <cellStyle name="Millares 3" xfId="3" xr:uid="{FFF3C637-4C5B-4B2F-8C52-24BBA913674E}"/>
    <cellStyle name="Moneda" xfId="5" builtinId="4"/>
    <cellStyle name="Normal" xfId="0" builtinId="0"/>
  </cellStyles>
  <dxfs count="564">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
      <font>
        <color theme="0"/>
      </font>
      <fill>
        <patternFill>
          <bgColor theme="3" tint="0.39994506668294322"/>
        </patternFill>
      </fill>
    </dxf>
  </dxfs>
  <tableStyles count="0" defaultTableStyle="TableStyleMedium9" defaultPivotStyle="PivotStyleLight16"/>
  <colors>
    <mruColors>
      <color rgb="FFA60C89"/>
      <color rgb="FF6600FF"/>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3</xdr:col>
      <xdr:colOff>30726</xdr:colOff>
      <xdr:row>6</xdr:row>
      <xdr:rowOff>10243</xdr:rowOff>
    </xdr:from>
    <xdr:to>
      <xdr:col>4</xdr:col>
      <xdr:colOff>2868</xdr:colOff>
      <xdr:row>6</xdr:row>
      <xdr:rowOff>10243</xdr:rowOff>
    </xdr:to>
    <xdr:cxnSp macro="">
      <xdr:nvCxnSpPr>
        <xdr:cNvPr id="2" name="Conector recto 1">
          <a:extLst>
            <a:ext uri="{FF2B5EF4-FFF2-40B4-BE49-F238E27FC236}">
              <a16:creationId xmlns:a16="http://schemas.microsoft.com/office/drawing/2014/main" id="{AD75D610-B947-47A8-B0D9-6F2C08DA7211}"/>
            </a:ext>
          </a:extLst>
        </xdr:cNvPr>
        <xdr:cNvCxnSpPr/>
      </xdr:nvCxnSpPr>
      <xdr:spPr>
        <a:xfrm flipV="1">
          <a:off x="1554726" y="1153243"/>
          <a:ext cx="73414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10242</xdr:colOff>
      <xdr:row>11</xdr:row>
      <xdr:rowOff>10242</xdr:rowOff>
    </xdr:from>
    <xdr:to>
      <xdr:col>3</xdr:col>
      <xdr:colOff>1877142</xdr:colOff>
      <xdr:row>11</xdr:row>
      <xdr:rowOff>10242</xdr:rowOff>
    </xdr:to>
    <xdr:cxnSp macro="">
      <xdr:nvCxnSpPr>
        <xdr:cNvPr id="3" name="Conector recto 2">
          <a:extLst>
            <a:ext uri="{FF2B5EF4-FFF2-40B4-BE49-F238E27FC236}">
              <a16:creationId xmlns:a16="http://schemas.microsoft.com/office/drawing/2014/main" id="{0FE76673-2DB8-4E78-9624-40B7B275E558}"/>
            </a:ext>
          </a:extLst>
        </xdr:cNvPr>
        <xdr:cNvCxnSpPr/>
      </xdr:nvCxnSpPr>
      <xdr:spPr>
        <a:xfrm flipV="1">
          <a:off x="1534242" y="2105742"/>
          <a:ext cx="752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20484</xdr:colOff>
      <xdr:row>15</xdr:row>
      <xdr:rowOff>133146</xdr:rowOff>
    </xdr:from>
    <xdr:to>
      <xdr:col>3</xdr:col>
      <xdr:colOff>1887384</xdr:colOff>
      <xdr:row>15</xdr:row>
      <xdr:rowOff>133146</xdr:rowOff>
    </xdr:to>
    <xdr:cxnSp macro="">
      <xdr:nvCxnSpPr>
        <xdr:cNvPr id="4" name="Conector recto 3">
          <a:extLst>
            <a:ext uri="{FF2B5EF4-FFF2-40B4-BE49-F238E27FC236}">
              <a16:creationId xmlns:a16="http://schemas.microsoft.com/office/drawing/2014/main" id="{2972032C-4A6C-4E70-BE91-39CDF47F86A5}"/>
            </a:ext>
          </a:extLst>
        </xdr:cNvPr>
        <xdr:cNvCxnSpPr/>
      </xdr:nvCxnSpPr>
      <xdr:spPr>
        <a:xfrm flipV="1">
          <a:off x="1544484" y="2990646"/>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2ECC-D277-412F-983E-BDC4938A9BA7}">
  <sheetPr codeName="Hoja1"/>
  <dimension ref="C3:J17"/>
  <sheetViews>
    <sheetView workbookViewId="0">
      <selection activeCell="C37" sqref="C37"/>
    </sheetView>
  </sheetViews>
  <sheetFormatPr baseColWidth="10" defaultRowHeight="15" x14ac:dyDescent="0.25"/>
  <sheetData>
    <row r="3" spans="3:10" x14ac:dyDescent="0.25">
      <c r="C3" s="62"/>
      <c r="D3" s="62"/>
      <c r="E3" s="63"/>
      <c r="F3" s="64" t="s">
        <v>212</v>
      </c>
      <c r="G3" s="265" t="s">
        <v>213</v>
      </c>
      <c r="H3" s="265"/>
      <c r="I3" s="65"/>
    </row>
    <row r="4" spans="3:10" x14ac:dyDescent="0.25">
      <c r="C4" s="62"/>
      <c r="D4" s="62"/>
      <c r="E4" s="63"/>
      <c r="F4" s="66"/>
      <c r="G4" s="67" t="s">
        <v>214</v>
      </c>
      <c r="H4" s="68"/>
      <c r="I4" s="65"/>
    </row>
    <row r="5" spans="3:10" x14ac:dyDescent="0.25">
      <c r="C5" s="62"/>
      <c r="D5" s="62"/>
      <c r="E5" s="63"/>
      <c r="F5" s="69" t="s">
        <v>402</v>
      </c>
      <c r="G5" s="70">
        <v>200</v>
      </c>
      <c r="H5" s="70">
        <f>F5*G5</f>
        <v>1000</v>
      </c>
      <c r="I5" s="65"/>
    </row>
    <row r="6" spans="3:10" x14ac:dyDescent="0.25">
      <c r="C6" s="71" t="s">
        <v>215</v>
      </c>
      <c r="D6" s="72"/>
      <c r="E6" s="63"/>
      <c r="F6" s="69" t="s">
        <v>1186</v>
      </c>
      <c r="G6" s="70">
        <v>100</v>
      </c>
      <c r="H6" s="70">
        <f t="shared" ref="H6:H10" si="0">F6*G6</f>
        <v>110000</v>
      </c>
      <c r="I6" s="65"/>
      <c r="J6" s="77"/>
    </row>
    <row r="7" spans="3:10" x14ac:dyDescent="0.25">
      <c r="C7" s="72"/>
      <c r="D7" s="72"/>
      <c r="E7" s="63"/>
      <c r="F7" s="69" t="s">
        <v>216</v>
      </c>
      <c r="G7" s="70">
        <v>50</v>
      </c>
      <c r="H7" s="70">
        <f t="shared" si="0"/>
        <v>750</v>
      </c>
      <c r="I7" s="65"/>
    </row>
    <row r="8" spans="3:10" x14ac:dyDescent="0.25">
      <c r="C8" s="72"/>
      <c r="D8" s="72"/>
      <c r="E8" s="63"/>
      <c r="F8" s="69" t="s">
        <v>1152</v>
      </c>
      <c r="G8" s="70">
        <v>20</v>
      </c>
      <c r="H8" s="70">
        <f t="shared" si="0"/>
        <v>580</v>
      </c>
      <c r="I8" s="65"/>
    </row>
    <row r="9" spans="3:10" x14ac:dyDescent="0.25">
      <c r="C9" s="72"/>
      <c r="D9" s="72"/>
      <c r="E9" s="63"/>
      <c r="F9" s="69" t="s">
        <v>224</v>
      </c>
      <c r="G9" s="70">
        <v>10</v>
      </c>
      <c r="H9" s="70">
        <f t="shared" si="0"/>
        <v>20</v>
      </c>
      <c r="I9" s="65"/>
    </row>
    <row r="10" spans="3:10" x14ac:dyDescent="0.25">
      <c r="C10" s="72"/>
      <c r="D10" s="72"/>
      <c r="E10" s="63"/>
      <c r="F10" s="69" t="s">
        <v>1187</v>
      </c>
      <c r="G10" s="70">
        <v>5</v>
      </c>
      <c r="H10" s="70">
        <f t="shared" si="0"/>
        <v>705</v>
      </c>
      <c r="I10" s="65"/>
    </row>
    <row r="11" spans="3:10" x14ac:dyDescent="0.25">
      <c r="C11" s="71" t="s">
        <v>217</v>
      </c>
      <c r="D11" s="72"/>
      <c r="E11" s="63"/>
      <c r="F11" s="266" t="s">
        <v>218</v>
      </c>
      <c r="G11" s="267"/>
      <c r="H11" s="268"/>
      <c r="I11" s="65"/>
    </row>
    <row r="12" spans="3:10" x14ac:dyDescent="0.25">
      <c r="C12" s="72"/>
      <c r="D12" s="72"/>
      <c r="E12" s="63"/>
      <c r="F12" s="69" t="s">
        <v>1188</v>
      </c>
      <c r="G12" s="70">
        <v>1</v>
      </c>
      <c r="H12" s="70">
        <f t="shared" ref="H12:H17" si="1">F12*G12</f>
        <v>1232</v>
      </c>
      <c r="I12" s="65"/>
    </row>
    <row r="13" spans="3:10" x14ac:dyDescent="0.25">
      <c r="C13" s="72"/>
      <c r="D13" s="72"/>
      <c r="E13" s="63"/>
      <c r="F13" s="69" t="s">
        <v>563</v>
      </c>
      <c r="G13" s="70">
        <v>0.5</v>
      </c>
      <c r="H13" s="70">
        <f t="shared" si="1"/>
        <v>42</v>
      </c>
      <c r="I13" s="65"/>
    </row>
    <row r="14" spans="3:10" x14ac:dyDescent="0.25">
      <c r="C14" s="72"/>
      <c r="D14" s="72"/>
      <c r="E14" s="63"/>
      <c r="F14" s="69" t="s">
        <v>1189</v>
      </c>
      <c r="G14" s="70">
        <v>0.25</v>
      </c>
      <c r="H14" s="70">
        <f t="shared" si="1"/>
        <v>43.25</v>
      </c>
      <c r="I14" s="65"/>
    </row>
    <row r="15" spans="3:10" x14ac:dyDescent="0.25">
      <c r="C15" s="71"/>
      <c r="D15" s="72"/>
      <c r="E15" s="63"/>
      <c r="F15" s="69" t="s">
        <v>120</v>
      </c>
      <c r="G15" s="70">
        <v>0.1</v>
      </c>
      <c r="H15" s="70">
        <f t="shared" si="1"/>
        <v>0</v>
      </c>
      <c r="I15" s="73" t="s">
        <v>219</v>
      </c>
    </row>
    <row r="16" spans="3:10" ht="15.75" thickBot="1" x14ac:dyDescent="0.3">
      <c r="C16" s="71" t="s">
        <v>220</v>
      </c>
      <c r="D16" s="72"/>
      <c r="E16" s="63"/>
      <c r="F16" s="69" t="s">
        <v>120</v>
      </c>
      <c r="G16" s="70">
        <v>0.05</v>
      </c>
      <c r="H16" s="70">
        <f t="shared" si="1"/>
        <v>0</v>
      </c>
      <c r="I16" s="74">
        <f>SUM(H5:H10)+H12+H13+H14+H15+H16+H17</f>
        <v>114372.25</v>
      </c>
    </row>
    <row r="17" spans="3:9" ht="15.75" thickTop="1" x14ac:dyDescent="0.25">
      <c r="C17" s="62"/>
      <c r="D17" s="62"/>
      <c r="E17" s="63"/>
      <c r="F17" s="69" t="s">
        <v>120</v>
      </c>
      <c r="G17" s="70">
        <v>0.01</v>
      </c>
      <c r="H17" s="70">
        <f t="shared" si="1"/>
        <v>0</v>
      </c>
      <c r="I17" s="65"/>
    </row>
  </sheetData>
  <mergeCells count="2">
    <mergeCell ref="G3:H3"/>
    <mergeCell ref="F11:H11"/>
  </mergeCells>
  <pageMargins left="0.7" right="0.7" top="0.75" bottom="0.75" header="0.3" footer="0.3"/>
  <pageSetup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C961-625D-4EE0-9231-54C377D0FAC6}">
  <sheetPr codeName="Hoja2">
    <tabColor rgb="FFFFC000"/>
  </sheetPr>
  <dimension ref="A1:AH6160"/>
  <sheetViews>
    <sheetView tabSelected="1" topLeftCell="T1" zoomScale="160" zoomScaleNormal="160" workbookViewId="0">
      <pane ySplit="5" topLeftCell="A6138" activePane="bottomLeft" state="frozen"/>
      <selection pane="bottomLeft" activeCell="AB6160" sqref="AB6160"/>
    </sheetView>
  </sheetViews>
  <sheetFormatPr baseColWidth="10" defaultColWidth="11.42578125" defaultRowHeight="8.25" customHeight="1" outlineLevelCol="1" x14ac:dyDescent="0.25"/>
  <cols>
    <col min="1" max="1" width="2" style="51" customWidth="1"/>
    <col min="2" max="2" width="1.42578125" style="52" customWidth="1"/>
    <col min="3" max="3" width="4.7109375" style="52" customWidth="1"/>
    <col min="4" max="4" width="5.5703125" style="52" customWidth="1"/>
    <col min="5" max="5" width="0.85546875" style="80" customWidth="1"/>
    <col min="6" max="6" width="5.140625" style="53" customWidth="1"/>
    <col min="7" max="7" width="6.140625" style="53" customWidth="1"/>
    <col min="8" max="8" width="0.5703125" style="58" customWidth="1"/>
    <col min="9" max="14" width="6" style="52" customWidth="1"/>
    <col min="15" max="15" width="0.7109375" style="80" customWidth="1"/>
    <col min="16" max="16" width="2.28515625" style="52" customWidth="1"/>
    <col min="17" max="17" width="6" style="52" customWidth="1"/>
    <col min="18" max="18" width="4" style="53" customWidth="1"/>
    <col min="19" max="19" width="2" style="30" customWidth="1"/>
    <col min="20" max="20" width="7" style="33" customWidth="1"/>
    <col min="21" max="21" width="5.28515625" style="34" customWidth="1" outlineLevel="1"/>
    <col min="22" max="22" width="3.42578125" style="35" customWidth="1" outlineLevel="1"/>
    <col min="23" max="23" width="3.140625" style="35" customWidth="1" outlineLevel="1"/>
    <col min="24" max="24" width="9.42578125" style="37" customWidth="1"/>
    <col min="25" max="25" width="12.42578125" style="36" customWidth="1"/>
    <col min="26" max="26" width="26.7109375" style="30" customWidth="1"/>
    <col min="27" max="27" width="28" style="30" customWidth="1"/>
    <col min="28" max="28" width="6.28515625" style="30" customWidth="1" outlineLevel="1"/>
    <col min="29" max="29" width="3.7109375" style="26" customWidth="1" outlineLevel="1"/>
    <col min="30" max="31" width="13.42578125" style="38" customWidth="1"/>
    <col min="32" max="32" width="12.140625" style="76" customWidth="1"/>
    <col min="33" max="16384" width="11.42578125" style="30"/>
  </cols>
  <sheetData>
    <row r="1" spans="1:32" ht="9.75" customHeight="1" x14ac:dyDescent="0.25">
      <c r="T1" s="27" t="s">
        <v>7</v>
      </c>
      <c r="Z1" s="31"/>
    </row>
    <row r="2" spans="1:32" ht="9.75" customHeight="1" thickBot="1" x14ac:dyDescent="0.3">
      <c r="T2" s="27" t="s">
        <v>6</v>
      </c>
      <c r="Z2" s="31"/>
    </row>
    <row r="3" spans="1:32" ht="9.75" customHeight="1" thickTop="1" thickBot="1" x14ac:dyDescent="0.3">
      <c r="C3" s="83" t="s">
        <v>211</v>
      </c>
      <c r="D3" s="98"/>
      <c r="E3" s="99"/>
      <c r="F3" s="98"/>
      <c r="G3" s="100"/>
      <c r="H3" s="101"/>
      <c r="I3" s="274" t="s">
        <v>249</v>
      </c>
      <c r="J3" s="275"/>
      <c r="K3" s="275"/>
      <c r="L3" s="275"/>
      <c r="M3" s="275"/>
      <c r="N3" s="275"/>
      <c r="O3" s="275"/>
      <c r="P3" s="275"/>
      <c r="Q3" s="275"/>
      <c r="R3" s="276"/>
      <c r="S3" s="102"/>
      <c r="T3" s="31" t="s">
        <v>201</v>
      </c>
      <c r="Z3" s="28" t="s">
        <v>197</v>
      </c>
    </row>
    <row r="4" spans="1:32" ht="9.75" customHeight="1" thickTop="1" x14ac:dyDescent="0.25">
      <c r="C4" s="84" t="s">
        <v>206</v>
      </c>
      <c r="D4" s="84"/>
      <c r="E4" s="81" t="s">
        <v>203</v>
      </c>
      <c r="G4" s="87"/>
      <c r="I4" s="54"/>
      <c r="J4" s="54"/>
      <c r="K4" s="54" t="s">
        <v>77</v>
      </c>
      <c r="L4" s="54"/>
      <c r="M4" s="54"/>
      <c r="N4" s="54"/>
      <c r="O4" s="78"/>
      <c r="P4" s="54"/>
      <c r="Q4" s="54" t="s">
        <v>29</v>
      </c>
      <c r="R4" s="55"/>
      <c r="T4" s="31" t="s">
        <v>202</v>
      </c>
      <c r="Z4" s="29" t="s">
        <v>198</v>
      </c>
      <c r="AB4" s="29"/>
      <c r="AC4" s="41"/>
      <c r="AF4" s="92"/>
    </row>
    <row r="5" spans="1:32" ht="33" customHeight="1" x14ac:dyDescent="0.25">
      <c r="A5" s="51" t="s">
        <v>205</v>
      </c>
      <c r="B5" s="85"/>
      <c r="C5" s="86" t="s">
        <v>207</v>
      </c>
      <c r="D5" s="86" t="s">
        <v>209</v>
      </c>
      <c r="E5" s="82"/>
      <c r="F5" s="88" t="s">
        <v>208</v>
      </c>
      <c r="G5" s="89" t="s">
        <v>204</v>
      </c>
      <c r="H5" s="59"/>
      <c r="I5" s="86" t="s">
        <v>242</v>
      </c>
      <c r="J5" s="86" t="s">
        <v>243</v>
      </c>
      <c r="K5" s="86" t="s">
        <v>244</v>
      </c>
      <c r="L5" s="86" t="s">
        <v>245</v>
      </c>
      <c r="M5" s="86" t="s">
        <v>246</v>
      </c>
      <c r="N5" s="86" t="s">
        <v>247</v>
      </c>
      <c r="O5" s="79"/>
      <c r="P5" s="57"/>
      <c r="Q5" s="88" t="s">
        <v>248</v>
      </c>
      <c r="R5" s="90" t="s">
        <v>5</v>
      </c>
      <c r="T5" s="42" t="s">
        <v>0</v>
      </c>
      <c r="U5" s="43" t="s">
        <v>10</v>
      </c>
      <c r="V5" s="43" t="s">
        <v>210</v>
      </c>
      <c r="W5" s="61" t="s">
        <v>11</v>
      </c>
      <c r="X5" s="44" t="s">
        <v>199</v>
      </c>
      <c r="Y5" s="45" t="s">
        <v>200</v>
      </c>
      <c r="Z5" s="46" t="s">
        <v>8</v>
      </c>
      <c r="AA5" s="49" t="s">
        <v>2</v>
      </c>
      <c r="AB5" s="47" t="s">
        <v>1</v>
      </c>
      <c r="AC5" s="47"/>
      <c r="AD5" s="50" t="s">
        <v>3</v>
      </c>
      <c r="AE5" s="50" t="s">
        <v>4</v>
      </c>
      <c r="AF5" s="48" t="s">
        <v>9</v>
      </c>
    </row>
    <row r="6" spans="1:32" ht="8.25" customHeight="1" x14ac:dyDescent="0.25">
      <c r="A6" s="51" t="s">
        <v>205</v>
      </c>
      <c r="G6" s="56"/>
      <c r="H6" s="60"/>
      <c r="U6" s="32"/>
      <c r="V6" s="32"/>
      <c r="Y6" s="39"/>
      <c r="Z6" s="28" t="s">
        <v>283</v>
      </c>
      <c r="AB6" s="40"/>
      <c r="AC6" s="40"/>
      <c r="AF6" s="93">
        <v>81869.88</v>
      </c>
    </row>
    <row r="7" spans="1:32" ht="8.25" customHeight="1" x14ac:dyDescent="0.25">
      <c r="A7" s="51" t="s">
        <v>205</v>
      </c>
      <c r="I7" s="52">
        <v>1</v>
      </c>
      <c r="T7" s="33">
        <v>46024</v>
      </c>
      <c r="U7" s="34">
        <v>2026</v>
      </c>
      <c r="V7" s="35" t="s">
        <v>12</v>
      </c>
      <c r="X7" s="37" t="s">
        <v>274</v>
      </c>
      <c r="Y7" s="36" t="s">
        <v>275</v>
      </c>
      <c r="Z7" s="30" t="s">
        <v>317</v>
      </c>
      <c r="AA7" s="30" t="s">
        <v>13</v>
      </c>
      <c r="AD7" s="38">
        <v>74000</v>
      </c>
      <c r="AE7" s="38">
        <v>0</v>
      </c>
      <c r="AF7" s="76">
        <f t="shared" ref="AF7:AF23" si="0">AF6+AD7-AE7</f>
        <v>155869.88</v>
      </c>
    </row>
    <row r="8" spans="1:32" ht="8.25" customHeight="1" x14ac:dyDescent="0.25">
      <c r="A8" s="51" t="s">
        <v>205</v>
      </c>
      <c r="I8" s="52">
        <v>2</v>
      </c>
      <c r="T8" s="33">
        <v>46024</v>
      </c>
      <c r="U8" s="34">
        <v>2026</v>
      </c>
      <c r="V8" s="35" t="s">
        <v>12</v>
      </c>
      <c r="X8" s="37" t="s">
        <v>276</v>
      </c>
      <c r="Y8" s="36" t="s">
        <v>262</v>
      </c>
      <c r="Z8" s="30" t="s">
        <v>261</v>
      </c>
      <c r="AA8" s="30" t="s">
        <v>13</v>
      </c>
      <c r="AD8" s="38">
        <v>15000</v>
      </c>
      <c r="AE8" s="38">
        <v>0</v>
      </c>
      <c r="AF8" s="76">
        <f t="shared" si="0"/>
        <v>170869.88</v>
      </c>
    </row>
    <row r="9" spans="1:32" ht="8.25" customHeight="1" x14ac:dyDescent="0.25">
      <c r="A9" s="51" t="s">
        <v>205</v>
      </c>
      <c r="I9" s="52">
        <v>3</v>
      </c>
      <c r="T9" s="33">
        <v>46024</v>
      </c>
      <c r="U9" s="34">
        <v>2026</v>
      </c>
      <c r="V9" s="35" t="s">
        <v>12</v>
      </c>
      <c r="X9" s="37" t="s">
        <v>277</v>
      </c>
      <c r="Y9" s="36" t="s">
        <v>114</v>
      </c>
      <c r="Z9" s="30" t="s">
        <v>14</v>
      </c>
      <c r="AA9" s="30" t="s">
        <v>13</v>
      </c>
      <c r="AD9" s="38">
        <v>500</v>
      </c>
      <c r="AE9" s="38">
        <v>0</v>
      </c>
      <c r="AF9" s="76">
        <f t="shared" si="0"/>
        <v>171369.88</v>
      </c>
    </row>
    <row r="10" spans="1:32" ht="8.25" customHeight="1" x14ac:dyDescent="0.25">
      <c r="A10" s="51" t="s">
        <v>205</v>
      </c>
      <c r="N10" s="52">
        <v>1</v>
      </c>
      <c r="T10" s="33">
        <v>46024</v>
      </c>
      <c r="U10" s="34">
        <v>2026</v>
      </c>
      <c r="V10" s="35" t="s">
        <v>12</v>
      </c>
      <c r="X10" s="37" t="s">
        <v>278</v>
      </c>
      <c r="Y10" s="36" t="s">
        <v>225</v>
      </c>
      <c r="Z10" s="30" t="s">
        <v>119</v>
      </c>
      <c r="AA10" s="30" t="s">
        <v>3899</v>
      </c>
      <c r="AD10" s="38">
        <v>7864.36</v>
      </c>
      <c r="AE10" s="38">
        <v>0</v>
      </c>
      <c r="AF10" s="76">
        <f t="shared" si="0"/>
        <v>179234.24</v>
      </c>
    </row>
    <row r="11" spans="1:32" ht="8.25" customHeight="1" x14ac:dyDescent="0.25">
      <c r="A11" s="51" t="s">
        <v>205</v>
      </c>
      <c r="N11" s="52">
        <v>1</v>
      </c>
      <c r="T11" s="33">
        <v>46024</v>
      </c>
      <c r="U11" s="34">
        <v>2026</v>
      </c>
      <c r="V11" s="35" t="s">
        <v>12</v>
      </c>
      <c r="X11" s="37" t="s">
        <v>278</v>
      </c>
      <c r="Y11" s="36" t="s">
        <v>225</v>
      </c>
      <c r="Z11" s="30" t="s">
        <v>119</v>
      </c>
      <c r="AA11" s="30" t="s">
        <v>166</v>
      </c>
      <c r="AD11" s="38">
        <v>4100.6400000000003</v>
      </c>
      <c r="AE11" s="38">
        <v>0</v>
      </c>
      <c r="AF11" s="76">
        <f t="shared" si="0"/>
        <v>183334.88</v>
      </c>
    </row>
    <row r="12" spans="1:32" ht="8.25" customHeight="1" x14ac:dyDescent="0.25">
      <c r="A12" s="51" t="s">
        <v>205</v>
      </c>
      <c r="N12" s="52">
        <v>1</v>
      </c>
      <c r="T12" s="33">
        <v>46024</v>
      </c>
      <c r="U12" s="34">
        <v>2026</v>
      </c>
      <c r="V12" s="35" t="s">
        <v>12</v>
      </c>
      <c r="X12" s="37" t="s">
        <v>278</v>
      </c>
      <c r="Y12" s="36" t="s">
        <v>225</v>
      </c>
      <c r="Z12" s="30" t="s">
        <v>119</v>
      </c>
      <c r="AA12" s="30" t="s">
        <v>3304</v>
      </c>
      <c r="AD12" s="38">
        <v>35</v>
      </c>
      <c r="AE12" s="38">
        <v>0</v>
      </c>
      <c r="AF12" s="76">
        <f t="shared" si="0"/>
        <v>183369.88</v>
      </c>
    </row>
    <row r="13" spans="1:32" ht="8.25" customHeight="1" x14ac:dyDescent="0.25">
      <c r="A13" s="51" t="s">
        <v>205</v>
      </c>
      <c r="N13" s="52">
        <v>2</v>
      </c>
      <c r="T13" s="33">
        <v>46024</v>
      </c>
      <c r="U13" s="34">
        <v>2026</v>
      </c>
      <c r="V13" s="35" t="s">
        <v>12</v>
      </c>
      <c r="X13" s="37" t="s">
        <v>279</v>
      </c>
      <c r="Y13" s="36" t="s">
        <v>196</v>
      </c>
      <c r="Z13" s="30" t="s">
        <v>16</v>
      </c>
      <c r="AA13" s="30" t="s">
        <v>3708</v>
      </c>
      <c r="AD13" s="38">
        <v>2311.37</v>
      </c>
      <c r="AE13" s="38">
        <v>0</v>
      </c>
      <c r="AF13" s="76">
        <f t="shared" si="0"/>
        <v>185681.25</v>
      </c>
    </row>
    <row r="14" spans="1:32" ht="8.25" customHeight="1" x14ac:dyDescent="0.25">
      <c r="N14" s="52">
        <v>2</v>
      </c>
      <c r="T14" s="33">
        <v>46024</v>
      </c>
      <c r="U14" s="34">
        <v>2026</v>
      </c>
      <c r="V14" s="35" t="s">
        <v>12</v>
      </c>
      <c r="X14" s="37" t="s">
        <v>279</v>
      </c>
      <c r="Y14" s="36" t="s">
        <v>196</v>
      </c>
      <c r="Z14" s="30" t="s">
        <v>16</v>
      </c>
      <c r="AA14" s="30" t="s">
        <v>183</v>
      </c>
      <c r="AD14" s="38">
        <v>188.63</v>
      </c>
      <c r="AE14" s="38">
        <v>0</v>
      </c>
      <c r="AF14" s="76">
        <f t="shared" si="0"/>
        <v>185869.88</v>
      </c>
    </row>
    <row r="15" spans="1:32" ht="8.25" customHeight="1" x14ac:dyDescent="0.25">
      <c r="I15" s="52">
        <v>4</v>
      </c>
      <c r="T15" s="33">
        <v>46024</v>
      </c>
      <c r="U15" s="34">
        <v>2026</v>
      </c>
      <c r="V15" s="35" t="s">
        <v>12</v>
      </c>
      <c r="X15" s="37" t="s">
        <v>280</v>
      </c>
      <c r="Y15" s="36" t="s">
        <v>115</v>
      </c>
      <c r="Z15" s="30" t="s">
        <v>16</v>
      </c>
      <c r="AA15" s="30" t="s">
        <v>13</v>
      </c>
      <c r="AD15" s="38">
        <v>4000</v>
      </c>
      <c r="AE15" s="38">
        <v>0</v>
      </c>
      <c r="AF15" s="76">
        <f t="shared" si="0"/>
        <v>189869.88</v>
      </c>
    </row>
    <row r="16" spans="1:32" ht="8.25" customHeight="1" x14ac:dyDescent="0.25">
      <c r="N16" s="52">
        <v>3</v>
      </c>
      <c r="T16" s="33">
        <v>46024</v>
      </c>
      <c r="U16" s="34">
        <v>2026</v>
      </c>
      <c r="V16" s="35" t="s">
        <v>12</v>
      </c>
      <c r="X16" s="37" t="s">
        <v>281</v>
      </c>
      <c r="Y16" s="36" t="s">
        <v>252</v>
      </c>
      <c r="Z16" s="30" t="s">
        <v>15</v>
      </c>
      <c r="AA16" s="30" t="s">
        <v>3708</v>
      </c>
      <c r="AD16" s="38">
        <v>684.39</v>
      </c>
      <c r="AE16" s="38">
        <v>0</v>
      </c>
      <c r="AF16" s="76">
        <f t="shared" si="0"/>
        <v>190554.27000000002</v>
      </c>
    </row>
    <row r="17" spans="1:32" ht="8.25" customHeight="1" x14ac:dyDescent="0.25">
      <c r="N17" s="52">
        <v>3</v>
      </c>
      <c r="T17" s="33">
        <v>46024</v>
      </c>
      <c r="U17" s="34">
        <v>2026</v>
      </c>
      <c r="V17" s="35" t="s">
        <v>12</v>
      </c>
      <c r="X17" s="37" t="s">
        <v>281</v>
      </c>
      <c r="Y17" s="36" t="s">
        <v>252</v>
      </c>
      <c r="Z17" s="30" t="s">
        <v>15</v>
      </c>
      <c r="AA17" s="30" t="s">
        <v>1748</v>
      </c>
      <c r="AD17" s="38">
        <v>115.61</v>
      </c>
      <c r="AE17" s="38">
        <v>0</v>
      </c>
      <c r="AF17" s="76">
        <f t="shared" si="0"/>
        <v>190669.88</v>
      </c>
    </row>
    <row r="18" spans="1:32" ht="8.25" customHeight="1" x14ac:dyDescent="0.25">
      <c r="R18" s="53">
        <v>1</v>
      </c>
      <c r="T18" s="33">
        <v>46024</v>
      </c>
      <c r="U18" s="34">
        <v>2026</v>
      </c>
      <c r="V18" s="35" t="s">
        <v>12</v>
      </c>
      <c r="X18" s="37" t="s">
        <v>93</v>
      </c>
      <c r="Y18" s="36" t="s">
        <v>116</v>
      </c>
      <c r="Z18" s="30" t="s">
        <v>18</v>
      </c>
      <c r="AA18" s="30" t="s">
        <v>92</v>
      </c>
      <c r="AD18" s="38">
        <v>0</v>
      </c>
      <c r="AE18" s="38">
        <v>300</v>
      </c>
      <c r="AF18" s="76">
        <f t="shared" si="0"/>
        <v>190369.88</v>
      </c>
    </row>
    <row r="19" spans="1:32" ht="8.25" customHeight="1" x14ac:dyDescent="0.25">
      <c r="R19" s="53">
        <v>2</v>
      </c>
      <c r="T19" s="33">
        <v>46024</v>
      </c>
      <c r="U19" s="34">
        <v>2026</v>
      </c>
      <c r="V19" s="35" t="s">
        <v>12</v>
      </c>
      <c r="X19" s="37" t="s">
        <v>94</v>
      </c>
      <c r="Y19" s="36" t="s">
        <v>262</v>
      </c>
      <c r="Z19" s="30" t="s">
        <v>261</v>
      </c>
      <c r="AA19" s="30" t="s">
        <v>92</v>
      </c>
      <c r="AD19" s="38">
        <v>0</v>
      </c>
      <c r="AE19" s="38">
        <v>2000</v>
      </c>
      <c r="AF19" s="76">
        <f t="shared" si="0"/>
        <v>188369.88</v>
      </c>
    </row>
    <row r="20" spans="1:32" ht="8.25" customHeight="1" x14ac:dyDescent="0.25">
      <c r="R20" s="53">
        <v>3</v>
      </c>
      <c r="T20" s="33">
        <v>46024</v>
      </c>
      <c r="U20" s="34">
        <v>2026</v>
      </c>
      <c r="V20" s="35" t="s">
        <v>12</v>
      </c>
      <c r="W20" s="35" t="s">
        <v>5</v>
      </c>
      <c r="X20" s="37" t="s">
        <v>95</v>
      </c>
      <c r="Y20" s="36" t="s">
        <v>117</v>
      </c>
      <c r="Z20" s="30" t="s">
        <v>19</v>
      </c>
      <c r="AA20" s="30" t="s">
        <v>118</v>
      </c>
      <c r="AD20" s="38">
        <v>0</v>
      </c>
      <c r="AE20" s="38">
        <v>57000</v>
      </c>
      <c r="AF20" s="76">
        <f t="shared" si="0"/>
        <v>131369.88</v>
      </c>
    </row>
    <row r="21" spans="1:32" ht="8.25" customHeight="1" x14ac:dyDescent="0.25">
      <c r="R21" s="53">
        <v>3</v>
      </c>
      <c r="T21" s="33">
        <v>46024</v>
      </c>
      <c r="U21" s="34">
        <v>2026</v>
      </c>
      <c r="V21" s="35" t="s">
        <v>12</v>
      </c>
      <c r="W21" s="35" t="s">
        <v>5</v>
      </c>
      <c r="X21" s="37" t="s">
        <v>95</v>
      </c>
      <c r="Y21" s="36" t="s">
        <v>117</v>
      </c>
      <c r="Z21" s="30" t="s">
        <v>19</v>
      </c>
      <c r="AA21" s="30" t="s">
        <v>1149</v>
      </c>
      <c r="AD21" s="38">
        <v>0</v>
      </c>
      <c r="AE21" s="38">
        <v>7182</v>
      </c>
      <c r="AF21" s="76">
        <f t="shared" si="0"/>
        <v>124187.88</v>
      </c>
    </row>
    <row r="22" spans="1:32" ht="8.25" customHeight="1" x14ac:dyDescent="0.25">
      <c r="R22" s="53">
        <v>4</v>
      </c>
      <c r="T22" s="33">
        <v>46024</v>
      </c>
      <c r="U22" s="34">
        <v>2026</v>
      </c>
      <c r="V22" s="35" t="s">
        <v>12</v>
      </c>
      <c r="W22" s="35" t="s">
        <v>5</v>
      </c>
      <c r="X22" s="37" t="s">
        <v>96</v>
      </c>
      <c r="Y22" s="36" t="s">
        <v>155</v>
      </c>
      <c r="Z22" s="30" t="s">
        <v>282</v>
      </c>
      <c r="AA22" s="30" t="s">
        <v>118</v>
      </c>
      <c r="AD22" s="38">
        <v>0</v>
      </c>
      <c r="AE22" s="38">
        <v>1000</v>
      </c>
      <c r="AF22" s="76">
        <f t="shared" si="0"/>
        <v>123187.88</v>
      </c>
    </row>
    <row r="23" spans="1:32" ht="8.25" customHeight="1" x14ac:dyDescent="0.25">
      <c r="R23" s="53">
        <v>4</v>
      </c>
      <c r="T23" s="33">
        <v>46024</v>
      </c>
      <c r="U23" s="34">
        <v>2026</v>
      </c>
      <c r="V23" s="35" t="s">
        <v>12</v>
      </c>
      <c r="W23" s="35" t="s">
        <v>5</v>
      </c>
      <c r="X23" s="37" t="s">
        <v>96</v>
      </c>
      <c r="Y23" s="36" t="s">
        <v>155</v>
      </c>
      <c r="Z23" s="30" t="s">
        <v>282</v>
      </c>
      <c r="AA23" s="30" t="s">
        <v>1149</v>
      </c>
      <c r="AE23" s="38">
        <v>126</v>
      </c>
      <c r="AF23" s="76">
        <f t="shared" si="0"/>
        <v>123061.88</v>
      </c>
    </row>
    <row r="24" spans="1:32" ht="8.25" customHeight="1" thickBot="1" x14ac:dyDescent="0.3">
      <c r="AA24" s="75" t="s">
        <v>257</v>
      </c>
      <c r="AD24" s="91">
        <f>SUM(AD7:AD23)</f>
        <v>108800</v>
      </c>
      <c r="AE24" s="91">
        <f>SUM(AE18:AE23)</f>
        <v>67608</v>
      </c>
      <c r="AF24" s="76">
        <f>AF6+AD24-AE24</f>
        <v>123061.88</v>
      </c>
    </row>
    <row r="25" spans="1:32" ht="8.25" customHeight="1" thickTop="1" x14ac:dyDescent="0.25"/>
    <row r="26" spans="1:32" ht="8.25" customHeight="1" x14ac:dyDescent="0.25">
      <c r="A26" s="51" t="s">
        <v>205</v>
      </c>
      <c r="Y26" s="125"/>
      <c r="AC26" s="126"/>
    </row>
    <row r="27" spans="1:32" ht="8.25" customHeight="1" x14ac:dyDescent="0.25">
      <c r="A27" s="51" t="s">
        <v>205</v>
      </c>
      <c r="X27" s="109"/>
      <c r="Y27" s="67" t="s">
        <v>214</v>
      </c>
      <c r="Z27" s="68"/>
      <c r="AA27" s="75"/>
      <c r="AC27" s="126"/>
    </row>
    <row r="28" spans="1:32" ht="8.25" customHeight="1" x14ac:dyDescent="0.25">
      <c r="A28" s="51" t="s">
        <v>205</v>
      </c>
      <c r="X28" s="110" t="s">
        <v>286</v>
      </c>
      <c r="Y28" s="111">
        <v>200</v>
      </c>
      <c r="Z28" s="111">
        <f t="shared" ref="Z28:Z33" si="1">X28*Y28</f>
        <v>48000</v>
      </c>
      <c r="AA28" s="112"/>
      <c r="AC28" s="126"/>
    </row>
    <row r="29" spans="1:32" ht="8.25" customHeight="1" x14ac:dyDescent="0.25">
      <c r="A29" s="51" t="s">
        <v>205</v>
      </c>
      <c r="X29" s="110" t="s">
        <v>475</v>
      </c>
      <c r="Y29" s="111">
        <v>100</v>
      </c>
      <c r="Z29" s="111">
        <f t="shared" si="1"/>
        <v>67000</v>
      </c>
      <c r="AA29" s="234"/>
      <c r="AC29" s="126"/>
    </row>
    <row r="30" spans="1:32" ht="8.25" customHeight="1" x14ac:dyDescent="0.25">
      <c r="A30" s="51" t="s">
        <v>205</v>
      </c>
      <c r="X30" s="110" t="s">
        <v>288</v>
      </c>
      <c r="Y30" s="111">
        <v>50</v>
      </c>
      <c r="Z30" s="111">
        <f t="shared" si="1"/>
        <v>4700</v>
      </c>
      <c r="AA30" s="76"/>
      <c r="AC30" s="126"/>
    </row>
    <row r="31" spans="1:32" ht="8.25" customHeight="1" x14ac:dyDescent="0.25">
      <c r="A31" s="51" t="s">
        <v>205</v>
      </c>
      <c r="X31" s="110" t="s">
        <v>91</v>
      </c>
      <c r="Y31" s="111">
        <v>20</v>
      </c>
      <c r="Z31" s="111">
        <f t="shared" si="1"/>
        <v>220</v>
      </c>
      <c r="AA31" s="38"/>
      <c r="AC31" s="126"/>
    </row>
    <row r="32" spans="1:32" ht="8.25" customHeight="1" x14ac:dyDescent="0.25">
      <c r="A32" s="51" t="s">
        <v>205</v>
      </c>
      <c r="X32" s="110" t="s">
        <v>258</v>
      </c>
      <c r="Y32" s="111">
        <v>10</v>
      </c>
      <c r="Z32" s="111">
        <f t="shared" si="1"/>
        <v>930</v>
      </c>
      <c r="AA32" s="112"/>
      <c r="AC32" s="126"/>
    </row>
    <row r="33" spans="1:32" ht="8.25" customHeight="1" x14ac:dyDescent="0.25">
      <c r="A33" s="51" t="s">
        <v>205</v>
      </c>
      <c r="X33" s="110" t="s">
        <v>263</v>
      </c>
      <c r="Y33" s="111">
        <v>5</v>
      </c>
      <c r="Z33" s="111">
        <f t="shared" si="1"/>
        <v>1630</v>
      </c>
      <c r="AA33" s="112"/>
      <c r="AC33" s="126"/>
    </row>
    <row r="34" spans="1:32" ht="8.25" customHeight="1" x14ac:dyDescent="0.25">
      <c r="A34" s="51" t="s">
        <v>205</v>
      </c>
      <c r="X34" s="269"/>
      <c r="Y34" s="270"/>
      <c r="Z34" s="271"/>
      <c r="AA34" s="38"/>
      <c r="AC34" s="126"/>
    </row>
    <row r="35" spans="1:32" ht="8.25" customHeight="1" x14ac:dyDescent="0.25">
      <c r="A35" s="51" t="s">
        <v>205</v>
      </c>
      <c r="X35" s="110" t="s">
        <v>470</v>
      </c>
      <c r="Y35" s="111">
        <v>1</v>
      </c>
      <c r="Z35" s="111">
        <f t="shared" ref="Z35:Z40" si="2">X35*Y35</f>
        <v>537</v>
      </c>
      <c r="AA35" s="76"/>
      <c r="AC35" s="126"/>
    </row>
    <row r="36" spans="1:32" ht="8.25" customHeight="1" x14ac:dyDescent="0.25">
      <c r="A36" s="51" t="s">
        <v>205</v>
      </c>
      <c r="X36" s="110" t="s">
        <v>231</v>
      </c>
      <c r="Y36" s="111">
        <v>0.5</v>
      </c>
      <c r="Z36" s="111">
        <f t="shared" si="2"/>
        <v>23</v>
      </c>
      <c r="AA36" s="112"/>
      <c r="AC36" s="126"/>
    </row>
    <row r="37" spans="1:32" ht="8.25" customHeight="1" x14ac:dyDescent="0.25">
      <c r="A37" s="51" t="s">
        <v>205</v>
      </c>
      <c r="X37" s="110" t="s">
        <v>260</v>
      </c>
      <c r="Y37" s="111">
        <v>0.25</v>
      </c>
      <c r="Z37" s="111">
        <f t="shared" si="2"/>
        <v>21.75</v>
      </c>
      <c r="AA37" s="113"/>
      <c r="AC37" s="126"/>
    </row>
    <row r="38" spans="1:32" ht="8.25" customHeight="1" x14ac:dyDescent="0.25">
      <c r="A38" s="51" t="s">
        <v>205</v>
      </c>
      <c r="X38" s="110" t="s">
        <v>222</v>
      </c>
      <c r="Y38" s="111">
        <v>0.1</v>
      </c>
      <c r="Z38" s="111">
        <f t="shared" si="2"/>
        <v>0.1</v>
      </c>
      <c r="AA38" s="114" t="s">
        <v>219</v>
      </c>
      <c r="AC38" s="126"/>
    </row>
    <row r="39" spans="1:32" ht="8.25" customHeight="1" thickBot="1" x14ac:dyDescent="0.3">
      <c r="A39" s="51" t="s">
        <v>205</v>
      </c>
      <c r="X39" s="110"/>
      <c r="Y39" s="111">
        <v>0.05</v>
      </c>
      <c r="Z39" s="111">
        <f t="shared" si="2"/>
        <v>0</v>
      </c>
      <c r="AA39" s="115">
        <f>SUM(Z28:Z33)+Z35+Z36+Z37+Z38+Z39+Z40</f>
        <v>123061.88</v>
      </c>
      <c r="AC39" s="126"/>
    </row>
    <row r="40" spans="1:32" ht="8.25" customHeight="1" thickTop="1" x14ac:dyDescent="0.25">
      <c r="A40" s="51" t="s">
        <v>205</v>
      </c>
      <c r="X40" s="110" t="s">
        <v>223</v>
      </c>
      <c r="Y40" s="111">
        <v>0.01</v>
      </c>
      <c r="Z40" s="111">
        <f t="shared" si="2"/>
        <v>0.03</v>
      </c>
      <c r="AC40" s="126"/>
    </row>
    <row r="41" spans="1:32" ht="8.25" customHeight="1" x14ac:dyDescent="0.25">
      <c r="A41" s="51" t="s">
        <v>205</v>
      </c>
      <c r="Y41" s="125"/>
      <c r="AA41" s="75" t="s">
        <v>251</v>
      </c>
      <c r="AC41" s="126"/>
      <c r="AF41" s="76">
        <f>AF24</f>
        <v>123061.88</v>
      </c>
    </row>
    <row r="42" spans="1:32" ht="8.25" customHeight="1" x14ac:dyDescent="0.25">
      <c r="E42" s="52"/>
      <c r="H42" s="53"/>
      <c r="I42" s="52">
        <v>5</v>
      </c>
      <c r="O42" s="52"/>
      <c r="T42" s="33">
        <v>46025</v>
      </c>
      <c r="U42" s="34">
        <v>2026</v>
      </c>
      <c r="V42" s="35" t="s">
        <v>12</v>
      </c>
      <c r="X42" s="37" t="s">
        <v>284</v>
      </c>
      <c r="Y42" s="159" t="s">
        <v>285</v>
      </c>
      <c r="Z42" s="30" t="s">
        <v>19</v>
      </c>
      <c r="AA42" s="30" t="s">
        <v>13</v>
      </c>
      <c r="AC42" s="160"/>
      <c r="AD42" s="38">
        <v>4000</v>
      </c>
      <c r="AF42" s="76">
        <f t="shared" ref="AF42" si="3">AF41+AD42-AE42</f>
        <v>127061.88</v>
      </c>
    </row>
    <row r="43" spans="1:32" ht="8.25" customHeight="1" thickBot="1" x14ac:dyDescent="0.3">
      <c r="E43" s="52"/>
      <c r="H43" s="53"/>
      <c r="O43" s="52"/>
      <c r="Y43" s="159"/>
      <c r="AC43" s="160"/>
      <c r="AD43" s="91">
        <f>SUM(AD42)</f>
        <v>4000</v>
      </c>
      <c r="AF43" s="76">
        <f>AF41+AD43-AE43</f>
        <v>127061.88</v>
      </c>
    </row>
    <row r="44" spans="1:32" ht="8.25" customHeight="1" thickTop="1" x14ac:dyDescent="0.25">
      <c r="E44" s="52"/>
      <c r="H44" s="53"/>
      <c r="O44" s="52"/>
      <c r="Y44" s="159"/>
      <c r="AC44" s="160"/>
    </row>
    <row r="45" spans="1:32" ht="8.25" customHeight="1" x14ac:dyDescent="0.25">
      <c r="E45" s="52"/>
      <c r="H45" s="53"/>
      <c r="O45" s="52"/>
      <c r="X45" s="109"/>
      <c r="Y45" s="67" t="s">
        <v>214</v>
      </c>
      <c r="Z45" s="68"/>
      <c r="AA45" s="75"/>
      <c r="AC45" s="160"/>
    </row>
    <row r="46" spans="1:32" ht="8.25" customHeight="1" x14ac:dyDescent="0.25">
      <c r="E46" s="52"/>
      <c r="H46" s="53"/>
      <c r="O46" s="52"/>
      <c r="X46" s="110" t="s">
        <v>286</v>
      </c>
      <c r="Y46" s="111">
        <v>200</v>
      </c>
      <c r="Z46" s="111">
        <f t="shared" ref="Z46:Z51" si="4">X46*Y46</f>
        <v>48000</v>
      </c>
      <c r="AA46" s="112"/>
      <c r="AC46" s="160"/>
      <c r="AD46" s="76"/>
      <c r="AE46" s="76"/>
    </row>
    <row r="47" spans="1:32" ht="8.25" customHeight="1" x14ac:dyDescent="0.25">
      <c r="E47" s="52"/>
      <c r="H47" s="53"/>
      <c r="O47" s="52"/>
      <c r="X47" s="110" t="s">
        <v>287</v>
      </c>
      <c r="Y47" s="111">
        <v>100</v>
      </c>
      <c r="Z47" s="111">
        <f t="shared" si="4"/>
        <v>71000</v>
      </c>
      <c r="AA47" s="112"/>
      <c r="AC47" s="160"/>
    </row>
    <row r="48" spans="1:32" ht="8.25" customHeight="1" x14ac:dyDescent="0.25">
      <c r="E48" s="52"/>
      <c r="H48" s="53"/>
      <c r="O48" s="52"/>
      <c r="X48" s="110" t="s">
        <v>288</v>
      </c>
      <c r="Y48" s="111">
        <v>50</v>
      </c>
      <c r="Z48" s="111">
        <f t="shared" si="4"/>
        <v>4700</v>
      </c>
      <c r="AA48" s="76"/>
      <c r="AC48" s="160"/>
    </row>
    <row r="49" spans="5:32" ht="8.25" customHeight="1" x14ac:dyDescent="0.25">
      <c r="E49" s="52"/>
      <c r="H49" s="53"/>
      <c r="O49" s="52"/>
      <c r="X49" s="110" t="s">
        <v>91</v>
      </c>
      <c r="Y49" s="111">
        <v>20</v>
      </c>
      <c r="Z49" s="111">
        <f t="shared" si="4"/>
        <v>220</v>
      </c>
      <c r="AA49" s="38"/>
      <c r="AC49" s="160"/>
    </row>
    <row r="50" spans="5:32" ht="8.25" customHeight="1" x14ac:dyDescent="0.25">
      <c r="E50" s="52"/>
      <c r="H50" s="53"/>
      <c r="O50" s="52"/>
      <c r="X50" s="110" t="s">
        <v>258</v>
      </c>
      <c r="Y50" s="111">
        <v>10</v>
      </c>
      <c r="Z50" s="111">
        <f t="shared" si="4"/>
        <v>930</v>
      </c>
      <c r="AA50" s="112"/>
      <c r="AC50" s="160"/>
    </row>
    <row r="51" spans="5:32" ht="8.25" customHeight="1" x14ac:dyDescent="0.25">
      <c r="E51" s="52"/>
      <c r="H51" s="53"/>
      <c r="O51" s="52"/>
      <c r="X51" s="110" t="s">
        <v>263</v>
      </c>
      <c r="Y51" s="111">
        <v>5</v>
      </c>
      <c r="Z51" s="111">
        <f t="shared" si="4"/>
        <v>1630</v>
      </c>
      <c r="AA51" s="112"/>
      <c r="AC51" s="160"/>
    </row>
    <row r="52" spans="5:32" ht="8.25" customHeight="1" x14ac:dyDescent="0.25">
      <c r="E52" s="52"/>
      <c r="H52" s="53"/>
      <c r="O52" s="52"/>
      <c r="X52" s="269"/>
      <c r="Y52" s="270"/>
      <c r="Z52" s="271"/>
      <c r="AA52" s="38"/>
      <c r="AC52" s="160"/>
    </row>
    <row r="53" spans="5:32" ht="8.25" customHeight="1" x14ac:dyDescent="0.25">
      <c r="E53" s="52"/>
      <c r="H53" s="53"/>
      <c r="O53" s="52"/>
      <c r="X53" s="110" t="s">
        <v>470</v>
      </c>
      <c r="Y53" s="111">
        <v>1</v>
      </c>
      <c r="Z53" s="111">
        <f t="shared" ref="Z53:Z58" si="5">X53*Y53</f>
        <v>537</v>
      </c>
      <c r="AA53" s="76"/>
      <c r="AC53" s="160"/>
    </row>
    <row r="54" spans="5:32" ht="8.25" customHeight="1" x14ac:dyDescent="0.25">
      <c r="E54" s="52"/>
      <c r="H54" s="53"/>
      <c r="O54" s="52"/>
      <c r="X54" s="110" t="s">
        <v>231</v>
      </c>
      <c r="Y54" s="111">
        <v>0.5</v>
      </c>
      <c r="Z54" s="111">
        <f t="shared" si="5"/>
        <v>23</v>
      </c>
      <c r="AA54" s="112"/>
      <c r="AC54" s="160"/>
    </row>
    <row r="55" spans="5:32" ht="8.25" customHeight="1" x14ac:dyDescent="0.25">
      <c r="E55" s="52"/>
      <c r="H55" s="53"/>
      <c r="O55" s="52"/>
      <c r="X55" s="110" t="s">
        <v>260</v>
      </c>
      <c r="Y55" s="111">
        <v>0.25</v>
      </c>
      <c r="Z55" s="111">
        <f t="shared" si="5"/>
        <v>21.75</v>
      </c>
      <c r="AA55" s="113"/>
      <c r="AC55" s="160"/>
    </row>
    <row r="56" spans="5:32" ht="8.25" customHeight="1" x14ac:dyDescent="0.25">
      <c r="E56" s="52"/>
      <c r="H56" s="53"/>
      <c r="O56" s="52"/>
      <c r="X56" s="110" t="s">
        <v>222</v>
      </c>
      <c r="Y56" s="111">
        <v>0.1</v>
      </c>
      <c r="Z56" s="111">
        <f t="shared" si="5"/>
        <v>0.1</v>
      </c>
      <c r="AA56" s="114" t="s">
        <v>219</v>
      </c>
      <c r="AC56" s="160"/>
    </row>
    <row r="57" spans="5:32" ht="8.25" customHeight="1" thickBot="1" x14ac:dyDescent="0.3">
      <c r="E57" s="52"/>
      <c r="H57" s="53"/>
      <c r="O57" s="52"/>
      <c r="X57" s="110"/>
      <c r="Y57" s="111">
        <v>0.05</v>
      </c>
      <c r="Z57" s="111">
        <f t="shared" si="5"/>
        <v>0</v>
      </c>
      <c r="AA57" s="115">
        <f>SUM(Z46:Z51)+Z53+Z54+Z55+Z56+Z57+Z58</f>
        <v>127061.88</v>
      </c>
      <c r="AC57" s="160"/>
    </row>
    <row r="58" spans="5:32" ht="8.25" customHeight="1" thickTop="1" x14ac:dyDescent="0.25">
      <c r="E58" s="52"/>
      <c r="H58" s="53"/>
      <c r="O58" s="52"/>
      <c r="X58" s="110" t="s">
        <v>223</v>
      </c>
      <c r="Y58" s="111">
        <v>0.01</v>
      </c>
      <c r="Z58" s="111">
        <f t="shared" si="5"/>
        <v>0.03</v>
      </c>
      <c r="AC58" s="160"/>
    </row>
    <row r="59" spans="5:32" ht="8.25" customHeight="1" x14ac:dyDescent="0.25">
      <c r="E59" s="52"/>
      <c r="H59" s="53"/>
      <c r="O59" s="52"/>
      <c r="X59" s="121"/>
      <c r="Y59" s="122"/>
      <c r="Z59" s="122"/>
      <c r="AA59" s="161"/>
      <c r="AC59" s="160"/>
    </row>
    <row r="60" spans="5:32" ht="8.25" customHeight="1" x14ac:dyDescent="0.25">
      <c r="E60" s="52"/>
      <c r="H60" s="53"/>
      <c r="O60" s="52"/>
      <c r="X60" s="121"/>
      <c r="Y60" s="122"/>
      <c r="Z60" s="122"/>
      <c r="AA60" s="75" t="s">
        <v>251</v>
      </c>
      <c r="AC60" s="160"/>
      <c r="AF60" s="76">
        <f>AF43</f>
        <v>127061.88</v>
      </c>
    </row>
    <row r="61" spans="5:32" ht="8.25" customHeight="1" x14ac:dyDescent="0.25">
      <c r="E61" s="52"/>
      <c r="H61" s="53"/>
      <c r="N61" s="52">
        <v>4</v>
      </c>
      <c r="O61" s="52"/>
      <c r="T61" s="33">
        <v>46027</v>
      </c>
      <c r="U61" s="34">
        <v>2026</v>
      </c>
      <c r="V61" s="35" t="s">
        <v>12</v>
      </c>
      <c r="X61" s="37" t="s">
        <v>289</v>
      </c>
      <c r="Y61" s="125" t="s">
        <v>290</v>
      </c>
      <c r="Z61" s="30" t="s">
        <v>291</v>
      </c>
      <c r="AA61" s="30" t="s">
        <v>3899</v>
      </c>
      <c r="AC61" s="126"/>
      <c r="AD61" s="38">
        <v>8631.67</v>
      </c>
      <c r="AE61" s="38">
        <v>0</v>
      </c>
      <c r="AF61" s="76">
        <f t="shared" ref="AF61:AF64" si="6">AF60+AD61-AE61</f>
        <v>135693.55000000002</v>
      </c>
    </row>
    <row r="62" spans="5:32" ht="8.25" customHeight="1" x14ac:dyDescent="0.25">
      <c r="E62" s="52"/>
      <c r="H62" s="53"/>
      <c r="N62" s="52">
        <v>4</v>
      </c>
      <c r="O62" s="52"/>
      <c r="T62" s="33">
        <v>46027</v>
      </c>
      <c r="U62" s="34">
        <v>2026</v>
      </c>
      <c r="V62" s="35" t="s">
        <v>12</v>
      </c>
      <c r="X62" s="37" t="s">
        <v>289</v>
      </c>
      <c r="Y62" s="125" t="s">
        <v>290</v>
      </c>
      <c r="Z62" s="30" t="s">
        <v>291</v>
      </c>
      <c r="AA62" s="30" t="s">
        <v>166</v>
      </c>
      <c r="AC62" s="126"/>
      <c r="AD62" s="38">
        <v>119.19</v>
      </c>
      <c r="AE62" s="38">
        <v>0</v>
      </c>
      <c r="AF62" s="76">
        <f t="shared" si="6"/>
        <v>135812.74000000002</v>
      </c>
    </row>
    <row r="63" spans="5:32" ht="8.25" customHeight="1" x14ac:dyDescent="0.25">
      <c r="E63" s="52"/>
      <c r="H63" s="53"/>
      <c r="O63" s="52"/>
      <c r="R63" s="53">
        <v>5</v>
      </c>
      <c r="T63" s="33">
        <v>46027</v>
      </c>
      <c r="U63" s="34">
        <v>2026</v>
      </c>
      <c r="V63" s="35" t="s">
        <v>12</v>
      </c>
      <c r="X63" s="37" t="s">
        <v>292</v>
      </c>
      <c r="Y63" s="125" t="s">
        <v>293</v>
      </c>
      <c r="Z63" s="30" t="s">
        <v>291</v>
      </c>
      <c r="AA63" s="30" t="s">
        <v>92</v>
      </c>
      <c r="AC63" s="126"/>
      <c r="AD63" s="38">
        <v>0</v>
      </c>
      <c r="AE63" s="38">
        <v>8000</v>
      </c>
      <c r="AF63" s="76">
        <f t="shared" si="6"/>
        <v>127812.74000000002</v>
      </c>
    </row>
    <row r="64" spans="5:32" ht="8.25" customHeight="1" x14ac:dyDescent="0.25">
      <c r="E64" s="52"/>
      <c r="H64" s="53"/>
      <c r="O64" s="52"/>
      <c r="R64" s="53">
        <v>6</v>
      </c>
      <c r="T64" s="33">
        <v>46027</v>
      </c>
      <c r="U64" s="34">
        <v>2026</v>
      </c>
      <c r="V64" s="35" t="s">
        <v>12</v>
      </c>
      <c r="X64" s="37" t="s">
        <v>294</v>
      </c>
      <c r="Y64" s="125"/>
      <c r="Z64" s="30" t="s">
        <v>16</v>
      </c>
      <c r="AA64" s="30" t="s">
        <v>167</v>
      </c>
      <c r="AC64" s="126"/>
      <c r="AD64" s="38">
        <v>0</v>
      </c>
      <c r="AE64" s="38">
        <v>1762</v>
      </c>
      <c r="AF64" s="76">
        <f t="shared" si="6"/>
        <v>126050.74000000002</v>
      </c>
    </row>
    <row r="65" spans="5:32" ht="8.25" customHeight="1" thickBot="1" x14ac:dyDescent="0.3">
      <c r="E65" s="52"/>
      <c r="H65" s="53"/>
      <c r="O65" s="52"/>
      <c r="Y65" s="125"/>
      <c r="AA65" s="75" t="s">
        <v>257</v>
      </c>
      <c r="AC65" s="126"/>
      <c r="AD65" s="91">
        <f>SUM(AD61:AD64)</f>
        <v>8750.86</v>
      </c>
      <c r="AE65" s="91">
        <f>SUM(AE63:AE64)</f>
        <v>9762</v>
      </c>
      <c r="AF65" s="76">
        <f>AF60+AD65-AE65</f>
        <v>126050.73999999999</v>
      </c>
    </row>
    <row r="66" spans="5:32" ht="8.25" customHeight="1" thickTop="1" x14ac:dyDescent="0.25">
      <c r="E66" s="52"/>
      <c r="H66" s="53"/>
      <c r="O66" s="52"/>
      <c r="X66" s="109"/>
      <c r="Y66" s="67" t="s">
        <v>214</v>
      </c>
      <c r="Z66" s="68"/>
      <c r="AA66" s="75"/>
      <c r="AB66" s="116"/>
      <c r="AC66" s="30"/>
      <c r="AD66" s="30"/>
      <c r="AE66" s="124"/>
    </row>
    <row r="67" spans="5:32" ht="8.25" customHeight="1" x14ac:dyDescent="0.25">
      <c r="E67" s="52"/>
      <c r="H67" s="53"/>
      <c r="O67" s="52"/>
      <c r="X67" s="110" t="s">
        <v>259</v>
      </c>
      <c r="Y67" s="111">
        <v>200</v>
      </c>
      <c r="Z67" s="111">
        <f t="shared" ref="Z67:Z72" si="7">X67*Y67</f>
        <v>16000</v>
      </c>
      <c r="AA67" s="112"/>
      <c r="AB67" s="116"/>
      <c r="AC67" s="30"/>
      <c r="AD67" s="124"/>
    </row>
    <row r="68" spans="5:32" ht="8.25" customHeight="1" x14ac:dyDescent="0.25">
      <c r="E68" s="52"/>
      <c r="H68" s="53"/>
      <c r="O68" s="52"/>
      <c r="X68" s="110" t="s">
        <v>295</v>
      </c>
      <c r="Y68" s="111">
        <v>100</v>
      </c>
      <c r="Z68" s="111">
        <f t="shared" si="7"/>
        <v>102400</v>
      </c>
      <c r="AA68" s="112"/>
      <c r="AC68" s="117"/>
      <c r="AE68" s="124"/>
    </row>
    <row r="69" spans="5:32" ht="8.25" customHeight="1" x14ac:dyDescent="0.25">
      <c r="E69" s="52"/>
      <c r="H69" s="53"/>
      <c r="O69" s="52"/>
      <c r="X69" s="110" t="s">
        <v>258</v>
      </c>
      <c r="Y69" s="111">
        <v>50</v>
      </c>
      <c r="Z69" s="111">
        <f t="shared" si="7"/>
        <v>4650</v>
      </c>
      <c r="AA69" s="76"/>
      <c r="AB69" s="116"/>
      <c r="AC69" s="30"/>
      <c r="AD69" s="124"/>
      <c r="AE69" s="124"/>
    </row>
    <row r="70" spans="5:32" ht="8.25" customHeight="1" x14ac:dyDescent="0.25">
      <c r="E70" s="52"/>
      <c r="H70" s="53"/>
      <c r="O70" s="52"/>
      <c r="X70" s="110" t="s">
        <v>221</v>
      </c>
      <c r="Y70" s="111">
        <v>20</v>
      </c>
      <c r="Z70" s="111">
        <f t="shared" si="7"/>
        <v>140</v>
      </c>
      <c r="AA70" s="38"/>
      <c r="AC70" s="117"/>
    </row>
    <row r="71" spans="5:32" ht="8.25" customHeight="1" x14ac:dyDescent="0.25">
      <c r="E71" s="52"/>
      <c r="H71" s="53"/>
      <c r="O71" s="52"/>
      <c r="X71" s="110" t="s">
        <v>296</v>
      </c>
      <c r="Y71" s="111">
        <v>10</v>
      </c>
      <c r="Z71" s="111">
        <f t="shared" si="7"/>
        <v>740</v>
      </c>
      <c r="AA71" s="112"/>
      <c r="AB71" s="116"/>
      <c r="AC71" s="30"/>
      <c r="AD71" s="30"/>
      <c r="AE71" s="124"/>
    </row>
    <row r="72" spans="5:32" ht="8.25" customHeight="1" x14ac:dyDescent="0.25">
      <c r="E72" s="52"/>
      <c r="H72" s="53"/>
      <c r="O72" s="52"/>
      <c r="X72" s="110" t="s">
        <v>297</v>
      </c>
      <c r="Y72" s="111">
        <v>5</v>
      </c>
      <c r="Z72" s="111">
        <f t="shared" si="7"/>
        <v>1545</v>
      </c>
      <c r="AA72" s="112"/>
      <c r="AB72" s="116"/>
      <c r="AC72" s="30"/>
      <c r="AD72" s="30"/>
      <c r="AE72" s="124"/>
    </row>
    <row r="73" spans="5:32" ht="8.25" customHeight="1" x14ac:dyDescent="0.25">
      <c r="E73" s="52"/>
      <c r="H73" s="53"/>
      <c r="O73" s="52"/>
      <c r="X73" s="269"/>
      <c r="Y73" s="270"/>
      <c r="Z73" s="271"/>
      <c r="AA73" s="38"/>
      <c r="AC73" s="117"/>
    </row>
    <row r="74" spans="5:32" ht="8.25" customHeight="1" x14ac:dyDescent="0.25">
      <c r="E74" s="52"/>
      <c r="H74" s="53"/>
      <c r="O74" s="52"/>
      <c r="X74" s="110" t="s">
        <v>471</v>
      </c>
      <c r="Y74" s="111">
        <v>1</v>
      </c>
      <c r="Z74" s="111">
        <f t="shared" ref="Z74:Z79" si="8">X74*Y74</f>
        <v>530</v>
      </c>
      <c r="AA74" s="76"/>
      <c r="AB74" s="116"/>
      <c r="AC74" s="30"/>
      <c r="AD74" s="124"/>
      <c r="AE74" s="124"/>
    </row>
    <row r="75" spans="5:32" ht="8.25" customHeight="1" x14ac:dyDescent="0.15">
      <c r="E75" s="52"/>
      <c r="H75" s="53"/>
      <c r="O75" s="52"/>
      <c r="W75" s="123"/>
      <c r="X75" s="110" t="s">
        <v>250</v>
      </c>
      <c r="Y75" s="111">
        <v>0.5</v>
      </c>
      <c r="Z75" s="111">
        <f t="shared" si="8"/>
        <v>23.5</v>
      </c>
      <c r="AA75" s="112"/>
      <c r="AB75" s="116"/>
      <c r="AC75" s="30"/>
      <c r="AD75" s="124"/>
      <c r="AE75" s="124"/>
    </row>
    <row r="76" spans="5:32" ht="8.25" customHeight="1" x14ac:dyDescent="0.15">
      <c r="E76" s="52"/>
      <c r="H76" s="53"/>
      <c r="O76" s="52"/>
      <c r="W76" s="123"/>
      <c r="X76" s="110" t="s">
        <v>298</v>
      </c>
      <c r="Y76" s="111">
        <v>0.25</v>
      </c>
      <c r="Z76" s="111">
        <f t="shared" si="8"/>
        <v>22</v>
      </c>
      <c r="AA76" s="113"/>
      <c r="AC76" s="117"/>
      <c r="AD76" s="76"/>
      <c r="AE76" s="76"/>
    </row>
    <row r="77" spans="5:32" ht="8.25" customHeight="1" x14ac:dyDescent="0.15">
      <c r="E77" s="52"/>
      <c r="H77" s="53"/>
      <c r="O77" s="52"/>
      <c r="W77" s="123"/>
      <c r="X77" s="110" t="s">
        <v>224</v>
      </c>
      <c r="Y77" s="111">
        <v>0.1</v>
      </c>
      <c r="Z77" s="111">
        <f t="shared" si="8"/>
        <v>0.2</v>
      </c>
      <c r="AA77" s="114" t="s">
        <v>219</v>
      </c>
      <c r="AC77" s="117"/>
      <c r="AD77" s="76"/>
      <c r="AE77" s="76"/>
    </row>
    <row r="78" spans="5:32" ht="8.25" customHeight="1" thickBot="1" x14ac:dyDescent="0.3">
      <c r="E78" s="52"/>
      <c r="H78" s="53"/>
      <c r="O78" s="52"/>
      <c r="X78" s="110"/>
      <c r="Y78" s="111">
        <v>0.05</v>
      </c>
      <c r="Z78" s="111">
        <f t="shared" si="8"/>
        <v>0</v>
      </c>
      <c r="AA78" s="115">
        <f>SUM(Z67:Z72)+Z74+Z75+Z76+Z77+Z78+Z79</f>
        <v>126050.73999999999</v>
      </c>
      <c r="AC78" s="160"/>
    </row>
    <row r="79" spans="5:32" ht="8.25" customHeight="1" thickTop="1" x14ac:dyDescent="0.25">
      <c r="E79" s="52"/>
      <c r="H79" s="53"/>
      <c r="O79" s="52"/>
      <c r="X79" s="110" t="s">
        <v>299</v>
      </c>
      <c r="Y79" s="111">
        <v>0.01</v>
      </c>
      <c r="Z79" s="111">
        <f t="shared" si="8"/>
        <v>0.04</v>
      </c>
      <c r="AC79" s="160"/>
    </row>
    <row r="80" spans="5:32" ht="8.25" customHeight="1" x14ac:dyDescent="0.25">
      <c r="E80" s="52"/>
      <c r="H80" s="53"/>
      <c r="O80" s="52"/>
      <c r="X80" s="121"/>
      <c r="Y80" s="122"/>
      <c r="Z80" s="122"/>
      <c r="AA80" s="118"/>
      <c r="AC80" s="160"/>
    </row>
    <row r="81" spans="4:32" ht="8.25" customHeight="1" x14ac:dyDescent="0.25">
      <c r="E81" s="52"/>
      <c r="H81" s="53"/>
      <c r="O81" s="52"/>
      <c r="Y81" s="125"/>
      <c r="AA81" s="75" t="s">
        <v>251</v>
      </c>
      <c r="AC81" s="126"/>
      <c r="AF81" s="76">
        <f>AF65</f>
        <v>126050.73999999999</v>
      </c>
    </row>
    <row r="82" spans="4:32" ht="8.25" customHeight="1" x14ac:dyDescent="0.25">
      <c r="E82" s="52"/>
      <c r="H82" s="53"/>
      <c r="N82" s="52">
        <v>5</v>
      </c>
      <c r="O82" s="52"/>
      <c r="T82" s="33">
        <v>46029</v>
      </c>
      <c r="U82" s="34">
        <v>2026</v>
      </c>
      <c r="V82" s="35" t="s">
        <v>12</v>
      </c>
      <c r="X82" s="35" t="s">
        <v>300</v>
      </c>
      <c r="Y82" s="35" t="s">
        <v>345</v>
      </c>
      <c r="Z82" s="35" t="s">
        <v>301</v>
      </c>
      <c r="AA82" s="30" t="s">
        <v>3899</v>
      </c>
      <c r="AB82" s="159"/>
      <c r="AC82" s="30"/>
      <c r="AD82" s="124">
        <v>7226.28</v>
      </c>
      <c r="AE82" s="124">
        <v>0</v>
      </c>
      <c r="AF82" s="76">
        <f t="shared" ref="AF82:AF95" si="9">AF81+AD82-AE82</f>
        <v>133277.01999999999</v>
      </c>
    </row>
    <row r="83" spans="4:32" ht="8.25" customHeight="1" x14ac:dyDescent="0.25">
      <c r="E83" s="52"/>
      <c r="H83" s="53"/>
      <c r="N83" s="52">
        <v>5</v>
      </c>
      <c r="O83" s="52"/>
      <c r="T83" s="33">
        <v>46029</v>
      </c>
      <c r="U83" s="34">
        <v>2026</v>
      </c>
      <c r="V83" s="35" t="s">
        <v>12</v>
      </c>
      <c r="X83" s="35" t="s">
        <v>300</v>
      </c>
      <c r="Y83" s="35" t="s">
        <v>345</v>
      </c>
      <c r="Z83" s="35" t="s">
        <v>301</v>
      </c>
      <c r="AA83" s="30" t="s">
        <v>166</v>
      </c>
      <c r="AC83" s="160"/>
      <c r="AD83" s="124">
        <v>6748.72</v>
      </c>
      <c r="AE83" s="124">
        <v>0</v>
      </c>
      <c r="AF83" s="76">
        <f t="shared" si="9"/>
        <v>140025.74</v>
      </c>
    </row>
    <row r="84" spans="4:32" ht="8.25" customHeight="1" x14ac:dyDescent="0.25">
      <c r="E84" s="52"/>
      <c r="H84" s="53"/>
      <c r="N84" s="52">
        <v>5</v>
      </c>
      <c r="O84" s="52"/>
      <c r="T84" s="33">
        <v>46029</v>
      </c>
      <c r="U84" s="34">
        <v>2026</v>
      </c>
      <c r="V84" s="35" t="s">
        <v>12</v>
      </c>
      <c r="X84" s="35" t="s">
        <v>300</v>
      </c>
      <c r="Y84" s="35" t="s">
        <v>345</v>
      </c>
      <c r="Z84" s="35" t="s">
        <v>301</v>
      </c>
      <c r="AA84" s="30" t="s">
        <v>3306</v>
      </c>
      <c r="AC84" s="160"/>
      <c r="AD84" s="124">
        <v>25</v>
      </c>
      <c r="AE84" s="38">
        <v>0</v>
      </c>
      <c r="AF84" s="76">
        <f t="shared" si="9"/>
        <v>140050.74</v>
      </c>
    </row>
    <row r="85" spans="4:32" ht="8.25" customHeight="1" x14ac:dyDescent="0.25">
      <c r="E85" s="52"/>
      <c r="H85" s="53"/>
      <c r="N85" s="52">
        <v>6</v>
      </c>
      <c r="O85" s="52"/>
      <c r="T85" s="33">
        <v>46029</v>
      </c>
      <c r="U85" s="34">
        <v>2026</v>
      </c>
      <c r="V85" s="35" t="s">
        <v>12</v>
      </c>
      <c r="X85" s="37" t="s">
        <v>302</v>
      </c>
      <c r="Y85" s="35" t="s">
        <v>346</v>
      </c>
      <c r="Z85" s="35" t="s">
        <v>303</v>
      </c>
      <c r="AA85" s="30" t="s">
        <v>3899</v>
      </c>
      <c r="AC85" s="160"/>
      <c r="AD85" s="124">
        <v>7160.59</v>
      </c>
      <c r="AE85" s="124">
        <v>0</v>
      </c>
      <c r="AF85" s="76">
        <f t="shared" si="9"/>
        <v>147211.32999999999</v>
      </c>
    </row>
    <row r="86" spans="4:32" ht="8.25" customHeight="1" x14ac:dyDescent="0.25">
      <c r="E86" s="52"/>
      <c r="H86" s="53"/>
      <c r="N86" s="52">
        <v>6</v>
      </c>
      <c r="O86" s="52"/>
      <c r="T86" s="33">
        <v>46029</v>
      </c>
      <c r="U86" s="34">
        <v>2026</v>
      </c>
      <c r="V86" s="35" t="s">
        <v>12</v>
      </c>
      <c r="X86" s="37" t="s">
        <v>302</v>
      </c>
      <c r="Y86" s="35" t="s">
        <v>346</v>
      </c>
      <c r="Z86" s="35" t="s">
        <v>303</v>
      </c>
      <c r="AA86" s="30" t="s">
        <v>166</v>
      </c>
      <c r="AB86" s="159"/>
      <c r="AC86" s="30"/>
      <c r="AD86" s="124">
        <v>6639.41</v>
      </c>
      <c r="AE86" s="124">
        <v>0</v>
      </c>
      <c r="AF86" s="76">
        <f t="shared" si="9"/>
        <v>153850.74</v>
      </c>
    </row>
    <row r="87" spans="4:32" ht="8.25" customHeight="1" x14ac:dyDescent="0.25">
      <c r="E87" s="52"/>
      <c r="H87" s="53"/>
      <c r="N87" s="52">
        <v>7</v>
      </c>
      <c r="O87" s="52"/>
      <c r="T87" s="33">
        <v>46029</v>
      </c>
      <c r="U87" s="34">
        <v>2026</v>
      </c>
      <c r="V87" s="35" t="s">
        <v>12</v>
      </c>
      <c r="X87" s="37" t="s">
        <v>304</v>
      </c>
      <c r="Y87" s="35" t="s">
        <v>347</v>
      </c>
      <c r="Z87" s="35" t="s">
        <v>305</v>
      </c>
      <c r="AA87" s="30" t="s">
        <v>3899</v>
      </c>
      <c r="AB87" s="159"/>
      <c r="AC87" s="30"/>
      <c r="AD87" s="124">
        <v>5958.46</v>
      </c>
      <c r="AE87" s="38">
        <v>0</v>
      </c>
      <c r="AF87" s="76">
        <f t="shared" si="9"/>
        <v>159809.19999999998</v>
      </c>
    </row>
    <row r="88" spans="4:32" ht="8.25" customHeight="1" x14ac:dyDescent="0.25">
      <c r="E88" s="52"/>
      <c r="H88" s="53"/>
      <c r="N88" s="52">
        <v>7</v>
      </c>
      <c r="O88" s="52"/>
      <c r="T88" s="33">
        <v>46029</v>
      </c>
      <c r="U88" s="34">
        <v>2026</v>
      </c>
      <c r="V88" s="35" t="s">
        <v>12</v>
      </c>
      <c r="X88" s="37" t="s">
        <v>304</v>
      </c>
      <c r="Y88" s="35" t="s">
        <v>347</v>
      </c>
      <c r="Z88" s="35" t="s">
        <v>305</v>
      </c>
      <c r="AA88" s="30" t="s">
        <v>166</v>
      </c>
      <c r="AC88" s="160"/>
      <c r="AD88" s="124">
        <v>5541.54</v>
      </c>
      <c r="AE88" s="124">
        <v>0</v>
      </c>
      <c r="AF88" s="76">
        <f t="shared" si="9"/>
        <v>165350.74</v>
      </c>
    </row>
    <row r="89" spans="4:32" ht="8.25" customHeight="1" x14ac:dyDescent="0.25">
      <c r="E89" s="52"/>
      <c r="H89" s="53"/>
      <c r="N89" s="52">
        <v>8</v>
      </c>
      <c r="O89" s="52"/>
      <c r="T89" s="33">
        <v>46029</v>
      </c>
      <c r="U89" s="34">
        <v>2026</v>
      </c>
      <c r="V89" s="35" t="s">
        <v>12</v>
      </c>
      <c r="X89" s="37" t="s">
        <v>306</v>
      </c>
      <c r="Y89" s="35" t="s">
        <v>348</v>
      </c>
      <c r="Z89" s="35" t="s">
        <v>307</v>
      </c>
      <c r="AA89" s="30" t="s">
        <v>3899</v>
      </c>
      <c r="AB89" s="159"/>
      <c r="AC89" s="30"/>
      <c r="AD89" s="124">
        <v>5074.75</v>
      </c>
      <c r="AE89" s="124">
        <v>0</v>
      </c>
      <c r="AF89" s="76">
        <f t="shared" si="9"/>
        <v>170425.49</v>
      </c>
    </row>
    <row r="90" spans="4:32" ht="8.25" customHeight="1" x14ac:dyDescent="0.25">
      <c r="E90" s="52"/>
      <c r="H90" s="53"/>
      <c r="N90" s="52">
        <v>8</v>
      </c>
      <c r="O90" s="52"/>
      <c r="T90" s="33">
        <v>46029</v>
      </c>
      <c r="U90" s="34">
        <v>2026</v>
      </c>
      <c r="V90" s="35" t="s">
        <v>12</v>
      </c>
      <c r="X90" s="37" t="s">
        <v>306</v>
      </c>
      <c r="Y90" s="35" t="s">
        <v>348</v>
      </c>
      <c r="Z90" s="35" t="s">
        <v>307</v>
      </c>
      <c r="AA90" s="30" t="s">
        <v>166</v>
      </c>
      <c r="AC90" s="160"/>
      <c r="AD90" s="124">
        <v>4925.25</v>
      </c>
      <c r="AE90" s="38">
        <v>0</v>
      </c>
      <c r="AF90" s="76">
        <f t="shared" si="9"/>
        <v>175350.74</v>
      </c>
    </row>
    <row r="91" spans="4:32" ht="8.25" customHeight="1" x14ac:dyDescent="0.25">
      <c r="E91" s="52"/>
      <c r="H91" s="53"/>
      <c r="I91" s="52">
        <v>6</v>
      </c>
      <c r="O91" s="52"/>
      <c r="T91" s="33">
        <v>46029</v>
      </c>
      <c r="U91" s="34">
        <v>2026</v>
      </c>
      <c r="V91" s="35" t="s">
        <v>12</v>
      </c>
      <c r="X91" s="37" t="s">
        <v>308</v>
      </c>
      <c r="Y91" s="35" t="s">
        <v>349</v>
      </c>
      <c r="Z91" s="35" t="s">
        <v>309</v>
      </c>
      <c r="AA91" s="30" t="s">
        <v>13</v>
      </c>
      <c r="AB91" s="159"/>
      <c r="AC91" s="30"/>
      <c r="AD91" s="124">
        <v>500</v>
      </c>
      <c r="AE91" s="124">
        <v>0</v>
      </c>
      <c r="AF91" s="76">
        <f t="shared" si="9"/>
        <v>175850.74</v>
      </c>
    </row>
    <row r="92" spans="4:32" ht="8.25" customHeight="1" x14ac:dyDescent="0.25">
      <c r="D92" s="52">
        <v>1</v>
      </c>
      <c r="E92" s="52"/>
      <c r="H92" s="53"/>
      <c r="O92" s="52"/>
      <c r="T92" s="33">
        <v>46029</v>
      </c>
      <c r="U92" s="34">
        <v>2026</v>
      </c>
      <c r="V92" s="35" t="s">
        <v>12</v>
      </c>
      <c r="X92" s="37" t="s">
        <v>311</v>
      </c>
      <c r="Y92" s="35"/>
      <c r="Z92" s="35" t="s">
        <v>312</v>
      </c>
      <c r="AA92" s="30" t="s">
        <v>256</v>
      </c>
      <c r="AB92" s="159"/>
      <c r="AC92" s="30"/>
      <c r="AD92" s="124">
        <v>60</v>
      </c>
      <c r="AE92" s="124">
        <v>0</v>
      </c>
      <c r="AF92" s="76">
        <f t="shared" si="9"/>
        <v>175910.74</v>
      </c>
    </row>
    <row r="93" spans="4:32" ht="8.25" customHeight="1" x14ac:dyDescent="0.25">
      <c r="D93" s="52">
        <v>2</v>
      </c>
      <c r="E93" s="52"/>
      <c r="H93" s="53"/>
      <c r="O93" s="52"/>
      <c r="T93" s="33">
        <v>46029</v>
      </c>
      <c r="U93" s="34">
        <v>2026</v>
      </c>
      <c r="V93" s="35" t="s">
        <v>12</v>
      </c>
      <c r="X93" s="37" t="s">
        <v>314</v>
      </c>
      <c r="Y93" s="159"/>
      <c r="Z93" s="159" t="s">
        <v>313</v>
      </c>
      <c r="AA93" s="30" t="s">
        <v>256</v>
      </c>
      <c r="AC93" s="160"/>
      <c r="AD93" s="124">
        <v>1125</v>
      </c>
      <c r="AE93" s="38">
        <v>0</v>
      </c>
      <c r="AF93" s="76">
        <f t="shared" si="9"/>
        <v>177035.74</v>
      </c>
    </row>
    <row r="94" spans="4:32" ht="8.25" customHeight="1" x14ac:dyDescent="0.25">
      <c r="E94" s="52"/>
      <c r="H94" s="53"/>
      <c r="O94" s="52"/>
      <c r="R94" s="53">
        <v>7</v>
      </c>
      <c r="T94" s="33">
        <v>46029</v>
      </c>
      <c r="U94" s="34">
        <v>2026</v>
      </c>
      <c r="V94" s="35" t="s">
        <v>12</v>
      </c>
      <c r="X94" s="37" t="s">
        <v>310</v>
      </c>
      <c r="Y94" s="35"/>
      <c r="Z94" s="35" t="s">
        <v>16</v>
      </c>
      <c r="AA94" s="30" t="s">
        <v>92</v>
      </c>
      <c r="AB94" s="159"/>
      <c r="AC94" s="30"/>
      <c r="AD94" s="124">
        <v>0</v>
      </c>
      <c r="AE94" s="124">
        <v>1150</v>
      </c>
      <c r="AF94" s="76">
        <f t="shared" si="9"/>
        <v>175885.74</v>
      </c>
    </row>
    <row r="95" spans="4:32" ht="8.25" customHeight="1" x14ac:dyDescent="0.15">
      <c r="E95" s="52"/>
      <c r="G95" s="53">
        <v>1</v>
      </c>
      <c r="H95" s="53"/>
      <c r="O95" s="52"/>
      <c r="T95" s="33">
        <v>46029</v>
      </c>
      <c r="U95" s="34">
        <v>2026</v>
      </c>
      <c r="V95" s="35" t="s">
        <v>12</v>
      </c>
      <c r="W95" s="123"/>
      <c r="X95" s="37" t="s">
        <v>315</v>
      </c>
      <c r="Y95" s="35"/>
      <c r="Z95" s="35" t="s">
        <v>316</v>
      </c>
      <c r="AA95" s="30" t="s">
        <v>3945</v>
      </c>
      <c r="AB95" s="159"/>
      <c r="AC95" s="30"/>
      <c r="AD95" s="124">
        <v>0</v>
      </c>
      <c r="AE95" s="124">
        <v>766</v>
      </c>
      <c r="AF95" s="76">
        <f t="shared" si="9"/>
        <v>175119.74</v>
      </c>
    </row>
    <row r="96" spans="4:32" ht="8.25" customHeight="1" thickBot="1" x14ac:dyDescent="0.2">
      <c r="E96" s="52"/>
      <c r="H96" s="53"/>
      <c r="O96" s="52"/>
      <c r="W96" s="123"/>
      <c r="Y96" s="159"/>
      <c r="AA96" s="75" t="s">
        <v>257</v>
      </c>
      <c r="AC96" s="160"/>
      <c r="AD96" s="91">
        <f>SUM(AD82:AD95)</f>
        <v>50985</v>
      </c>
      <c r="AE96" s="91">
        <f>SUM(AE82:AE95)</f>
        <v>1916</v>
      </c>
      <c r="AF96" s="76">
        <f>AF81+AD96-AE96</f>
        <v>175119.74</v>
      </c>
    </row>
    <row r="97" spans="5:31" ht="8.25" customHeight="1" thickTop="1" x14ac:dyDescent="0.15">
      <c r="E97" s="52"/>
      <c r="H97" s="53"/>
      <c r="O97" s="52"/>
      <c r="W97" s="123"/>
      <c r="Y97" s="159"/>
      <c r="AC97" s="160"/>
      <c r="AD97" s="76"/>
      <c r="AE97" s="76"/>
    </row>
    <row r="98" spans="5:31" ht="8.25" customHeight="1" x14ac:dyDescent="0.25">
      <c r="E98" s="52"/>
      <c r="H98" s="53"/>
      <c r="O98" s="52"/>
      <c r="X98" s="109"/>
      <c r="Y98" s="67" t="s">
        <v>214</v>
      </c>
      <c r="Z98" s="68"/>
      <c r="AA98" s="75"/>
      <c r="AC98" s="126"/>
    </row>
    <row r="99" spans="5:31" ht="8.25" customHeight="1" x14ac:dyDescent="0.25">
      <c r="E99" s="52"/>
      <c r="H99" s="53"/>
      <c r="O99" s="52"/>
      <c r="X99" s="110" t="s">
        <v>259</v>
      </c>
      <c r="Y99" s="111">
        <v>200</v>
      </c>
      <c r="Z99" s="111">
        <f t="shared" ref="Z99:Z104" si="10">X99*Y99</f>
        <v>16000</v>
      </c>
      <c r="AA99" s="112"/>
      <c r="AC99" s="126"/>
    </row>
    <row r="100" spans="5:31" ht="8.25" customHeight="1" x14ac:dyDescent="0.25">
      <c r="E100" s="52"/>
      <c r="H100" s="53"/>
      <c r="O100" s="52"/>
      <c r="X100" s="110" t="s">
        <v>318</v>
      </c>
      <c r="Y100" s="111">
        <v>100</v>
      </c>
      <c r="Z100" s="111">
        <f t="shared" si="10"/>
        <v>151500</v>
      </c>
      <c r="AA100" s="112"/>
      <c r="AC100" s="126"/>
    </row>
    <row r="101" spans="5:31" ht="8.25" customHeight="1" x14ac:dyDescent="0.25">
      <c r="E101" s="52"/>
      <c r="H101" s="53"/>
      <c r="O101" s="52"/>
      <c r="X101" s="110" t="s">
        <v>258</v>
      </c>
      <c r="Y101" s="111">
        <v>50</v>
      </c>
      <c r="Z101" s="111">
        <f t="shared" si="10"/>
        <v>4650</v>
      </c>
      <c r="AA101" s="76"/>
      <c r="AC101" s="126"/>
    </row>
    <row r="102" spans="5:31" ht="8.25" customHeight="1" x14ac:dyDescent="0.25">
      <c r="E102" s="52"/>
      <c r="H102" s="53"/>
      <c r="O102" s="52"/>
      <c r="X102" s="110" t="s">
        <v>319</v>
      </c>
      <c r="Y102" s="111">
        <v>20</v>
      </c>
      <c r="Z102" s="111">
        <f t="shared" si="10"/>
        <v>120</v>
      </c>
      <c r="AA102" s="38"/>
      <c r="AC102" s="126"/>
    </row>
    <row r="103" spans="5:31" ht="8.25" customHeight="1" x14ac:dyDescent="0.25">
      <c r="E103" s="52"/>
      <c r="H103" s="53"/>
      <c r="O103" s="52"/>
      <c r="X103" s="110" t="s">
        <v>296</v>
      </c>
      <c r="Y103" s="111">
        <v>10</v>
      </c>
      <c r="Z103" s="111">
        <f t="shared" si="10"/>
        <v>740</v>
      </c>
      <c r="AA103" s="112"/>
      <c r="AC103" s="126"/>
    </row>
    <row r="104" spans="5:31" ht="8.25" customHeight="1" x14ac:dyDescent="0.25">
      <c r="E104" s="52"/>
      <c r="H104" s="53"/>
      <c r="O104" s="52"/>
      <c r="X104" s="110" t="s">
        <v>320</v>
      </c>
      <c r="Y104" s="111">
        <v>5</v>
      </c>
      <c r="Z104" s="111">
        <f t="shared" si="10"/>
        <v>1535</v>
      </c>
      <c r="AA104" s="112"/>
      <c r="AC104" s="126"/>
    </row>
    <row r="105" spans="5:31" ht="8.25" customHeight="1" x14ac:dyDescent="0.25">
      <c r="E105" s="52"/>
      <c r="H105" s="53"/>
      <c r="O105" s="52"/>
      <c r="X105" s="269"/>
      <c r="Y105" s="270"/>
      <c r="Z105" s="271"/>
      <c r="AA105" s="38"/>
      <c r="AC105" s="126"/>
    </row>
    <row r="106" spans="5:31" ht="8.25" customHeight="1" x14ac:dyDescent="0.25">
      <c r="E106" s="52"/>
      <c r="H106" s="53"/>
      <c r="O106" s="52"/>
      <c r="X106" s="110" t="s">
        <v>472</v>
      </c>
      <c r="Y106" s="111">
        <v>1</v>
      </c>
      <c r="Z106" s="111">
        <f t="shared" ref="Z106:Z111" si="11">X106*Y106</f>
        <v>529</v>
      </c>
      <c r="AA106" s="76"/>
      <c r="AC106" s="126"/>
    </row>
    <row r="107" spans="5:31" ht="8.25" customHeight="1" x14ac:dyDescent="0.25">
      <c r="E107" s="52"/>
      <c r="H107" s="53"/>
      <c r="O107" s="52"/>
      <c r="X107" s="110" t="s">
        <v>250</v>
      </c>
      <c r="Y107" s="111">
        <v>0.5</v>
      </c>
      <c r="Z107" s="111">
        <f t="shared" si="11"/>
        <v>23.5</v>
      </c>
      <c r="AA107" s="112"/>
      <c r="AC107" s="126"/>
    </row>
    <row r="108" spans="5:31" ht="8.25" customHeight="1" x14ac:dyDescent="0.25">
      <c r="E108" s="52"/>
      <c r="H108" s="53"/>
      <c r="O108" s="52"/>
      <c r="X108" s="110" t="s">
        <v>298</v>
      </c>
      <c r="Y108" s="111">
        <v>0.25</v>
      </c>
      <c r="Z108" s="111">
        <f t="shared" si="11"/>
        <v>22</v>
      </c>
      <c r="AA108" s="113"/>
      <c r="AC108" s="126"/>
    </row>
    <row r="109" spans="5:31" ht="8.25" customHeight="1" x14ac:dyDescent="0.25">
      <c r="E109" s="52"/>
      <c r="H109" s="53"/>
      <c r="O109" s="52"/>
      <c r="X109" s="110" t="s">
        <v>224</v>
      </c>
      <c r="Y109" s="111">
        <v>0.1</v>
      </c>
      <c r="Z109" s="111">
        <f t="shared" si="11"/>
        <v>0.2</v>
      </c>
      <c r="AA109" s="114" t="s">
        <v>219</v>
      </c>
      <c r="AC109" s="126"/>
    </row>
    <row r="110" spans="5:31" ht="8.25" customHeight="1" thickBot="1" x14ac:dyDescent="0.3">
      <c r="E110" s="52"/>
      <c r="H110" s="53"/>
      <c r="O110" s="52"/>
      <c r="X110" s="110"/>
      <c r="Y110" s="111">
        <v>0.05</v>
      </c>
      <c r="Z110" s="111">
        <f t="shared" si="11"/>
        <v>0</v>
      </c>
      <c r="AA110" s="115">
        <f>SUM(Z99:Z104)+Z106+Z107+Z108+Z109+Z110+Z111</f>
        <v>175119.74000000002</v>
      </c>
      <c r="AC110" s="126"/>
      <c r="AD110" s="76"/>
      <c r="AE110" s="76"/>
    </row>
    <row r="111" spans="5:31" ht="8.25" customHeight="1" thickTop="1" x14ac:dyDescent="0.25">
      <c r="E111" s="52"/>
      <c r="H111" s="53"/>
      <c r="O111" s="52"/>
      <c r="X111" s="110" t="s">
        <v>299</v>
      </c>
      <c r="Y111" s="111">
        <v>0.01</v>
      </c>
      <c r="Z111" s="111">
        <f t="shared" si="11"/>
        <v>0.04</v>
      </c>
      <c r="AC111" s="126"/>
    </row>
    <row r="112" spans="5:31" ht="8.25" customHeight="1" x14ac:dyDescent="0.25">
      <c r="E112" s="52"/>
      <c r="H112" s="53"/>
      <c r="O112" s="52"/>
      <c r="X112" s="119"/>
      <c r="Y112" s="120"/>
      <c r="Z112" s="62"/>
      <c r="AA112" s="75"/>
      <c r="AC112" s="160"/>
    </row>
    <row r="113" spans="3:32" ht="8.25" customHeight="1" x14ac:dyDescent="0.25">
      <c r="E113" s="52"/>
      <c r="H113" s="53"/>
      <c r="O113" s="52"/>
      <c r="X113" s="121"/>
      <c r="Y113" s="122"/>
      <c r="Z113" s="122"/>
      <c r="AA113" s="75" t="s">
        <v>251</v>
      </c>
      <c r="AC113" s="160"/>
      <c r="AF113" s="76">
        <f>AF96</f>
        <v>175119.74</v>
      </c>
    </row>
    <row r="114" spans="3:32" ht="8.25" customHeight="1" x14ac:dyDescent="0.15">
      <c r="E114" s="52"/>
      <c r="H114" s="53"/>
      <c r="N114" s="52">
        <v>9</v>
      </c>
      <c r="O114" s="52"/>
      <c r="T114" s="33">
        <v>46030</v>
      </c>
      <c r="U114" s="34">
        <v>2026</v>
      </c>
      <c r="V114" s="35" t="s">
        <v>12</v>
      </c>
      <c r="X114" s="127" t="s">
        <v>321</v>
      </c>
      <c r="Y114" s="129" t="s">
        <v>322</v>
      </c>
      <c r="Z114" s="127" t="s">
        <v>323</v>
      </c>
      <c r="AA114" s="30" t="s">
        <v>3899</v>
      </c>
      <c r="AC114" s="160"/>
      <c r="AD114" s="38">
        <v>9429.07</v>
      </c>
      <c r="AF114" s="76">
        <f t="shared" ref="AF114:AF129" si="12">AF113+AD114-AE114</f>
        <v>184548.81</v>
      </c>
    </row>
    <row r="115" spans="3:32" ht="8.25" customHeight="1" x14ac:dyDescent="0.15">
      <c r="E115" s="52"/>
      <c r="H115" s="53"/>
      <c r="N115" s="52">
        <v>9</v>
      </c>
      <c r="O115" s="52"/>
      <c r="T115" s="33">
        <v>46030</v>
      </c>
      <c r="U115" s="34">
        <v>2026</v>
      </c>
      <c r="V115" s="35" t="s">
        <v>12</v>
      </c>
      <c r="X115" s="127" t="s">
        <v>321</v>
      </c>
      <c r="Y115" s="129" t="s">
        <v>322</v>
      </c>
      <c r="Z115" s="127" t="s">
        <v>323</v>
      </c>
      <c r="AA115" s="30" t="s">
        <v>166</v>
      </c>
      <c r="AC115" s="160"/>
      <c r="AD115" s="38">
        <v>9070.93</v>
      </c>
      <c r="AF115" s="76">
        <f t="shared" si="12"/>
        <v>193619.74</v>
      </c>
    </row>
    <row r="116" spans="3:32" ht="8.25" customHeight="1" x14ac:dyDescent="0.15">
      <c r="E116" s="52"/>
      <c r="H116" s="53"/>
      <c r="N116" s="52">
        <v>10</v>
      </c>
      <c r="O116" s="52"/>
      <c r="T116" s="33">
        <v>46030</v>
      </c>
      <c r="U116" s="34">
        <v>2026</v>
      </c>
      <c r="V116" s="35" t="s">
        <v>12</v>
      </c>
      <c r="X116" s="127" t="s">
        <v>324</v>
      </c>
      <c r="Y116" s="129" t="s">
        <v>325</v>
      </c>
      <c r="Z116" s="128" t="s">
        <v>326</v>
      </c>
      <c r="AA116" s="30" t="s">
        <v>3899</v>
      </c>
      <c r="AC116" s="160"/>
      <c r="AD116" s="38">
        <v>5216.45</v>
      </c>
      <c r="AF116" s="76">
        <f t="shared" si="12"/>
        <v>198836.19</v>
      </c>
    </row>
    <row r="117" spans="3:32" ht="8.25" customHeight="1" x14ac:dyDescent="0.15">
      <c r="E117" s="52"/>
      <c r="H117" s="53"/>
      <c r="N117" s="52">
        <v>10</v>
      </c>
      <c r="O117" s="52"/>
      <c r="T117" s="33">
        <v>46030</v>
      </c>
      <c r="U117" s="34">
        <v>2026</v>
      </c>
      <c r="V117" s="35" t="s">
        <v>12</v>
      </c>
      <c r="X117" s="127" t="s">
        <v>324</v>
      </c>
      <c r="Y117" s="129" t="s">
        <v>325</v>
      </c>
      <c r="Z117" s="128" t="s">
        <v>326</v>
      </c>
      <c r="AA117" s="30" t="s">
        <v>166</v>
      </c>
      <c r="AC117" s="160"/>
      <c r="AD117" s="38">
        <v>4883.55</v>
      </c>
      <c r="AF117" s="76">
        <f t="shared" si="12"/>
        <v>203719.74</v>
      </c>
    </row>
    <row r="118" spans="3:32" ht="8.25" customHeight="1" x14ac:dyDescent="0.15">
      <c r="E118" s="52"/>
      <c r="H118" s="53"/>
      <c r="I118" s="52">
        <v>7</v>
      </c>
      <c r="O118" s="52"/>
      <c r="T118" s="33">
        <v>46030</v>
      </c>
      <c r="U118" s="34">
        <v>2026</v>
      </c>
      <c r="V118" s="35" t="s">
        <v>12</v>
      </c>
      <c r="X118" s="127" t="s">
        <v>327</v>
      </c>
      <c r="Y118" s="129" t="s">
        <v>328</v>
      </c>
      <c r="Z118" s="128" t="s">
        <v>329</v>
      </c>
      <c r="AA118" s="128" t="s">
        <v>13</v>
      </c>
      <c r="AC118" s="160"/>
      <c r="AD118" s="38">
        <v>100</v>
      </c>
      <c r="AF118" s="76">
        <f t="shared" si="12"/>
        <v>203819.74</v>
      </c>
    </row>
    <row r="119" spans="3:32" ht="8.25" customHeight="1" x14ac:dyDescent="0.15">
      <c r="E119" s="52"/>
      <c r="H119" s="53"/>
      <c r="N119" s="52">
        <v>11</v>
      </c>
      <c r="O119" s="52"/>
      <c r="T119" s="33">
        <v>46030</v>
      </c>
      <c r="U119" s="34">
        <v>2026</v>
      </c>
      <c r="V119" s="35" t="s">
        <v>12</v>
      </c>
      <c r="X119" s="127" t="s">
        <v>330</v>
      </c>
      <c r="Y119" s="129" t="s">
        <v>331</v>
      </c>
      <c r="Z119" s="128" t="s">
        <v>332</v>
      </c>
      <c r="AA119" s="30" t="s">
        <v>3899</v>
      </c>
      <c r="AC119" s="160"/>
      <c r="AD119" s="38">
        <v>3114.65</v>
      </c>
      <c r="AF119" s="76">
        <f t="shared" si="12"/>
        <v>206934.38999999998</v>
      </c>
    </row>
    <row r="120" spans="3:32" ht="8.25" customHeight="1" x14ac:dyDescent="0.15">
      <c r="E120" s="52"/>
      <c r="H120" s="53"/>
      <c r="N120" s="52">
        <v>11</v>
      </c>
      <c r="O120" s="52"/>
      <c r="T120" s="33">
        <v>46030</v>
      </c>
      <c r="U120" s="34">
        <v>2026</v>
      </c>
      <c r="V120" s="35" t="s">
        <v>12</v>
      </c>
      <c r="X120" s="127" t="s">
        <v>330</v>
      </c>
      <c r="Y120" s="129" t="s">
        <v>331</v>
      </c>
      <c r="Z120" s="128" t="s">
        <v>332</v>
      </c>
      <c r="AA120" s="30" t="s">
        <v>166</v>
      </c>
      <c r="AC120" s="160"/>
      <c r="AD120" s="38">
        <v>2885.35</v>
      </c>
      <c r="AF120" s="76">
        <f t="shared" si="12"/>
        <v>209819.74</v>
      </c>
    </row>
    <row r="121" spans="3:32" ht="8.25" customHeight="1" x14ac:dyDescent="0.15">
      <c r="E121" s="52"/>
      <c r="H121" s="53"/>
      <c r="N121" s="52">
        <v>12</v>
      </c>
      <c r="O121" s="52"/>
      <c r="T121" s="33">
        <v>46030</v>
      </c>
      <c r="U121" s="34">
        <v>2026</v>
      </c>
      <c r="V121" s="35" t="s">
        <v>12</v>
      </c>
      <c r="X121" s="127" t="s">
        <v>333</v>
      </c>
      <c r="Y121" s="129" t="s">
        <v>335</v>
      </c>
      <c r="Z121" s="128" t="s">
        <v>334</v>
      </c>
      <c r="AA121" s="30" t="s">
        <v>3899</v>
      </c>
      <c r="AC121" s="160"/>
      <c r="AD121" s="38">
        <v>9608.15</v>
      </c>
      <c r="AF121" s="76">
        <f t="shared" si="12"/>
        <v>219427.88999999998</v>
      </c>
    </row>
    <row r="122" spans="3:32" ht="8.25" customHeight="1" x14ac:dyDescent="0.15">
      <c r="E122" s="52"/>
      <c r="H122" s="53"/>
      <c r="N122" s="52">
        <v>12</v>
      </c>
      <c r="O122" s="52"/>
      <c r="T122" s="33">
        <v>46030</v>
      </c>
      <c r="U122" s="34">
        <v>2026</v>
      </c>
      <c r="V122" s="35" t="s">
        <v>12</v>
      </c>
      <c r="X122" s="127" t="s">
        <v>333</v>
      </c>
      <c r="Y122" s="129" t="s">
        <v>335</v>
      </c>
      <c r="Z122" s="128" t="s">
        <v>334</v>
      </c>
      <c r="AA122" s="30" t="s">
        <v>166</v>
      </c>
      <c r="AC122" s="160"/>
      <c r="AD122" s="38">
        <v>1391.85</v>
      </c>
      <c r="AF122" s="76">
        <f t="shared" si="12"/>
        <v>220819.74</v>
      </c>
    </row>
    <row r="123" spans="3:32" ht="8.25" customHeight="1" x14ac:dyDescent="0.15">
      <c r="E123" s="52"/>
      <c r="H123" s="53"/>
      <c r="N123" s="52">
        <v>13</v>
      </c>
      <c r="O123" s="52"/>
      <c r="T123" s="33">
        <v>46030</v>
      </c>
      <c r="U123" s="34">
        <v>2026</v>
      </c>
      <c r="V123" s="35" t="s">
        <v>12</v>
      </c>
      <c r="X123" s="127" t="s">
        <v>350</v>
      </c>
      <c r="Y123" s="129" t="s">
        <v>351</v>
      </c>
      <c r="Z123" s="128" t="s">
        <v>352</v>
      </c>
      <c r="AA123" s="30" t="s">
        <v>3899</v>
      </c>
      <c r="AC123" s="160"/>
      <c r="AD123" s="38">
        <v>1016.6</v>
      </c>
      <c r="AF123" s="76">
        <f t="shared" si="12"/>
        <v>221836.34</v>
      </c>
    </row>
    <row r="124" spans="3:32" ht="8.25" customHeight="1" x14ac:dyDescent="0.15">
      <c r="E124" s="52"/>
      <c r="H124" s="53"/>
      <c r="N124" s="52">
        <v>13</v>
      </c>
      <c r="O124" s="52"/>
      <c r="T124" s="33">
        <v>46030</v>
      </c>
      <c r="U124" s="34">
        <v>2026</v>
      </c>
      <c r="V124" s="35" t="s">
        <v>12</v>
      </c>
      <c r="X124" s="127" t="s">
        <v>350</v>
      </c>
      <c r="Y124" s="129" t="s">
        <v>351</v>
      </c>
      <c r="Z124" s="128" t="s">
        <v>352</v>
      </c>
      <c r="AA124" s="30" t="s">
        <v>166</v>
      </c>
      <c r="AC124" s="160"/>
      <c r="AD124" s="38">
        <v>745.4</v>
      </c>
      <c r="AF124" s="76">
        <f t="shared" si="12"/>
        <v>222581.74</v>
      </c>
    </row>
    <row r="125" spans="3:32" ht="8.25" customHeight="1" x14ac:dyDescent="0.15">
      <c r="C125" s="52">
        <v>1</v>
      </c>
      <c r="D125" s="52">
        <v>3</v>
      </c>
      <c r="E125" s="52"/>
      <c r="H125" s="53"/>
      <c r="O125" s="52"/>
      <c r="T125" s="33">
        <v>46030</v>
      </c>
      <c r="U125" s="34">
        <v>2026</v>
      </c>
      <c r="V125" s="35" t="s">
        <v>12</v>
      </c>
      <c r="X125" s="127"/>
      <c r="Y125" s="129" t="s">
        <v>336</v>
      </c>
      <c r="Z125" s="128" t="s">
        <v>337</v>
      </c>
      <c r="AA125" s="30" t="s">
        <v>256</v>
      </c>
      <c r="AC125" s="160"/>
      <c r="AD125" s="38">
        <v>3000</v>
      </c>
      <c r="AF125" s="76">
        <f t="shared" si="12"/>
        <v>225581.74</v>
      </c>
    </row>
    <row r="126" spans="3:32" ht="8.25" customHeight="1" x14ac:dyDescent="0.15">
      <c r="E126" s="52"/>
      <c r="H126" s="53"/>
      <c r="O126" s="52"/>
      <c r="T126" s="33">
        <v>46030</v>
      </c>
      <c r="U126" s="34">
        <v>2026</v>
      </c>
      <c r="V126" s="35" t="s">
        <v>12</v>
      </c>
      <c r="W126" s="35" t="s">
        <v>3620</v>
      </c>
      <c r="X126" s="127"/>
      <c r="Y126" s="129" t="s">
        <v>338</v>
      </c>
      <c r="Z126" s="128" t="s">
        <v>339</v>
      </c>
      <c r="AA126" s="30" t="s">
        <v>340</v>
      </c>
      <c r="AC126" s="160"/>
      <c r="AD126" s="38">
        <v>35</v>
      </c>
      <c r="AF126" s="76">
        <f t="shared" si="12"/>
        <v>225616.74</v>
      </c>
    </row>
    <row r="127" spans="3:32" ht="8.25" customHeight="1" x14ac:dyDescent="0.15">
      <c r="D127" s="52">
        <v>4</v>
      </c>
      <c r="E127" s="52"/>
      <c r="H127" s="53"/>
      <c r="O127" s="52"/>
      <c r="T127" s="33">
        <v>46030</v>
      </c>
      <c r="U127" s="34">
        <v>2026</v>
      </c>
      <c r="V127" s="35" t="s">
        <v>12</v>
      </c>
      <c r="Y127" s="162" t="s">
        <v>341</v>
      </c>
      <c r="Z127" s="30" t="s">
        <v>342</v>
      </c>
      <c r="AA127" s="30" t="s">
        <v>256</v>
      </c>
      <c r="AC127" s="160"/>
      <c r="AD127" s="38">
        <v>300</v>
      </c>
      <c r="AF127" s="76">
        <f t="shared" si="12"/>
        <v>225916.74</v>
      </c>
    </row>
    <row r="128" spans="3:32" ht="8.25" customHeight="1" x14ac:dyDescent="0.15">
      <c r="E128" s="52"/>
      <c r="G128" s="53">
        <v>2</v>
      </c>
      <c r="H128" s="53"/>
      <c r="O128" s="52"/>
      <c r="T128" s="33">
        <v>46030</v>
      </c>
      <c r="U128" s="34">
        <v>2026</v>
      </c>
      <c r="V128" s="35" t="s">
        <v>12</v>
      </c>
      <c r="Y128" s="162" t="s">
        <v>343</v>
      </c>
      <c r="Z128" s="30" t="s">
        <v>344</v>
      </c>
      <c r="AA128" s="30" t="s">
        <v>3945</v>
      </c>
      <c r="AC128" s="160"/>
      <c r="AE128" s="38">
        <v>13806</v>
      </c>
      <c r="AF128" s="76">
        <f t="shared" si="12"/>
        <v>212110.74</v>
      </c>
    </row>
    <row r="129" spans="5:32" ht="8.25" customHeight="1" x14ac:dyDescent="0.15">
      <c r="E129" s="52"/>
      <c r="H129" s="53"/>
      <c r="O129" s="52"/>
      <c r="R129" s="53">
        <v>8</v>
      </c>
      <c r="T129" s="33">
        <v>46030</v>
      </c>
      <c r="U129" s="34">
        <v>2026</v>
      </c>
      <c r="V129" s="35" t="s">
        <v>12</v>
      </c>
      <c r="X129" s="37" t="s">
        <v>353</v>
      </c>
      <c r="Y129" s="162" t="s">
        <v>354</v>
      </c>
      <c r="Z129" s="30" t="s">
        <v>355</v>
      </c>
      <c r="AA129" s="30" t="s">
        <v>92</v>
      </c>
      <c r="AC129" s="160"/>
      <c r="AE129" s="38">
        <v>3000</v>
      </c>
      <c r="AF129" s="76">
        <f t="shared" si="12"/>
        <v>209110.74</v>
      </c>
    </row>
    <row r="130" spans="5:32" ht="8.25" customHeight="1" thickBot="1" x14ac:dyDescent="0.2">
      <c r="E130" s="52"/>
      <c r="H130" s="53"/>
      <c r="O130" s="52"/>
      <c r="Y130" s="162"/>
      <c r="AA130" s="75" t="s">
        <v>257</v>
      </c>
      <c r="AC130" s="160"/>
      <c r="AD130" s="91">
        <f>SUM(AD114:AD129)</f>
        <v>50797</v>
      </c>
      <c r="AE130" s="91">
        <f>SUM(AE128:AE129)</f>
        <v>16806</v>
      </c>
      <c r="AF130" s="91">
        <f>AF113+AD130-AE130</f>
        <v>209110.74</v>
      </c>
    </row>
    <row r="131" spans="5:32" ht="8.25" customHeight="1" thickTop="1" x14ac:dyDescent="0.15">
      <c r="E131" s="52"/>
      <c r="H131" s="53"/>
      <c r="O131" s="52"/>
      <c r="Y131" s="162"/>
      <c r="AC131" s="160"/>
    </row>
    <row r="132" spans="5:32" ht="8.25" customHeight="1" x14ac:dyDescent="0.25">
      <c r="E132" s="52"/>
      <c r="H132" s="53"/>
      <c r="O132" s="52"/>
      <c r="X132" s="109"/>
      <c r="Y132" s="67" t="s">
        <v>214</v>
      </c>
      <c r="Z132" s="68"/>
      <c r="AA132" s="75"/>
      <c r="AC132" s="160"/>
    </row>
    <row r="133" spans="5:32" ht="8.25" customHeight="1" x14ac:dyDescent="0.25">
      <c r="E133" s="52"/>
      <c r="H133" s="53"/>
      <c r="O133" s="52"/>
      <c r="X133" s="110" t="s">
        <v>356</v>
      </c>
      <c r="Y133" s="111">
        <v>200</v>
      </c>
      <c r="Z133" s="111">
        <f t="shared" ref="Z133:Z138" si="13">X133*Y133</f>
        <v>17200</v>
      </c>
      <c r="AA133" s="112"/>
      <c r="AC133" s="160"/>
    </row>
    <row r="134" spans="5:32" ht="8.25" customHeight="1" x14ac:dyDescent="0.25">
      <c r="E134" s="52"/>
      <c r="H134" s="53"/>
      <c r="O134" s="52"/>
      <c r="X134" s="110" t="s">
        <v>358</v>
      </c>
      <c r="Y134" s="111">
        <v>100</v>
      </c>
      <c r="Z134" s="111">
        <f t="shared" si="13"/>
        <v>184300</v>
      </c>
      <c r="AA134" s="112"/>
      <c r="AC134" s="160"/>
    </row>
    <row r="135" spans="5:32" ht="8.25" customHeight="1" x14ac:dyDescent="0.25">
      <c r="E135" s="52"/>
      <c r="H135" s="53"/>
      <c r="O135" s="52"/>
      <c r="X135" s="110" t="s">
        <v>288</v>
      </c>
      <c r="Y135" s="111">
        <v>50</v>
      </c>
      <c r="Z135" s="111">
        <f t="shared" si="13"/>
        <v>4700</v>
      </c>
      <c r="AA135" s="76"/>
      <c r="AC135" s="160"/>
    </row>
    <row r="136" spans="5:32" ht="8.25" customHeight="1" x14ac:dyDescent="0.25">
      <c r="E136" s="52"/>
      <c r="H136" s="53"/>
      <c r="O136" s="52"/>
      <c r="X136" s="110" t="s">
        <v>319</v>
      </c>
      <c r="Y136" s="111">
        <v>20</v>
      </c>
      <c r="Z136" s="111">
        <f t="shared" si="13"/>
        <v>120</v>
      </c>
      <c r="AA136" s="38"/>
      <c r="AC136" s="160"/>
    </row>
    <row r="137" spans="5:32" ht="8.25" customHeight="1" x14ac:dyDescent="0.25">
      <c r="E137" s="52"/>
      <c r="H137" s="53"/>
      <c r="O137" s="52"/>
      <c r="X137" s="110" t="s">
        <v>359</v>
      </c>
      <c r="Y137" s="111">
        <v>10</v>
      </c>
      <c r="Z137" s="111">
        <f t="shared" si="13"/>
        <v>710</v>
      </c>
      <c r="AA137" s="112"/>
      <c r="AC137" s="160"/>
    </row>
    <row r="138" spans="5:32" ht="8.25" customHeight="1" x14ac:dyDescent="0.25">
      <c r="E138" s="52"/>
      <c r="H138" s="53"/>
      <c r="O138" s="52"/>
      <c r="X138" s="110" t="s">
        <v>357</v>
      </c>
      <c r="Y138" s="111">
        <v>5</v>
      </c>
      <c r="Z138" s="111">
        <f t="shared" si="13"/>
        <v>1505</v>
      </c>
      <c r="AA138" s="112"/>
      <c r="AC138" s="160"/>
    </row>
    <row r="139" spans="5:32" ht="8.25" customHeight="1" x14ac:dyDescent="0.25">
      <c r="E139" s="52"/>
      <c r="H139" s="53"/>
      <c r="O139" s="52"/>
      <c r="X139" s="269"/>
      <c r="Y139" s="270"/>
      <c r="Z139" s="271"/>
      <c r="AA139" s="38"/>
      <c r="AC139" s="160"/>
      <c r="AD139" s="76"/>
      <c r="AE139" s="76"/>
    </row>
    <row r="140" spans="5:32" ht="8.25" customHeight="1" x14ac:dyDescent="0.25">
      <c r="E140" s="52"/>
      <c r="H140" s="53"/>
      <c r="O140" s="52"/>
      <c r="X140" s="110" t="s">
        <v>471</v>
      </c>
      <c r="Y140" s="111">
        <v>1</v>
      </c>
      <c r="Z140" s="111">
        <f t="shared" ref="Z140:Z145" si="14">X140*Y140</f>
        <v>530</v>
      </c>
      <c r="AA140" s="76"/>
      <c r="AC140" s="160"/>
    </row>
    <row r="141" spans="5:32" ht="8.25" customHeight="1" x14ac:dyDescent="0.25">
      <c r="E141" s="52"/>
      <c r="H141" s="53"/>
      <c r="O141" s="52"/>
      <c r="X141" s="110" t="s">
        <v>250</v>
      </c>
      <c r="Y141" s="111">
        <v>0.5</v>
      </c>
      <c r="Z141" s="111">
        <f t="shared" si="14"/>
        <v>23.5</v>
      </c>
      <c r="AA141" s="112"/>
      <c r="AC141" s="160"/>
    </row>
    <row r="142" spans="5:32" ht="8.25" customHeight="1" x14ac:dyDescent="0.25">
      <c r="E142" s="52"/>
      <c r="H142" s="53"/>
      <c r="O142" s="52"/>
      <c r="X142" s="110" t="s">
        <v>298</v>
      </c>
      <c r="Y142" s="111">
        <v>0.25</v>
      </c>
      <c r="Z142" s="111">
        <f t="shared" si="14"/>
        <v>22</v>
      </c>
      <c r="AA142" s="113"/>
      <c r="AC142" s="160"/>
    </row>
    <row r="143" spans="5:32" ht="8.25" customHeight="1" x14ac:dyDescent="0.25">
      <c r="E143" s="52"/>
      <c r="H143" s="53"/>
      <c r="O143" s="52"/>
      <c r="X143" s="110" t="s">
        <v>224</v>
      </c>
      <c r="Y143" s="111">
        <v>0.1</v>
      </c>
      <c r="Z143" s="111">
        <f t="shared" si="14"/>
        <v>0.2</v>
      </c>
      <c r="AA143" s="114" t="s">
        <v>219</v>
      </c>
      <c r="AC143" s="160"/>
    </row>
    <row r="144" spans="5:32" ht="8.25" customHeight="1" thickBot="1" x14ac:dyDescent="0.3">
      <c r="E144" s="52"/>
      <c r="H144" s="53"/>
      <c r="O144" s="52"/>
      <c r="X144" s="110"/>
      <c r="Y144" s="111">
        <v>0.05</v>
      </c>
      <c r="Z144" s="111">
        <f t="shared" si="14"/>
        <v>0</v>
      </c>
      <c r="AA144" s="115">
        <f>SUM(Z133:Z138)+Z140+Z141+Z142+Z143+Z144+Z145</f>
        <v>209110.74000000002</v>
      </c>
      <c r="AC144" s="160"/>
    </row>
    <row r="145" spans="3:32" ht="8.25" customHeight="1" thickTop="1" x14ac:dyDescent="0.25">
      <c r="E145" s="52"/>
      <c r="H145" s="53"/>
      <c r="O145" s="52"/>
      <c r="X145" s="110" t="s">
        <v>299</v>
      </c>
      <c r="Y145" s="111">
        <v>0.01</v>
      </c>
      <c r="Z145" s="111">
        <f t="shared" si="14"/>
        <v>0.04</v>
      </c>
      <c r="AC145" s="160"/>
    </row>
    <row r="146" spans="3:32" ht="8.25" customHeight="1" x14ac:dyDescent="0.25">
      <c r="E146" s="52"/>
      <c r="H146" s="53"/>
      <c r="O146" s="52"/>
      <c r="X146" s="121"/>
      <c r="Y146" s="122"/>
      <c r="Z146" s="122"/>
      <c r="AA146" s="118"/>
      <c r="AC146" s="160"/>
    </row>
    <row r="147" spans="3:32" ht="8.25" customHeight="1" x14ac:dyDescent="0.25">
      <c r="E147" s="52"/>
      <c r="H147" s="53"/>
      <c r="O147" s="52"/>
      <c r="X147" s="121"/>
      <c r="Y147" s="122"/>
      <c r="Z147" s="122"/>
      <c r="AA147" s="75" t="s">
        <v>251</v>
      </c>
      <c r="AC147" s="160"/>
      <c r="AF147" s="76">
        <f>AF130</f>
        <v>209110.74</v>
      </c>
    </row>
    <row r="148" spans="3:32" ht="8.25" customHeight="1" x14ac:dyDescent="0.15">
      <c r="E148" s="52"/>
      <c r="H148" s="53"/>
      <c r="N148" s="52">
        <v>14</v>
      </c>
      <c r="O148" s="52"/>
      <c r="T148" s="33">
        <v>46031</v>
      </c>
      <c r="U148" s="34">
        <v>2026</v>
      </c>
      <c r="V148" s="35" t="s">
        <v>12</v>
      </c>
      <c r="X148" s="131" t="s">
        <v>360</v>
      </c>
      <c r="Y148" s="131" t="s">
        <v>361</v>
      </c>
      <c r="Z148" s="127" t="s">
        <v>362</v>
      </c>
      <c r="AA148" s="30" t="s">
        <v>3899</v>
      </c>
      <c r="AC148" s="160"/>
      <c r="AD148" s="38">
        <v>7777.21</v>
      </c>
      <c r="AF148" s="76">
        <f>AF147+AD148-AE148</f>
        <v>216887.94999999998</v>
      </c>
    </row>
    <row r="149" spans="3:32" ht="8.25" customHeight="1" x14ac:dyDescent="0.15">
      <c r="E149" s="52"/>
      <c r="H149" s="53"/>
      <c r="N149" s="52">
        <v>14</v>
      </c>
      <c r="O149" s="52"/>
      <c r="T149" s="33">
        <v>46031</v>
      </c>
      <c r="U149" s="34">
        <v>2026</v>
      </c>
      <c r="V149" s="35" t="s">
        <v>12</v>
      </c>
      <c r="X149" s="131" t="s">
        <v>360</v>
      </c>
      <c r="Y149" s="131" t="s">
        <v>361</v>
      </c>
      <c r="Z149" s="131" t="s">
        <v>362</v>
      </c>
      <c r="AA149" s="134" t="s">
        <v>166</v>
      </c>
      <c r="AC149" s="160"/>
      <c r="AD149" s="38">
        <v>3922.79</v>
      </c>
      <c r="AF149" s="76">
        <f t="shared" ref="AF149:AF170" si="15">AF148+AD149-AE149</f>
        <v>220810.74</v>
      </c>
    </row>
    <row r="150" spans="3:32" ht="8.25" customHeight="1" x14ac:dyDescent="0.15">
      <c r="E150" s="52"/>
      <c r="H150" s="53"/>
      <c r="N150" s="52">
        <v>14</v>
      </c>
      <c r="O150" s="52"/>
      <c r="T150" s="33">
        <v>46031</v>
      </c>
      <c r="U150" s="34">
        <v>2026</v>
      </c>
      <c r="V150" s="35" t="s">
        <v>12</v>
      </c>
      <c r="X150" s="131" t="s">
        <v>363</v>
      </c>
      <c r="Y150" s="131" t="s">
        <v>364</v>
      </c>
      <c r="Z150" s="131" t="s">
        <v>365</v>
      </c>
      <c r="AA150" s="131" t="s">
        <v>13</v>
      </c>
      <c r="AC150" s="160"/>
      <c r="AD150" s="38">
        <v>600</v>
      </c>
      <c r="AF150" s="76">
        <f t="shared" si="15"/>
        <v>221410.74</v>
      </c>
    </row>
    <row r="151" spans="3:32" ht="8.25" customHeight="1" x14ac:dyDescent="0.15">
      <c r="C151" s="52">
        <v>2</v>
      </c>
      <c r="E151" s="52"/>
      <c r="H151" s="53"/>
      <c r="O151" s="52"/>
      <c r="T151" s="33">
        <v>46031</v>
      </c>
      <c r="U151" s="34">
        <v>2026</v>
      </c>
      <c r="V151" s="35" t="s">
        <v>12</v>
      </c>
      <c r="W151" s="35" t="s">
        <v>3620</v>
      </c>
      <c r="X151" s="141"/>
      <c r="Y151" s="131" t="s">
        <v>369</v>
      </c>
      <c r="Z151" s="131" t="s">
        <v>370</v>
      </c>
      <c r="AA151" s="30" t="s">
        <v>340</v>
      </c>
      <c r="AC151" s="160"/>
      <c r="AD151" s="38">
        <v>158</v>
      </c>
      <c r="AF151" s="76">
        <f t="shared" si="15"/>
        <v>221568.74</v>
      </c>
    </row>
    <row r="152" spans="3:32" ht="8.25" customHeight="1" x14ac:dyDescent="0.15">
      <c r="E152" s="52"/>
      <c r="H152" s="53"/>
      <c r="K152" s="52">
        <v>1</v>
      </c>
      <c r="O152" s="52"/>
      <c r="T152" s="33">
        <v>46031</v>
      </c>
      <c r="U152" s="34">
        <v>2026</v>
      </c>
      <c r="V152" s="35" t="s">
        <v>12</v>
      </c>
      <c r="X152" s="127" t="s">
        <v>374</v>
      </c>
      <c r="Y152" s="131" t="s">
        <v>371</v>
      </c>
      <c r="Z152" s="130" t="s">
        <v>372</v>
      </c>
      <c r="AA152" s="136" t="s">
        <v>1787</v>
      </c>
      <c r="AC152" s="160"/>
      <c r="AD152" s="38">
        <v>100</v>
      </c>
      <c r="AF152" s="76">
        <f t="shared" si="15"/>
        <v>221668.74</v>
      </c>
    </row>
    <row r="153" spans="3:32" ht="8.25" customHeight="1" x14ac:dyDescent="0.15">
      <c r="E153" s="52"/>
      <c r="H153" s="53"/>
      <c r="L153" s="52">
        <v>1</v>
      </c>
      <c r="O153" s="52"/>
      <c r="T153" s="33">
        <v>46031</v>
      </c>
      <c r="U153" s="34">
        <v>2026</v>
      </c>
      <c r="V153" s="35" t="s">
        <v>12</v>
      </c>
      <c r="X153" s="127" t="s">
        <v>375</v>
      </c>
      <c r="Y153" s="135">
        <v>0</v>
      </c>
      <c r="Z153" s="130" t="s">
        <v>372</v>
      </c>
      <c r="AA153" s="134" t="s">
        <v>373</v>
      </c>
      <c r="AC153" s="160"/>
      <c r="AD153" s="38">
        <v>50</v>
      </c>
      <c r="AF153" s="76">
        <f t="shared" si="15"/>
        <v>221718.74</v>
      </c>
    </row>
    <row r="154" spans="3:32" ht="8.25" customHeight="1" x14ac:dyDescent="0.15">
      <c r="E154" s="52"/>
      <c r="H154" s="53"/>
      <c r="I154" s="52">
        <v>8</v>
      </c>
      <c r="O154" s="52"/>
      <c r="T154" s="33">
        <v>46031</v>
      </c>
      <c r="U154" s="34">
        <v>2026</v>
      </c>
      <c r="V154" s="35" t="s">
        <v>12</v>
      </c>
      <c r="X154" s="132" t="s">
        <v>377</v>
      </c>
      <c r="Y154" s="163" t="s">
        <v>376</v>
      </c>
      <c r="Z154" s="30" t="s">
        <v>372</v>
      </c>
      <c r="AA154" s="134" t="s">
        <v>13</v>
      </c>
      <c r="AC154" s="160"/>
      <c r="AD154" s="38">
        <v>200</v>
      </c>
      <c r="AF154" s="76">
        <f t="shared" si="15"/>
        <v>221918.74</v>
      </c>
    </row>
    <row r="155" spans="3:32" ht="8.25" customHeight="1" x14ac:dyDescent="0.15">
      <c r="E155" s="52"/>
      <c r="H155" s="53"/>
      <c r="K155" s="52">
        <v>2</v>
      </c>
      <c r="O155" s="52"/>
      <c r="T155" s="33">
        <v>46031</v>
      </c>
      <c r="U155" s="34">
        <v>2026</v>
      </c>
      <c r="V155" s="35" t="s">
        <v>12</v>
      </c>
      <c r="X155" s="132" t="s">
        <v>378</v>
      </c>
      <c r="Y155" s="163" t="s">
        <v>379</v>
      </c>
      <c r="Z155" s="30" t="s">
        <v>380</v>
      </c>
      <c r="AA155" s="136" t="s">
        <v>1787</v>
      </c>
      <c r="AC155" s="160"/>
      <c r="AD155" s="38">
        <v>100</v>
      </c>
      <c r="AF155" s="76">
        <f t="shared" si="15"/>
        <v>222018.74</v>
      </c>
    </row>
    <row r="156" spans="3:32" ht="8.25" customHeight="1" x14ac:dyDescent="0.15">
      <c r="E156" s="52"/>
      <c r="H156" s="53"/>
      <c r="L156" s="52">
        <v>2</v>
      </c>
      <c r="O156" s="52"/>
      <c r="T156" s="33">
        <v>46031</v>
      </c>
      <c r="U156" s="34">
        <v>2026</v>
      </c>
      <c r="V156" s="35" t="s">
        <v>12</v>
      </c>
      <c r="X156" s="141" t="s">
        <v>381</v>
      </c>
      <c r="Y156" s="135">
        <v>0</v>
      </c>
      <c r="Z156" s="30" t="s">
        <v>380</v>
      </c>
      <c r="AA156" s="131" t="s">
        <v>373</v>
      </c>
      <c r="AC156" s="160"/>
      <c r="AD156" s="38">
        <v>50</v>
      </c>
      <c r="AF156" s="76">
        <f t="shared" si="15"/>
        <v>222068.74</v>
      </c>
    </row>
    <row r="157" spans="3:32" ht="8.25" customHeight="1" x14ac:dyDescent="0.15">
      <c r="E157" s="52"/>
      <c r="H157" s="53"/>
      <c r="L157" s="52">
        <v>9</v>
      </c>
      <c r="O157" s="52"/>
      <c r="T157" s="33">
        <v>46031</v>
      </c>
      <c r="U157" s="34">
        <v>2026</v>
      </c>
      <c r="V157" s="35" t="s">
        <v>12</v>
      </c>
      <c r="X157" s="129" t="s">
        <v>382</v>
      </c>
      <c r="Y157" s="131" t="s">
        <v>383</v>
      </c>
      <c r="Z157" s="130" t="s">
        <v>380</v>
      </c>
      <c r="AA157" s="136" t="s">
        <v>13</v>
      </c>
      <c r="AC157" s="160"/>
      <c r="AD157" s="38">
        <v>17045.45</v>
      </c>
      <c r="AF157" s="76">
        <f t="shared" si="15"/>
        <v>239114.19</v>
      </c>
    </row>
    <row r="158" spans="3:32" ht="8.25" customHeight="1" x14ac:dyDescent="0.15">
      <c r="E158" s="52"/>
      <c r="H158" s="53"/>
      <c r="M158" s="52">
        <v>1</v>
      </c>
      <c r="O158" s="52"/>
      <c r="T158" s="33">
        <v>46031</v>
      </c>
      <c r="U158" s="34">
        <v>2026</v>
      </c>
      <c r="V158" s="35" t="s">
        <v>12</v>
      </c>
      <c r="X158" s="132" t="s">
        <v>384</v>
      </c>
      <c r="Y158" s="164">
        <v>0</v>
      </c>
      <c r="Z158" s="30" t="s">
        <v>380</v>
      </c>
      <c r="AA158" s="134" t="s">
        <v>385</v>
      </c>
      <c r="AC158" s="160"/>
      <c r="AD158" s="38">
        <v>3409.1</v>
      </c>
      <c r="AE158" s="76"/>
      <c r="AF158" s="76">
        <f t="shared" si="15"/>
        <v>242523.29</v>
      </c>
    </row>
    <row r="159" spans="3:32" ht="8.25" customHeight="1" x14ac:dyDescent="0.15">
      <c r="E159" s="52"/>
      <c r="H159" s="53"/>
      <c r="K159" s="52">
        <v>3</v>
      </c>
      <c r="O159" s="52"/>
      <c r="T159" s="33">
        <v>46031</v>
      </c>
      <c r="U159" s="34">
        <v>2026</v>
      </c>
      <c r="V159" s="35" t="s">
        <v>12</v>
      </c>
      <c r="X159" s="132" t="s">
        <v>386</v>
      </c>
      <c r="Y159" s="163" t="s">
        <v>387</v>
      </c>
      <c r="Z159" s="30" t="s">
        <v>388</v>
      </c>
      <c r="AA159" s="136" t="s">
        <v>1787</v>
      </c>
      <c r="AC159" s="160"/>
      <c r="AD159" s="38">
        <v>100</v>
      </c>
      <c r="AE159" s="76"/>
      <c r="AF159" s="76">
        <f t="shared" si="15"/>
        <v>242623.29</v>
      </c>
    </row>
    <row r="160" spans="3:32" ht="8.25" customHeight="1" x14ac:dyDescent="0.15">
      <c r="E160" s="52"/>
      <c r="H160" s="53"/>
      <c r="L160" s="52">
        <v>3</v>
      </c>
      <c r="O160" s="52"/>
      <c r="T160" s="33">
        <v>46031</v>
      </c>
      <c r="U160" s="34">
        <v>2026</v>
      </c>
      <c r="V160" s="35" t="s">
        <v>12</v>
      </c>
      <c r="X160" s="133" t="s">
        <v>389</v>
      </c>
      <c r="Y160" s="142">
        <v>0</v>
      </c>
      <c r="Z160" s="30" t="s">
        <v>388</v>
      </c>
      <c r="AA160" s="134" t="s">
        <v>373</v>
      </c>
      <c r="AC160" s="160"/>
      <c r="AD160" s="38">
        <v>50</v>
      </c>
      <c r="AF160" s="76">
        <f t="shared" si="15"/>
        <v>242673.29</v>
      </c>
    </row>
    <row r="161" spans="5:32" ht="8.25" customHeight="1" x14ac:dyDescent="0.15">
      <c r="E161" s="52"/>
      <c r="H161" s="53"/>
      <c r="O161" s="52"/>
      <c r="R161" s="53">
        <v>9</v>
      </c>
      <c r="T161" s="144">
        <v>46031</v>
      </c>
      <c r="U161" s="145">
        <v>2026</v>
      </c>
      <c r="V161" s="146" t="s">
        <v>12</v>
      </c>
      <c r="W161" s="146"/>
      <c r="X161" s="147" t="s">
        <v>397</v>
      </c>
      <c r="Y161" s="221" t="s">
        <v>411</v>
      </c>
      <c r="Z161" s="148" t="s">
        <v>398</v>
      </c>
      <c r="AA161" s="149" t="s">
        <v>399</v>
      </c>
      <c r="AB161" s="148"/>
      <c r="AC161" s="165"/>
      <c r="AD161" s="143"/>
      <c r="AE161" s="143">
        <v>45088.03</v>
      </c>
      <c r="AF161" s="76">
        <f t="shared" si="15"/>
        <v>197585.26</v>
      </c>
    </row>
    <row r="162" spans="5:32" ht="8.25" customHeight="1" x14ac:dyDescent="0.15">
      <c r="E162" s="52"/>
      <c r="H162" s="53"/>
      <c r="N162" s="52">
        <v>15</v>
      </c>
      <c r="O162" s="52"/>
      <c r="T162" s="33">
        <v>46031</v>
      </c>
      <c r="U162" s="34">
        <v>2026</v>
      </c>
      <c r="V162" s="35" t="s">
        <v>12</v>
      </c>
      <c r="X162" s="129" t="s">
        <v>390</v>
      </c>
      <c r="Y162" s="131" t="s">
        <v>391</v>
      </c>
      <c r="Z162" s="130" t="s">
        <v>355</v>
      </c>
      <c r="AA162" s="30" t="s">
        <v>3899</v>
      </c>
      <c r="AC162" s="160" t="s">
        <v>401</v>
      </c>
      <c r="AD162" s="38">
        <v>44102.07</v>
      </c>
      <c r="AF162" s="76">
        <f t="shared" si="15"/>
        <v>241687.33000000002</v>
      </c>
    </row>
    <row r="163" spans="5:32" ht="8.25" customHeight="1" x14ac:dyDescent="0.15">
      <c r="E163" s="52"/>
      <c r="H163" s="53"/>
      <c r="N163" s="52">
        <v>15</v>
      </c>
      <c r="O163" s="52"/>
      <c r="T163" s="33">
        <v>46031</v>
      </c>
      <c r="U163" s="34">
        <v>2026</v>
      </c>
      <c r="V163" s="35" t="s">
        <v>12</v>
      </c>
      <c r="X163" s="129" t="s">
        <v>390</v>
      </c>
      <c r="Y163" s="131" t="s">
        <v>391</v>
      </c>
      <c r="Z163" s="130" t="s">
        <v>355</v>
      </c>
      <c r="AA163" s="134" t="s">
        <v>166</v>
      </c>
      <c r="AC163" s="160" t="s">
        <v>401</v>
      </c>
      <c r="AD163" s="38">
        <v>840.96</v>
      </c>
      <c r="AF163" s="76">
        <f t="shared" si="15"/>
        <v>242528.29</v>
      </c>
    </row>
    <row r="164" spans="5:32" ht="8.25" customHeight="1" x14ac:dyDescent="0.15">
      <c r="E164" s="52"/>
      <c r="H164" s="53"/>
      <c r="N164" s="52">
        <v>15</v>
      </c>
      <c r="O164" s="52"/>
      <c r="T164" s="33">
        <v>46031</v>
      </c>
      <c r="U164" s="34">
        <v>2026</v>
      </c>
      <c r="V164" s="35" t="s">
        <v>12</v>
      </c>
      <c r="X164" s="129" t="s">
        <v>390</v>
      </c>
      <c r="Y164" s="131" t="s">
        <v>391</v>
      </c>
      <c r="Z164" s="130" t="s">
        <v>355</v>
      </c>
      <c r="AA164" s="136" t="s">
        <v>168</v>
      </c>
      <c r="AC164" s="160" t="s">
        <v>401</v>
      </c>
      <c r="AD164" s="38">
        <v>145</v>
      </c>
      <c r="AF164" s="76">
        <f t="shared" si="15"/>
        <v>242673.29</v>
      </c>
    </row>
    <row r="165" spans="5:32" ht="8.25" customHeight="1" x14ac:dyDescent="0.15">
      <c r="E165" s="52"/>
      <c r="H165" s="53"/>
      <c r="O165" s="52"/>
      <c r="R165" s="53">
        <v>10</v>
      </c>
      <c r="T165" s="144">
        <v>46031</v>
      </c>
      <c r="U165" s="145">
        <v>2026</v>
      </c>
      <c r="V165" s="146" t="s">
        <v>12</v>
      </c>
      <c r="W165" s="146"/>
      <c r="X165" s="150" t="s">
        <v>400</v>
      </c>
      <c r="Y165" s="221" t="s">
        <v>411</v>
      </c>
      <c r="Z165" s="148" t="s">
        <v>398</v>
      </c>
      <c r="AA165" s="149" t="s">
        <v>399</v>
      </c>
      <c r="AB165" s="148"/>
      <c r="AC165" s="165"/>
      <c r="AD165" s="143"/>
      <c r="AE165" s="143">
        <v>7911.97</v>
      </c>
      <c r="AF165" s="76">
        <f t="shared" si="15"/>
        <v>234761.32</v>
      </c>
    </row>
    <row r="166" spans="5:32" ht="8.25" customHeight="1" x14ac:dyDescent="0.15">
      <c r="E166" s="52"/>
      <c r="H166" s="53"/>
      <c r="M166" s="52">
        <v>2</v>
      </c>
      <c r="O166" s="52"/>
      <c r="T166" s="33">
        <v>46031</v>
      </c>
      <c r="U166" s="34">
        <v>2026</v>
      </c>
      <c r="V166" s="35" t="s">
        <v>12</v>
      </c>
      <c r="X166" s="129" t="s">
        <v>392</v>
      </c>
      <c r="Y166" s="135">
        <v>0</v>
      </c>
      <c r="Z166" s="130" t="s">
        <v>355</v>
      </c>
      <c r="AA166" s="134" t="s">
        <v>385</v>
      </c>
      <c r="AC166" s="160"/>
      <c r="AD166" s="38">
        <v>2500</v>
      </c>
      <c r="AF166" s="76">
        <f t="shared" si="15"/>
        <v>237261.32</v>
      </c>
    </row>
    <row r="167" spans="5:32" ht="8.25" customHeight="1" x14ac:dyDescent="0.15">
      <c r="E167" s="52"/>
      <c r="H167" s="53"/>
      <c r="I167" s="52">
        <v>4</v>
      </c>
      <c r="O167" s="52"/>
      <c r="T167" s="33">
        <v>46031</v>
      </c>
      <c r="U167" s="34">
        <v>2026</v>
      </c>
      <c r="V167" s="35" t="s">
        <v>12</v>
      </c>
      <c r="X167" s="129" t="s">
        <v>393</v>
      </c>
      <c r="Y167" s="131" t="s">
        <v>354</v>
      </c>
      <c r="Z167" s="130" t="s">
        <v>355</v>
      </c>
      <c r="AA167" s="131" t="s">
        <v>13</v>
      </c>
      <c r="AC167" s="160"/>
      <c r="AD167" s="38">
        <v>5411.97</v>
      </c>
      <c r="AF167" s="76">
        <f t="shared" si="15"/>
        <v>242673.29</v>
      </c>
    </row>
    <row r="168" spans="5:32" ht="8.25" customHeight="1" x14ac:dyDescent="0.15">
      <c r="E168" s="52"/>
      <c r="H168" s="53"/>
      <c r="O168" s="52"/>
      <c r="R168" s="53">
        <v>11</v>
      </c>
      <c r="T168" s="33">
        <v>46031</v>
      </c>
      <c r="U168" s="34">
        <v>2026</v>
      </c>
      <c r="V168" s="35" t="s">
        <v>12</v>
      </c>
      <c r="X168" s="141" t="s">
        <v>368</v>
      </c>
      <c r="Y168" s="131" t="s">
        <v>367</v>
      </c>
      <c r="Z168" s="130" t="s">
        <v>366</v>
      </c>
      <c r="AA168" s="30" t="s">
        <v>92</v>
      </c>
      <c r="AC168" s="160"/>
      <c r="AE168" s="38">
        <v>1000</v>
      </c>
      <c r="AF168" s="76">
        <f t="shared" si="15"/>
        <v>241673.29</v>
      </c>
    </row>
    <row r="169" spans="5:32" ht="8.25" customHeight="1" x14ac:dyDescent="0.15">
      <c r="E169" s="52"/>
      <c r="H169" s="53"/>
      <c r="O169" s="52"/>
      <c r="R169" s="53">
        <v>12</v>
      </c>
      <c r="T169" s="33">
        <v>46031</v>
      </c>
      <c r="U169" s="34">
        <v>2026</v>
      </c>
      <c r="V169" s="35" t="s">
        <v>12</v>
      </c>
      <c r="X169" s="129" t="s">
        <v>396</v>
      </c>
      <c r="Y169" s="131" t="s">
        <v>394</v>
      </c>
      <c r="Z169" s="130" t="s">
        <v>380</v>
      </c>
      <c r="AA169" s="131" t="s">
        <v>395</v>
      </c>
      <c r="AC169" s="160"/>
      <c r="AE169" s="38">
        <v>170454.55</v>
      </c>
      <c r="AF169" s="76">
        <f t="shared" si="15"/>
        <v>71218.74000000002</v>
      </c>
    </row>
    <row r="170" spans="5:32" ht="8.25" customHeight="1" x14ac:dyDescent="0.15">
      <c r="E170" s="52"/>
      <c r="H170" s="53"/>
      <c r="O170" s="52"/>
      <c r="X170" s="129"/>
      <c r="Y170" s="135"/>
      <c r="Z170" s="130"/>
      <c r="AA170" s="131"/>
      <c r="AC170" s="160"/>
      <c r="AF170" s="76">
        <f t="shared" si="15"/>
        <v>71218.74000000002</v>
      </c>
    </row>
    <row r="171" spans="5:32" ht="8.25" customHeight="1" thickBot="1" x14ac:dyDescent="0.2">
      <c r="E171" s="52"/>
      <c r="H171" s="53"/>
      <c r="O171" s="52"/>
      <c r="X171" s="137"/>
      <c r="Y171" s="135"/>
      <c r="Z171" s="135"/>
      <c r="AA171" s="75" t="s">
        <v>257</v>
      </c>
      <c r="AC171" s="160"/>
      <c r="AD171" s="91">
        <f>SUM(AD148:AD170)</f>
        <v>86562.55</v>
      </c>
      <c r="AE171" s="91">
        <f>SUM(AE148:AE170)</f>
        <v>224454.55</v>
      </c>
      <c r="AF171" s="76">
        <f>AF147+AD171-AE171</f>
        <v>71218.739999999991</v>
      </c>
    </row>
    <row r="172" spans="5:32" ht="8.25" customHeight="1" thickTop="1" x14ac:dyDescent="0.15">
      <c r="E172" s="52"/>
      <c r="H172" s="53"/>
      <c r="O172" s="52"/>
      <c r="X172" s="138"/>
      <c r="Y172" s="139"/>
      <c r="Z172" s="139"/>
      <c r="AA172" s="140"/>
      <c r="AC172" s="160"/>
    </row>
    <row r="173" spans="5:32" ht="8.25" customHeight="1" x14ac:dyDescent="0.25">
      <c r="E173" s="52"/>
      <c r="H173" s="53"/>
      <c r="O173" s="52"/>
      <c r="X173" s="109"/>
      <c r="Y173" s="67" t="s">
        <v>214</v>
      </c>
      <c r="Z173" s="68"/>
      <c r="AA173" s="75"/>
      <c r="AC173" s="160"/>
    </row>
    <row r="174" spans="5:32" ht="8.25" customHeight="1" x14ac:dyDescent="0.25">
      <c r="E174" s="52"/>
      <c r="H174" s="53"/>
      <c r="O174" s="52"/>
      <c r="X174" s="110" t="s">
        <v>356</v>
      </c>
      <c r="Y174" s="111">
        <v>200</v>
      </c>
      <c r="Z174" s="111">
        <f t="shared" ref="Z174:Z179" si="16">X174*Y174</f>
        <v>17200</v>
      </c>
      <c r="AA174" s="112"/>
      <c r="AC174" s="160"/>
    </row>
    <row r="175" spans="5:32" ht="8.25" customHeight="1" x14ac:dyDescent="0.25">
      <c r="E175" s="52"/>
      <c r="H175" s="53"/>
      <c r="O175" s="52"/>
      <c r="X175" s="110" t="s">
        <v>647</v>
      </c>
      <c r="Y175" s="111">
        <v>100</v>
      </c>
      <c r="Z175" s="111">
        <f t="shared" si="16"/>
        <v>46600</v>
      </c>
      <c r="AA175" s="112"/>
      <c r="AC175" s="160"/>
    </row>
    <row r="176" spans="5:32" ht="8.25" customHeight="1" x14ac:dyDescent="0.25">
      <c r="E176" s="52"/>
      <c r="H176" s="53"/>
      <c r="O176" s="52"/>
      <c r="X176" s="110" t="s">
        <v>648</v>
      </c>
      <c r="Y176" s="111">
        <v>50</v>
      </c>
      <c r="Z176" s="111">
        <f t="shared" si="16"/>
        <v>4550</v>
      </c>
      <c r="AA176" s="76"/>
      <c r="AC176" s="160"/>
    </row>
    <row r="177" spans="5:32" ht="8.25" customHeight="1" x14ac:dyDescent="0.25">
      <c r="E177" s="52"/>
      <c r="H177" s="53"/>
      <c r="O177" s="52"/>
      <c r="X177" s="110" t="s">
        <v>319</v>
      </c>
      <c r="Y177" s="111">
        <v>20</v>
      </c>
      <c r="Z177" s="111">
        <f t="shared" si="16"/>
        <v>120</v>
      </c>
      <c r="AA177" s="38"/>
      <c r="AC177" s="160"/>
    </row>
    <row r="178" spans="5:32" ht="8.25" customHeight="1" x14ac:dyDescent="0.25">
      <c r="E178" s="52"/>
      <c r="H178" s="53"/>
      <c r="O178" s="52"/>
      <c r="X178" s="110" t="s">
        <v>517</v>
      </c>
      <c r="Y178" s="111">
        <v>10</v>
      </c>
      <c r="Z178" s="111">
        <f t="shared" si="16"/>
        <v>670</v>
      </c>
      <c r="AA178" s="112"/>
      <c r="AC178" s="160"/>
    </row>
    <row r="179" spans="5:32" ht="8.25" customHeight="1" x14ac:dyDescent="0.25">
      <c r="E179" s="52"/>
      <c r="H179" s="53"/>
      <c r="O179" s="52"/>
      <c r="X179" s="110" t="s">
        <v>649</v>
      </c>
      <c r="Y179" s="111">
        <v>5</v>
      </c>
      <c r="Z179" s="111">
        <f t="shared" si="16"/>
        <v>1510</v>
      </c>
      <c r="AA179" s="112"/>
      <c r="AC179" s="160"/>
    </row>
    <row r="180" spans="5:32" ht="8.25" customHeight="1" x14ac:dyDescent="0.25">
      <c r="E180" s="52"/>
      <c r="H180" s="53"/>
      <c r="O180" s="52"/>
      <c r="X180" s="269"/>
      <c r="Y180" s="270"/>
      <c r="Z180" s="271"/>
      <c r="AA180" s="38"/>
      <c r="AC180" s="160"/>
    </row>
    <row r="181" spans="5:32" ht="8.25" customHeight="1" x14ac:dyDescent="0.25">
      <c r="E181" s="52"/>
      <c r="H181" s="53"/>
      <c r="O181" s="52"/>
      <c r="X181" s="110" t="s">
        <v>473</v>
      </c>
      <c r="Y181" s="111">
        <v>1</v>
      </c>
      <c r="Z181" s="111">
        <f t="shared" ref="Z181:Z186" si="17">X181*Y181</f>
        <v>523</v>
      </c>
      <c r="AA181" s="76"/>
      <c r="AC181" s="160"/>
    </row>
    <row r="182" spans="5:32" ht="8.25" customHeight="1" x14ac:dyDescent="0.25">
      <c r="E182" s="52"/>
      <c r="H182" s="53"/>
      <c r="O182" s="52"/>
      <c r="X182" s="110" t="s">
        <v>250</v>
      </c>
      <c r="Y182" s="111">
        <v>0.5</v>
      </c>
      <c r="Z182" s="111">
        <f t="shared" si="17"/>
        <v>23.5</v>
      </c>
      <c r="AA182" s="112"/>
      <c r="AC182" s="160"/>
    </row>
    <row r="183" spans="5:32" ht="8.25" customHeight="1" x14ac:dyDescent="0.25">
      <c r="E183" s="52"/>
      <c r="H183" s="53"/>
      <c r="O183" s="52"/>
      <c r="X183" s="110" t="s">
        <v>298</v>
      </c>
      <c r="Y183" s="111">
        <v>0.25</v>
      </c>
      <c r="Z183" s="111">
        <f t="shared" si="17"/>
        <v>22</v>
      </c>
      <c r="AA183" s="113"/>
      <c r="AC183" s="160"/>
    </row>
    <row r="184" spans="5:32" ht="8.25" customHeight="1" x14ac:dyDescent="0.25">
      <c r="E184" s="52"/>
      <c r="H184" s="53"/>
      <c r="O184" s="52"/>
      <c r="X184" s="110" t="s">
        <v>224</v>
      </c>
      <c r="Y184" s="111">
        <v>0.1</v>
      </c>
      <c r="Z184" s="111">
        <f t="shared" si="17"/>
        <v>0.2</v>
      </c>
      <c r="AA184" s="114" t="s">
        <v>219</v>
      </c>
      <c r="AC184" s="160"/>
    </row>
    <row r="185" spans="5:32" ht="8.25" customHeight="1" thickBot="1" x14ac:dyDescent="0.3">
      <c r="E185" s="52"/>
      <c r="H185" s="53"/>
      <c r="O185" s="52"/>
      <c r="X185" s="110"/>
      <c r="Y185" s="111">
        <v>0.05</v>
      </c>
      <c r="Z185" s="111">
        <f t="shared" si="17"/>
        <v>0</v>
      </c>
      <c r="AA185" s="115">
        <f>SUM(Z174:Z179)+Z181+Z182+Z183+Z184+Z185+Z186</f>
        <v>71218.739999999991</v>
      </c>
      <c r="AC185" s="160"/>
    </row>
    <row r="186" spans="5:32" ht="8.25" customHeight="1" thickTop="1" x14ac:dyDescent="0.25">
      <c r="E186" s="52"/>
      <c r="H186" s="53"/>
      <c r="O186" s="52"/>
      <c r="X186" s="110" t="s">
        <v>299</v>
      </c>
      <c r="Y186" s="111">
        <v>0.01</v>
      </c>
      <c r="Z186" s="111">
        <f t="shared" si="17"/>
        <v>0.04</v>
      </c>
      <c r="AC186" s="160"/>
    </row>
    <row r="187" spans="5:32" ht="8.25" customHeight="1" x14ac:dyDescent="0.25">
      <c r="E187" s="52"/>
      <c r="H187" s="53"/>
      <c r="O187" s="52"/>
      <c r="Y187" s="159"/>
      <c r="AC187" s="160"/>
    </row>
    <row r="188" spans="5:32" ht="8.25" customHeight="1" x14ac:dyDescent="0.25">
      <c r="E188" s="52"/>
      <c r="H188" s="53"/>
      <c r="O188" s="52"/>
      <c r="Y188" s="159"/>
      <c r="AA188" s="75" t="s">
        <v>251</v>
      </c>
      <c r="AC188" s="160"/>
      <c r="AF188" s="76">
        <f>AF171</f>
        <v>71218.739999999991</v>
      </c>
    </row>
    <row r="189" spans="5:32" ht="8.25" customHeight="1" x14ac:dyDescent="0.25">
      <c r="E189" s="52"/>
      <c r="H189" s="53"/>
      <c r="I189" s="52">
        <v>9</v>
      </c>
      <c r="O189" s="52"/>
      <c r="T189" s="33">
        <v>45669</v>
      </c>
      <c r="U189" s="34">
        <v>2026</v>
      </c>
      <c r="V189" s="35" t="s">
        <v>12</v>
      </c>
      <c r="X189" s="37" t="s">
        <v>403</v>
      </c>
      <c r="Y189" s="159" t="s">
        <v>404</v>
      </c>
      <c r="Z189" s="30" t="s">
        <v>405</v>
      </c>
      <c r="AA189" s="30" t="s">
        <v>13</v>
      </c>
      <c r="AC189" s="160"/>
      <c r="AD189" s="38">
        <v>1000</v>
      </c>
      <c r="AF189" s="76">
        <f t="shared" ref="AF189:AF201" si="18">AF188+AD189-AE189</f>
        <v>72218.739999999991</v>
      </c>
    </row>
    <row r="190" spans="5:32" ht="8.25" customHeight="1" x14ac:dyDescent="0.25">
      <c r="E190" s="52"/>
      <c r="H190" s="53"/>
      <c r="O190" s="52"/>
      <c r="T190" s="151">
        <v>45669</v>
      </c>
      <c r="U190" s="152">
        <v>2026</v>
      </c>
      <c r="V190" s="153" t="s">
        <v>12</v>
      </c>
      <c r="W190" s="153"/>
      <c r="X190" s="154" t="s">
        <v>410</v>
      </c>
      <c r="Y190" s="166" t="s">
        <v>411</v>
      </c>
      <c r="Z190" s="155" t="s">
        <v>412</v>
      </c>
      <c r="AA190" s="155" t="s">
        <v>421</v>
      </c>
      <c r="AB190" s="155"/>
      <c r="AC190" s="167"/>
      <c r="AD190" s="156"/>
      <c r="AE190" s="156">
        <v>15000</v>
      </c>
      <c r="AF190" s="157">
        <f t="shared" si="18"/>
        <v>57218.739999999991</v>
      </c>
    </row>
    <row r="191" spans="5:32" ht="8.25" customHeight="1" x14ac:dyDescent="0.25">
      <c r="E191" s="52"/>
      <c r="H191" s="53"/>
      <c r="N191" s="52">
        <v>16</v>
      </c>
      <c r="O191" s="52"/>
      <c r="T191" s="33">
        <v>45669</v>
      </c>
      <c r="U191" s="34">
        <v>2026</v>
      </c>
      <c r="V191" s="35" t="s">
        <v>12</v>
      </c>
      <c r="X191" s="37" t="s">
        <v>406</v>
      </c>
      <c r="Y191" s="159" t="s">
        <v>407</v>
      </c>
      <c r="Z191" s="30" t="s">
        <v>408</v>
      </c>
      <c r="AA191" s="30" t="s">
        <v>3899</v>
      </c>
      <c r="AC191" s="160"/>
      <c r="AD191" s="38">
        <v>11047.72</v>
      </c>
      <c r="AF191" s="76">
        <f t="shared" si="18"/>
        <v>68266.459999999992</v>
      </c>
    </row>
    <row r="192" spans="5:32" ht="8.25" customHeight="1" x14ac:dyDescent="0.15">
      <c r="E192" s="52"/>
      <c r="H192" s="53"/>
      <c r="N192" s="52">
        <v>16</v>
      </c>
      <c r="O192" s="52"/>
      <c r="T192" s="33">
        <v>45669</v>
      </c>
      <c r="U192" s="34">
        <v>2026</v>
      </c>
      <c r="V192" s="35" t="s">
        <v>12</v>
      </c>
      <c r="X192" s="37" t="s">
        <v>406</v>
      </c>
      <c r="Y192" s="159" t="s">
        <v>407</v>
      </c>
      <c r="Z192" s="30" t="s">
        <v>408</v>
      </c>
      <c r="AA192" s="134" t="s">
        <v>166</v>
      </c>
      <c r="AC192" s="160"/>
      <c r="AD192" s="38">
        <v>3952.28</v>
      </c>
      <c r="AF192" s="76">
        <f t="shared" si="18"/>
        <v>72218.739999999991</v>
      </c>
    </row>
    <row r="193" spans="4:32" ht="8.25" customHeight="1" x14ac:dyDescent="0.25">
      <c r="E193" s="52"/>
      <c r="H193" s="53"/>
      <c r="O193" s="52"/>
      <c r="T193" s="151">
        <v>45669</v>
      </c>
      <c r="U193" s="152">
        <v>2026</v>
      </c>
      <c r="V193" s="153" t="s">
        <v>12</v>
      </c>
      <c r="W193" s="153"/>
      <c r="X193" s="154" t="s">
        <v>413</v>
      </c>
      <c r="Y193" s="166" t="s">
        <v>411</v>
      </c>
      <c r="Z193" s="155" t="s">
        <v>412</v>
      </c>
      <c r="AA193" s="155" t="s">
        <v>421</v>
      </c>
      <c r="AB193" s="155"/>
      <c r="AC193" s="167"/>
      <c r="AD193" s="156"/>
      <c r="AE193" s="156">
        <v>13000</v>
      </c>
      <c r="AF193" s="157">
        <f t="shared" si="18"/>
        <v>59218.739999999991</v>
      </c>
    </row>
    <row r="194" spans="4:32" ht="8.25" customHeight="1" x14ac:dyDescent="0.25">
      <c r="E194" s="52"/>
      <c r="H194" s="53"/>
      <c r="N194" s="52">
        <v>17</v>
      </c>
      <c r="O194" s="52"/>
      <c r="T194" s="33">
        <v>45669</v>
      </c>
      <c r="U194" s="34">
        <v>2026</v>
      </c>
      <c r="V194" s="35" t="s">
        <v>12</v>
      </c>
      <c r="X194" s="37" t="s">
        <v>409</v>
      </c>
      <c r="Y194" s="159" t="s">
        <v>414</v>
      </c>
      <c r="Z194" s="30" t="s">
        <v>415</v>
      </c>
      <c r="AA194" s="30" t="s">
        <v>3899</v>
      </c>
      <c r="AC194" s="160"/>
      <c r="AD194" s="38">
        <v>8123.68</v>
      </c>
      <c r="AF194" s="76">
        <f t="shared" si="18"/>
        <v>67342.419999999984</v>
      </c>
    </row>
    <row r="195" spans="4:32" ht="8.25" customHeight="1" x14ac:dyDescent="0.15">
      <c r="E195" s="52"/>
      <c r="H195" s="53"/>
      <c r="N195" s="52">
        <v>17</v>
      </c>
      <c r="O195" s="52"/>
      <c r="T195" s="33">
        <v>45669</v>
      </c>
      <c r="U195" s="34">
        <v>2026</v>
      </c>
      <c r="V195" s="35" t="s">
        <v>12</v>
      </c>
      <c r="X195" s="37" t="s">
        <v>409</v>
      </c>
      <c r="Y195" s="159" t="s">
        <v>414</v>
      </c>
      <c r="Z195" s="30" t="s">
        <v>415</v>
      </c>
      <c r="AA195" s="134" t="s">
        <v>166</v>
      </c>
      <c r="AC195" s="160"/>
      <c r="AD195" s="38">
        <v>4876.32</v>
      </c>
      <c r="AF195" s="76">
        <f t="shared" si="18"/>
        <v>72218.739999999991</v>
      </c>
    </row>
    <row r="196" spans="4:32" ht="8.25" customHeight="1" x14ac:dyDescent="0.25">
      <c r="D196" s="52">
        <v>5</v>
      </c>
      <c r="E196" s="52"/>
      <c r="H196" s="53"/>
      <c r="O196" s="52"/>
      <c r="T196" s="33">
        <v>45669</v>
      </c>
      <c r="U196" s="34">
        <v>2026</v>
      </c>
      <c r="V196" s="35" t="s">
        <v>12</v>
      </c>
      <c r="Y196" s="159" t="s">
        <v>416</v>
      </c>
      <c r="Z196" s="30" t="s">
        <v>417</v>
      </c>
      <c r="AA196" s="30" t="s">
        <v>256</v>
      </c>
      <c r="AC196" s="160"/>
      <c r="AD196" s="38">
        <v>1000</v>
      </c>
      <c r="AF196" s="76">
        <f t="shared" si="18"/>
        <v>73218.739999999991</v>
      </c>
    </row>
    <row r="197" spans="4:32" ht="8.25" customHeight="1" x14ac:dyDescent="0.25">
      <c r="D197" s="52">
        <v>6</v>
      </c>
      <c r="E197" s="52"/>
      <c r="H197" s="53"/>
      <c r="O197" s="52"/>
      <c r="T197" s="33">
        <v>45669</v>
      </c>
      <c r="U197" s="34">
        <v>2026</v>
      </c>
      <c r="V197" s="35" t="s">
        <v>12</v>
      </c>
      <c r="W197" s="35" t="s">
        <v>3620</v>
      </c>
      <c r="Y197" s="159" t="s">
        <v>422</v>
      </c>
      <c r="Z197" s="30" t="s">
        <v>423</v>
      </c>
      <c r="AA197" s="30" t="s">
        <v>340</v>
      </c>
      <c r="AC197" s="160"/>
      <c r="AD197" s="38">
        <v>120</v>
      </c>
      <c r="AF197" s="76">
        <f t="shared" si="18"/>
        <v>73338.739999999991</v>
      </c>
    </row>
    <row r="198" spans="4:32" ht="8.25" customHeight="1" x14ac:dyDescent="0.25">
      <c r="D198" s="52">
        <v>7</v>
      </c>
      <c r="E198" s="52"/>
      <c r="H198" s="53"/>
      <c r="O198" s="52"/>
      <c r="T198" s="33">
        <v>45669</v>
      </c>
      <c r="U198" s="34">
        <v>2026</v>
      </c>
      <c r="V198" s="35" t="s">
        <v>12</v>
      </c>
      <c r="W198" s="35" t="s">
        <v>3620</v>
      </c>
      <c r="Y198" s="159" t="s">
        <v>424</v>
      </c>
      <c r="Z198" s="30" t="s">
        <v>425</v>
      </c>
      <c r="AA198" s="30" t="s">
        <v>340</v>
      </c>
      <c r="AC198" s="160"/>
      <c r="AD198" s="38">
        <v>43</v>
      </c>
      <c r="AF198" s="76">
        <f t="shared" si="18"/>
        <v>73381.739999999991</v>
      </c>
    </row>
    <row r="199" spans="4:32" ht="8.25" customHeight="1" x14ac:dyDescent="0.25">
      <c r="D199" s="52">
        <v>8</v>
      </c>
      <c r="E199" s="52"/>
      <c r="H199" s="53"/>
      <c r="O199" s="52"/>
      <c r="T199" s="33">
        <v>45669</v>
      </c>
      <c r="U199" s="34">
        <v>2026</v>
      </c>
      <c r="V199" s="35" t="s">
        <v>12</v>
      </c>
      <c r="W199" s="35" t="s">
        <v>3620</v>
      </c>
      <c r="Y199" s="159" t="s">
        <v>426</v>
      </c>
      <c r="Z199" s="30" t="s">
        <v>427</v>
      </c>
      <c r="AA199" s="30" t="s">
        <v>340</v>
      </c>
      <c r="AC199" s="160"/>
      <c r="AD199" s="38">
        <v>314</v>
      </c>
      <c r="AF199" s="76">
        <f t="shared" si="18"/>
        <v>73695.739999999991</v>
      </c>
    </row>
    <row r="200" spans="4:32" ht="8.25" customHeight="1" x14ac:dyDescent="0.25">
      <c r="D200" s="52">
        <v>9</v>
      </c>
      <c r="E200" s="52"/>
      <c r="H200" s="53"/>
      <c r="O200" s="52"/>
      <c r="T200" s="33">
        <v>45669</v>
      </c>
      <c r="U200" s="34">
        <v>2026</v>
      </c>
      <c r="V200" s="35" t="s">
        <v>12</v>
      </c>
      <c r="W200" s="35" t="s">
        <v>3620</v>
      </c>
      <c r="Y200" s="159" t="s">
        <v>428</v>
      </c>
      <c r="Z200" s="30" t="s">
        <v>429</v>
      </c>
      <c r="AA200" s="30" t="s">
        <v>340</v>
      </c>
      <c r="AC200" s="160"/>
      <c r="AD200" s="38">
        <v>67</v>
      </c>
      <c r="AF200" s="76">
        <f t="shared" si="18"/>
        <v>73762.739999999991</v>
      </c>
    </row>
    <row r="201" spans="4:32" ht="8.25" customHeight="1" x14ac:dyDescent="0.25">
      <c r="E201" s="52"/>
      <c r="H201" s="53"/>
      <c r="O201" s="52"/>
      <c r="R201" s="53">
        <v>13</v>
      </c>
      <c r="T201" s="33">
        <v>45669</v>
      </c>
      <c r="U201" s="34">
        <v>2026</v>
      </c>
      <c r="V201" s="35" t="s">
        <v>12</v>
      </c>
      <c r="X201" s="37" t="s">
        <v>418</v>
      </c>
      <c r="Y201" s="159" t="s">
        <v>419</v>
      </c>
      <c r="Z201" s="30" t="s">
        <v>420</v>
      </c>
      <c r="AA201" s="30" t="s">
        <v>92</v>
      </c>
      <c r="AC201" s="160"/>
      <c r="AE201" s="38">
        <v>1000</v>
      </c>
      <c r="AF201" s="76">
        <f t="shared" si="18"/>
        <v>72762.739999999991</v>
      </c>
    </row>
    <row r="202" spans="4:32" ht="8.25" customHeight="1" thickBot="1" x14ac:dyDescent="0.3">
      <c r="E202" s="52"/>
      <c r="H202" s="53"/>
      <c r="O202" s="52"/>
      <c r="Y202" s="159"/>
      <c r="AA202" s="75" t="s">
        <v>257</v>
      </c>
      <c r="AC202" s="160"/>
      <c r="AD202" s="91">
        <f>SUM(AD189:AD201)</f>
        <v>30544</v>
      </c>
      <c r="AE202" s="91">
        <f>SUM(AE189:AE201)</f>
        <v>29000</v>
      </c>
      <c r="AF202" s="76">
        <f>AF188+AD202-AE202</f>
        <v>72762.739999999991</v>
      </c>
    </row>
    <row r="203" spans="4:32" ht="8.25" customHeight="1" thickTop="1" x14ac:dyDescent="0.25">
      <c r="E203" s="52"/>
      <c r="H203" s="53"/>
      <c r="O203" s="52"/>
      <c r="Y203" s="159"/>
      <c r="AC203" s="160"/>
    </row>
    <row r="204" spans="4:32" ht="8.25" customHeight="1" x14ac:dyDescent="0.25">
      <c r="E204" s="52"/>
      <c r="H204" s="53"/>
      <c r="O204" s="52"/>
      <c r="X204" s="109"/>
      <c r="Y204" s="67" t="s">
        <v>214</v>
      </c>
      <c r="Z204" s="68"/>
      <c r="AA204" s="75"/>
      <c r="AC204" s="160"/>
    </row>
    <row r="205" spans="4:32" ht="8.25" customHeight="1" x14ac:dyDescent="0.25">
      <c r="E205" s="52"/>
      <c r="H205" s="53"/>
      <c r="O205" s="52"/>
      <c r="X205" s="110" t="s">
        <v>430</v>
      </c>
      <c r="Y205" s="111">
        <v>200</v>
      </c>
      <c r="Z205" s="111">
        <f t="shared" ref="Z205:Z210" si="19">X205*Y205</f>
        <v>18000</v>
      </c>
      <c r="AA205" s="112"/>
      <c r="AC205" s="160"/>
    </row>
    <row r="206" spans="4:32" ht="8.25" customHeight="1" x14ac:dyDescent="0.25">
      <c r="E206" s="52"/>
      <c r="H206" s="53"/>
      <c r="O206" s="52"/>
      <c r="X206" s="110" t="s">
        <v>650</v>
      </c>
      <c r="Y206" s="111">
        <v>100</v>
      </c>
      <c r="Z206" s="111">
        <f t="shared" si="19"/>
        <v>48100</v>
      </c>
      <c r="AA206" s="112"/>
      <c r="AC206" s="160"/>
    </row>
    <row r="207" spans="4:32" ht="8.25" customHeight="1" x14ac:dyDescent="0.25">
      <c r="E207" s="52"/>
      <c r="H207" s="53"/>
      <c r="O207" s="52"/>
      <c r="X207" s="110" t="s">
        <v>651</v>
      </c>
      <c r="Y207" s="111">
        <v>50</v>
      </c>
      <c r="Z207" s="111">
        <f t="shared" si="19"/>
        <v>3950</v>
      </c>
      <c r="AA207" s="76"/>
      <c r="AC207" s="160"/>
    </row>
    <row r="208" spans="4:32" ht="8.25" customHeight="1" x14ac:dyDescent="0.25">
      <c r="E208" s="52"/>
      <c r="H208" s="53"/>
      <c r="O208" s="52"/>
      <c r="X208" s="110" t="s">
        <v>652</v>
      </c>
      <c r="Y208" s="111">
        <v>20</v>
      </c>
      <c r="Z208" s="111">
        <f t="shared" si="19"/>
        <v>160</v>
      </c>
      <c r="AA208" s="38"/>
      <c r="AC208" s="160"/>
    </row>
    <row r="209" spans="5:32" ht="8.25" customHeight="1" x14ac:dyDescent="0.25">
      <c r="E209" s="52"/>
      <c r="H209" s="53"/>
      <c r="O209" s="52"/>
      <c r="X209" s="110" t="s">
        <v>431</v>
      </c>
      <c r="Y209" s="111">
        <v>10</v>
      </c>
      <c r="Z209" s="111">
        <f t="shared" si="19"/>
        <v>450</v>
      </c>
      <c r="AA209" s="112"/>
      <c r="AC209" s="160"/>
    </row>
    <row r="210" spans="5:32" ht="8.25" customHeight="1" x14ac:dyDescent="0.25">
      <c r="E210" s="52"/>
      <c r="H210" s="53"/>
      <c r="O210" s="52"/>
      <c r="X210" s="110" t="s">
        <v>320</v>
      </c>
      <c r="Y210" s="111">
        <v>5</v>
      </c>
      <c r="Z210" s="111">
        <f t="shared" si="19"/>
        <v>1535</v>
      </c>
      <c r="AA210" s="112"/>
      <c r="AC210" s="160"/>
    </row>
    <row r="211" spans="5:32" ht="8.25" customHeight="1" x14ac:dyDescent="0.25">
      <c r="E211" s="52"/>
      <c r="H211" s="53"/>
      <c r="O211" s="52"/>
      <c r="X211" s="269"/>
      <c r="Y211" s="270"/>
      <c r="Z211" s="271"/>
      <c r="AA211" s="38"/>
      <c r="AC211" s="160"/>
    </row>
    <row r="212" spans="5:32" ht="8.25" customHeight="1" x14ac:dyDescent="0.25">
      <c r="E212" s="52"/>
      <c r="H212" s="53"/>
      <c r="O212" s="52"/>
      <c r="X212" s="110" t="s">
        <v>653</v>
      </c>
      <c r="Y212" s="111">
        <v>1</v>
      </c>
      <c r="Z212" s="111">
        <f t="shared" ref="Z212:Z217" si="20">X212*Y212</f>
        <v>522</v>
      </c>
      <c r="AA212" s="76"/>
      <c r="AC212" s="160"/>
    </row>
    <row r="213" spans="5:32" ht="8.25" customHeight="1" x14ac:dyDescent="0.25">
      <c r="E213" s="52"/>
      <c r="H213" s="53"/>
      <c r="O213" s="52"/>
      <c r="X213" s="110" t="s">
        <v>250</v>
      </c>
      <c r="Y213" s="111">
        <v>0.5</v>
      </c>
      <c r="Z213" s="111">
        <f t="shared" si="20"/>
        <v>23.5</v>
      </c>
      <c r="AA213" s="112"/>
      <c r="AC213" s="160"/>
    </row>
    <row r="214" spans="5:32" ht="8.25" customHeight="1" x14ac:dyDescent="0.25">
      <c r="E214" s="52"/>
      <c r="H214" s="53"/>
      <c r="O214" s="52"/>
      <c r="X214" s="110" t="s">
        <v>298</v>
      </c>
      <c r="Y214" s="111">
        <v>0.25</v>
      </c>
      <c r="Z214" s="111">
        <f t="shared" si="20"/>
        <v>22</v>
      </c>
      <c r="AA214" s="113"/>
      <c r="AC214" s="160"/>
    </row>
    <row r="215" spans="5:32" ht="8.25" customHeight="1" x14ac:dyDescent="0.25">
      <c r="E215" s="52"/>
      <c r="H215" s="53"/>
      <c r="O215" s="52"/>
      <c r="X215" s="110" t="s">
        <v>224</v>
      </c>
      <c r="Y215" s="111">
        <v>0.1</v>
      </c>
      <c r="Z215" s="111">
        <f t="shared" si="20"/>
        <v>0.2</v>
      </c>
      <c r="AA215" s="114" t="s">
        <v>219</v>
      </c>
      <c r="AC215" s="160"/>
    </row>
    <row r="216" spans="5:32" ht="8.25" customHeight="1" thickBot="1" x14ac:dyDescent="0.3">
      <c r="E216" s="52"/>
      <c r="H216" s="53"/>
      <c r="O216" s="52"/>
      <c r="X216" s="110"/>
      <c r="Y216" s="111">
        <v>0.05</v>
      </c>
      <c r="Z216" s="111">
        <f t="shared" si="20"/>
        <v>0</v>
      </c>
      <c r="AA216" s="115">
        <f>SUM(Z205:Z210)+Z212+Z213+Z214+Z215+Z216+Z217</f>
        <v>72762.739999999991</v>
      </c>
      <c r="AC216" s="160"/>
    </row>
    <row r="217" spans="5:32" ht="8.25" customHeight="1" thickTop="1" x14ac:dyDescent="0.25">
      <c r="E217" s="52"/>
      <c r="H217" s="53"/>
      <c r="O217" s="52"/>
      <c r="X217" s="110" t="s">
        <v>299</v>
      </c>
      <c r="Y217" s="111">
        <v>0.01</v>
      </c>
      <c r="Z217" s="111">
        <f t="shared" si="20"/>
        <v>0.04</v>
      </c>
      <c r="AC217" s="160"/>
    </row>
    <row r="218" spans="5:32" ht="8.25" customHeight="1" x14ac:dyDescent="0.25">
      <c r="E218" s="52"/>
      <c r="H218" s="53"/>
      <c r="O218" s="52"/>
      <c r="Y218" s="159"/>
      <c r="AA218" s="75" t="s">
        <v>251</v>
      </c>
      <c r="AC218" s="160"/>
      <c r="AF218" s="76">
        <f>AF202</f>
        <v>72762.739999999991</v>
      </c>
    </row>
    <row r="219" spans="5:32" ht="8.25" customHeight="1" x14ac:dyDescent="0.25">
      <c r="E219" s="52"/>
      <c r="H219" s="53"/>
      <c r="N219" s="52">
        <v>18</v>
      </c>
      <c r="O219" s="52"/>
      <c r="T219" s="33">
        <v>46035</v>
      </c>
      <c r="U219" s="34">
        <v>2026</v>
      </c>
      <c r="V219" s="35" t="s">
        <v>12</v>
      </c>
      <c r="X219" s="37" t="s">
        <v>432</v>
      </c>
      <c r="Y219" s="159" t="s">
        <v>433</v>
      </c>
      <c r="Z219" s="30" t="s">
        <v>434</v>
      </c>
      <c r="AA219" s="30" t="s">
        <v>3899</v>
      </c>
      <c r="AC219" s="160"/>
      <c r="AD219" s="38">
        <v>9631.9699999999993</v>
      </c>
      <c r="AF219" s="76">
        <f>AF218+AD219-AE219</f>
        <v>82394.709999999992</v>
      </c>
    </row>
    <row r="220" spans="5:32" ht="8.25" customHeight="1" x14ac:dyDescent="0.15">
      <c r="E220" s="52"/>
      <c r="H220" s="53"/>
      <c r="N220" s="52">
        <v>18</v>
      </c>
      <c r="O220" s="52"/>
      <c r="T220" s="33">
        <v>46035</v>
      </c>
      <c r="U220" s="34">
        <v>2026</v>
      </c>
      <c r="V220" s="35" t="s">
        <v>12</v>
      </c>
      <c r="X220" s="37" t="s">
        <v>432</v>
      </c>
      <c r="Y220" s="159" t="s">
        <v>433</v>
      </c>
      <c r="Z220" s="30" t="s">
        <v>434</v>
      </c>
      <c r="AA220" s="134" t="s">
        <v>166</v>
      </c>
      <c r="AC220" s="160"/>
      <c r="AD220" s="38">
        <v>3368.03</v>
      </c>
      <c r="AF220" s="76">
        <f t="shared" ref="AF220:AF241" si="21">AF219+AD220-AE220</f>
        <v>85762.739999999991</v>
      </c>
    </row>
    <row r="221" spans="5:32" ht="8.25" customHeight="1" x14ac:dyDescent="0.25">
      <c r="E221" s="52"/>
      <c r="H221" s="53"/>
      <c r="N221" s="52">
        <v>19</v>
      </c>
      <c r="O221" s="52"/>
      <c r="T221" s="33">
        <v>46035</v>
      </c>
      <c r="U221" s="34">
        <v>2026</v>
      </c>
      <c r="V221" s="35" t="s">
        <v>12</v>
      </c>
      <c r="X221" s="37" t="s">
        <v>435</v>
      </c>
      <c r="Y221" s="159" t="s">
        <v>436</v>
      </c>
      <c r="Z221" s="30" t="s">
        <v>437</v>
      </c>
      <c r="AA221" s="30" t="s">
        <v>3899</v>
      </c>
      <c r="AC221" s="160"/>
      <c r="AD221" s="38">
        <v>7199.35</v>
      </c>
      <c r="AF221" s="76">
        <f t="shared" si="21"/>
        <v>92962.09</v>
      </c>
    </row>
    <row r="222" spans="5:32" ht="8.25" customHeight="1" x14ac:dyDescent="0.15">
      <c r="E222" s="52"/>
      <c r="H222" s="53"/>
      <c r="N222" s="52">
        <v>19</v>
      </c>
      <c r="O222" s="52"/>
      <c r="T222" s="33">
        <v>46035</v>
      </c>
      <c r="U222" s="34">
        <v>2026</v>
      </c>
      <c r="V222" s="35" t="s">
        <v>12</v>
      </c>
      <c r="X222" s="37" t="s">
        <v>435</v>
      </c>
      <c r="Y222" s="159" t="s">
        <v>436</v>
      </c>
      <c r="Z222" s="30" t="s">
        <v>437</v>
      </c>
      <c r="AA222" s="134" t="s">
        <v>166</v>
      </c>
      <c r="AC222" s="160"/>
      <c r="AD222" s="38">
        <v>6800.65</v>
      </c>
      <c r="AF222" s="76">
        <f t="shared" si="21"/>
        <v>99762.739999999991</v>
      </c>
    </row>
    <row r="223" spans="5:32" ht="8.25" customHeight="1" x14ac:dyDescent="0.25">
      <c r="E223" s="52"/>
      <c r="H223" s="53"/>
      <c r="N223" s="52">
        <v>20</v>
      </c>
      <c r="O223" s="52"/>
      <c r="T223" s="33">
        <v>46035</v>
      </c>
      <c r="U223" s="34">
        <v>2026</v>
      </c>
      <c r="V223" s="35" t="s">
        <v>12</v>
      </c>
      <c r="X223" s="37" t="s">
        <v>438</v>
      </c>
      <c r="Y223" s="159" t="s">
        <v>439</v>
      </c>
      <c r="Z223" s="30" t="s">
        <v>440</v>
      </c>
      <c r="AA223" s="30" t="s">
        <v>3899</v>
      </c>
      <c r="AC223" s="160"/>
      <c r="AD223" s="38">
        <v>5280.06</v>
      </c>
      <c r="AF223" s="76">
        <f t="shared" si="21"/>
        <v>105042.79999999999</v>
      </c>
    </row>
    <row r="224" spans="5:32" ht="8.25" customHeight="1" x14ac:dyDescent="0.15">
      <c r="E224" s="52"/>
      <c r="H224" s="53"/>
      <c r="N224" s="52">
        <v>20</v>
      </c>
      <c r="O224" s="52"/>
      <c r="T224" s="33">
        <v>46035</v>
      </c>
      <c r="U224" s="34">
        <v>2026</v>
      </c>
      <c r="V224" s="35" t="s">
        <v>12</v>
      </c>
      <c r="X224" s="37" t="s">
        <v>438</v>
      </c>
      <c r="Y224" s="159" t="s">
        <v>439</v>
      </c>
      <c r="Z224" s="30" t="s">
        <v>440</v>
      </c>
      <c r="AA224" s="134" t="s">
        <v>166</v>
      </c>
      <c r="AC224" s="160"/>
      <c r="AD224" s="38">
        <v>4719.9399999999996</v>
      </c>
      <c r="AF224" s="76">
        <f t="shared" si="21"/>
        <v>109762.73999999999</v>
      </c>
    </row>
    <row r="225" spans="5:32" ht="8.25" customHeight="1" x14ac:dyDescent="0.25">
      <c r="E225" s="52"/>
      <c r="H225" s="53"/>
      <c r="N225" s="52">
        <v>21</v>
      </c>
      <c r="O225" s="52"/>
      <c r="T225" s="33">
        <v>46035</v>
      </c>
      <c r="U225" s="34">
        <v>2026</v>
      </c>
      <c r="V225" s="35" t="s">
        <v>12</v>
      </c>
      <c r="X225" s="37" t="s">
        <v>441</v>
      </c>
      <c r="Y225" s="159" t="s">
        <v>442</v>
      </c>
      <c r="Z225" s="30" t="s">
        <v>443</v>
      </c>
      <c r="AA225" s="30" t="s">
        <v>3899</v>
      </c>
      <c r="AC225" s="160"/>
      <c r="AD225" s="38">
        <v>4707.1899999999996</v>
      </c>
      <c r="AF225" s="76">
        <f t="shared" si="21"/>
        <v>114469.93</v>
      </c>
    </row>
    <row r="226" spans="5:32" ht="8.25" customHeight="1" x14ac:dyDescent="0.15">
      <c r="E226" s="52"/>
      <c r="H226" s="53"/>
      <c r="N226" s="52">
        <v>21</v>
      </c>
      <c r="O226" s="52"/>
      <c r="T226" s="33">
        <v>46035</v>
      </c>
      <c r="U226" s="34">
        <v>2026</v>
      </c>
      <c r="V226" s="35" t="s">
        <v>12</v>
      </c>
      <c r="X226" s="37" t="s">
        <v>441</v>
      </c>
      <c r="Y226" s="159" t="s">
        <v>442</v>
      </c>
      <c r="Z226" s="30" t="s">
        <v>443</v>
      </c>
      <c r="AA226" s="134" t="s">
        <v>166</v>
      </c>
      <c r="AC226" s="160"/>
      <c r="AD226" s="38">
        <v>4792.8100000000004</v>
      </c>
      <c r="AF226" s="76">
        <f t="shared" si="21"/>
        <v>119262.73999999999</v>
      </c>
    </row>
    <row r="227" spans="5:32" ht="8.25" customHeight="1" x14ac:dyDescent="0.15">
      <c r="E227" s="52"/>
      <c r="H227" s="53"/>
      <c r="K227" s="52">
        <v>4</v>
      </c>
      <c r="O227" s="52"/>
      <c r="T227" s="33">
        <v>46035</v>
      </c>
      <c r="U227" s="34">
        <v>2026</v>
      </c>
      <c r="V227" s="35" t="s">
        <v>12</v>
      </c>
      <c r="X227" s="37" t="s">
        <v>444</v>
      </c>
      <c r="Y227" s="159" t="s">
        <v>445</v>
      </c>
      <c r="Z227" s="30" t="s">
        <v>446</v>
      </c>
      <c r="AA227" s="136" t="s">
        <v>1787</v>
      </c>
      <c r="AC227" s="160"/>
      <c r="AD227" s="38">
        <v>100</v>
      </c>
      <c r="AF227" s="76">
        <f t="shared" si="21"/>
        <v>119362.73999999999</v>
      </c>
    </row>
    <row r="228" spans="5:32" ht="8.25" customHeight="1" x14ac:dyDescent="0.25">
      <c r="E228" s="52"/>
      <c r="H228" s="53"/>
      <c r="L228" s="52">
        <v>4</v>
      </c>
      <c r="O228" s="52"/>
      <c r="T228" s="33">
        <v>46035</v>
      </c>
      <c r="U228" s="34">
        <v>2026</v>
      </c>
      <c r="V228" s="35" t="s">
        <v>12</v>
      </c>
      <c r="X228" s="37" t="s">
        <v>448</v>
      </c>
      <c r="Y228" s="125" t="s">
        <v>120</v>
      </c>
      <c r="Z228" s="30" t="s">
        <v>446</v>
      </c>
      <c r="AA228" s="30" t="s">
        <v>373</v>
      </c>
      <c r="AC228" s="126"/>
      <c r="AD228" s="38">
        <v>50</v>
      </c>
      <c r="AF228" s="76">
        <f t="shared" si="21"/>
        <v>119412.73999999999</v>
      </c>
    </row>
    <row r="229" spans="5:32" ht="8.25" customHeight="1" x14ac:dyDescent="0.25">
      <c r="E229" s="52"/>
      <c r="H229" s="53"/>
      <c r="N229" s="52">
        <v>22</v>
      </c>
      <c r="O229" s="52"/>
      <c r="T229" s="33">
        <v>46035</v>
      </c>
      <c r="U229" s="34">
        <v>2026</v>
      </c>
      <c r="V229" s="35" t="s">
        <v>12</v>
      </c>
      <c r="X229" s="37" t="s">
        <v>449</v>
      </c>
      <c r="Y229" s="125" t="s">
        <v>450</v>
      </c>
      <c r="Z229" s="30" t="s">
        <v>451</v>
      </c>
      <c r="AA229" s="30" t="s">
        <v>3899</v>
      </c>
      <c r="AC229" s="126"/>
      <c r="AD229" s="38">
        <v>9534</v>
      </c>
      <c r="AF229" s="76">
        <f t="shared" si="21"/>
        <v>128946.73999999999</v>
      </c>
    </row>
    <row r="230" spans="5:32" ht="8.25" customHeight="1" x14ac:dyDescent="0.15">
      <c r="E230" s="52"/>
      <c r="H230" s="53"/>
      <c r="N230" s="52">
        <v>22</v>
      </c>
      <c r="O230" s="52"/>
      <c r="T230" s="33">
        <v>46035</v>
      </c>
      <c r="U230" s="34">
        <v>2026</v>
      </c>
      <c r="V230" s="35" t="s">
        <v>12</v>
      </c>
      <c r="X230" s="37" t="s">
        <v>449</v>
      </c>
      <c r="Y230" s="125" t="s">
        <v>450</v>
      </c>
      <c r="Z230" s="30" t="s">
        <v>451</v>
      </c>
      <c r="AA230" s="134" t="s">
        <v>166</v>
      </c>
      <c r="AC230" s="126"/>
      <c r="AD230" s="38">
        <v>6366</v>
      </c>
      <c r="AF230" s="76">
        <f t="shared" si="21"/>
        <v>135312.74</v>
      </c>
    </row>
    <row r="231" spans="5:32" ht="8.25" customHeight="1" x14ac:dyDescent="0.25">
      <c r="E231" s="52"/>
      <c r="H231" s="53"/>
      <c r="N231" s="52">
        <v>23</v>
      </c>
      <c r="O231" s="52"/>
      <c r="T231" s="33">
        <v>46035</v>
      </c>
      <c r="U231" s="34">
        <v>2026</v>
      </c>
      <c r="V231" s="35" t="s">
        <v>12</v>
      </c>
      <c r="X231" s="37" t="s">
        <v>452</v>
      </c>
      <c r="Y231" s="125" t="s">
        <v>453</v>
      </c>
      <c r="Z231" s="30" t="s">
        <v>454</v>
      </c>
      <c r="AA231" s="30" t="s">
        <v>3899</v>
      </c>
      <c r="AB231" s="35" t="s">
        <v>12</v>
      </c>
      <c r="AC231" s="126"/>
      <c r="AD231" s="38">
        <v>4475.26</v>
      </c>
      <c r="AF231" s="76">
        <f t="shared" si="21"/>
        <v>139788</v>
      </c>
    </row>
    <row r="232" spans="5:32" ht="8.25" customHeight="1" x14ac:dyDescent="0.15">
      <c r="E232" s="52"/>
      <c r="H232" s="53"/>
      <c r="N232" s="52">
        <v>23</v>
      </c>
      <c r="O232" s="52"/>
      <c r="T232" s="33">
        <v>46035</v>
      </c>
      <c r="U232" s="34">
        <v>2026</v>
      </c>
      <c r="V232" s="35" t="s">
        <v>12</v>
      </c>
      <c r="X232" s="37" t="s">
        <v>452</v>
      </c>
      <c r="Y232" s="125" t="s">
        <v>453</v>
      </c>
      <c r="Z232" s="30" t="s">
        <v>454</v>
      </c>
      <c r="AA232" s="134" t="s">
        <v>166</v>
      </c>
      <c r="AC232" s="126"/>
      <c r="AD232" s="38">
        <v>2024.74</v>
      </c>
      <c r="AF232" s="76">
        <f t="shared" si="21"/>
        <v>141812.74</v>
      </c>
    </row>
    <row r="233" spans="5:32" ht="8.25" customHeight="1" x14ac:dyDescent="0.25">
      <c r="E233" s="52"/>
      <c r="H233" s="53"/>
      <c r="N233" s="52">
        <v>24</v>
      </c>
      <c r="O233" s="52"/>
      <c r="T233" s="33">
        <v>46035</v>
      </c>
      <c r="U233" s="34">
        <v>2026</v>
      </c>
      <c r="V233" s="35" t="s">
        <v>12</v>
      </c>
      <c r="X233" s="37" t="s">
        <v>455</v>
      </c>
      <c r="Y233" s="125" t="s">
        <v>456</v>
      </c>
      <c r="Z233" s="30" t="s">
        <v>457</v>
      </c>
      <c r="AA233" s="30" t="s">
        <v>3899</v>
      </c>
      <c r="AC233" s="126"/>
      <c r="AD233" s="38">
        <v>2988.51</v>
      </c>
      <c r="AF233" s="76">
        <f t="shared" si="21"/>
        <v>144801.25</v>
      </c>
    </row>
    <row r="234" spans="5:32" ht="8.25" customHeight="1" x14ac:dyDescent="0.15">
      <c r="E234" s="52"/>
      <c r="H234" s="53"/>
      <c r="N234" s="52">
        <v>24</v>
      </c>
      <c r="O234" s="52"/>
      <c r="T234" s="33">
        <v>46035</v>
      </c>
      <c r="U234" s="34">
        <v>2026</v>
      </c>
      <c r="V234" s="35" t="s">
        <v>12</v>
      </c>
      <c r="X234" s="37" t="s">
        <v>455</v>
      </c>
      <c r="Y234" s="125" t="s">
        <v>456</v>
      </c>
      <c r="Z234" s="30" t="s">
        <v>457</v>
      </c>
      <c r="AA234" s="134" t="s">
        <v>166</v>
      </c>
      <c r="AC234" s="126"/>
      <c r="AD234" s="38">
        <v>1711.49</v>
      </c>
      <c r="AF234" s="76">
        <f t="shared" si="21"/>
        <v>146512.74</v>
      </c>
    </row>
    <row r="235" spans="5:32" ht="8.25" customHeight="1" x14ac:dyDescent="0.25">
      <c r="E235" s="52"/>
      <c r="H235" s="53"/>
      <c r="O235" s="52"/>
      <c r="T235" s="144">
        <v>46035</v>
      </c>
      <c r="U235" s="145">
        <v>2026</v>
      </c>
      <c r="V235" s="146" t="s">
        <v>12</v>
      </c>
      <c r="W235" s="146"/>
      <c r="X235" s="158" t="s">
        <v>460</v>
      </c>
      <c r="Y235" s="168" t="s">
        <v>411</v>
      </c>
      <c r="Z235" s="148" t="s">
        <v>412</v>
      </c>
      <c r="AA235" s="148" t="s">
        <v>399</v>
      </c>
      <c r="AB235" s="148"/>
      <c r="AC235" s="169"/>
      <c r="AD235" s="143"/>
      <c r="AE235" s="143">
        <v>40909.089999999997</v>
      </c>
      <c r="AF235" s="76">
        <f t="shared" si="21"/>
        <v>105603.65</v>
      </c>
    </row>
    <row r="236" spans="5:32" ht="8.25" customHeight="1" x14ac:dyDescent="0.25">
      <c r="E236" s="52"/>
      <c r="H236" s="53"/>
      <c r="I236" s="52">
        <v>10</v>
      </c>
      <c r="O236" s="52"/>
      <c r="T236" s="33">
        <v>46035</v>
      </c>
      <c r="U236" s="34">
        <v>2026</v>
      </c>
      <c r="V236" s="35" t="s">
        <v>12</v>
      </c>
      <c r="X236" s="37" t="s">
        <v>458</v>
      </c>
      <c r="Y236" s="125" t="s">
        <v>459</v>
      </c>
      <c r="Z236" s="30" t="s">
        <v>447</v>
      </c>
      <c r="AA236" s="30" t="s">
        <v>13</v>
      </c>
      <c r="AC236" s="126"/>
      <c r="AD236" s="38">
        <v>34090.910000000003</v>
      </c>
      <c r="AF236" s="76">
        <f t="shared" si="21"/>
        <v>139694.56</v>
      </c>
    </row>
    <row r="237" spans="5:32" ht="8.25" customHeight="1" x14ac:dyDescent="0.25">
      <c r="E237" s="52"/>
      <c r="H237" s="53"/>
      <c r="M237" s="52">
        <v>3</v>
      </c>
      <c r="O237" s="52"/>
      <c r="T237" s="33">
        <v>46035</v>
      </c>
      <c r="U237" s="34">
        <v>2026</v>
      </c>
      <c r="V237" s="35" t="s">
        <v>12</v>
      </c>
      <c r="X237" s="37" t="s">
        <v>461</v>
      </c>
      <c r="Y237" s="125" t="s">
        <v>120</v>
      </c>
      <c r="Z237" s="30" t="s">
        <v>447</v>
      </c>
      <c r="AA237" s="30" t="s">
        <v>385</v>
      </c>
      <c r="AC237" s="126"/>
      <c r="AD237" s="38">
        <v>6818.18</v>
      </c>
      <c r="AF237" s="76">
        <f t="shared" si="21"/>
        <v>146512.74</v>
      </c>
    </row>
    <row r="238" spans="5:32" ht="8.25" customHeight="1" x14ac:dyDescent="0.15">
      <c r="E238" s="52"/>
      <c r="H238" s="53"/>
      <c r="K238" s="52">
        <v>5</v>
      </c>
      <c r="O238" s="52"/>
      <c r="T238" s="33">
        <v>46035</v>
      </c>
      <c r="U238" s="34">
        <v>2026</v>
      </c>
      <c r="V238" s="35" t="s">
        <v>12</v>
      </c>
      <c r="X238" s="37" t="s">
        <v>462</v>
      </c>
      <c r="Y238" s="125" t="s">
        <v>463</v>
      </c>
      <c r="Z238" s="30" t="s">
        <v>464</v>
      </c>
      <c r="AA238" s="136" t="s">
        <v>1787</v>
      </c>
      <c r="AC238" s="126"/>
      <c r="AD238" s="38">
        <v>100</v>
      </c>
      <c r="AF238" s="76">
        <f t="shared" si="21"/>
        <v>146612.74</v>
      </c>
    </row>
    <row r="239" spans="5:32" ht="8.25" customHeight="1" x14ac:dyDescent="0.25">
      <c r="E239" s="52"/>
      <c r="H239" s="53"/>
      <c r="L239" s="52">
        <v>5</v>
      </c>
      <c r="O239" s="52"/>
      <c r="T239" s="33">
        <v>46035</v>
      </c>
      <c r="U239" s="34">
        <v>2026</v>
      </c>
      <c r="V239" s="35" t="s">
        <v>12</v>
      </c>
      <c r="X239" s="37" t="s">
        <v>465</v>
      </c>
      <c r="Y239" s="125" t="s">
        <v>120</v>
      </c>
      <c r="Z239" s="30" t="s">
        <v>464</v>
      </c>
      <c r="AA239" s="30" t="s">
        <v>373</v>
      </c>
      <c r="AC239" s="126"/>
      <c r="AD239" s="38">
        <v>50</v>
      </c>
      <c r="AF239" s="76">
        <f t="shared" si="21"/>
        <v>146662.74</v>
      </c>
    </row>
    <row r="240" spans="5:32" ht="8.25" customHeight="1" x14ac:dyDescent="0.25">
      <c r="E240" s="52"/>
      <c r="H240" s="53"/>
      <c r="I240" s="52">
        <v>11</v>
      </c>
      <c r="O240" s="52"/>
      <c r="T240" s="33">
        <v>46035</v>
      </c>
      <c r="U240" s="34">
        <v>2026</v>
      </c>
      <c r="V240" s="35" t="s">
        <v>12</v>
      </c>
      <c r="X240" s="37" t="s">
        <v>466</v>
      </c>
      <c r="Y240" s="125" t="s">
        <v>467</v>
      </c>
      <c r="Z240" s="30" t="s">
        <v>464</v>
      </c>
      <c r="AA240" s="30" t="s">
        <v>13</v>
      </c>
      <c r="AC240" s="126"/>
      <c r="AD240" s="38">
        <v>250</v>
      </c>
      <c r="AF240" s="76">
        <f t="shared" si="21"/>
        <v>146912.74</v>
      </c>
    </row>
    <row r="241" spans="1:32" ht="8.25" customHeight="1" x14ac:dyDescent="0.25">
      <c r="E241" s="52"/>
      <c r="G241" s="53">
        <v>3</v>
      </c>
      <c r="H241" s="53"/>
      <c r="O241" s="52"/>
      <c r="T241" s="33">
        <v>46035</v>
      </c>
      <c r="U241" s="34">
        <v>2026</v>
      </c>
      <c r="V241" s="35" t="s">
        <v>12</v>
      </c>
      <c r="Y241" s="125" t="s">
        <v>468</v>
      </c>
      <c r="Z241" s="30" t="s">
        <v>469</v>
      </c>
      <c r="AA241" s="30" t="s">
        <v>3945</v>
      </c>
      <c r="AC241" s="126"/>
      <c r="AE241" s="38">
        <v>8393</v>
      </c>
      <c r="AF241" s="76">
        <f t="shared" si="21"/>
        <v>138519.74</v>
      </c>
    </row>
    <row r="242" spans="1:32" ht="8.25" customHeight="1" thickBot="1" x14ac:dyDescent="0.3">
      <c r="E242" s="52"/>
      <c r="H242" s="53"/>
      <c r="O242" s="52"/>
      <c r="Y242" s="125"/>
      <c r="AA242" s="75" t="s">
        <v>257</v>
      </c>
      <c r="AC242" s="126"/>
      <c r="AD242" s="91">
        <f>SUM(AD219:AD241)</f>
        <v>115059.09</v>
      </c>
      <c r="AE242" s="91">
        <f>SUM(AE219:AE241)</f>
        <v>49302.09</v>
      </c>
      <c r="AF242" s="76">
        <f>AF218+AD242-AE242</f>
        <v>138519.74</v>
      </c>
    </row>
    <row r="243" spans="1:32" ht="8.25" customHeight="1" thickTop="1" x14ac:dyDescent="0.25">
      <c r="A243" s="51" t="s">
        <v>205</v>
      </c>
      <c r="Y243" s="125"/>
      <c r="AC243" s="126"/>
    </row>
    <row r="244" spans="1:32" ht="8.25" customHeight="1" x14ac:dyDescent="0.25">
      <c r="A244" s="51" t="s">
        <v>205</v>
      </c>
      <c r="X244" s="109"/>
      <c r="Y244" s="67" t="s">
        <v>214</v>
      </c>
      <c r="Z244" s="68"/>
      <c r="AA244" s="75"/>
      <c r="AC244" s="160"/>
    </row>
    <row r="245" spans="1:32" ht="8.25" customHeight="1" x14ac:dyDescent="0.25">
      <c r="A245" s="51" t="s">
        <v>205</v>
      </c>
      <c r="X245" s="110" t="s">
        <v>430</v>
      </c>
      <c r="Y245" s="111">
        <v>200</v>
      </c>
      <c r="Z245" s="111">
        <f t="shared" ref="Z245:Z250" si="22">X245*Y245</f>
        <v>18000</v>
      </c>
      <c r="AA245" s="112"/>
      <c r="AC245" s="160"/>
    </row>
    <row r="246" spans="1:32" ht="8.25" customHeight="1" x14ac:dyDescent="0.25">
      <c r="A246" s="51" t="s">
        <v>205</v>
      </c>
      <c r="X246" s="110" t="s">
        <v>654</v>
      </c>
      <c r="Y246" s="111">
        <v>100</v>
      </c>
      <c r="Z246" s="111">
        <f t="shared" si="22"/>
        <v>114100</v>
      </c>
      <c r="AA246" s="112"/>
      <c r="AC246" s="160"/>
    </row>
    <row r="247" spans="1:32" ht="8.25" customHeight="1" x14ac:dyDescent="0.25">
      <c r="A247" s="51" t="s">
        <v>205</v>
      </c>
      <c r="X247" s="110" t="s">
        <v>481</v>
      </c>
      <c r="Y247" s="111">
        <v>50</v>
      </c>
      <c r="Z247" s="111">
        <f t="shared" si="22"/>
        <v>3750</v>
      </c>
      <c r="AA247" s="76"/>
      <c r="AC247" s="160"/>
    </row>
    <row r="248" spans="1:32" ht="8.25" customHeight="1" x14ac:dyDescent="0.25">
      <c r="A248" s="51" t="s">
        <v>205</v>
      </c>
      <c r="X248" s="110" t="s">
        <v>402</v>
      </c>
      <c r="Y248" s="111">
        <v>20</v>
      </c>
      <c r="Z248" s="111">
        <f t="shared" si="22"/>
        <v>100</v>
      </c>
      <c r="AA248" s="38"/>
      <c r="AC248" s="160"/>
    </row>
    <row r="249" spans="1:32" ht="8.25" customHeight="1" x14ac:dyDescent="0.25">
      <c r="A249" s="51" t="s">
        <v>205</v>
      </c>
      <c r="X249" s="110" t="s">
        <v>655</v>
      </c>
      <c r="Y249" s="111">
        <v>10</v>
      </c>
      <c r="Z249" s="111">
        <f t="shared" si="22"/>
        <v>480</v>
      </c>
      <c r="AA249" s="112"/>
      <c r="AC249" s="160"/>
    </row>
    <row r="250" spans="1:32" ht="8.25" customHeight="1" x14ac:dyDescent="0.25">
      <c r="A250" s="51" t="s">
        <v>205</v>
      </c>
      <c r="X250" s="110" t="s">
        <v>656</v>
      </c>
      <c r="Y250" s="111">
        <v>5</v>
      </c>
      <c r="Z250" s="111">
        <f t="shared" si="22"/>
        <v>1540</v>
      </c>
      <c r="AA250" s="112"/>
      <c r="AC250" s="160"/>
    </row>
    <row r="251" spans="1:32" ht="8.25" customHeight="1" x14ac:dyDescent="0.25">
      <c r="A251" s="51" t="s">
        <v>205</v>
      </c>
      <c r="X251" s="269"/>
      <c r="Y251" s="270"/>
      <c r="Z251" s="271"/>
      <c r="AA251" s="38"/>
      <c r="AC251" s="160"/>
    </row>
    <row r="252" spans="1:32" ht="8.25" customHeight="1" x14ac:dyDescent="0.25">
      <c r="A252" s="51" t="s">
        <v>205</v>
      </c>
      <c r="X252" s="110" t="s">
        <v>657</v>
      </c>
      <c r="Y252" s="111">
        <v>1</v>
      </c>
      <c r="Z252" s="111">
        <f t="shared" ref="Z252:Z257" si="23">X252*Y252</f>
        <v>504</v>
      </c>
      <c r="AA252" s="76"/>
      <c r="AC252" s="160"/>
    </row>
    <row r="253" spans="1:32" ht="8.25" customHeight="1" x14ac:dyDescent="0.25">
      <c r="A253" s="51" t="s">
        <v>205</v>
      </c>
      <c r="X253" s="110" t="s">
        <v>250</v>
      </c>
      <c r="Y253" s="111">
        <v>0.5</v>
      </c>
      <c r="Z253" s="111">
        <f t="shared" si="23"/>
        <v>23.5</v>
      </c>
      <c r="AA253" s="112"/>
      <c r="AC253" s="160"/>
    </row>
    <row r="254" spans="1:32" ht="8.25" customHeight="1" x14ac:dyDescent="0.25">
      <c r="A254" s="51" t="s">
        <v>205</v>
      </c>
      <c r="X254" s="110" t="s">
        <v>298</v>
      </c>
      <c r="Y254" s="111">
        <v>0.25</v>
      </c>
      <c r="Z254" s="111">
        <f t="shared" si="23"/>
        <v>22</v>
      </c>
      <c r="AA254" s="113"/>
      <c r="AC254" s="160"/>
    </row>
    <row r="255" spans="1:32" ht="8.25" customHeight="1" x14ac:dyDescent="0.25">
      <c r="A255" s="51" t="s">
        <v>205</v>
      </c>
      <c r="X255" s="110" t="s">
        <v>224</v>
      </c>
      <c r="Y255" s="111">
        <v>0.1</v>
      </c>
      <c r="Z255" s="111">
        <f t="shared" si="23"/>
        <v>0.2</v>
      </c>
      <c r="AA255" s="114" t="s">
        <v>219</v>
      </c>
      <c r="AC255" s="160"/>
    </row>
    <row r="256" spans="1:32" ht="8.25" customHeight="1" thickBot="1" x14ac:dyDescent="0.3">
      <c r="A256" s="51" t="s">
        <v>205</v>
      </c>
      <c r="X256" s="110"/>
      <c r="Y256" s="111">
        <v>0.05</v>
      </c>
      <c r="Z256" s="111">
        <f t="shared" si="23"/>
        <v>0</v>
      </c>
      <c r="AA256" s="115">
        <f>SUM(Z245:Z250)+Z252+Z253+Z254+Z255+Z256+Z257</f>
        <v>138519.74000000002</v>
      </c>
      <c r="AC256" s="160"/>
    </row>
    <row r="257" spans="1:32" ht="8.25" customHeight="1" thickTop="1" x14ac:dyDescent="0.25">
      <c r="A257" s="51" t="s">
        <v>205</v>
      </c>
      <c r="X257" s="110" t="s">
        <v>299</v>
      </c>
      <c r="Y257" s="111">
        <v>0.01</v>
      </c>
      <c r="Z257" s="111">
        <f t="shared" si="23"/>
        <v>0.04</v>
      </c>
      <c r="AC257" s="160"/>
    </row>
    <row r="258" spans="1:32" ht="8.25" customHeight="1" x14ac:dyDescent="0.25">
      <c r="A258" s="51" t="s">
        <v>205</v>
      </c>
      <c r="Y258" s="125"/>
      <c r="AC258" s="126"/>
    </row>
    <row r="259" spans="1:32" ht="8.25" customHeight="1" x14ac:dyDescent="0.25">
      <c r="A259" s="51" t="s">
        <v>205</v>
      </c>
      <c r="AA259" s="75" t="s">
        <v>251</v>
      </c>
      <c r="AF259" s="76">
        <f>AF242</f>
        <v>138519.74</v>
      </c>
    </row>
    <row r="260" spans="1:32" ht="8.25" customHeight="1" x14ac:dyDescent="0.25">
      <c r="A260" s="51" t="s">
        <v>205</v>
      </c>
      <c r="R260" s="53">
        <v>14</v>
      </c>
      <c r="T260" s="33">
        <v>46036</v>
      </c>
      <c r="U260" s="34">
        <v>2026</v>
      </c>
      <c r="V260" s="35" t="s">
        <v>12</v>
      </c>
      <c r="X260" s="37" t="s">
        <v>476</v>
      </c>
      <c r="Y260" s="36" t="s">
        <v>477</v>
      </c>
      <c r="Z260" s="30" t="s">
        <v>478</v>
      </c>
      <c r="AA260" s="30" t="s">
        <v>92</v>
      </c>
      <c r="AE260" s="38">
        <v>2000</v>
      </c>
      <c r="AF260" s="76">
        <f t="shared" ref="AF260:AF261" si="24">AF259+AD260-AE260</f>
        <v>136519.74</v>
      </c>
    </row>
    <row r="261" spans="1:32" ht="8.25" customHeight="1" x14ac:dyDescent="0.25">
      <c r="A261" s="51" t="s">
        <v>205</v>
      </c>
      <c r="G261" s="53">
        <v>4</v>
      </c>
      <c r="T261" s="33">
        <v>46036</v>
      </c>
      <c r="U261" s="34">
        <v>2026</v>
      </c>
      <c r="V261" s="35" t="s">
        <v>12</v>
      </c>
      <c r="Y261" s="36" t="s">
        <v>479</v>
      </c>
      <c r="Z261" s="30" t="s">
        <v>480</v>
      </c>
      <c r="AA261" s="30" t="s">
        <v>3945</v>
      </c>
      <c r="AE261" s="38">
        <v>750.45</v>
      </c>
      <c r="AF261" s="76">
        <f t="shared" si="24"/>
        <v>135769.28999999998</v>
      </c>
    </row>
    <row r="262" spans="1:32" ht="8.25" customHeight="1" thickBot="1" x14ac:dyDescent="0.3">
      <c r="A262" s="51" t="s">
        <v>205</v>
      </c>
      <c r="AA262" s="75" t="s">
        <v>257</v>
      </c>
      <c r="AE262" s="91">
        <f>SUM(AE260:AE261)</f>
        <v>2750.45</v>
      </c>
      <c r="AF262" s="76">
        <f>AF259+AD262-AE262</f>
        <v>135769.28999999998</v>
      </c>
    </row>
    <row r="263" spans="1:32" ht="8.25" customHeight="1" thickTop="1" x14ac:dyDescent="0.25">
      <c r="A263" s="51" t="s">
        <v>205</v>
      </c>
      <c r="X263" s="109"/>
      <c r="Y263" s="67" t="s">
        <v>214</v>
      </c>
      <c r="Z263" s="68"/>
      <c r="AA263" s="75"/>
      <c r="AC263" s="160"/>
    </row>
    <row r="264" spans="1:32" ht="8.25" customHeight="1" x14ac:dyDescent="0.25">
      <c r="A264" s="51" t="s">
        <v>205</v>
      </c>
      <c r="X264" s="110" t="s">
        <v>430</v>
      </c>
      <c r="Y264" s="111">
        <v>200</v>
      </c>
      <c r="Z264" s="111">
        <f t="shared" ref="Z264:Z269" si="25">X264*Y264</f>
        <v>18000</v>
      </c>
      <c r="AA264" s="112"/>
      <c r="AC264" s="160"/>
    </row>
    <row r="265" spans="1:32" ht="8.25" customHeight="1" x14ac:dyDescent="0.25">
      <c r="A265" s="51" t="s">
        <v>205</v>
      </c>
      <c r="X265" s="110" t="s">
        <v>658</v>
      </c>
      <c r="Y265" s="111">
        <v>100</v>
      </c>
      <c r="Z265" s="111">
        <f t="shared" si="25"/>
        <v>111300</v>
      </c>
      <c r="AA265" s="112"/>
      <c r="AC265" s="160"/>
    </row>
    <row r="266" spans="1:32" ht="8.25" customHeight="1" x14ac:dyDescent="0.25">
      <c r="A266" s="51" t="s">
        <v>205</v>
      </c>
      <c r="X266" s="110" t="s">
        <v>474</v>
      </c>
      <c r="Y266" s="111">
        <v>50</v>
      </c>
      <c r="Z266" s="111">
        <f t="shared" si="25"/>
        <v>3800</v>
      </c>
      <c r="AA266" s="76"/>
      <c r="AC266" s="160"/>
    </row>
    <row r="267" spans="1:32" ht="8.25" customHeight="1" x14ac:dyDescent="0.25">
      <c r="A267" s="51" t="s">
        <v>205</v>
      </c>
      <c r="X267" s="110" t="s">
        <v>402</v>
      </c>
      <c r="Y267" s="111">
        <v>20</v>
      </c>
      <c r="Z267" s="111">
        <f t="shared" si="25"/>
        <v>100</v>
      </c>
      <c r="AA267" s="38"/>
      <c r="AC267" s="160"/>
    </row>
    <row r="268" spans="1:32" ht="8.25" customHeight="1" x14ac:dyDescent="0.25">
      <c r="A268" s="51" t="s">
        <v>205</v>
      </c>
      <c r="X268" s="110" t="s">
        <v>655</v>
      </c>
      <c r="Y268" s="111">
        <v>10</v>
      </c>
      <c r="Z268" s="111">
        <f t="shared" si="25"/>
        <v>480</v>
      </c>
      <c r="AA268" s="112"/>
      <c r="AC268" s="160"/>
    </row>
    <row r="269" spans="1:32" ht="8.25" customHeight="1" x14ac:dyDescent="0.25">
      <c r="A269" s="51" t="s">
        <v>205</v>
      </c>
      <c r="X269" s="110" t="s">
        <v>656</v>
      </c>
      <c r="Y269" s="111">
        <v>5</v>
      </c>
      <c r="Z269" s="111">
        <f t="shared" si="25"/>
        <v>1540</v>
      </c>
      <c r="AA269" s="112"/>
      <c r="AC269" s="160"/>
    </row>
    <row r="270" spans="1:32" ht="8.25" customHeight="1" x14ac:dyDescent="0.25">
      <c r="A270" s="51" t="s">
        <v>205</v>
      </c>
      <c r="X270" s="269"/>
      <c r="Y270" s="270"/>
      <c r="Z270" s="271"/>
      <c r="AA270" s="38"/>
      <c r="AC270" s="160"/>
    </row>
    <row r="271" spans="1:32" ht="8.25" customHeight="1" x14ac:dyDescent="0.25">
      <c r="A271" s="51" t="s">
        <v>205</v>
      </c>
      <c r="X271" s="110" t="s">
        <v>657</v>
      </c>
      <c r="Y271" s="111">
        <v>1</v>
      </c>
      <c r="Z271" s="111">
        <f t="shared" ref="Z271:Z276" si="26">X271*Y271</f>
        <v>504</v>
      </c>
      <c r="AA271" s="76"/>
      <c r="AC271" s="160"/>
    </row>
    <row r="272" spans="1:32" ht="8.25" customHeight="1" x14ac:dyDescent="0.25">
      <c r="A272" s="51" t="s">
        <v>205</v>
      </c>
      <c r="X272" s="110" t="s">
        <v>231</v>
      </c>
      <c r="Y272" s="111">
        <v>0.5</v>
      </c>
      <c r="Z272" s="111">
        <f t="shared" si="26"/>
        <v>23</v>
      </c>
      <c r="AA272" s="112"/>
      <c r="AC272" s="160"/>
    </row>
    <row r="273" spans="1:32" ht="8.25" customHeight="1" x14ac:dyDescent="0.25">
      <c r="A273" s="51" t="s">
        <v>205</v>
      </c>
      <c r="X273" s="110" t="s">
        <v>298</v>
      </c>
      <c r="Y273" s="111">
        <v>0.25</v>
      </c>
      <c r="Z273" s="111">
        <f t="shared" si="26"/>
        <v>22</v>
      </c>
      <c r="AA273" s="113"/>
      <c r="AC273" s="160"/>
    </row>
    <row r="274" spans="1:32" ht="8.25" customHeight="1" x14ac:dyDescent="0.25">
      <c r="A274" s="51" t="s">
        <v>205</v>
      </c>
      <c r="X274" s="110" t="s">
        <v>224</v>
      </c>
      <c r="Y274" s="111">
        <v>0.1</v>
      </c>
      <c r="Z274" s="111">
        <f t="shared" si="26"/>
        <v>0.2</v>
      </c>
      <c r="AA274" s="114" t="s">
        <v>219</v>
      </c>
      <c r="AC274" s="160"/>
    </row>
    <row r="275" spans="1:32" ht="8.25" customHeight="1" thickBot="1" x14ac:dyDescent="0.3">
      <c r="A275" s="51" t="s">
        <v>205</v>
      </c>
      <c r="X275" s="110" t="s">
        <v>222</v>
      </c>
      <c r="Y275" s="111">
        <v>0.05</v>
      </c>
      <c r="Z275" s="111">
        <f t="shared" si="26"/>
        <v>0.05</v>
      </c>
      <c r="AA275" s="115">
        <f>SUM(Z264:Z269)+Z271+Z272+Z273+Z274+Z275+Z276</f>
        <v>135769.29</v>
      </c>
      <c r="AC275" s="160"/>
    </row>
    <row r="276" spans="1:32" ht="8.25" customHeight="1" thickTop="1" x14ac:dyDescent="0.25">
      <c r="A276" s="51" t="s">
        <v>205</v>
      </c>
      <c r="X276" s="110" t="s">
        <v>299</v>
      </c>
      <c r="Y276" s="111">
        <v>0.01</v>
      </c>
      <c r="Z276" s="111">
        <f t="shared" si="26"/>
        <v>0.04</v>
      </c>
      <c r="AC276" s="160"/>
    </row>
    <row r="277" spans="1:32" ht="8.25" customHeight="1" x14ac:dyDescent="0.25">
      <c r="A277" s="51" t="s">
        <v>205</v>
      </c>
    </row>
    <row r="278" spans="1:32" ht="8.25" customHeight="1" x14ac:dyDescent="0.25">
      <c r="A278" s="51" t="s">
        <v>205</v>
      </c>
      <c r="AA278" s="75" t="s">
        <v>251</v>
      </c>
      <c r="AF278" s="76">
        <f>AF262+AD278-AE278</f>
        <v>135769.28999999998</v>
      </c>
    </row>
    <row r="279" spans="1:32" ht="8.25" customHeight="1" x14ac:dyDescent="0.25">
      <c r="A279" s="51" t="s">
        <v>205</v>
      </c>
      <c r="N279" s="52">
        <v>25</v>
      </c>
      <c r="T279" s="33">
        <v>46037</v>
      </c>
      <c r="U279" s="34">
        <v>2026</v>
      </c>
      <c r="V279" s="35" t="s">
        <v>12</v>
      </c>
      <c r="X279" s="37" t="s">
        <v>482</v>
      </c>
      <c r="Y279" s="36" t="s">
        <v>483</v>
      </c>
      <c r="Z279" s="30" t="s">
        <v>484</v>
      </c>
      <c r="AA279" s="30" t="s">
        <v>3899</v>
      </c>
      <c r="AD279" s="38">
        <v>6503.36</v>
      </c>
      <c r="AF279" s="76">
        <f t="shared" ref="AF279:AF282" si="27">AF278+AD279-AE279</f>
        <v>142272.64999999997</v>
      </c>
    </row>
    <row r="280" spans="1:32" ht="8.25" customHeight="1" x14ac:dyDescent="0.15">
      <c r="A280" s="51" t="s">
        <v>205</v>
      </c>
      <c r="N280" s="52">
        <v>25</v>
      </c>
      <c r="T280" s="33">
        <v>46037</v>
      </c>
      <c r="U280" s="34">
        <v>2026</v>
      </c>
      <c r="V280" s="35" t="s">
        <v>12</v>
      </c>
      <c r="X280" s="37" t="s">
        <v>482</v>
      </c>
      <c r="Y280" s="36" t="s">
        <v>483</v>
      </c>
      <c r="Z280" s="30" t="s">
        <v>484</v>
      </c>
      <c r="AA280" s="134" t="s">
        <v>166</v>
      </c>
      <c r="AD280" s="38">
        <v>5896.64</v>
      </c>
      <c r="AF280" s="76">
        <f t="shared" si="27"/>
        <v>148169.28999999998</v>
      </c>
    </row>
    <row r="281" spans="1:32" ht="8.25" customHeight="1" x14ac:dyDescent="0.25">
      <c r="A281" s="51" t="s">
        <v>205</v>
      </c>
      <c r="N281" s="52">
        <v>26</v>
      </c>
      <c r="T281" s="33">
        <v>46037</v>
      </c>
      <c r="U281" s="34">
        <v>2026</v>
      </c>
      <c r="V281" s="35" t="s">
        <v>12</v>
      </c>
      <c r="X281" s="37" t="s">
        <v>485</v>
      </c>
      <c r="Y281" s="36" t="s">
        <v>486</v>
      </c>
      <c r="Z281" s="30" t="s">
        <v>487</v>
      </c>
      <c r="AA281" s="30" t="s">
        <v>3899</v>
      </c>
      <c r="AD281" s="38">
        <v>3841.1</v>
      </c>
      <c r="AF281" s="76">
        <f t="shared" si="27"/>
        <v>152010.38999999998</v>
      </c>
    </row>
    <row r="282" spans="1:32" ht="8.25" customHeight="1" x14ac:dyDescent="0.15">
      <c r="A282" s="51" t="s">
        <v>205</v>
      </c>
      <c r="N282" s="52">
        <v>26</v>
      </c>
      <c r="T282" s="33">
        <v>46037</v>
      </c>
      <c r="U282" s="34">
        <v>2026</v>
      </c>
      <c r="V282" s="35" t="s">
        <v>12</v>
      </c>
      <c r="X282" s="37" t="s">
        <v>485</v>
      </c>
      <c r="Y282" s="36" t="s">
        <v>486</v>
      </c>
      <c r="Z282" s="30" t="s">
        <v>487</v>
      </c>
      <c r="AA282" s="134" t="s">
        <v>166</v>
      </c>
      <c r="AD282" s="38">
        <v>3158.9</v>
      </c>
      <c r="AF282" s="76">
        <f t="shared" si="27"/>
        <v>155169.28999999998</v>
      </c>
    </row>
    <row r="283" spans="1:32" ht="8.25" customHeight="1" thickBot="1" x14ac:dyDescent="0.3">
      <c r="A283" s="51" t="s">
        <v>205</v>
      </c>
      <c r="AA283" s="75" t="s">
        <v>257</v>
      </c>
      <c r="AD283" s="91">
        <f>SUM(AD279:AD282)</f>
        <v>19400</v>
      </c>
      <c r="AE283" s="91">
        <f>SUM(AE279:AE282)</f>
        <v>0</v>
      </c>
      <c r="AF283" s="76">
        <f>AF278+AD283-AE283</f>
        <v>155169.28999999998</v>
      </c>
    </row>
    <row r="284" spans="1:32" ht="8.25" customHeight="1" thickTop="1" x14ac:dyDescent="0.25">
      <c r="A284" s="51" t="s">
        <v>205</v>
      </c>
    </row>
    <row r="285" spans="1:32" ht="8.25" customHeight="1" x14ac:dyDescent="0.25">
      <c r="A285" s="51" t="s">
        <v>205</v>
      </c>
      <c r="X285" s="109"/>
      <c r="Y285" s="67" t="s">
        <v>214</v>
      </c>
      <c r="Z285" s="68"/>
      <c r="AA285" s="75"/>
    </row>
    <row r="286" spans="1:32" ht="8.25" customHeight="1" x14ac:dyDescent="0.25">
      <c r="A286" s="51" t="s">
        <v>205</v>
      </c>
      <c r="X286" s="110" t="s">
        <v>488</v>
      </c>
      <c r="Y286" s="111">
        <v>200</v>
      </c>
      <c r="Z286" s="111">
        <f t="shared" ref="Z286:Z291" si="28">X286*Y286</f>
        <v>20400</v>
      </c>
      <c r="AA286" s="112"/>
    </row>
    <row r="287" spans="1:32" ht="8.25" customHeight="1" x14ac:dyDescent="0.25">
      <c r="A287" s="51" t="s">
        <v>205</v>
      </c>
      <c r="X287" s="110" t="s">
        <v>659</v>
      </c>
      <c r="Y287" s="111">
        <v>100</v>
      </c>
      <c r="Z287" s="111">
        <f t="shared" si="28"/>
        <v>128400</v>
      </c>
      <c r="AA287" s="112"/>
    </row>
    <row r="288" spans="1:32" ht="8.25" customHeight="1" x14ac:dyDescent="0.25">
      <c r="A288" s="51" t="s">
        <v>205</v>
      </c>
      <c r="X288" s="110" t="s">
        <v>481</v>
      </c>
      <c r="Y288" s="111">
        <v>50</v>
      </c>
      <c r="Z288" s="111">
        <f t="shared" si="28"/>
        <v>3750</v>
      </c>
      <c r="AA288" s="76"/>
    </row>
    <row r="289" spans="1:32" ht="8.25" customHeight="1" x14ac:dyDescent="0.25">
      <c r="A289" s="51" t="s">
        <v>205</v>
      </c>
      <c r="X289" s="110" t="s">
        <v>299</v>
      </c>
      <c r="Y289" s="111">
        <v>20</v>
      </c>
      <c r="Z289" s="111">
        <f t="shared" si="28"/>
        <v>80</v>
      </c>
      <c r="AA289" s="38"/>
    </row>
    <row r="290" spans="1:32" ht="8.25" customHeight="1" x14ac:dyDescent="0.25">
      <c r="A290" s="51" t="s">
        <v>205</v>
      </c>
      <c r="X290" s="110" t="s">
        <v>231</v>
      </c>
      <c r="Y290" s="111">
        <v>10</v>
      </c>
      <c r="Z290" s="111">
        <f t="shared" si="28"/>
        <v>460</v>
      </c>
      <c r="AA290" s="112"/>
    </row>
    <row r="291" spans="1:32" ht="8.25" customHeight="1" x14ac:dyDescent="0.25">
      <c r="A291" s="51" t="s">
        <v>205</v>
      </c>
      <c r="X291" s="110" t="s">
        <v>660</v>
      </c>
      <c r="Y291" s="111">
        <v>5</v>
      </c>
      <c r="Z291" s="111">
        <f t="shared" si="28"/>
        <v>1530</v>
      </c>
      <c r="AA291" s="112"/>
    </row>
    <row r="292" spans="1:32" ht="8.25" customHeight="1" x14ac:dyDescent="0.25">
      <c r="A292" s="51" t="s">
        <v>205</v>
      </c>
      <c r="X292" s="269">
        <v>0</v>
      </c>
      <c r="Y292" s="270"/>
      <c r="Z292" s="271"/>
      <c r="AA292" s="38"/>
    </row>
    <row r="293" spans="1:32" ht="8.25" customHeight="1" x14ac:dyDescent="0.25">
      <c r="A293" s="51" t="s">
        <v>205</v>
      </c>
      <c r="X293" s="110" t="s">
        <v>657</v>
      </c>
      <c r="Y293" s="111">
        <v>1</v>
      </c>
      <c r="Z293" s="111">
        <f t="shared" ref="Z293:Z298" si="29">X293*Y293</f>
        <v>504</v>
      </c>
      <c r="AA293" s="76"/>
    </row>
    <row r="294" spans="1:32" ht="8.25" customHeight="1" x14ac:dyDescent="0.25">
      <c r="A294" s="51" t="s">
        <v>205</v>
      </c>
      <c r="X294" s="110" t="s">
        <v>231</v>
      </c>
      <c r="Y294" s="111">
        <v>0.5</v>
      </c>
      <c r="Z294" s="111">
        <f t="shared" si="29"/>
        <v>23</v>
      </c>
      <c r="AA294" s="112"/>
    </row>
    <row r="295" spans="1:32" ht="8.25" customHeight="1" x14ac:dyDescent="0.25">
      <c r="A295" s="51" t="s">
        <v>205</v>
      </c>
      <c r="X295" s="110" t="s">
        <v>298</v>
      </c>
      <c r="Y295" s="111">
        <v>0.25</v>
      </c>
      <c r="Z295" s="111">
        <f t="shared" si="29"/>
        <v>22</v>
      </c>
      <c r="AA295" s="113"/>
    </row>
    <row r="296" spans="1:32" ht="8.25" customHeight="1" x14ac:dyDescent="0.25">
      <c r="A296" s="51" t="s">
        <v>205</v>
      </c>
      <c r="X296" s="110" t="s">
        <v>224</v>
      </c>
      <c r="Y296" s="111">
        <v>0.1</v>
      </c>
      <c r="Z296" s="111">
        <f t="shared" si="29"/>
        <v>0.2</v>
      </c>
      <c r="AA296" s="114" t="s">
        <v>219</v>
      </c>
    </row>
    <row r="297" spans="1:32" ht="8.25" customHeight="1" thickBot="1" x14ac:dyDescent="0.3">
      <c r="A297" s="51" t="s">
        <v>205</v>
      </c>
      <c r="X297" s="110" t="s">
        <v>222</v>
      </c>
      <c r="Y297" s="111">
        <v>0.05</v>
      </c>
      <c r="Z297" s="111">
        <f t="shared" si="29"/>
        <v>0.05</v>
      </c>
      <c r="AA297" s="115">
        <f>SUM(Z286:Z291)+Z293+Z294+Z295+Z296+Z297+Z298</f>
        <v>155169.29</v>
      </c>
    </row>
    <row r="298" spans="1:32" ht="8.25" customHeight="1" thickTop="1" x14ac:dyDescent="0.25">
      <c r="A298" s="51" t="s">
        <v>205</v>
      </c>
      <c r="X298" s="110" t="s">
        <v>299</v>
      </c>
      <c r="Y298" s="111">
        <v>0.01</v>
      </c>
      <c r="Z298" s="111">
        <f t="shared" si="29"/>
        <v>0.04</v>
      </c>
    </row>
    <row r="299" spans="1:32" ht="8.25" customHeight="1" x14ac:dyDescent="0.25">
      <c r="A299" s="51" t="s">
        <v>205</v>
      </c>
      <c r="AA299" s="75" t="s">
        <v>251</v>
      </c>
      <c r="AF299" s="76">
        <f>AF283</f>
        <v>155169.28999999998</v>
      </c>
    </row>
    <row r="300" spans="1:32" ht="8.25" customHeight="1" x14ac:dyDescent="0.25">
      <c r="A300" s="51" t="s">
        <v>205</v>
      </c>
      <c r="I300" s="52">
        <v>12</v>
      </c>
      <c r="T300" s="33">
        <v>46038</v>
      </c>
      <c r="U300" s="34">
        <v>2026</v>
      </c>
      <c r="V300" s="35" t="s">
        <v>12</v>
      </c>
      <c r="X300" s="37" t="s">
        <v>490</v>
      </c>
      <c r="Y300" s="36" t="s">
        <v>491</v>
      </c>
      <c r="Z300" s="30" t="s">
        <v>492</v>
      </c>
      <c r="AA300" s="30" t="s">
        <v>13</v>
      </c>
      <c r="AD300" s="38">
        <v>500</v>
      </c>
      <c r="AF300" s="76">
        <f t="shared" ref="AF300:AF315" si="30">AF299+AD300-AE300</f>
        <v>155669.28999999998</v>
      </c>
    </row>
    <row r="301" spans="1:32" ht="8.25" customHeight="1" x14ac:dyDescent="0.25">
      <c r="A301" s="51" t="s">
        <v>205</v>
      </c>
      <c r="N301" s="52">
        <v>27</v>
      </c>
      <c r="T301" s="33">
        <v>46038</v>
      </c>
      <c r="U301" s="34">
        <v>2026</v>
      </c>
      <c r="V301" s="35" t="s">
        <v>12</v>
      </c>
      <c r="X301" s="37" t="s">
        <v>493</v>
      </c>
      <c r="Y301" s="36" t="s">
        <v>494</v>
      </c>
      <c r="Z301" s="30" t="s">
        <v>495</v>
      </c>
      <c r="AA301" s="30" t="s">
        <v>3899</v>
      </c>
      <c r="AD301" s="38">
        <v>6245.72</v>
      </c>
      <c r="AF301" s="76">
        <f t="shared" si="30"/>
        <v>161915.00999999998</v>
      </c>
    </row>
    <row r="302" spans="1:32" ht="8.25" customHeight="1" x14ac:dyDescent="0.15">
      <c r="A302" s="51" t="s">
        <v>205</v>
      </c>
      <c r="N302" s="52">
        <v>27</v>
      </c>
      <c r="T302" s="33">
        <v>46038</v>
      </c>
      <c r="U302" s="34">
        <v>2026</v>
      </c>
      <c r="V302" s="35" t="s">
        <v>12</v>
      </c>
      <c r="X302" s="37" t="s">
        <v>493</v>
      </c>
      <c r="Y302" s="36" t="s">
        <v>494</v>
      </c>
      <c r="Z302" s="30" t="s">
        <v>495</v>
      </c>
      <c r="AA302" s="134" t="s">
        <v>166</v>
      </c>
      <c r="AD302" s="38">
        <v>4754.28</v>
      </c>
      <c r="AF302" s="76">
        <f t="shared" si="30"/>
        <v>166669.28999999998</v>
      </c>
    </row>
    <row r="303" spans="1:32" ht="8.25" customHeight="1" x14ac:dyDescent="0.25">
      <c r="A303" s="51" t="s">
        <v>205</v>
      </c>
      <c r="N303" s="52">
        <v>28</v>
      </c>
      <c r="T303" s="33">
        <v>46038</v>
      </c>
      <c r="U303" s="34">
        <v>2026</v>
      </c>
      <c r="V303" s="35" t="s">
        <v>12</v>
      </c>
      <c r="X303" s="35" t="s">
        <v>503</v>
      </c>
      <c r="Y303" s="36" t="s">
        <v>504</v>
      </c>
      <c r="Z303" s="30" t="s">
        <v>505</v>
      </c>
      <c r="AA303" s="30" t="s">
        <v>3899</v>
      </c>
      <c r="AD303" s="38">
        <v>5446.38</v>
      </c>
      <c r="AF303" s="76">
        <f t="shared" si="30"/>
        <v>172115.66999999998</v>
      </c>
    </row>
    <row r="304" spans="1:32" ht="8.25" customHeight="1" x14ac:dyDescent="0.15">
      <c r="A304" s="51" t="s">
        <v>205</v>
      </c>
      <c r="N304" s="52">
        <v>28</v>
      </c>
      <c r="T304" s="33">
        <v>46038</v>
      </c>
      <c r="U304" s="34">
        <v>2026</v>
      </c>
      <c r="V304" s="35" t="s">
        <v>12</v>
      </c>
      <c r="X304" s="35" t="s">
        <v>503</v>
      </c>
      <c r="Y304" s="36" t="s">
        <v>504</v>
      </c>
      <c r="Z304" s="30" t="s">
        <v>505</v>
      </c>
      <c r="AA304" s="134" t="s">
        <v>166</v>
      </c>
      <c r="AD304" s="38">
        <v>5053.62</v>
      </c>
      <c r="AF304" s="76">
        <f t="shared" si="30"/>
        <v>177169.28999999998</v>
      </c>
    </row>
    <row r="305" spans="1:32" ht="8.25" customHeight="1" x14ac:dyDescent="0.25">
      <c r="A305" s="51" t="s">
        <v>205</v>
      </c>
      <c r="N305" s="52">
        <v>29</v>
      </c>
      <c r="T305" s="33">
        <v>46038</v>
      </c>
      <c r="U305" s="34">
        <v>2026</v>
      </c>
      <c r="V305" s="35" t="s">
        <v>12</v>
      </c>
      <c r="X305" s="37" t="s">
        <v>506</v>
      </c>
      <c r="Y305" s="36" t="s">
        <v>507</v>
      </c>
      <c r="Z305" s="30" t="s">
        <v>508</v>
      </c>
      <c r="AA305" s="30" t="s">
        <v>3899</v>
      </c>
      <c r="AD305" s="38">
        <v>5911.61</v>
      </c>
      <c r="AF305" s="76">
        <f t="shared" si="30"/>
        <v>183080.89999999997</v>
      </c>
    </row>
    <row r="306" spans="1:32" ht="8.25" customHeight="1" x14ac:dyDescent="0.15">
      <c r="A306" s="51" t="s">
        <v>205</v>
      </c>
      <c r="N306" s="52">
        <v>29</v>
      </c>
      <c r="T306" s="33">
        <v>46038</v>
      </c>
      <c r="U306" s="34">
        <v>2026</v>
      </c>
      <c r="V306" s="35" t="s">
        <v>12</v>
      </c>
      <c r="X306" s="37" t="s">
        <v>506</v>
      </c>
      <c r="Y306" s="36" t="s">
        <v>507</v>
      </c>
      <c r="Z306" s="30" t="s">
        <v>508</v>
      </c>
      <c r="AA306" s="134" t="s">
        <v>166</v>
      </c>
      <c r="AD306" s="38">
        <v>8088.39</v>
      </c>
      <c r="AF306" s="76">
        <f t="shared" si="30"/>
        <v>191169.28999999998</v>
      </c>
    </row>
    <row r="307" spans="1:32" ht="8.25" customHeight="1" x14ac:dyDescent="0.25">
      <c r="A307" s="51" t="s">
        <v>205</v>
      </c>
      <c r="I307" s="52">
        <v>13</v>
      </c>
      <c r="T307" s="33">
        <v>46038</v>
      </c>
      <c r="U307" s="34">
        <v>2026</v>
      </c>
      <c r="V307" s="35" t="s">
        <v>12</v>
      </c>
      <c r="X307" s="37" t="s">
        <v>509</v>
      </c>
      <c r="Y307" s="36" t="s">
        <v>376</v>
      </c>
      <c r="Z307" s="30" t="s">
        <v>372</v>
      </c>
      <c r="AA307" s="30" t="s">
        <v>13</v>
      </c>
      <c r="AD307" s="38">
        <v>7317.73</v>
      </c>
      <c r="AF307" s="76">
        <f t="shared" si="30"/>
        <v>198487.02</v>
      </c>
    </row>
    <row r="308" spans="1:32" ht="8.25" customHeight="1" x14ac:dyDescent="0.25">
      <c r="A308" s="51" t="s">
        <v>205</v>
      </c>
      <c r="M308" s="52">
        <v>4</v>
      </c>
      <c r="T308" s="33">
        <v>46038</v>
      </c>
      <c r="U308" s="34">
        <v>2026</v>
      </c>
      <c r="V308" s="35" t="s">
        <v>12</v>
      </c>
      <c r="X308" s="37" t="s">
        <v>510</v>
      </c>
      <c r="Y308" s="36" t="s">
        <v>120</v>
      </c>
      <c r="Z308" s="30" t="s">
        <v>372</v>
      </c>
      <c r="AA308" s="30" t="s">
        <v>385</v>
      </c>
      <c r="AD308" s="38">
        <v>2954.55</v>
      </c>
      <c r="AF308" s="76">
        <f t="shared" si="30"/>
        <v>201441.56999999998</v>
      </c>
    </row>
    <row r="309" spans="1:32" ht="8.25" customHeight="1" x14ac:dyDescent="0.25">
      <c r="A309" s="51" t="s">
        <v>205</v>
      </c>
      <c r="D309" s="52">
        <v>10</v>
      </c>
      <c r="T309" s="33">
        <v>46038</v>
      </c>
      <c r="U309" s="34">
        <v>2026</v>
      </c>
      <c r="V309" s="35" t="s">
        <v>12</v>
      </c>
      <c r="Y309" s="36" t="s">
        <v>496</v>
      </c>
      <c r="Z309" s="30" t="s">
        <v>497</v>
      </c>
      <c r="AA309" s="30" t="s">
        <v>256</v>
      </c>
      <c r="AD309" s="38">
        <v>150</v>
      </c>
      <c r="AF309" s="76">
        <f t="shared" si="30"/>
        <v>201591.56999999998</v>
      </c>
    </row>
    <row r="310" spans="1:32" ht="8.25" customHeight="1" x14ac:dyDescent="0.25">
      <c r="A310" s="51" t="s">
        <v>205</v>
      </c>
      <c r="D310" s="52">
        <v>11</v>
      </c>
      <c r="T310" s="33">
        <v>46038</v>
      </c>
      <c r="U310" s="34">
        <v>2026</v>
      </c>
      <c r="V310" s="35" t="s">
        <v>12</v>
      </c>
      <c r="Y310" s="36" t="s">
        <v>498</v>
      </c>
      <c r="Z310" s="30" t="s">
        <v>499</v>
      </c>
      <c r="AA310" s="30" t="s">
        <v>256</v>
      </c>
      <c r="AD310" s="38">
        <v>5000</v>
      </c>
      <c r="AF310" s="76">
        <f t="shared" si="30"/>
        <v>206591.56999999998</v>
      </c>
    </row>
    <row r="311" spans="1:32" ht="8.25" customHeight="1" x14ac:dyDescent="0.25">
      <c r="A311" s="51" t="s">
        <v>205</v>
      </c>
      <c r="R311" s="53">
        <v>15</v>
      </c>
      <c r="T311" s="33">
        <v>46038</v>
      </c>
      <c r="U311" s="34">
        <v>2026</v>
      </c>
      <c r="V311" s="35" t="s">
        <v>12</v>
      </c>
      <c r="X311" s="37" t="s">
        <v>512</v>
      </c>
      <c r="Y311" s="36" t="s">
        <v>511</v>
      </c>
      <c r="Z311" s="30" t="s">
        <v>513</v>
      </c>
      <c r="AA311" s="30" t="s">
        <v>92</v>
      </c>
      <c r="AE311" s="38">
        <v>1000</v>
      </c>
      <c r="AF311" s="76">
        <f t="shared" si="30"/>
        <v>205591.56999999998</v>
      </c>
    </row>
    <row r="312" spans="1:32" ht="8.25" customHeight="1" x14ac:dyDescent="0.25">
      <c r="A312" s="51" t="s">
        <v>205</v>
      </c>
      <c r="R312" s="53">
        <v>16</v>
      </c>
      <c r="T312" s="33">
        <v>46038</v>
      </c>
      <c r="U312" s="34">
        <v>2026</v>
      </c>
      <c r="V312" s="35" t="s">
        <v>12</v>
      </c>
      <c r="X312" s="37" t="s">
        <v>514</v>
      </c>
      <c r="Z312" s="30" t="s">
        <v>16</v>
      </c>
      <c r="AA312" s="30" t="s">
        <v>167</v>
      </c>
      <c r="AE312" s="38">
        <v>1820</v>
      </c>
      <c r="AF312" s="76">
        <f t="shared" si="30"/>
        <v>203771.56999999998</v>
      </c>
    </row>
    <row r="313" spans="1:32" ht="8.25" customHeight="1" x14ac:dyDescent="0.25">
      <c r="A313" s="51" t="s">
        <v>205</v>
      </c>
      <c r="G313" s="53">
        <v>5</v>
      </c>
      <c r="T313" s="33">
        <v>46038</v>
      </c>
      <c r="U313" s="34">
        <v>2026</v>
      </c>
      <c r="V313" s="35" t="s">
        <v>12</v>
      </c>
      <c r="Y313" s="36" t="s">
        <v>500</v>
      </c>
      <c r="Z313" s="30" t="s">
        <v>492</v>
      </c>
      <c r="AA313" s="30" t="s">
        <v>3945</v>
      </c>
      <c r="AE313" s="38">
        <v>16918</v>
      </c>
      <c r="AF313" s="76">
        <f t="shared" si="30"/>
        <v>186853.56999999998</v>
      </c>
    </row>
    <row r="314" spans="1:32" ht="8.25" customHeight="1" x14ac:dyDescent="0.25">
      <c r="A314" s="51" t="s">
        <v>205</v>
      </c>
      <c r="G314" s="53">
        <v>6</v>
      </c>
      <c r="T314" s="33">
        <v>46038</v>
      </c>
      <c r="U314" s="34">
        <v>2026</v>
      </c>
      <c r="V314" s="35" t="s">
        <v>12</v>
      </c>
      <c r="Y314" s="36" t="s">
        <v>502</v>
      </c>
      <c r="Z314" s="30" t="s">
        <v>501</v>
      </c>
      <c r="AA314" s="30" t="s">
        <v>3945</v>
      </c>
      <c r="AE314" s="38">
        <v>3072</v>
      </c>
      <c r="AF314" s="76">
        <f t="shared" si="30"/>
        <v>183781.56999999998</v>
      </c>
    </row>
    <row r="315" spans="1:32" ht="8.25" customHeight="1" x14ac:dyDescent="0.25">
      <c r="A315" s="51" t="s">
        <v>205</v>
      </c>
      <c r="G315" s="53">
        <v>7</v>
      </c>
      <c r="T315" s="33">
        <v>46038</v>
      </c>
      <c r="U315" s="34">
        <v>2026</v>
      </c>
      <c r="V315" s="35" t="s">
        <v>12</v>
      </c>
      <c r="Y315" s="36" t="s">
        <v>515</v>
      </c>
      <c r="Z315" s="30" t="s">
        <v>344</v>
      </c>
      <c r="AA315" s="30" t="s">
        <v>3945</v>
      </c>
      <c r="AE315" s="38">
        <v>776</v>
      </c>
      <c r="AF315" s="76">
        <f t="shared" si="30"/>
        <v>183005.56999999998</v>
      </c>
    </row>
    <row r="316" spans="1:32" ht="8.25" customHeight="1" thickBot="1" x14ac:dyDescent="0.3">
      <c r="A316" s="51" t="s">
        <v>205</v>
      </c>
      <c r="AA316" s="75" t="s">
        <v>257</v>
      </c>
      <c r="AD316" s="91">
        <f>SUM(AD300:AD315)</f>
        <v>51422.28</v>
      </c>
      <c r="AE316" s="91">
        <f>SUM(AE311:AE315)</f>
        <v>23586</v>
      </c>
      <c r="AF316" s="76">
        <f>AF299+AD316-AE316</f>
        <v>183005.56999999998</v>
      </c>
    </row>
    <row r="317" spans="1:32" ht="8.25" customHeight="1" thickTop="1" x14ac:dyDescent="0.25">
      <c r="A317" s="51" t="s">
        <v>205</v>
      </c>
    </row>
    <row r="318" spans="1:32" ht="8.25" customHeight="1" x14ac:dyDescent="0.25">
      <c r="A318" s="51" t="s">
        <v>205</v>
      </c>
      <c r="X318" s="109"/>
      <c r="Y318" s="67" t="s">
        <v>214</v>
      </c>
      <c r="Z318" s="68"/>
      <c r="AA318" s="75"/>
    </row>
    <row r="319" spans="1:32" ht="8.25" customHeight="1" x14ac:dyDescent="0.25">
      <c r="A319" s="51" t="s">
        <v>205</v>
      </c>
      <c r="X319" s="110" t="s">
        <v>516</v>
      </c>
      <c r="Y319" s="111">
        <v>200</v>
      </c>
      <c r="Z319" s="111">
        <f t="shared" ref="Z319:Z324" si="31">X319*Y319</f>
        <v>21000</v>
      </c>
      <c r="AA319" s="112"/>
    </row>
    <row r="320" spans="1:32" ht="8.25" customHeight="1" x14ac:dyDescent="0.25">
      <c r="A320" s="51" t="s">
        <v>205</v>
      </c>
      <c r="X320" s="110" t="s">
        <v>661</v>
      </c>
      <c r="Y320" s="111">
        <v>100</v>
      </c>
      <c r="Z320" s="111">
        <f t="shared" si="31"/>
        <v>156400</v>
      </c>
      <c r="AA320" s="112"/>
    </row>
    <row r="321" spans="1:32" ht="8.25" customHeight="1" x14ac:dyDescent="0.25">
      <c r="A321" s="51" t="s">
        <v>205</v>
      </c>
      <c r="X321" s="110" t="s">
        <v>517</v>
      </c>
      <c r="Y321" s="111">
        <v>50</v>
      </c>
      <c r="Z321" s="111">
        <f t="shared" si="31"/>
        <v>3350</v>
      </c>
      <c r="AA321" s="76"/>
    </row>
    <row r="322" spans="1:32" ht="8.25" customHeight="1" x14ac:dyDescent="0.25">
      <c r="A322" s="51" t="s">
        <v>205</v>
      </c>
      <c r="X322" s="110" t="s">
        <v>120</v>
      </c>
      <c r="Y322" s="111">
        <v>20</v>
      </c>
      <c r="Z322" s="111">
        <f t="shared" si="31"/>
        <v>0</v>
      </c>
      <c r="AA322" s="38"/>
    </row>
    <row r="323" spans="1:32" ht="8.25" customHeight="1" x14ac:dyDescent="0.25">
      <c r="A323" s="51" t="s">
        <v>205</v>
      </c>
      <c r="X323" s="110" t="s">
        <v>662</v>
      </c>
      <c r="Y323" s="111">
        <v>10</v>
      </c>
      <c r="Z323" s="111">
        <f t="shared" si="31"/>
        <v>210</v>
      </c>
      <c r="AA323" s="112"/>
    </row>
    <row r="324" spans="1:32" ht="8.25" customHeight="1" x14ac:dyDescent="0.25">
      <c r="A324" s="51" t="s">
        <v>205</v>
      </c>
      <c r="X324" s="110" t="s">
        <v>357</v>
      </c>
      <c r="Y324" s="111">
        <v>5</v>
      </c>
      <c r="Z324" s="111">
        <f t="shared" si="31"/>
        <v>1505</v>
      </c>
      <c r="AA324" s="112"/>
    </row>
    <row r="325" spans="1:32" ht="8.25" customHeight="1" x14ac:dyDescent="0.25">
      <c r="A325" s="51" t="s">
        <v>205</v>
      </c>
      <c r="X325" s="269">
        <v>0</v>
      </c>
      <c r="Y325" s="270"/>
      <c r="Z325" s="271"/>
      <c r="AA325" s="38"/>
    </row>
    <row r="326" spans="1:32" ht="8.25" customHeight="1" x14ac:dyDescent="0.25">
      <c r="A326" s="51" t="s">
        <v>205</v>
      </c>
      <c r="X326" s="110" t="s">
        <v>663</v>
      </c>
      <c r="Y326" s="111">
        <v>1</v>
      </c>
      <c r="Z326" s="111">
        <f t="shared" ref="Z326:Z331" si="32">X326*Y326</f>
        <v>496</v>
      </c>
      <c r="AA326" s="76"/>
    </row>
    <row r="327" spans="1:32" ht="8.25" customHeight="1" x14ac:dyDescent="0.25">
      <c r="A327" s="51" t="s">
        <v>205</v>
      </c>
      <c r="X327" s="110" t="s">
        <v>231</v>
      </c>
      <c r="Y327" s="111">
        <v>0.5</v>
      </c>
      <c r="Z327" s="111">
        <f t="shared" si="32"/>
        <v>23</v>
      </c>
      <c r="AA327" s="112"/>
    </row>
    <row r="328" spans="1:32" ht="8.25" customHeight="1" x14ac:dyDescent="0.25">
      <c r="A328" s="51" t="s">
        <v>205</v>
      </c>
      <c r="X328" s="110" t="s">
        <v>356</v>
      </c>
      <c r="Y328" s="111">
        <v>0.25</v>
      </c>
      <c r="Z328" s="111">
        <f t="shared" si="32"/>
        <v>21.5</v>
      </c>
      <c r="AA328" s="113"/>
    </row>
    <row r="329" spans="1:32" ht="8.25" customHeight="1" x14ac:dyDescent="0.25">
      <c r="A329" s="51" t="s">
        <v>205</v>
      </c>
      <c r="X329" s="110"/>
      <c r="Y329" s="111">
        <v>0.1</v>
      </c>
      <c r="Z329" s="111">
        <f t="shared" si="32"/>
        <v>0</v>
      </c>
      <c r="AA329" s="114" t="s">
        <v>219</v>
      </c>
    </row>
    <row r="330" spans="1:32" ht="8.25" customHeight="1" thickBot="1" x14ac:dyDescent="0.3">
      <c r="A330" s="51" t="s">
        <v>205</v>
      </c>
      <c r="X330" s="110" t="s">
        <v>222</v>
      </c>
      <c r="Y330" s="111">
        <v>0.05</v>
      </c>
      <c r="Z330" s="111">
        <f t="shared" si="32"/>
        <v>0.05</v>
      </c>
      <c r="AA330" s="115">
        <f>SUM(Z319:Z324)+Z326+Z327+Z328+Z329+Z330+Z331</f>
        <v>183005.56999999998</v>
      </c>
    </row>
    <row r="331" spans="1:32" ht="8.25" customHeight="1" thickTop="1" x14ac:dyDescent="0.25">
      <c r="A331" s="51" t="s">
        <v>205</v>
      </c>
      <c r="X331" s="110" t="s">
        <v>224</v>
      </c>
      <c r="Y331" s="111">
        <v>0.01</v>
      </c>
      <c r="Z331" s="111">
        <f t="shared" si="32"/>
        <v>0.02</v>
      </c>
    </row>
    <row r="332" spans="1:32" ht="8.25" customHeight="1" x14ac:dyDescent="0.25">
      <c r="A332" s="51" t="s">
        <v>205</v>
      </c>
    </row>
    <row r="333" spans="1:32" ht="8.25" customHeight="1" x14ac:dyDescent="0.25">
      <c r="A333" s="51" t="s">
        <v>205</v>
      </c>
      <c r="AA333" s="75" t="s">
        <v>251</v>
      </c>
      <c r="AF333" s="76">
        <f>AF316</f>
        <v>183005.56999999998</v>
      </c>
    </row>
    <row r="334" spans="1:32" ht="8.25" customHeight="1" x14ac:dyDescent="0.15">
      <c r="A334" s="51" t="s">
        <v>205</v>
      </c>
      <c r="K334" s="52">
        <v>6</v>
      </c>
      <c r="T334" s="33">
        <v>46039</v>
      </c>
      <c r="U334" s="34">
        <v>2026</v>
      </c>
      <c r="V334" s="35" t="s">
        <v>12</v>
      </c>
      <c r="X334" s="37" t="s">
        <v>518</v>
      </c>
      <c r="Y334" s="36" t="s">
        <v>519</v>
      </c>
      <c r="Z334" s="30" t="s">
        <v>520</v>
      </c>
      <c r="AA334" s="136" t="s">
        <v>1787</v>
      </c>
      <c r="AD334" s="38">
        <v>100</v>
      </c>
      <c r="AF334" s="76">
        <f t="shared" ref="AF334:AF347" si="33">AF333+AD334-AE334</f>
        <v>183105.56999999998</v>
      </c>
    </row>
    <row r="335" spans="1:32" ht="8.25" customHeight="1" x14ac:dyDescent="0.25">
      <c r="A335" s="51" t="s">
        <v>205</v>
      </c>
      <c r="L335" s="52">
        <v>6</v>
      </c>
      <c r="T335" s="33">
        <v>46039</v>
      </c>
      <c r="U335" s="34">
        <v>2026</v>
      </c>
      <c r="V335" s="35" t="s">
        <v>12</v>
      </c>
      <c r="X335" s="37" t="s">
        <v>521</v>
      </c>
      <c r="Y335" s="36" t="s">
        <v>519</v>
      </c>
      <c r="Z335" s="30" t="s">
        <v>520</v>
      </c>
      <c r="AA335" s="30" t="s">
        <v>373</v>
      </c>
      <c r="AD335" s="38">
        <v>50</v>
      </c>
      <c r="AF335" s="76">
        <f t="shared" si="33"/>
        <v>183155.56999999998</v>
      </c>
    </row>
    <row r="336" spans="1:32" ht="8.25" customHeight="1" x14ac:dyDescent="0.15">
      <c r="A336" s="51" t="s">
        <v>205</v>
      </c>
      <c r="K336" s="52">
        <v>7</v>
      </c>
      <c r="T336" s="33">
        <v>46039</v>
      </c>
      <c r="U336" s="34">
        <v>2026</v>
      </c>
      <c r="V336" s="35" t="s">
        <v>12</v>
      </c>
      <c r="X336" s="37" t="s">
        <v>522</v>
      </c>
      <c r="Y336" s="36" t="s">
        <v>523</v>
      </c>
      <c r="Z336" s="30" t="s">
        <v>524</v>
      </c>
      <c r="AA336" s="136" t="s">
        <v>1787</v>
      </c>
      <c r="AD336" s="38">
        <v>100</v>
      </c>
      <c r="AF336" s="76">
        <f t="shared" si="33"/>
        <v>183255.56999999998</v>
      </c>
    </row>
    <row r="337" spans="1:32" ht="8.25" customHeight="1" x14ac:dyDescent="0.25">
      <c r="A337" s="51" t="s">
        <v>205</v>
      </c>
      <c r="L337" s="52">
        <v>7</v>
      </c>
      <c r="T337" s="33">
        <v>46039</v>
      </c>
      <c r="U337" s="34">
        <v>2026</v>
      </c>
      <c r="V337" s="35" t="s">
        <v>12</v>
      </c>
      <c r="X337" s="37" t="s">
        <v>525</v>
      </c>
      <c r="Y337" s="36" t="s">
        <v>120</v>
      </c>
      <c r="Z337" s="30" t="s">
        <v>524</v>
      </c>
      <c r="AA337" s="30" t="s">
        <v>373</v>
      </c>
      <c r="AD337" s="38">
        <v>50</v>
      </c>
      <c r="AF337" s="76">
        <f t="shared" si="33"/>
        <v>183305.56999999998</v>
      </c>
    </row>
    <row r="338" spans="1:32" ht="8.25" customHeight="1" x14ac:dyDescent="0.25">
      <c r="A338" s="51" t="s">
        <v>205</v>
      </c>
      <c r="I338" s="52">
        <v>14</v>
      </c>
      <c r="T338" s="33">
        <v>46039</v>
      </c>
      <c r="U338" s="34">
        <v>2026</v>
      </c>
      <c r="V338" s="35" t="s">
        <v>12</v>
      </c>
      <c r="X338" s="37" t="s">
        <v>526</v>
      </c>
      <c r="Y338" s="36" t="s">
        <v>527</v>
      </c>
      <c r="Z338" s="30" t="s">
        <v>524</v>
      </c>
      <c r="AA338" s="30" t="s">
        <v>13</v>
      </c>
      <c r="AD338" s="38">
        <v>350</v>
      </c>
      <c r="AF338" s="76">
        <f t="shared" si="33"/>
        <v>183655.56999999998</v>
      </c>
    </row>
    <row r="339" spans="1:32" ht="8.25" customHeight="1" x14ac:dyDescent="0.15">
      <c r="A339" s="51" t="s">
        <v>205</v>
      </c>
      <c r="K339" s="52">
        <v>8</v>
      </c>
      <c r="T339" s="33">
        <v>46039</v>
      </c>
      <c r="U339" s="34">
        <v>2026</v>
      </c>
      <c r="V339" s="35" t="s">
        <v>12</v>
      </c>
      <c r="X339" s="37" t="s">
        <v>528</v>
      </c>
      <c r="Y339" s="36" t="s">
        <v>529</v>
      </c>
      <c r="Z339" s="30" t="s">
        <v>530</v>
      </c>
      <c r="AA339" s="136" t="s">
        <v>1787</v>
      </c>
      <c r="AD339" s="38">
        <v>100</v>
      </c>
      <c r="AF339" s="76">
        <f t="shared" si="33"/>
        <v>183755.56999999998</v>
      </c>
    </row>
    <row r="340" spans="1:32" ht="8.25" customHeight="1" x14ac:dyDescent="0.25">
      <c r="A340" s="51" t="s">
        <v>205</v>
      </c>
      <c r="L340" s="52">
        <v>8</v>
      </c>
      <c r="T340" s="33">
        <v>46039</v>
      </c>
      <c r="U340" s="34">
        <v>2026</v>
      </c>
      <c r="V340" s="35" t="s">
        <v>12</v>
      </c>
      <c r="X340" s="37" t="s">
        <v>531</v>
      </c>
      <c r="Y340" s="36" t="s">
        <v>120</v>
      </c>
      <c r="Z340" s="30" t="s">
        <v>530</v>
      </c>
      <c r="AA340" s="30" t="s">
        <v>373</v>
      </c>
      <c r="AD340" s="38">
        <v>50</v>
      </c>
      <c r="AF340" s="76">
        <f t="shared" si="33"/>
        <v>183805.56999999998</v>
      </c>
    </row>
    <row r="341" spans="1:32" ht="8.25" customHeight="1" x14ac:dyDescent="0.25">
      <c r="A341" s="51" t="s">
        <v>205</v>
      </c>
      <c r="I341" s="52">
        <v>15</v>
      </c>
      <c r="T341" s="33">
        <v>46039</v>
      </c>
      <c r="U341" s="34">
        <v>2026</v>
      </c>
      <c r="V341" s="35" t="s">
        <v>12</v>
      </c>
      <c r="X341" s="37" t="s">
        <v>532</v>
      </c>
      <c r="Y341" s="36" t="s">
        <v>533</v>
      </c>
      <c r="Z341" s="30" t="s">
        <v>530</v>
      </c>
      <c r="AA341" s="30" t="s">
        <v>13</v>
      </c>
      <c r="AD341" s="38">
        <v>593.75</v>
      </c>
      <c r="AF341" s="76">
        <f t="shared" si="33"/>
        <v>184399.31999999998</v>
      </c>
    </row>
    <row r="342" spans="1:32" ht="8.25" customHeight="1" x14ac:dyDescent="0.25">
      <c r="A342" s="51" t="s">
        <v>205</v>
      </c>
      <c r="M342" s="52">
        <v>5</v>
      </c>
      <c r="T342" s="33">
        <v>46039</v>
      </c>
      <c r="U342" s="34">
        <v>2026</v>
      </c>
      <c r="V342" s="35" t="s">
        <v>12</v>
      </c>
      <c r="X342" s="37" t="s">
        <v>534</v>
      </c>
      <c r="Y342" s="36" t="s">
        <v>120</v>
      </c>
      <c r="Z342" s="30" t="s">
        <v>530</v>
      </c>
      <c r="AA342" s="30" t="s">
        <v>385</v>
      </c>
      <c r="AD342" s="38">
        <v>118.75</v>
      </c>
      <c r="AF342" s="76">
        <f t="shared" si="33"/>
        <v>184518.06999999998</v>
      </c>
    </row>
    <row r="343" spans="1:32" ht="8.25" customHeight="1" x14ac:dyDescent="0.25">
      <c r="A343" s="51" t="s">
        <v>205</v>
      </c>
      <c r="C343" s="52">
        <v>3</v>
      </c>
      <c r="T343" s="33">
        <v>46039</v>
      </c>
      <c r="U343" s="34">
        <v>2026</v>
      </c>
      <c r="V343" s="35" t="s">
        <v>12</v>
      </c>
      <c r="X343" s="37" t="s">
        <v>535</v>
      </c>
      <c r="Y343" s="36" t="s">
        <v>536</v>
      </c>
      <c r="Z343" s="30" t="s">
        <v>537</v>
      </c>
      <c r="AA343" s="30" t="s">
        <v>538</v>
      </c>
      <c r="AD343" s="38">
        <v>35</v>
      </c>
      <c r="AF343" s="76">
        <f t="shared" si="33"/>
        <v>184553.06999999998</v>
      </c>
    </row>
    <row r="344" spans="1:32" ht="8.25" customHeight="1" x14ac:dyDescent="0.25">
      <c r="A344" s="51" t="s">
        <v>205</v>
      </c>
      <c r="D344" s="52">
        <v>12</v>
      </c>
      <c r="T344" s="33">
        <v>46039</v>
      </c>
      <c r="U344" s="34">
        <v>2026</v>
      </c>
      <c r="V344" s="35" t="s">
        <v>12</v>
      </c>
      <c r="Y344" s="36" t="s">
        <v>539</v>
      </c>
      <c r="Z344" s="30" t="s">
        <v>540</v>
      </c>
      <c r="AA344" s="30" t="s">
        <v>256</v>
      </c>
      <c r="AD344" s="38">
        <v>150</v>
      </c>
      <c r="AF344" s="76">
        <f t="shared" si="33"/>
        <v>184703.06999999998</v>
      </c>
    </row>
    <row r="345" spans="1:32" ht="8.25" customHeight="1" x14ac:dyDescent="0.25">
      <c r="A345" s="51" t="s">
        <v>205</v>
      </c>
      <c r="G345" s="53">
        <v>8</v>
      </c>
      <c r="T345" s="33">
        <v>46039</v>
      </c>
      <c r="U345" s="34">
        <v>2026</v>
      </c>
      <c r="V345" s="35" t="s">
        <v>12</v>
      </c>
      <c r="Y345" s="36" t="s">
        <v>543</v>
      </c>
      <c r="Z345" s="30" t="s">
        <v>405</v>
      </c>
      <c r="AA345" s="30" t="s">
        <v>3945</v>
      </c>
      <c r="AE345" s="38">
        <v>2007.83</v>
      </c>
      <c r="AF345" s="76">
        <f t="shared" si="33"/>
        <v>182695.24</v>
      </c>
    </row>
    <row r="346" spans="1:32" ht="8.25" customHeight="1" x14ac:dyDescent="0.25">
      <c r="A346" s="51" t="s">
        <v>205</v>
      </c>
      <c r="F346" s="53">
        <v>1</v>
      </c>
      <c r="T346" s="33">
        <v>46039</v>
      </c>
      <c r="U346" s="34">
        <v>2026</v>
      </c>
      <c r="V346" s="35" t="s">
        <v>12</v>
      </c>
      <c r="Y346" s="36" t="s">
        <v>541</v>
      </c>
      <c r="Z346" s="30" t="s">
        <v>542</v>
      </c>
      <c r="AA346" s="30" t="s">
        <v>3939</v>
      </c>
      <c r="AE346" s="38">
        <v>300</v>
      </c>
      <c r="AF346" s="76">
        <f t="shared" si="33"/>
        <v>182395.24</v>
      </c>
    </row>
    <row r="347" spans="1:32" ht="8.25" customHeight="1" x14ac:dyDescent="0.15">
      <c r="A347" s="51" t="s">
        <v>205</v>
      </c>
      <c r="R347" s="53">
        <v>17</v>
      </c>
      <c r="T347" s="33">
        <v>46039</v>
      </c>
      <c r="U347" s="34">
        <v>2026</v>
      </c>
      <c r="V347" s="35" t="s">
        <v>12</v>
      </c>
      <c r="X347" s="37" t="s">
        <v>545</v>
      </c>
      <c r="Y347" s="36" t="s">
        <v>546</v>
      </c>
      <c r="Z347" s="30" t="s">
        <v>547</v>
      </c>
      <c r="AA347" s="131" t="s">
        <v>395</v>
      </c>
      <c r="AE347" s="38">
        <v>5937.5</v>
      </c>
      <c r="AF347" s="76">
        <f t="shared" si="33"/>
        <v>176457.74</v>
      </c>
    </row>
    <row r="348" spans="1:32" ht="8.25" customHeight="1" thickBot="1" x14ac:dyDescent="0.3">
      <c r="A348" s="51" t="s">
        <v>205</v>
      </c>
      <c r="AA348" s="75" t="s">
        <v>257</v>
      </c>
      <c r="AD348" s="91">
        <f>SUM(AD334:AD347)</f>
        <v>1697.5</v>
      </c>
      <c r="AE348" s="91">
        <f>SUM(AE334:AE347)</f>
        <v>8245.33</v>
      </c>
      <c r="AF348" s="76">
        <f>AF333+AD348-AE348</f>
        <v>176457.74</v>
      </c>
    </row>
    <row r="349" spans="1:32" ht="8.25" customHeight="1" thickTop="1" x14ac:dyDescent="0.25">
      <c r="A349" s="51" t="s">
        <v>205</v>
      </c>
    </row>
    <row r="350" spans="1:32" ht="8.25" customHeight="1" x14ac:dyDescent="0.25">
      <c r="A350" s="51" t="s">
        <v>205</v>
      </c>
      <c r="X350" s="109"/>
      <c r="Y350" s="67" t="s">
        <v>214</v>
      </c>
      <c r="Z350" s="68"/>
      <c r="AA350" s="75"/>
    </row>
    <row r="351" spans="1:32" ht="8.25" customHeight="1" x14ac:dyDescent="0.25">
      <c r="A351" s="51" t="s">
        <v>205</v>
      </c>
      <c r="X351" s="110" t="s">
        <v>548</v>
      </c>
      <c r="Y351" s="111">
        <v>200</v>
      </c>
      <c r="Z351" s="111">
        <f t="shared" ref="Z351:Z356" si="34">X351*Y351</f>
        <v>21400</v>
      </c>
      <c r="AA351" s="112"/>
    </row>
    <row r="352" spans="1:32" ht="8.25" customHeight="1" x14ac:dyDescent="0.25">
      <c r="A352" s="51" t="s">
        <v>205</v>
      </c>
      <c r="X352" s="110" t="s">
        <v>664</v>
      </c>
      <c r="Y352" s="111">
        <v>100</v>
      </c>
      <c r="Z352" s="111">
        <f t="shared" si="34"/>
        <v>149600</v>
      </c>
      <c r="AA352" s="112"/>
    </row>
    <row r="353" spans="1:32" ht="8.25" customHeight="1" x14ac:dyDescent="0.25">
      <c r="A353" s="51" t="s">
        <v>205</v>
      </c>
      <c r="X353" s="110" t="s">
        <v>549</v>
      </c>
      <c r="Y353" s="111">
        <v>50</v>
      </c>
      <c r="Z353" s="111">
        <f t="shared" si="34"/>
        <v>3250</v>
      </c>
      <c r="AA353" s="76"/>
    </row>
    <row r="354" spans="1:32" ht="8.25" customHeight="1" x14ac:dyDescent="0.25">
      <c r="A354" s="51" t="s">
        <v>205</v>
      </c>
      <c r="X354" s="110" t="s">
        <v>120</v>
      </c>
      <c r="Y354" s="111">
        <v>20</v>
      </c>
      <c r="Z354" s="111">
        <f t="shared" si="34"/>
        <v>0</v>
      </c>
      <c r="AA354" s="38"/>
    </row>
    <row r="355" spans="1:32" ht="8.25" customHeight="1" x14ac:dyDescent="0.25">
      <c r="A355" s="51" t="s">
        <v>205</v>
      </c>
      <c r="X355" s="110" t="s">
        <v>620</v>
      </c>
      <c r="Y355" s="111">
        <v>10</v>
      </c>
      <c r="Z355" s="111">
        <f t="shared" si="34"/>
        <v>170</v>
      </c>
      <c r="AA355" s="112"/>
    </row>
    <row r="356" spans="1:32" ht="8.25" customHeight="1" x14ac:dyDescent="0.25">
      <c r="A356" s="51" t="s">
        <v>205</v>
      </c>
      <c r="X356" s="110" t="s">
        <v>550</v>
      </c>
      <c r="Y356" s="111">
        <v>5</v>
      </c>
      <c r="Z356" s="111">
        <f t="shared" si="34"/>
        <v>1500</v>
      </c>
      <c r="AA356" s="112"/>
    </row>
    <row r="357" spans="1:32" ht="8.25" customHeight="1" x14ac:dyDescent="0.25">
      <c r="A357" s="51" t="s">
        <v>205</v>
      </c>
      <c r="X357" s="269">
        <v>0</v>
      </c>
      <c r="Y357" s="270"/>
      <c r="Z357" s="271"/>
      <c r="AA357" s="38"/>
    </row>
    <row r="358" spans="1:32" ht="8.25" customHeight="1" x14ac:dyDescent="0.25">
      <c r="A358" s="51" t="s">
        <v>205</v>
      </c>
      <c r="X358" s="110" t="s">
        <v>665</v>
      </c>
      <c r="Y358" s="111">
        <v>1</v>
      </c>
      <c r="Z358" s="111">
        <f t="shared" ref="Z358:Z363" si="35">X358*Y358</f>
        <v>493</v>
      </c>
      <c r="AA358" s="76"/>
    </row>
    <row r="359" spans="1:32" ht="8.25" customHeight="1" x14ac:dyDescent="0.25">
      <c r="A359" s="51" t="s">
        <v>205</v>
      </c>
      <c r="X359" s="110" t="s">
        <v>231</v>
      </c>
      <c r="Y359" s="111">
        <v>0.5</v>
      </c>
      <c r="Z359" s="111">
        <f t="shared" si="35"/>
        <v>23</v>
      </c>
      <c r="AA359" s="112"/>
    </row>
    <row r="360" spans="1:32" ht="8.25" customHeight="1" x14ac:dyDescent="0.25">
      <c r="A360" s="51" t="s">
        <v>205</v>
      </c>
      <c r="X360" s="110" t="s">
        <v>356</v>
      </c>
      <c r="Y360" s="111">
        <v>0.25</v>
      </c>
      <c r="Z360" s="111">
        <f t="shared" si="35"/>
        <v>21.5</v>
      </c>
      <c r="AA360" s="113"/>
    </row>
    <row r="361" spans="1:32" ht="8.25" customHeight="1" x14ac:dyDescent="0.25">
      <c r="A361" s="51" t="s">
        <v>205</v>
      </c>
      <c r="X361" s="110" t="s">
        <v>224</v>
      </c>
      <c r="Y361" s="111">
        <v>0.1</v>
      </c>
      <c r="Z361" s="111">
        <f t="shared" si="35"/>
        <v>0.2</v>
      </c>
      <c r="AA361" s="114" t="s">
        <v>219</v>
      </c>
    </row>
    <row r="362" spans="1:32" ht="8.25" customHeight="1" thickBot="1" x14ac:dyDescent="0.3">
      <c r="A362" s="51" t="s">
        <v>205</v>
      </c>
      <c r="X362" s="110"/>
      <c r="Y362" s="111">
        <v>0.05</v>
      </c>
      <c r="Z362" s="111">
        <f t="shared" si="35"/>
        <v>0</v>
      </c>
      <c r="AA362" s="115">
        <f>SUM(Z351:Z356)+Z358+Z359+Z360+Z361+Z362+Z363</f>
        <v>176457.74000000002</v>
      </c>
    </row>
    <row r="363" spans="1:32" ht="8.25" customHeight="1" thickTop="1" x14ac:dyDescent="0.25">
      <c r="A363" s="51" t="s">
        <v>205</v>
      </c>
      <c r="X363" s="110" t="s">
        <v>299</v>
      </c>
      <c r="Y363" s="111">
        <v>0.01</v>
      </c>
      <c r="Z363" s="111">
        <f t="shared" si="35"/>
        <v>0.04</v>
      </c>
    </row>
    <row r="364" spans="1:32" ht="8.25" customHeight="1" x14ac:dyDescent="0.25">
      <c r="A364" s="51" t="s">
        <v>205</v>
      </c>
      <c r="AA364" s="75" t="s">
        <v>251</v>
      </c>
      <c r="AF364" s="76">
        <f>AF348</f>
        <v>176457.74</v>
      </c>
    </row>
    <row r="365" spans="1:32" ht="8.25" customHeight="1" x14ac:dyDescent="0.25">
      <c r="A365" s="51" t="s">
        <v>205</v>
      </c>
      <c r="I365" s="52">
        <v>16</v>
      </c>
      <c r="T365" s="33">
        <v>46041</v>
      </c>
      <c r="U365" s="34">
        <v>2026</v>
      </c>
      <c r="V365" s="35" t="s">
        <v>12</v>
      </c>
      <c r="X365" s="37" t="s">
        <v>535</v>
      </c>
      <c r="Y365" s="36" t="s">
        <v>419</v>
      </c>
      <c r="Z365" s="37" t="s">
        <v>420</v>
      </c>
      <c r="AA365" s="36" t="s">
        <v>13</v>
      </c>
      <c r="AD365" s="38">
        <v>300</v>
      </c>
      <c r="AF365" s="76">
        <f t="shared" ref="AF365:AF371" si="36">AF364+AD365-AE365</f>
        <v>176757.74</v>
      </c>
    </row>
    <row r="366" spans="1:32" ht="8.25" customHeight="1" x14ac:dyDescent="0.15">
      <c r="A366" s="51" t="s">
        <v>205</v>
      </c>
      <c r="K366" s="52">
        <v>9</v>
      </c>
      <c r="T366" s="33">
        <v>46041</v>
      </c>
      <c r="U366" s="34">
        <v>2026</v>
      </c>
      <c r="V366" s="35" t="s">
        <v>12</v>
      </c>
      <c r="X366" s="37" t="s">
        <v>551</v>
      </c>
      <c r="Y366" s="36" t="s">
        <v>552</v>
      </c>
      <c r="Z366" s="30" t="s">
        <v>553</v>
      </c>
      <c r="AA366" s="136" t="s">
        <v>1787</v>
      </c>
      <c r="AD366" s="38">
        <v>100</v>
      </c>
      <c r="AF366" s="76">
        <f t="shared" si="36"/>
        <v>176857.74</v>
      </c>
    </row>
    <row r="367" spans="1:32" ht="8.25" customHeight="1" x14ac:dyDescent="0.25">
      <c r="A367" s="51" t="s">
        <v>205</v>
      </c>
      <c r="L367" s="52">
        <v>9</v>
      </c>
      <c r="T367" s="33">
        <v>46041</v>
      </c>
      <c r="U367" s="34">
        <v>2026</v>
      </c>
      <c r="V367" s="35" t="s">
        <v>12</v>
      </c>
      <c r="X367" s="37" t="s">
        <v>554</v>
      </c>
      <c r="Y367" s="36" t="s">
        <v>120</v>
      </c>
      <c r="Z367" s="30" t="s">
        <v>553</v>
      </c>
      <c r="AA367" s="30" t="s">
        <v>373</v>
      </c>
      <c r="AD367" s="38">
        <v>50</v>
      </c>
      <c r="AF367" s="76">
        <f t="shared" si="36"/>
        <v>176907.74</v>
      </c>
    </row>
    <row r="368" spans="1:32" ht="8.25" customHeight="1" x14ac:dyDescent="0.25">
      <c r="A368" s="51" t="s">
        <v>205</v>
      </c>
      <c r="N368" s="52">
        <v>30</v>
      </c>
      <c r="T368" s="33">
        <v>46041</v>
      </c>
      <c r="U368" s="34">
        <v>2026</v>
      </c>
      <c r="V368" s="35" t="s">
        <v>12</v>
      </c>
      <c r="X368" s="37" t="s">
        <v>555</v>
      </c>
      <c r="Y368" s="36" t="s">
        <v>556</v>
      </c>
      <c r="Z368" s="30" t="s">
        <v>557</v>
      </c>
      <c r="AA368" s="30" t="s">
        <v>3899</v>
      </c>
      <c r="AC368" s="26" t="s">
        <v>401</v>
      </c>
      <c r="AD368" s="38">
        <v>8668.19</v>
      </c>
      <c r="AF368" s="76">
        <f t="shared" si="36"/>
        <v>185575.93</v>
      </c>
    </row>
    <row r="369" spans="1:32" ht="8.25" customHeight="1" x14ac:dyDescent="0.15">
      <c r="A369" s="51" t="s">
        <v>205</v>
      </c>
      <c r="N369" s="52">
        <v>30</v>
      </c>
      <c r="T369" s="33">
        <v>46041</v>
      </c>
      <c r="U369" s="34">
        <v>2026</v>
      </c>
      <c r="V369" s="35" t="s">
        <v>12</v>
      </c>
      <c r="X369" s="37" t="s">
        <v>555</v>
      </c>
      <c r="Y369" s="36" t="s">
        <v>556</v>
      </c>
      <c r="Z369" s="30" t="s">
        <v>557</v>
      </c>
      <c r="AA369" s="134" t="s">
        <v>166</v>
      </c>
      <c r="AC369" s="26" t="s">
        <v>401</v>
      </c>
      <c r="AD369" s="38">
        <v>188.09</v>
      </c>
      <c r="AF369" s="76">
        <f t="shared" si="36"/>
        <v>185764.02</v>
      </c>
    </row>
    <row r="370" spans="1:32" ht="8.25" customHeight="1" x14ac:dyDescent="0.15">
      <c r="A370" s="51" t="s">
        <v>205</v>
      </c>
      <c r="K370" s="52">
        <v>10</v>
      </c>
      <c r="T370" s="33">
        <v>46041</v>
      </c>
      <c r="U370" s="34">
        <v>2026</v>
      </c>
      <c r="V370" s="35" t="s">
        <v>12</v>
      </c>
      <c r="X370" s="37" t="s">
        <v>558</v>
      </c>
      <c r="Y370" s="36" t="s">
        <v>559</v>
      </c>
      <c r="Z370" s="30" t="s">
        <v>560</v>
      </c>
      <c r="AA370" s="136" t="s">
        <v>1787</v>
      </c>
      <c r="AD370" s="38">
        <v>100</v>
      </c>
      <c r="AF370" s="76">
        <f t="shared" si="36"/>
        <v>185864.02</v>
      </c>
    </row>
    <row r="371" spans="1:32" ht="8.25" customHeight="1" x14ac:dyDescent="0.25">
      <c r="A371" s="51" t="s">
        <v>205</v>
      </c>
      <c r="L371" s="52">
        <v>10</v>
      </c>
      <c r="T371" s="33">
        <v>46041</v>
      </c>
      <c r="U371" s="34">
        <v>2026</v>
      </c>
      <c r="V371" s="35" t="s">
        <v>12</v>
      </c>
      <c r="X371" s="37" t="s">
        <v>561</v>
      </c>
      <c r="Y371" s="36" t="s">
        <v>120</v>
      </c>
      <c r="Z371" s="30" t="s">
        <v>560</v>
      </c>
      <c r="AA371" s="30" t="s">
        <v>373</v>
      </c>
      <c r="AD371" s="38">
        <v>50</v>
      </c>
      <c r="AF371" s="76">
        <f t="shared" si="36"/>
        <v>185914.02</v>
      </c>
    </row>
    <row r="372" spans="1:32" ht="8.25" customHeight="1" thickBot="1" x14ac:dyDescent="0.3">
      <c r="A372" s="51" t="s">
        <v>205</v>
      </c>
      <c r="X372" s="37" t="s">
        <v>120</v>
      </c>
      <c r="AA372" s="75" t="s">
        <v>257</v>
      </c>
      <c r="AD372" s="91">
        <f>SUM(AD364:AD371)</f>
        <v>9456.2800000000007</v>
      </c>
      <c r="AE372" s="91">
        <f>SUM(AE365:AE371)</f>
        <v>0</v>
      </c>
      <c r="AF372" s="76">
        <f>AF364+AD372-AE372</f>
        <v>185914.02</v>
      </c>
    </row>
    <row r="373" spans="1:32" ht="8.25" customHeight="1" thickTop="1" x14ac:dyDescent="0.25">
      <c r="A373" s="51" t="s">
        <v>205</v>
      </c>
    </row>
    <row r="374" spans="1:32" ht="8.25" customHeight="1" x14ac:dyDescent="0.25">
      <c r="A374" s="51" t="s">
        <v>205</v>
      </c>
      <c r="X374" s="109"/>
      <c r="Y374" s="67" t="s">
        <v>214</v>
      </c>
      <c r="Z374" s="68"/>
      <c r="AA374" s="75"/>
    </row>
    <row r="375" spans="1:32" ht="8.25" customHeight="1" x14ac:dyDescent="0.25">
      <c r="A375" s="51" t="s">
        <v>205</v>
      </c>
      <c r="X375" s="110" t="s">
        <v>548</v>
      </c>
      <c r="Y375" s="111">
        <v>200</v>
      </c>
      <c r="Z375" s="111">
        <f t="shared" ref="Z375:Z380" si="37">X375*Y375</f>
        <v>21400</v>
      </c>
      <c r="AA375" s="112"/>
    </row>
    <row r="376" spans="1:32" ht="8.25" customHeight="1" x14ac:dyDescent="0.25">
      <c r="A376" s="51" t="s">
        <v>205</v>
      </c>
      <c r="X376" s="110" t="s">
        <v>666</v>
      </c>
      <c r="Y376" s="111">
        <v>100</v>
      </c>
      <c r="Z376" s="111">
        <f t="shared" si="37"/>
        <v>159300</v>
      </c>
      <c r="AA376" s="112"/>
    </row>
    <row r="377" spans="1:32" ht="8.25" customHeight="1" x14ac:dyDescent="0.25">
      <c r="A377" s="51" t="s">
        <v>205</v>
      </c>
      <c r="X377" s="110" t="s">
        <v>562</v>
      </c>
      <c r="Y377" s="111">
        <v>50</v>
      </c>
      <c r="Z377" s="111">
        <f t="shared" si="37"/>
        <v>3050</v>
      </c>
      <c r="AA377" s="76"/>
    </row>
    <row r="378" spans="1:32" ht="8.25" customHeight="1" x14ac:dyDescent="0.25">
      <c r="A378" s="51" t="s">
        <v>205</v>
      </c>
      <c r="X378" s="110" t="s">
        <v>120</v>
      </c>
      <c r="Y378" s="111">
        <v>20</v>
      </c>
      <c r="Z378" s="111">
        <f t="shared" si="37"/>
        <v>0</v>
      </c>
      <c r="AA378" s="38"/>
    </row>
    <row r="379" spans="1:32" ht="8.25" customHeight="1" x14ac:dyDescent="0.25">
      <c r="A379" s="51" t="s">
        <v>205</v>
      </c>
      <c r="X379" s="110" t="s">
        <v>564</v>
      </c>
      <c r="Y379" s="111">
        <v>10</v>
      </c>
      <c r="Z379" s="111">
        <f t="shared" si="37"/>
        <v>140</v>
      </c>
      <c r="AA379" s="112"/>
    </row>
    <row r="380" spans="1:32" ht="8.25" customHeight="1" x14ac:dyDescent="0.25">
      <c r="A380" s="51" t="s">
        <v>205</v>
      </c>
      <c r="X380" s="110" t="s">
        <v>550</v>
      </c>
      <c r="Y380" s="111">
        <v>5</v>
      </c>
      <c r="Z380" s="111">
        <f t="shared" si="37"/>
        <v>1500</v>
      </c>
      <c r="AA380" s="112"/>
    </row>
    <row r="381" spans="1:32" ht="8.25" customHeight="1" x14ac:dyDescent="0.25">
      <c r="A381" s="51" t="s">
        <v>205</v>
      </c>
      <c r="X381" s="269">
        <v>0</v>
      </c>
      <c r="Y381" s="270"/>
      <c r="Z381" s="271"/>
      <c r="AA381" s="38"/>
    </row>
    <row r="382" spans="1:32" ht="8.25" customHeight="1" x14ac:dyDescent="0.25">
      <c r="A382" s="51" t="s">
        <v>205</v>
      </c>
      <c r="X382" s="110" t="s">
        <v>626</v>
      </c>
      <c r="Y382" s="111">
        <v>1</v>
      </c>
      <c r="Z382" s="111">
        <f t="shared" ref="Z382:Z387" si="38">X382*Y382</f>
        <v>480</v>
      </c>
      <c r="AA382" s="76"/>
    </row>
    <row r="383" spans="1:32" ht="8.25" customHeight="1" x14ac:dyDescent="0.25">
      <c r="A383" s="51" t="s">
        <v>205</v>
      </c>
      <c r="X383" s="110" t="s">
        <v>231</v>
      </c>
      <c r="Y383" s="111">
        <v>0.5</v>
      </c>
      <c r="Z383" s="111">
        <f t="shared" si="38"/>
        <v>23</v>
      </c>
      <c r="AA383" s="112"/>
    </row>
    <row r="384" spans="1:32" ht="8.25" customHeight="1" x14ac:dyDescent="0.25">
      <c r="A384" s="51" t="s">
        <v>205</v>
      </c>
      <c r="X384" s="110" t="s">
        <v>563</v>
      </c>
      <c r="Y384" s="111">
        <v>0.25</v>
      </c>
      <c r="Z384" s="111">
        <f t="shared" si="38"/>
        <v>21</v>
      </c>
      <c r="AA384" s="113"/>
    </row>
    <row r="385" spans="1:32" ht="8.25" customHeight="1" x14ac:dyDescent="0.25">
      <c r="A385" s="51" t="s">
        <v>205</v>
      </c>
      <c r="X385" s="110"/>
      <c r="Y385" s="111">
        <v>0.1</v>
      </c>
      <c r="Z385" s="111">
        <f t="shared" si="38"/>
        <v>0</v>
      </c>
      <c r="AA385" s="114" t="s">
        <v>219</v>
      </c>
    </row>
    <row r="386" spans="1:32" ht="8.25" customHeight="1" thickBot="1" x14ac:dyDescent="0.3">
      <c r="A386" s="51" t="s">
        <v>205</v>
      </c>
      <c r="X386" s="110"/>
      <c r="Y386" s="111">
        <v>0.05</v>
      </c>
      <c r="Z386" s="111">
        <f t="shared" si="38"/>
        <v>0</v>
      </c>
      <c r="AA386" s="115">
        <f>SUM(Z375:Z380)+Z382+Z383+Z384+Z385+Z386+Z387</f>
        <v>185914.02</v>
      </c>
    </row>
    <row r="387" spans="1:32" ht="8.25" customHeight="1" thickTop="1" x14ac:dyDescent="0.25">
      <c r="A387" s="51" t="s">
        <v>205</v>
      </c>
      <c r="X387" s="110" t="s">
        <v>224</v>
      </c>
      <c r="Y387" s="111">
        <v>0.01</v>
      </c>
      <c r="Z387" s="111">
        <f t="shared" si="38"/>
        <v>0.02</v>
      </c>
    </row>
    <row r="388" spans="1:32" ht="8.25" customHeight="1" x14ac:dyDescent="0.25">
      <c r="A388" s="51" t="s">
        <v>205</v>
      </c>
      <c r="AA388" s="75"/>
    </row>
    <row r="389" spans="1:32" ht="8.25" customHeight="1" x14ac:dyDescent="0.25">
      <c r="A389" s="51" t="s">
        <v>205</v>
      </c>
      <c r="AA389" s="75" t="s">
        <v>251</v>
      </c>
      <c r="AF389" s="76">
        <f>AF372</f>
        <v>185914.02</v>
      </c>
    </row>
    <row r="390" spans="1:32" ht="8.25" customHeight="1" x14ac:dyDescent="0.25">
      <c r="A390" s="51" t="s">
        <v>205</v>
      </c>
      <c r="N390" s="52">
        <v>31</v>
      </c>
      <c r="T390" s="33">
        <v>46042</v>
      </c>
      <c r="U390" s="34">
        <v>2026</v>
      </c>
      <c r="V390" s="35" t="s">
        <v>12</v>
      </c>
      <c r="X390" s="37" t="s">
        <v>565</v>
      </c>
      <c r="Y390" s="36" t="s">
        <v>566</v>
      </c>
      <c r="Z390" s="30" t="s">
        <v>567</v>
      </c>
      <c r="AA390" s="30" t="s">
        <v>3899</v>
      </c>
      <c r="AD390" s="38">
        <v>566.16999999999996</v>
      </c>
      <c r="AF390" s="76">
        <f t="shared" ref="AF390:AF398" si="39">AF389+AD390-AE390</f>
        <v>186480.19</v>
      </c>
    </row>
    <row r="391" spans="1:32" ht="8.25" customHeight="1" x14ac:dyDescent="0.15">
      <c r="A391" s="51" t="s">
        <v>205</v>
      </c>
      <c r="N391" s="52">
        <v>31</v>
      </c>
      <c r="T391" s="33">
        <v>46042</v>
      </c>
      <c r="U391" s="34">
        <v>2026</v>
      </c>
      <c r="V391" s="35" t="s">
        <v>12</v>
      </c>
      <c r="X391" s="37" t="s">
        <v>565</v>
      </c>
      <c r="Y391" s="36" t="s">
        <v>566</v>
      </c>
      <c r="Z391" s="30" t="s">
        <v>567</v>
      </c>
      <c r="AA391" s="134" t="s">
        <v>166</v>
      </c>
      <c r="AD391" s="38">
        <v>4388.83</v>
      </c>
      <c r="AF391" s="76">
        <f t="shared" si="39"/>
        <v>190869.02</v>
      </c>
    </row>
    <row r="392" spans="1:32" ht="8.25" customHeight="1" x14ac:dyDescent="0.25">
      <c r="A392" s="51" t="s">
        <v>205</v>
      </c>
      <c r="N392" s="52">
        <v>31</v>
      </c>
      <c r="T392" s="33">
        <v>46042</v>
      </c>
      <c r="U392" s="34">
        <v>2026</v>
      </c>
      <c r="V392" s="35" t="s">
        <v>12</v>
      </c>
      <c r="X392" s="37" t="s">
        <v>565</v>
      </c>
      <c r="Y392" s="36" t="s">
        <v>566</v>
      </c>
      <c r="Z392" s="30" t="s">
        <v>567</v>
      </c>
      <c r="AA392" s="30" t="s">
        <v>168</v>
      </c>
      <c r="AD392" s="38">
        <v>45</v>
      </c>
      <c r="AF392" s="76">
        <f t="shared" si="39"/>
        <v>190914.02</v>
      </c>
    </row>
    <row r="393" spans="1:32" ht="8.25" customHeight="1" x14ac:dyDescent="0.25">
      <c r="A393" s="51" t="s">
        <v>205</v>
      </c>
      <c r="I393" s="52">
        <v>17</v>
      </c>
      <c r="T393" s="33">
        <v>46042</v>
      </c>
      <c r="U393" s="34">
        <v>2026</v>
      </c>
      <c r="V393" s="35" t="s">
        <v>12</v>
      </c>
      <c r="X393" s="37" t="s">
        <v>570</v>
      </c>
      <c r="Y393" s="36" t="s">
        <v>571</v>
      </c>
      <c r="Z393" s="30" t="s">
        <v>560</v>
      </c>
      <c r="AA393" s="30" t="s">
        <v>13</v>
      </c>
      <c r="AD393" s="38">
        <v>3977.27</v>
      </c>
      <c r="AF393" s="76">
        <f t="shared" si="39"/>
        <v>194891.28999999998</v>
      </c>
    </row>
    <row r="394" spans="1:32" ht="8.25" customHeight="1" x14ac:dyDescent="0.25">
      <c r="A394" s="51" t="s">
        <v>205</v>
      </c>
      <c r="M394" s="52">
        <v>6</v>
      </c>
      <c r="T394" s="33">
        <v>46042</v>
      </c>
      <c r="U394" s="34">
        <v>2026</v>
      </c>
      <c r="V394" s="35" t="s">
        <v>12</v>
      </c>
      <c r="X394" s="37" t="s">
        <v>572</v>
      </c>
      <c r="Y394" s="36" t="s">
        <v>224</v>
      </c>
      <c r="Z394" s="30" t="s">
        <v>560</v>
      </c>
      <c r="AA394" s="30" t="s">
        <v>385</v>
      </c>
      <c r="AD394" s="38">
        <v>795.46</v>
      </c>
      <c r="AF394" s="76">
        <f t="shared" si="39"/>
        <v>195686.74999999997</v>
      </c>
    </row>
    <row r="395" spans="1:32" ht="8.25" customHeight="1" x14ac:dyDescent="0.25">
      <c r="A395" s="51" t="s">
        <v>205</v>
      </c>
      <c r="R395" s="53">
        <v>18</v>
      </c>
      <c r="T395" s="33">
        <v>46042</v>
      </c>
      <c r="U395" s="34">
        <v>2026</v>
      </c>
      <c r="V395" s="35" t="s">
        <v>12</v>
      </c>
      <c r="X395" s="37" t="s">
        <v>568</v>
      </c>
      <c r="Y395" s="36" t="s">
        <v>116</v>
      </c>
      <c r="Z395" s="30" t="s">
        <v>569</v>
      </c>
      <c r="AA395" s="30" t="s">
        <v>92</v>
      </c>
      <c r="AE395" s="38">
        <v>1200</v>
      </c>
      <c r="AF395" s="76">
        <f t="shared" si="39"/>
        <v>194486.74999999997</v>
      </c>
    </row>
    <row r="396" spans="1:32" ht="8.25" customHeight="1" x14ac:dyDescent="0.15">
      <c r="A396" s="51" t="s">
        <v>205</v>
      </c>
      <c r="R396" s="53">
        <v>19</v>
      </c>
      <c r="T396" s="33">
        <v>46042</v>
      </c>
      <c r="U396" s="34">
        <v>2026</v>
      </c>
      <c r="V396" s="35" t="s">
        <v>12</v>
      </c>
      <c r="X396" s="37" t="s">
        <v>573</v>
      </c>
      <c r="Y396" s="36" t="s">
        <v>574</v>
      </c>
      <c r="Z396" s="30" t="s">
        <v>560</v>
      </c>
      <c r="AA396" s="131" t="s">
        <v>395</v>
      </c>
      <c r="AE396" s="38">
        <v>39772.730000000003</v>
      </c>
      <c r="AF396" s="76">
        <f t="shared" si="39"/>
        <v>154714.01999999996</v>
      </c>
    </row>
    <row r="397" spans="1:32" ht="8.25" customHeight="1" x14ac:dyDescent="0.25">
      <c r="A397" s="51" t="s">
        <v>205</v>
      </c>
      <c r="R397" s="53">
        <v>20</v>
      </c>
      <c r="T397" s="33">
        <v>46042</v>
      </c>
      <c r="U397" s="34">
        <v>2026</v>
      </c>
      <c r="V397" s="35" t="s">
        <v>12</v>
      </c>
      <c r="X397" s="37" t="s">
        <v>575</v>
      </c>
      <c r="Y397" s="36" t="s">
        <v>115</v>
      </c>
      <c r="Z397" s="30" t="s">
        <v>16</v>
      </c>
      <c r="AA397" s="30" t="s">
        <v>92</v>
      </c>
      <c r="AE397" s="38">
        <v>3000</v>
      </c>
      <c r="AF397" s="76">
        <f t="shared" si="39"/>
        <v>151714.01999999996</v>
      </c>
    </row>
    <row r="398" spans="1:32" ht="8.25" customHeight="1" x14ac:dyDescent="0.25">
      <c r="A398" s="51" t="s">
        <v>205</v>
      </c>
      <c r="R398" s="53">
        <v>21</v>
      </c>
      <c r="T398" s="33">
        <v>46042</v>
      </c>
      <c r="U398" s="34">
        <v>2026</v>
      </c>
      <c r="V398" s="35" t="s">
        <v>12</v>
      </c>
      <c r="X398" s="37" t="s">
        <v>576</v>
      </c>
      <c r="Y398" s="36" t="s">
        <v>577</v>
      </c>
      <c r="Z398" s="30" t="s">
        <v>578</v>
      </c>
      <c r="AA398" s="30" t="s">
        <v>92</v>
      </c>
      <c r="AE398" s="38">
        <v>1000</v>
      </c>
      <c r="AF398" s="76">
        <f t="shared" si="39"/>
        <v>150714.01999999996</v>
      </c>
    </row>
    <row r="399" spans="1:32" ht="8.25" customHeight="1" thickBot="1" x14ac:dyDescent="0.3">
      <c r="A399" s="51" t="s">
        <v>205</v>
      </c>
      <c r="AA399" s="75" t="s">
        <v>257</v>
      </c>
      <c r="AD399" s="91">
        <f>SUM(AD390:AD398)</f>
        <v>9772.73</v>
      </c>
      <c r="AE399" s="91">
        <f>SUM(AE390:AE398)</f>
        <v>44972.73</v>
      </c>
      <c r="AF399" s="76">
        <f>AF389+AD399-AE399</f>
        <v>150714.01999999999</v>
      </c>
    </row>
    <row r="400" spans="1:32" ht="8.25" customHeight="1" thickTop="1" x14ac:dyDescent="0.25">
      <c r="A400" s="51" t="s">
        <v>205</v>
      </c>
    </row>
    <row r="401" spans="1:32" ht="8.25" customHeight="1" x14ac:dyDescent="0.25">
      <c r="A401" s="51" t="s">
        <v>205</v>
      </c>
      <c r="X401" s="109"/>
      <c r="Y401" s="67" t="s">
        <v>214</v>
      </c>
      <c r="Z401" s="68"/>
      <c r="AA401" s="75"/>
    </row>
    <row r="402" spans="1:32" ht="8.25" customHeight="1" x14ac:dyDescent="0.25">
      <c r="A402" s="51" t="s">
        <v>205</v>
      </c>
      <c r="X402" s="110" t="s">
        <v>579</v>
      </c>
      <c r="Y402" s="111">
        <v>200</v>
      </c>
      <c r="Z402" s="111">
        <f t="shared" ref="Z402:Z407" si="40">X402*Y402</f>
        <v>20200</v>
      </c>
      <c r="AA402" s="112"/>
    </row>
    <row r="403" spans="1:32" ht="8.25" customHeight="1" x14ac:dyDescent="0.25">
      <c r="A403" s="51" t="s">
        <v>205</v>
      </c>
      <c r="X403" s="110" t="s">
        <v>667</v>
      </c>
      <c r="Y403" s="111">
        <v>100</v>
      </c>
      <c r="Z403" s="111">
        <f t="shared" si="40"/>
        <v>125400</v>
      </c>
      <c r="AA403" s="112"/>
    </row>
    <row r="404" spans="1:32" ht="8.25" customHeight="1" x14ac:dyDescent="0.25">
      <c r="A404" s="51" t="s">
        <v>205</v>
      </c>
      <c r="X404" s="110" t="s">
        <v>580</v>
      </c>
      <c r="Y404" s="111">
        <v>50</v>
      </c>
      <c r="Z404" s="111">
        <f t="shared" si="40"/>
        <v>3000</v>
      </c>
      <c r="AA404" s="76"/>
    </row>
    <row r="405" spans="1:32" ht="8.25" customHeight="1" x14ac:dyDescent="0.25">
      <c r="A405" s="51" t="s">
        <v>205</v>
      </c>
      <c r="X405" s="110" t="s">
        <v>120</v>
      </c>
      <c r="Y405" s="111">
        <v>20</v>
      </c>
      <c r="Z405" s="111">
        <f t="shared" si="40"/>
        <v>0</v>
      </c>
      <c r="AA405" s="38"/>
    </row>
    <row r="406" spans="1:32" ht="8.25" customHeight="1" x14ac:dyDescent="0.25">
      <c r="A406" s="51" t="s">
        <v>205</v>
      </c>
      <c r="X406" s="110" t="s">
        <v>581</v>
      </c>
      <c r="Y406" s="111">
        <v>10</v>
      </c>
      <c r="Z406" s="111">
        <f t="shared" si="40"/>
        <v>100</v>
      </c>
      <c r="AA406" s="112"/>
    </row>
    <row r="407" spans="1:32" ht="8.25" customHeight="1" x14ac:dyDescent="0.25">
      <c r="A407" s="51" t="s">
        <v>205</v>
      </c>
      <c r="X407" s="110" t="s">
        <v>582</v>
      </c>
      <c r="Y407" s="111">
        <v>5</v>
      </c>
      <c r="Z407" s="111">
        <f t="shared" si="40"/>
        <v>1490</v>
      </c>
      <c r="AA407" s="112"/>
    </row>
    <row r="408" spans="1:32" ht="8.25" customHeight="1" x14ac:dyDescent="0.25">
      <c r="A408" s="51" t="s">
        <v>205</v>
      </c>
      <c r="X408" s="269">
        <v>0</v>
      </c>
      <c r="Y408" s="270"/>
      <c r="Z408" s="271"/>
      <c r="AA408" s="38"/>
    </row>
    <row r="409" spans="1:32" ht="8.25" customHeight="1" x14ac:dyDescent="0.25">
      <c r="A409" s="51" t="s">
        <v>205</v>
      </c>
      <c r="X409" s="110" t="s">
        <v>626</v>
      </c>
      <c r="Y409" s="111">
        <v>1</v>
      </c>
      <c r="Z409" s="111">
        <f t="shared" ref="Z409:Z414" si="41">X409*Y409</f>
        <v>480</v>
      </c>
      <c r="AA409" s="76"/>
    </row>
    <row r="410" spans="1:32" ht="8.25" customHeight="1" x14ac:dyDescent="0.25">
      <c r="A410" s="51" t="s">
        <v>205</v>
      </c>
      <c r="X410" s="110" t="s">
        <v>231</v>
      </c>
      <c r="Y410" s="111">
        <v>0.5</v>
      </c>
      <c r="Z410" s="111">
        <f t="shared" si="41"/>
        <v>23</v>
      </c>
      <c r="AA410" s="112"/>
    </row>
    <row r="411" spans="1:32" ht="8.25" customHeight="1" x14ac:dyDescent="0.25">
      <c r="A411" s="51" t="s">
        <v>205</v>
      </c>
      <c r="X411" s="110" t="s">
        <v>563</v>
      </c>
      <c r="Y411" s="111">
        <v>0.25</v>
      </c>
      <c r="Z411" s="111">
        <f t="shared" si="41"/>
        <v>21</v>
      </c>
      <c r="AA411" s="113"/>
    </row>
    <row r="412" spans="1:32" ht="8.25" customHeight="1" x14ac:dyDescent="0.25">
      <c r="A412" s="51" t="s">
        <v>205</v>
      </c>
      <c r="X412" s="110"/>
      <c r="Y412" s="111">
        <v>0.1</v>
      </c>
      <c r="Z412" s="111">
        <f t="shared" si="41"/>
        <v>0</v>
      </c>
      <c r="AA412" s="114" t="s">
        <v>219</v>
      </c>
    </row>
    <row r="413" spans="1:32" ht="8.25" customHeight="1" thickBot="1" x14ac:dyDescent="0.3">
      <c r="A413" s="51" t="s">
        <v>205</v>
      </c>
      <c r="X413" s="110"/>
      <c r="Y413" s="111">
        <v>0.05</v>
      </c>
      <c r="Z413" s="111">
        <f t="shared" si="41"/>
        <v>0</v>
      </c>
      <c r="AA413" s="115">
        <f>SUM(Z402:Z407)+Z409+Z410+Z411+Z412+Z413+Z414</f>
        <v>150714.01999999999</v>
      </c>
    </row>
    <row r="414" spans="1:32" ht="8.25" customHeight="1" thickTop="1" x14ac:dyDescent="0.25">
      <c r="A414" s="51" t="s">
        <v>205</v>
      </c>
      <c r="X414" s="110" t="s">
        <v>224</v>
      </c>
      <c r="Y414" s="111">
        <v>0.01</v>
      </c>
      <c r="Z414" s="111">
        <f t="shared" si="41"/>
        <v>0.02</v>
      </c>
    </row>
    <row r="415" spans="1:32" ht="8.25" customHeight="1" x14ac:dyDescent="0.25">
      <c r="A415" s="51" t="s">
        <v>205</v>
      </c>
    </row>
    <row r="416" spans="1:32" ht="8.25" customHeight="1" x14ac:dyDescent="0.25">
      <c r="A416" s="51" t="s">
        <v>205</v>
      </c>
      <c r="AA416" s="75" t="s">
        <v>251</v>
      </c>
      <c r="AF416" s="76">
        <f>AF399</f>
        <v>150714.01999999999</v>
      </c>
    </row>
    <row r="417" spans="1:32" ht="8.25" customHeight="1" x14ac:dyDescent="0.25">
      <c r="A417" s="51" t="s">
        <v>205</v>
      </c>
      <c r="N417" s="52">
        <v>32</v>
      </c>
      <c r="T417" s="33">
        <v>46043</v>
      </c>
      <c r="U417" s="34">
        <v>2026</v>
      </c>
      <c r="V417" s="35" t="s">
        <v>12</v>
      </c>
      <c r="X417" s="37" t="s">
        <v>583</v>
      </c>
      <c r="Y417" s="36" t="s">
        <v>585</v>
      </c>
      <c r="Z417" s="30" t="s">
        <v>584</v>
      </c>
      <c r="AA417" s="30" t="s">
        <v>3899</v>
      </c>
      <c r="AD417" s="38">
        <v>6009.22</v>
      </c>
      <c r="AF417" s="76">
        <f t="shared" ref="AF417:AF429" si="42">AF416+AD417-AE417</f>
        <v>156723.24</v>
      </c>
    </row>
    <row r="418" spans="1:32" ht="8.25" customHeight="1" x14ac:dyDescent="0.15">
      <c r="A418" s="51" t="s">
        <v>205</v>
      </c>
      <c r="N418" s="52">
        <v>32</v>
      </c>
      <c r="T418" s="33">
        <v>46043</v>
      </c>
      <c r="U418" s="34">
        <v>2026</v>
      </c>
      <c r="V418" s="35" t="s">
        <v>12</v>
      </c>
      <c r="X418" s="37" t="s">
        <v>583</v>
      </c>
      <c r="Y418" s="36" t="s">
        <v>585</v>
      </c>
      <c r="Z418" s="30" t="s">
        <v>584</v>
      </c>
      <c r="AA418" s="134" t="s">
        <v>166</v>
      </c>
      <c r="AD418" s="38">
        <v>5790.78</v>
      </c>
      <c r="AF418" s="76">
        <f t="shared" si="42"/>
        <v>162514.01999999999</v>
      </c>
    </row>
    <row r="419" spans="1:32" ht="8.25" customHeight="1" x14ac:dyDescent="0.25">
      <c r="A419" s="51" t="s">
        <v>205</v>
      </c>
      <c r="J419" s="52">
        <v>1</v>
      </c>
      <c r="T419" s="33">
        <v>46043</v>
      </c>
      <c r="U419" s="34">
        <v>2026</v>
      </c>
      <c r="V419" s="35" t="s">
        <v>12</v>
      </c>
      <c r="W419" s="35" t="s">
        <v>17</v>
      </c>
      <c r="X419" s="37" t="s">
        <v>586</v>
      </c>
      <c r="Y419" s="36" t="s">
        <v>587</v>
      </c>
      <c r="Z419" s="30" t="s">
        <v>588</v>
      </c>
      <c r="AA419" s="30" t="s">
        <v>589</v>
      </c>
      <c r="AD419" s="38">
        <v>250162.5</v>
      </c>
      <c r="AF419" s="76">
        <f t="shared" si="42"/>
        <v>412676.52</v>
      </c>
    </row>
    <row r="420" spans="1:32" ht="8.25" customHeight="1" x14ac:dyDescent="0.15">
      <c r="A420" s="51" t="s">
        <v>205</v>
      </c>
      <c r="K420" s="52">
        <v>11</v>
      </c>
      <c r="T420" s="33">
        <v>46043</v>
      </c>
      <c r="U420" s="34">
        <v>2026</v>
      </c>
      <c r="V420" s="35" t="s">
        <v>12</v>
      </c>
      <c r="X420" s="37" t="s">
        <v>590</v>
      </c>
      <c r="Y420" s="36" t="s">
        <v>591</v>
      </c>
      <c r="Z420" s="30" t="s">
        <v>592</v>
      </c>
      <c r="AA420" s="136" t="s">
        <v>1787</v>
      </c>
      <c r="AD420" s="38">
        <v>100</v>
      </c>
      <c r="AF420" s="76">
        <f t="shared" si="42"/>
        <v>412776.52</v>
      </c>
    </row>
    <row r="421" spans="1:32" ht="8.25" customHeight="1" x14ac:dyDescent="0.25">
      <c r="A421" s="51" t="s">
        <v>205</v>
      </c>
      <c r="L421" s="52">
        <v>11</v>
      </c>
      <c r="T421" s="33">
        <v>46043</v>
      </c>
      <c r="U421" s="34">
        <v>2026</v>
      </c>
      <c r="V421" s="35" t="s">
        <v>12</v>
      </c>
      <c r="X421" s="37" t="s">
        <v>594</v>
      </c>
      <c r="Y421" s="36" t="s">
        <v>120</v>
      </c>
      <c r="Z421" s="30" t="s">
        <v>592</v>
      </c>
      <c r="AA421" s="30" t="s">
        <v>373</v>
      </c>
      <c r="AD421" s="38">
        <v>50</v>
      </c>
      <c r="AF421" s="76">
        <f t="shared" si="42"/>
        <v>412826.52</v>
      </c>
    </row>
    <row r="422" spans="1:32" ht="8.25" customHeight="1" x14ac:dyDescent="0.25">
      <c r="T422" s="144">
        <v>46043</v>
      </c>
      <c r="U422" s="145">
        <v>2026</v>
      </c>
      <c r="V422" s="146" t="s">
        <v>12</v>
      </c>
      <c r="W422" s="146"/>
      <c r="X422" s="158" t="s">
        <v>605</v>
      </c>
      <c r="Y422" s="172" t="s">
        <v>411</v>
      </c>
      <c r="Z422" s="148" t="s">
        <v>412</v>
      </c>
      <c r="AA422" s="148" t="s">
        <v>399</v>
      </c>
      <c r="AB422" s="148"/>
      <c r="AC422" s="173"/>
      <c r="AD422" s="143"/>
      <c r="AE422" s="143">
        <v>15600</v>
      </c>
      <c r="AF422" s="76">
        <f t="shared" si="42"/>
        <v>397226.52</v>
      </c>
    </row>
    <row r="423" spans="1:32" ht="8.25" customHeight="1" x14ac:dyDescent="0.25">
      <c r="A423" s="51" t="s">
        <v>205</v>
      </c>
      <c r="I423" s="52">
        <v>18</v>
      </c>
      <c r="T423" s="33">
        <v>46043</v>
      </c>
      <c r="U423" s="34">
        <v>2026</v>
      </c>
      <c r="V423" s="35" t="s">
        <v>12</v>
      </c>
      <c r="X423" s="37" t="s">
        <v>593</v>
      </c>
      <c r="Y423" s="36" t="s">
        <v>595</v>
      </c>
      <c r="Z423" s="30" t="s">
        <v>553</v>
      </c>
      <c r="AA423" s="30" t="s">
        <v>13</v>
      </c>
      <c r="AD423" s="38">
        <v>13000</v>
      </c>
      <c r="AF423" s="76">
        <f t="shared" si="42"/>
        <v>410226.52</v>
      </c>
    </row>
    <row r="424" spans="1:32" ht="8.25" customHeight="1" x14ac:dyDescent="0.25">
      <c r="A424" s="51" t="s">
        <v>205</v>
      </c>
      <c r="M424" s="52">
        <v>7</v>
      </c>
      <c r="T424" s="33">
        <v>46043</v>
      </c>
      <c r="U424" s="34">
        <v>2026</v>
      </c>
      <c r="V424" s="35" t="s">
        <v>12</v>
      </c>
      <c r="X424" s="37" t="s">
        <v>596</v>
      </c>
      <c r="Y424" s="36" t="s">
        <v>120</v>
      </c>
      <c r="Z424" s="30" t="s">
        <v>553</v>
      </c>
      <c r="AA424" s="30" t="s">
        <v>385</v>
      </c>
      <c r="AD424" s="38">
        <v>2600</v>
      </c>
      <c r="AF424" s="76">
        <f t="shared" si="42"/>
        <v>412826.52</v>
      </c>
    </row>
    <row r="425" spans="1:32" ht="8.25" customHeight="1" x14ac:dyDescent="0.25">
      <c r="A425" s="51" t="s">
        <v>205</v>
      </c>
      <c r="I425" s="52">
        <v>19</v>
      </c>
      <c r="T425" s="33">
        <v>46043</v>
      </c>
      <c r="U425" s="34">
        <v>2026</v>
      </c>
      <c r="V425" s="35" t="s">
        <v>12</v>
      </c>
      <c r="X425" s="37" t="s">
        <v>597</v>
      </c>
      <c r="Y425" s="36" t="s">
        <v>598</v>
      </c>
      <c r="Z425" s="30" t="s">
        <v>592</v>
      </c>
      <c r="AA425" s="30" t="s">
        <v>13</v>
      </c>
      <c r="AD425" s="38">
        <v>200</v>
      </c>
      <c r="AF425" s="76">
        <f t="shared" si="42"/>
        <v>413026.52</v>
      </c>
    </row>
    <row r="426" spans="1:32" ht="8.25" customHeight="1" x14ac:dyDescent="0.15">
      <c r="A426" s="51" t="s">
        <v>205</v>
      </c>
      <c r="K426" s="52">
        <v>12</v>
      </c>
      <c r="T426" s="33">
        <v>46043</v>
      </c>
      <c r="U426" s="34">
        <v>2026</v>
      </c>
      <c r="V426" s="35" t="s">
        <v>12</v>
      </c>
      <c r="X426" s="37" t="s">
        <v>599</v>
      </c>
      <c r="Y426" s="36" t="s">
        <v>600</v>
      </c>
      <c r="Z426" s="30" t="s">
        <v>601</v>
      </c>
      <c r="AA426" s="136" t="s">
        <v>1787</v>
      </c>
      <c r="AD426" s="38">
        <v>100</v>
      </c>
      <c r="AF426" s="76">
        <f t="shared" si="42"/>
        <v>413126.52</v>
      </c>
    </row>
    <row r="427" spans="1:32" ht="8.25" customHeight="1" x14ac:dyDescent="0.25">
      <c r="A427" s="51" t="s">
        <v>205</v>
      </c>
      <c r="L427" s="52">
        <v>12</v>
      </c>
      <c r="T427" s="33">
        <v>46043</v>
      </c>
      <c r="U427" s="34">
        <v>2026</v>
      </c>
      <c r="V427" s="35" t="s">
        <v>12</v>
      </c>
      <c r="X427" s="37" t="s">
        <v>602</v>
      </c>
      <c r="Y427" s="36" t="s">
        <v>120</v>
      </c>
      <c r="Z427" s="30" t="s">
        <v>601</v>
      </c>
      <c r="AA427" s="30" t="s">
        <v>373</v>
      </c>
      <c r="AD427" s="38">
        <v>50</v>
      </c>
      <c r="AF427" s="76">
        <f t="shared" si="42"/>
        <v>413176.52</v>
      </c>
    </row>
    <row r="428" spans="1:32" ht="8.25" customHeight="1" x14ac:dyDescent="0.25">
      <c r="A428" s="51" t="s">
        <v>205</v>
      </c>
      <c r="I428" s="52">
        <v>20</v>
      </c>
      <c r="T428" s="33">
        <v>46043</v>
      </c>
      <c r="U428" s="34">
        <v>2026</v>
      </c>
      <c r="V428" s="35" t="s">
        <v>12</v>
      </c>
      <c r="X428" s="37" t="s">
        <v>603</v>
      </c>
      <c r="Y428" s="36" t="s">
        <v>604</v>
      </c>
      <c r="Z428" s="30" t="s">
        <v>601</v>
      </c>
      <c r="AA428" s="30" t="s">
        <v>13</v>
      </c>
      <c r="AD428" s="38">
        <v>200</v>
      </c>
      <c r="AF428" s="76">
        <f t="shared" si="42"/>
        <v>413376.52</v>
      </c>
    </row>
    <row r="429" spans="1:32" ht="8.25" customHeight="1" x14ac:dyDescent="0.25">
      <c r="A429" s="51" t="s">
        <v>205</v>
      </c>
      <c r="R429" s="53">
        <v>22</v>
      </c>
      <c r="T429" s="33">
        <v>46043</v>
      </c>
      <c r="U429" s="34">
        <v>2026</v>
      </c>
      <c r="V429" s="35" t="s">
        <v>12</v>
      </c>
      <c r="X429" s="37" t="s">
        <v>606</v>
      </c>
      <c r="Y429" s="36" t="s">
        <v>115</v>
      </c>
      <c r="Z429" s="30" t="s">
        <v>16</v>
      </c>
      <c r="AA429" s="30" t="s">
        <v>92</v>
      </c>
      <c r="AE429" s="38">
        <v>1000</v>
      </c>
      <c r="AF429" s="76">
        <f t="shared" si="42"/>
        <v>412376.52</v>
      </c>
    </row>
    <row r="430" spans="1:32" ht="8.25" customHeight="1" thickBot="1" x14ac:dyDescent="0.3">
      <c r="A430" s="51" t="s">
        <v>205</v>
      </c>
      <c r="AA430" s="75" t="s">
        <v>257</v>
      </c>
      <c r="AD430" s="91">
        <f>SUM(AD417:AD429)</f>
        <v>278262.5</v>
      </c>
      <c r="AE430" s="91">
        <f>SUM(AE417:AE429)</f>
        <v>16600</v>
      </c>
      <c r="AF430" s="76">
        <f>AF416+AD430-AE430</f>
        <v>412376.52</v>
      </c>
    </row>
    <row r="431" spans="1:32" ht="8.25" customHeight="1" thickTop="1" x14ac:dyDescent="0.25">
      <c r="A431" s="51" t="s">
        <v>205</v>
      </c>
      <c r="X431" s="109"/>
      <c r="Y431" s="67" t="s">
        <v>214</v>
      </c>
      <c r="Z431" s="68"/>
      <c r="AA431" s="75"/>
    </row>
    <row r="432" spans="1:32" ht="8.25" customHeight="1" x14ac:dyDescent="0.25">
      <c r="A432" s="51" t="s">
        <v>205</v>
      </c>
      <c r="X432" s="110" t="s">
        <v>488</v>
      </c>
      <c r="Y432" s="111">
        <v>200</v>
      </c>
      <c r="Z432" s="111">
        <f t="shared" ref="Z432:Z437" si="43">X432*Y432</f>
        <v>20400</v>
      </c>
      <c r="AA432" s="112"/>
    </row>
    <row r="433" spans="1:32" ht="8.25" customHeight="1" x14ac:dyDescent="0.25">
      <c r="A433" s="51" t="s">
        <v>205</v>
      </c>
      <c r="X433" s="110" t="s">
        <v>668</v>
      </c>
      <c r="Y433" s="111">
        <v>100</v>
      </c>
      <c r="Z433" s="111">
        <f t="shared" si="43"/>
        <v>387000</v>
      </c>
      <c r="AA433" s="112"/>
    </row>
    <row r="434" spans="1:32" ht="8.25" customHeight="1" x14ac:dyDescent="0.25">
      <c r="A434" s="51" t="s">
        <v>205</v>
      </c>
      <c r="X434" s="110" t="s">
        <v>608</v>
      </c>
      <c r="Y434" s="111">
        <v>50</v>
      </c>
      <c r="Z434" s="111">
        <f t="shared" si="43"/>
        <v>2750</v>
      </c>
      <c r="AA434" s="76"/>
    </row>
    <row r="435" spans="1:32" ht="8.25" customHeight="1" x14ac:dyDescent="0.25">
      <c r="A435" s="51" t="s">
        <v>205</v>
      </c>
      <c r="X435" s="110" t="s">
        <v>222</v>
      </c>
      <c r="Y435" s="111">
        <v>20</v>
      </c>
      <c r="Z435" s="111">
        <f t="shared" si="43"/>
        <v>20</v>
      </c>
      <c r="AA435" s="38"/>
    </row>
    <row r="436" spans="1:32" ht="8.25" customHeight="1" x14ac:dyDescent="0.25">
      <c r="A436" s="51" t="s">
        <v>205</v>
      </c>
      <c r="X436" s="110" t="s">
        <v>669</v>
      </c>
      <c r="Y436" s="111">
        <v>10</v>
      </c>
      <c r="Z436" s="111">
        <f t="shared" si="43"/>
        <v>190</v>
      </c>
      <c r="AA436" s="112"/>
    </row>
    <row r="437" spans="1:32" ht="8.25" customHeight="1" x14ac:dyDescent="0.25">
      <c r="A437" s="51" t="s">
        <v>205</v>
      </c>
      <c r="X437" s="110" t="s">
        <v>582</v>
      </c>
      <c r="Y437" s="111">
        <v>5</v>
      </c>
      <c r="Z437" s="111">
        <f t="shared" si="43"/>
        <v>1490</v>
      </c>
      <c r="AA437" s="112"/>
    </row>
    <row r="438" spans="1:32" ht="8.25" customHeight="1" x14ac:dyDescent="0.25">
      <c r="A438" s="51" t="s">
        <v>205</v>
      </c>
      <c r="X438" s="269">
        <v>0</v>
      </c>
      <c r="Y438" s="270"/>
      <c r="Z438" s="271"/>
      <c r="AA438" s="38"/>
    </row>
    <row r="439" spans="1:32" ht="8.25" customHeight="1" x14ac:dyDescent="0.25">
      <c r="A439" s="51" t="s">
        <v>205</v>
      </c>
      <c r="X439" s="110" t="s">
        <v>609</v>
      </c>
      <c r="Y439" s="111">
        <v>1</v>
      </c>
      <c r="Z439" s="111">
        <f t="shared" ref="Z439:Z444" si="44">X439*Y439</f>
        <v>482</v>
      </c>
      <c r="AA439" s="76"/>
    </row>
    <row r="440" spans="1:32" ht="8.25" customHeight="1" x14ac:dyDescent="0.25">
      <c r="A440" s="51" t="s">
        <v>205</v>
      </c>
      <c r="X440" s="110" t="s">
        <v>250</v>
      </c>
      <c r="Y440" s="111">
        <v>0.5</v>
      </c>
      <c r="Z440" s="111">
        <f t="shared" si="44"/>
        <v>23.5</v>
      </c>
      <c r="AA440" s="112"/>
    </row>
    <row r="441" spans="1:32" ht="8.25" customHeight="1" x14ac:dyDescent="0.25">
      <c r="A441" s="51" t="s">
        <v>205</v>
      </c>
      <c r="X441" s="110" t="s">
        <v>563</v>
      </c>
      <c r="Y441" s="111">
        <v>0.25</v>
      </c>
      <c r="Z441" s="111">
        <f t="shared" si="44"/>
        <v>21</v>
      </c>
      <c r="AA441" s="113"/>
    </row>
    <row r="442" spans="1:32" ht="8.25" customHeight="1" x14ac:dyDescent="0.25">
      <c r="A442" s="51" t="s">
        <v>205</v>
      </c>
      <c r="X442" s="110"/>
      <c r="Y442" s="111">
        <v>0.1</v>
      </c>
      <c r="Z442" s="111">
        <f t="shared" si="44"/>
        <v>0</v>
      </c>
      <c r="AA442" s="114" t="s">
        <v>219</v>
      </c>
    </row>
    <row r="443" spans="1:32" ht="8.25" customHeight="1" thickBot="1" x14ac:dyDescent="0.3">
      <c r="A443" s="51" t="s">
        <v>205</v>
      </c>
      <c r="X443" s="110"/>
      <c r="Y443" s="111">
        <v>0.05</v>
      </c>
      <c r="Z443" s="111">
        <f t="shared" si="44"/>
        <v>0</v>
      </c>
      <c r="AA443" s="115">
        <f>SUM(Z432:Z437)+Z439+Z440+Z441+Z442+Z443+Z444</f>
        <v>412376.52</v>
      </c>
    </row>
    <row r="444" spans="1:32" ht="8.25" customHeight="1" thickTop="1" x14ac:dyDescent="0.25">
      <c r="A444" s="51" t="s">
        <v>205</v>
      </c>
      <c r="X444" s="110" t="s">
        <v>224</v>
      </c>
      <c r="Y444" s="111">
        <v>0.01</v>
      </c>
      <c r="Z444" s="111">
        <f t="shared" si="44"/>
        <v>0.02</v>
      </c>
    </row>
    <row r="445" spans="1:32" ht="8.25" customHeight="1" x14ac:dyDescent="0.25">
      <c r="X445" s="170"/>
      <c r="Y445" s="171"/>
      <c r="Z445" s="171"/>
      <c r="AA445" s="75" t="s">
        <v>251</v>
      </c>
      <c r="AF445" s="76">
        <f>AF430</f>
        <v>412376.52</v>
      </c>
    </row>
    <row r="446" spans="1:32" ht="8.25" customHeight="1" x14ac:dyDescent="0.25">
      <c r="A446" s="51" t="s">
        <v>205</v>
      </c>
      <c r="R446" s="53">
        <v>23</v>
      </c>
      <c r="T446" s="144">
        <v>46044</v>
      </c>
      <c r="U446" s="145">
        <v>2026</v>
      </c>
      <c r="V446" s="146" t="s">
        <v>12</v>
      </c>
      <c r="W446" s="146"/>
      <c r="X446" s="158" t="s">
        <v>615</v>
      </c>
      <c r="Y446" s="172" t="s">
        <v>411</v>
      </c>
      <c r="Z446" s="148" t="s">
        <v>412</v>
      </c>
      <c r="AA446" s="148" t="s">
        <v>399</v>
      </c>
      <c r="AB446" s="148"/>
      <c r="AC446" s="173"/>
      <c r="AD446" s="143"/>
      <c r="AE446" s="143">
        <v>41681.22</v>
      </c>
      <c r="AF446" s="143">
        <f t="shared" ref="AF446:AF452" si="45">AF445+AD446-AE446</f>
        <v>370695.30000000005</v>
      </c>
    </row>
    <row r="447" spans="1:32" ht="8.25" customHeight="1" x14ac:dyDescent="0.25">
      <c r="A447" s="51" t="s">
        <v>205</v>
      </c>
      <c r="I447" s="52">
        <v>21</v>
      </c>
      <c r="T447" s="33">
        <v>46044</v>
      </c>
      <c r="U447" s="34">
        <v>2026</v>
      </c>
      <c r="V447" s="35" t="s">
        <v>12</v>
      </c>
      <c r="X447" s="37" t="s">
        <v>610</v>
      </c>
      <c r="Y447" s="36" t="s">
        <v>376</v>
      </c>
      <c r="Z447" s="30" t="s">
        <v>372</v>
      </c>
      <c r="AA447" s="30" t="s">
        <v>13</v>
      </c>
      <c r="AD447" s="38">
        <v>33481.39</v>
      </c>
      <c r="AF447" s="76">
        <f t="shared" si="45"/>
        <v>404176.69000000006</v>
      </c>
    </row>
    <row r="448" spans="1:32" ht="8.25" customHeight="1" x14ac:dyDescent="0.25">
      <c r="A448" s="51" t="s">
        <v>205</v>
      </c>
      <c r="M448" s="52">
        <v>8</v>
      </c>
      <c r="T448" s="33">
        <v>46044</v>
      </c>
      <c r="U448" s="34">
        <v>2026</v>
      </c>
      <c r="V448" s="35" t="s">
        <v>12</v>
      </c>
      <c r="X448" s="37" t="s">
        <v>611</v>
      </c>
      <c r="Y448" s="36" t="s">
        <v>120</v>
      </c>
      <c r="Z448" s="30" t="s">
        <v>372</v>
      </c>
      <c r="AA448" s="30" t="s">
        <v>385</v>
      </c>
      <c r="AD448" s="38">
        <v>8199.83</v>
      </c>
      <c r="AF448" s="76">
        <f t="shared" si="45"/>
        <v>412376.52000000008</v>
      </c>
    </row>
    <row r="449" spans="1:32" ht="8.25" customHeight="1" x14ac:dyDescent="0.25">
      <c r="A449" s="51" t="s">
        <v>205</v>
      </c>
      <c r="R449" s="53">
        <v>24</v>
      </c>
      <c r="T449" s="144">
        <v>46044</v>
      </c>
      <c r="U449" s="145">
        <v>2026</v>
      </c>
      <c r="V449" s="146" t="s">
        <v>12</v>
      </c>
      <c r="W449" s="146"/>
      <c r="X449" s="158" t="s">
        <v>614</v>
      </c>
      <c r="Y449" s="172" t="s">
        <v>411</v>
      </c>
      <c r="Z449" s="148" t="s">
        <v>412</v>
      </c>
      <c r="AA449" s="148" t="s">
        <v>399</v>
      </c>
      <c r="AB449" s="148"/>
      <c r="AC449" s="173"/>
      <c r="AD449" s="143"/>
      <c r="AE449" s="143">
        <v>148310.07999999999</v>
      </c>
      <c r="AF449" s="143">
        <f t="shared" si="45"/>
        <v>264066.44000000006</v>
      </c>
    </row>
    <row r="450" spans="1:32" ht="8.25" customHeight="1" x14ac:dyDescent="0.25">
      <c r="A450" s="51" t="s">
        <v>205</v>
      </c>
      <c r="N450" s="52">
        <v>33</v>
      </c>
      <c r="T450" s="33">
        <v>46044</v>
      </c>
      <c r="U450" s="34">
        <v>2026</v>
      </c>
      <c r="V450" s="35" t="s">
        <v>12</v>
      </c>
      <c r="X450" s="37" t="s">
        <v>612</v>
      </c>
      <c r="Y450" s="36" t="s">
        <v>613</v>
      </c>
      <c r="Z450" s="30" t="s">
        <v>372</v>
      </c>
      <c r="AA450" s="30" t="s">
        <v>3899</v>
      </c>
      <c r="AD450" s="38">
        <v>147727.26999999999</v>
      </c>
      <c r="AF450" s="76">
        <f t="shared" si="45"/>
        <v>411793.71000000008</v>
      </c>
    </row>
    <row r="451" spans="1:32" ht="8.25" customHeight="1" x14ac:dyDescent="0.15">
      <c r="A451" s="51" t="s">
        <v>205</v>
      </c>
      <c r="N451" s="52">
        <v>33</v>
      </c>
      <c r="T451" s="33">
        <v>46044</v>
      </c>
      <c r="U451" s="34">
        <v>2026</v>
      </c>
      <c r="V451" s="35" t="s">
        <v>12</v>
      </c>
      <c r="X451" s="37" t="s">
        <v>612</v>
      </c>
      <c r="Y451" s="36" t="s">
        <v>613</v>
      </c>
      <c r="Z451" s="30" t="s">
        <v>372</v>
      </c>
      <c r="AA451" s="134" t="s">
        <v>166</v>
      </c>
      <c r="AD451" s="38">
        <v>582.80999999999995</v>
      </c>
      <c r="AF451" s="76">
        <f t="shared" si="45"/>
        <v>412376.52000000008</v>
      </c>
    </row>
    <row r="452" spans="1:32" ht="8.25" customHeight="1" x14ac:dyDescent="0.25">
      <c r="A452" s="51" t="s">
        <v>205</v>
      </c>
      <c r="T452" s="33">
        <v>46044</v>
      </c>
      <c r="Y452" s="36" t="s">
        <v>616</v>
      </c>
      <c r="AF452" s="76">
        <f t="shared" si="45"/>
        <v>412376.52000000008</v>
      </c>
    </row>
    <row r="453" spans="1:32" ht="8.25" customHeight="1" thickBot="1" x14ac:dyDescent="0.3">
      <c r="A453" s="51" t="s">
        <v>205</v>
      </c>
      <c r="AA453" s="75" t="s">
        <v>257</v>
      </c>
      <c r="AD453" s="91">
        <f>SUM(AD446:AD452)</f>
        <v>189991.3</v>
      </c>
      <c r="AE453" s="91">
        <f>SUM(AE446:AE452)</f>
        <v>189991.3</v>
      </c>
      <c r="AF453" s="76">
        <f>AF445+AD453-AE453</f>
        <v>412376.52000000008</v>
      </c>
    </row>
    <row r="454" spans="1:32" ht="8.25" customHeight="1" thickTop="1" x14ac:dyDescent="0.25">
      <c r="A454" s="51" t="s">
        <v>205</v>
      </c>
    </row>
    <row r="455" spans="1:32" ht="8.25" customHeight="1" x14ac:dyDescent="0.25">
      <c r="A455" s="51" t="s">
        <v>205</v>
      </c>
      <c r="X455" s="109"/>
      <c r="Y455" s="67" t="s">
        <v>214</v>
      </c>
      <c r="Z455" s="68"/>
      <c r="AA455" s="75"/>
    </row>
    <row r="456" spans="1:32" ht="8.25" customHeight="1" x14ac:dyDescent="0.25">
      <c r="A456" s="51" t="s">
        <v>205</v>
      </c>
      <c r="X456" s="110" t="s">
        <v>488</v>
      </c>
      <c r="Y456" s="111">
        <v>200</v>
      </c>
      <c r="Z456" s="111">
        <f t="shared" ref="Z456:Z461" si="46">X456*Y456</f>
        <v>20400</v>
      </c>
      <c r="AA456" s="112"/>
    </row>
    <row r="457" spans="1:32" ht="8.25" customHeight="1" x14ac:dyDescent="0.25">
      <c r="A457" s="51" t="s">
        <v>205</v>
      </c>
      <c r="X457" s="110" t="s">
        <v>668</v>
      </c>
      <c r="Y457" s="111">
        <v>100</v>
      </c>
      <c r="Z457" s="111">
        <f t="shared" si="46"/>
        <v>387000</v>
      </c>
      <c r="AA457" s="112"/>
    </row>
    <row r="458" spans="1:32" ht="8.25" customHeight="1" x14ac:dyDescent="0.25">
      <c r="A458" s="51" t="s">
        <v>205</v>
      </c>
      <c r="X458" s="110" t="s">
        <v>608</v>
      </c>
      <c r="Y458" s="111">
        <v>50</v>
      </c>
      <c r="Z458" s="111">
        <f t="shared" si="46"/>
        <v>2750</v>
      </c>
      <c r="AA458" s="76"/>
    </row>
    <row r="459" spans="1:32" ht="8.25" customHeight="1" x14ac:dyDescent="0.25">
      <c r="A459" s="51" t="s">
        <v>205</v>
      </c>
      <c r="X459" s="110" t="s">
        <v>222</v>
      </c>
      <c r="Y459" s="111">
        <v>20</v>
      </c>
      <c r="Z459" s="111">
        <f t="shared" si="46"/>
        <v>20</v>
      </c>
      <c r="AA459" s="38"/>
    </row>
    <row r="460" spans="1:32" ht="8.25" customHeight="1" x14ac:dyDescent="0.25">
      <c r="A460" s="51" t="s">
        <v>205</v>
      </c>
      <c r="X460" s="110" t="s">
        <v>669</v>
      </c>
      <c r="Y460" s="111">
        <v>10</v>
      </c>
      <c r="Z460" s="111">
        <f t="shared" si="46"/>
        <v>190</v>
      </c>
      <c r="AA460" s="112"/>
    </row>
    <row r="461" spans="1:32" ht="8.25" customHeight="1" x14ac:dyDescent="0.25">
      <c r="A461" s="51" t="s">
        <v>205</v>
      </c>
      <c r="X461" s="110" t="s">
        <v>582</v>
      </c>
      <c r="Y461" s="111">
        <v>5</v>
      </c>
      <c r="Z461" s="111">
        <f t="shared" si="46"/>
        <v>1490</v>
      </c>
      <c r="AA461" s="112"/>
    </row>
    <row r="462" spans="1:32" ht="8.25" customHeight="1" x14ac:dyDescent="0.25">
      <c r="A462" s="51" t="s">
        <v>205</v>
      </c>
      <c r="X462" s="269">
        <v>0</v>
      </c>
      <c r="Y462" s="270"/>
      <c r="Z462" s="271"/>
      <c r="AA462" s="38"/>
      <c r="AD462" s="174"/>
    </row>
    <row r="463" spans="1:32" ht="8.25" customHeight="1" x14ac:dyDescent="0.25">
      <c r="A463" s="51" t="s">
        <v>205</v>
      </c>
      <c r="X463" s="110" t="s">
        <v>609</v>
      </c>
      <c r="Y463" s="111">
        <v>1</v>
      </c>
      <c r="Z463" s="111">
        <f t="shared" ref="Z463:Z468" si="47">X463*Y463</f>
        <v>482</v>
      </c>
      <c r="AA463" s="76"/>
    </row>
    <row r="464" spans="1:32" ht="8.25" customHeight="1" x14ac:dyDescent="0.25">
      <c r="A464" s="51" t="s">
        <v>205</v>
      </c>
      <c r="X464" s="110" t="s">
        <v>250</v>
      </c>
      <c r="Y464" s="111">
        <v>0.5</v>
      </c>
      <c r="Z464" s="111">
        <f t="shared" si="47"/>
        <v>23.5</v>
      </c>
      <c r="AA464" s="112"/>
    </row>
    <row r="465" spans="1:32" ht="8.25" customHeight="1" x14ac:dyDescent="0.25">
      <c r="A465" s="51" t="s">
        <v>205</v>
      </c>
      <c r="X465" s="110" t="s">
        <v>563</v>
      </c>
      <c r="Y465" s="111">
        <v>0.25</v>
      </c>
      <c r="Z465" s="111">
        <f t="shared" si="47"/>
        <v>21</v>
      </c>
      <c r="AA465" s="113"/>
    </row>
    <row r="466" spans="1:32" ht="8.25" customHeight="1" x14ac:dyDescent="0.25">
      <c r="A466" s="51" t="s">
        <v>205</v>
      </c>
      <c r="X466" s="110"/>
      <c r="Y466" s="111">
        <v>0.1</v>
      </c>
      <c r="Z466" s="111">
        <f t="shared" si="47"/>
        <v>0</v>
      </c>
      <c r="AA466" s="114" t="s">
        <v>219</v>
      </c>
    </row>
    <row r="467" spans="1:32" ht="8.25" customHeight="1" thickBot="1" x14ac:dyDescent="0.3">
      <c r="A467" s="51" t="s">
        <v>205</v>
      </c>
      <c r="X467" s="110"/>
      <c r="Y467" s="111">
        <v>0.05</v>
      </c>
      <c r="Z467" s="111">
        <f t="shared" si="47"/>
        <v>0</v>
      </c>
      <c r="AA467" s="115">
        <f>SUM(Z456:Z461)+Z463+Z464+Z465+Z466+Z467+Z468</f>
        <v>412376.52</v>
      </c>
    </row>
    <row r="468" spans="1:32" ht="8.25" customHeight="1" thickTop="1" x14ac:dyDescent="0.25">
      <c r="A468" s="51" t="s">
        <v>205</v>
      </c>
      <c r="X468" s="110" t="s">
        <v>224</v>
      </c>
      <c r="Y468" s="111">
        <v>0.01</v>
      </c>
      <c r="Z468" s="111">
        <f t="shared" si="47"/>
        <v>0.02</v>
      </c>
    </row>
    <row r="469" spans="1:32" ht="8.25" customHeight="1" x14ac:dyDescent="0.25">
      <c r="A469" s="51" t="s">
        <v>205</v>
      </c>
    </row>
    <row r="470" spans="1:32" ht="8.25" customHeight="1" x14ac:dyDescent="0.25">
      <c r="A470" s="51" t="s">
        <v>205</v>
      </c>
      <c r="AA470" s="75" t="s">
        <v>251</v>
      </c>
      <c r="AF470" s="76">
        <f>AF453</f>
        <v>412376.52000000008</v>
      </c>
    </row>
    <row r="471" spans="1:32" ht="8.25" customHeight="1" x14ac:dyDescent="0.25">
      <c r="A471" s="51" t="s">
        <v>205</v>
      </c>
      <c r="R471" s="53">
        <v>26</v>
      </c>
      <c r="AF471" s="76">
        <f t="shared" ref="AF471:AF473" si="48">AF470+AD471-AE471</f>
        <v>412376.52000000008</v>
      </c>
    </row>
    <row r="472" spans="1:32" ht="8.25" customHeight="1" x14ac:dyDescent="0.25">
      <c r="A472" s="51" t="s">
        <v>205</v>
      </c>
      <c r="R472" s="53">
        <v>27</v>
      </c>
      <c r="T472" s="178">
        <v>46045</v>
      </c>
      <c r="U472" s="179">
        <v>2026</v>
      </c>
      <c r="V472" s="180" t="s">
        <v>12</v>
      </c>
      <c r="W472" s="180"/>
      <c r="X472" s="181" t="s">
        <v>617</v>
      </c>
      <c r="Y472" s="182" t="s">
        <v>411</v>
      </c>
      <c r="Z472" s="183" t="s">
        <v>412</v>
      </c>
      <c r="AA472" s="183" t="s">
        <v>618</v>
      </c>
      <c r="AB472" s="183"/>
      <c r="AC472" s="184"/>
      <c r="AD472" s="177"/>
      <c r="AE472" s="177">
        <v>70000</v>
      </c>
      <c r="AF472" s="177">
        <f t="shared" si="48"/>
        <v>342376.52000000008</v>
      </c>
    </row>
    <row r="473" spans="1:32" ht="8.25" customHeight="1" x14ac:dyDescent="0.25">
      <c r="A473" s="51" t="s">
        <v>205</v>
      </c>
      <c r="I473" s="52">
        <v>22</v>
      </c>
      <c r="T473" s="33">
        <v>46045</v>
      </c>
      <c r="U473" s="34">
        <v>2026</v>
      </c>
      <c r="V473" s="35" t="s">
        <v>12</v>
      </c>
      <c r="X473" s="37" t="s">
        <v>621</v>
      </c>
      <c r="Y473" s="36" t="s">
        <v>364</v>
      </c>
      <c r="Z473" s="30" t="s">
        <v>365</v>
      </c>
      <c r="AA473" s="30" t="s">
        <v>13</v>
      </c>
      <c r="AD473" s="38">
        <v>600</v>
      </c>
      <c r="AF473" s="76">
        <f t="shared" si="48"/>
        <v>342976.52000000008</v>
      </c>
    </row>
    <row r="474" spans="1:32" ht="8.25" customHeight="1" thickBot="1" x14ac:dyDescent="0.3">
      <c r="A474" s="51" t="s">
        <v>205</v>
      </c>
      <c r="AA474" s="75" t="s">
        <v>257</v>
      </c>
      <c r="AD474" s="91">
        <f>SUM(AD471:AD473)</f>
        <v>600</v>
      </c>
      <c r="AE474" s="91">
        <f>SUM(AE471:AE473)</f>
        <v>70000</v>
      </c>
      <c r="AF474" s="76">
        <f>AF470+AD474-AE474</f>
        <v>342976.52000000008</v>
      </c>
    </row>
    <row r="475" spans="1:32" ht="8.25" customHeight="1" thickTop="1" x14ac:dyDescent="0.25">
      <c r="A475" s="51" t="s">
        <v>205</v>
      </c>
      <c r="X475" s="109"/>
      <c r="Y475" s="67" t="s">
        <v>214</v>
      </c>
      <c r="Z475" s="68"/>
      <c r="AA475" s="75"/>
    </row>
    <row r="476" spans="1:32" ht="8.25" customHeight="1" x14ac:dyDescent="0.25">
      <c r="A476" s="51" t="s">
        <v>205</v>
      </c>
      <c r="X476" s="110" t="s">
        <v>120</v>
      </c>
      <c r="Y476" s="111">
        <v>200</v>
      </c>
      <c r="Z476" s="111">
        <f t="shared" ref="Z476:Z481" si="49">X476*Y476</f>
        <v>0</v>
      </c>
      <c r="AA476" s="112"/>
    </row>
    <row r="477" spans="1:32" ht="8.25" customHeight="1" x14ac:dyDescent="0.25">
      <c r="A477" s="51" t="s">
        <v>205</v>
      </c>
      <c r="X477" s="110" t="s">
        <v>1100</v>
      </c>
      <c r="Y477" s="111">
        <v>100</v>
      </c>
      <c r="Z477" s="111">
        <f t="shared" si="49"/>
        <v>338100</v>
      </c>
      <c r="AA477" s="112"/>
    </row>
    <row r="478" spans="1:32" ht="8.25" customHeight="1" x14ac:dyDescent="0.25">
      <c r="A478" s="51" t="s">
        <v>205</v>
      </c>
      <c r="X478" s="110" t="s">
        <v>619</v>
      </c>
      <c r="Y478" s="111">
        <v>50</v>
      </c>
      <c r="Z478" s="111">
        <f t="shared" si="49"/>
        <v>2700</v>
      </c>
      <c r="AA478" s="76"/>
    </row>
    <row r="479" spans="1:32" ht="8.25" customHeight="1" x14ac:dyDescent="0.25">
      <c r="A479" s="51" t="s">
        <v>205</v>
      </c>
      <c r="X479" s="110" t="s">
        <v>222</v>
      </c>
      <c r="Y479" s="111">
        <v>20</v>
      </c>
      <c r="Z479" s="111">
        <f t="shared" si="49"/>
        <v>20</v>
      </c>
      <c r="AA479" s="38"/>
    </row>
    <row r="480" spans="1:32" ht="8.25" customHeight="1" x14ac:dyDescent="0.25">
      <c r="A480" s="51" t="s">
        <v>205</v>
      </c>
      <c r="X480" s="110" t="s">
        <v>216</v>
      </c>
      <c r="Y480" s="111">
        <v>10</v>
      </c>
      <c r="Z480" s="111">
        <f t="shared" si="49"/>
        <v>150</v>
      </c>
      <c r="AA480" s="112"/>
    </row>
    <row r="481" spans="1:32" ht="8.25" customHeight="1" x14ac:dyDescent="0.25">
      <c r="A481" s="51" t="s">
        <v>205</v>
      </c>
      <c r="X481" s="110" t="s">
        <v>607</v>
      </c>
      <c r="Y481" s="111">
        <v>5</v>
      </c>
      <c r="Z481" s="111">
        <f t="shared" si="49"/>
        <v>1485</v>
      </c>
      <c r="AA481" s="112"/>
    </row>
    <row r="482" spans="1:32" ht="8.25" customHeight="1" x14ac:dyDescent="0.25">
      <c r="A482" s="51" t="s">
        <v>205</v>
      </c>
      <c r="X482" s="269">
        <v>0</v>
      </c>
      <c r="Y482" s="270"/>
      <c r="Z482" s="271"/>
      <c r="AA482" s="38"/>
    </row>
    <row r="483" spans="1:32" ht="8.25" customHeight="1" x14ac:dyDescent="0.25">
      <c r="A483" s="51" t="s">
        <v>205</v>
      </c>
      <c r="X483" s="110" t="s">
        <v>696</v>
      </c>
      <c r="Y483" s="111">
        <v>1</v>
      </c>
      <c r="Z483" s="111">
        <f t="shared" ref="Z483:Z488" si="50">X483*Y483</f>
        <v>477</v>
      </c>
      <c r="AA483" s="76"/>
    </row>
    <row r="484" spans="1:32" ht="8.25" customHeight="1" x14ac:dyDescent="0.25">
      <c r="A484" s="51" t="s">
        <v>205</v>
      </c>
      <c r="X484" s="110" t="s">
        <v>250</v>
      </c>
      <c r="Y484" s="111">
        <v>0.5</v>
      </c>
      <c r="Z484" s="111">
        <f t="shared" si="50"/>
        <v>23.5</v>
      </c>
      <c r="AA484" s="112"/>
    </row>
    <row r="485" spans="1:32" ht="8.25" customHeight="1" x14ac:dyDescent="0.25">
      <c r="A485" s="51" t="s">
        <v>205</v>
      </c>
      <c r="X485" s="110" t="s">
        <v>563</v>
      </c>
      <c r="Y485" s="111">
        <v>0.25</v>
      </c>
      <c r="Z485" s="111">
        <f t="shared" si="50"/>
        <v>21</v>
      </c>
      <c r="AA485" s="113"/>
    </row>
    <row r="486" spans="1:32" ht="8.25" customHeight="1" x14ac:dyDescent="0.25">
      <c r="A486" s="51" t="s">
        <v>205</v>
      </c>
      <c r="X486" s="110"/>
      <c r="Y486" s="111">
        <v>0.1</v>
      </c>
      <c r="Z486" s="111">
        <f t="shared" si="50"/>
        <v>0</v>
      </c>
      <c r="AA486" s="114" t="s">
        <v>219</v>
      </c>
    </row>
    <row r="487" spans="1:32" ht="8.25" customHeight="1" thickBot="1" x14ac:dyDescent="0.3">
      <c r="A487" s="51" t="s">
        <v>205</v>
      </c>
      <c r="X487" s="110"/>
      <c r="Y487" s="111">
        <v>0.05</v>
      </c>
      <c r="Z487" s="111">
        <f t="shared" si="50"/>
        <v>0</v>
      </c>
      <c r="AA487" s="115">
        <f>SUM(Z476:Z481)+Z483+Z484+Z485+Z486+Z487+Z488</f>
        <v>342976.52</v>
      </c>
    </row>
    <row r="488" spans="1:32" ht="8.25" customHeight="1" thickTop="1" x14ac:dyDescent="0.25">
      <c r="A488" s="51" t="s">
        <v>205</v>
      </c>
      <c r="X488" s="110" t="s">
        <v>224</v>
      </c>
      <c r="Y488" s="111">
        <v>0.01</v>
      </c>
      <c r="Z488" s="111">
        <f t="shared" si="50"/>
        <v>0.02</v>
      </c>
    </row>
    <row r="489" spans="1:32" ht="8.25" customHeight="1" x14ac:dyDescent="0.25">
      <c r="A489" s="51" t="s">
        <v>205</v>
      </c>
    </row>
    <row r="490" spans="1:32" ht="8.25" customHeight="1" x14ac:dyDescent="0.25">
      <c r="A490" s="51" t="s">
        <v>205</v>
      </c>
      <c r="AA490" s="75" t="s">
        <v>251</v>
      </c>
      <c r="AF490" s="76">
        <f>AF474</f>
        <v>342976.52000000008</v>
      </c>
    </row>
    <row r="491" spans="1:32" ht="8.25" customHeight="1" x14ac:dyDescent="0.25">
      <c r="A491" s="51" t="s">
        <v>205</v>
      </c>
      <c r="N491" s="52">
        <v>34</v>
      </c>
      <c r="T491" s="33">
        <v>46046</v>
      </c>
      <c r="U491" s="34">
        <v>2026</v>
      </c>
      <c r="V491" s="35" t="s">
        <v>12</v>
      </c>
      <c r="X491" s="37" t="s">
        <v>622</v>
      </c>
      <c r="Y491" s="36" t="s">
        <v>623</v>
      </c>
      <c r="Z491" s="30" t="s">
        <v>495</v>
      </c>
      <c r="AA491" s="30" t="s">
        <v>3899</v>
      </c>
      <c r="AD491" s="38">
        <v>3528.18</v>
      </c>
      <c r="AF491" s="76">
        <f t="shared" ref="AF491" si="51">AF490+AD491-AE491</f>
        <v>346504.70000000007</v>
      </c>
    </row>
    <row r="492" spans="1:32" ht="8.25" customHeight="1" x14ac:dyDescent="0.15">
      <c r="A492" s="51" t="s">
        <v>205</v>
      </c>
      <c r="N492" s="52">
        <v>34</v>
      </c>
      <c r="T492" s="33">
        <v>46046</v>
      </c>
      <c r="U492" s="34">
        <v>2026</v>
      </c>
      <c r="V492" s="35" t="s">
        <v>12</v>
      </c>
      <c r="X492" s="37" t="s">
        <v>622</v>
      </c>
      <c r="Y492" s="36" t="s">
        <v>623</v>
      </c>
      <c r="Z492" s="30" t="s">
        <v>495</v>
      </c>
      <c r="AA492" s="134" t="s">
        <v>166</v>
      </c>
      <c r="AD492" s="38">
        <v>3402.62</v>
      </c>
      <c r="AF492" s="76">
        <f>AF491+AD492-AE492</f>
        <v>349907.32000000007</v>
      </c>
    </row>
    <row r="493" spans="1:32" ht="8.25" customHeight="1" x14ac:dyDescent="0.15">
      <c r="N493" s="52">
        <v>34</v>
      </c>
      <c r="T493" s="33">
        <v>46046</v>
      </c>
      <c r="U493" s="34">
        <v>2026</v>
      </c>
      <c r="V493" s="35" t="s">
        <v>12</v>
      </c>
      <c r="X493" s="37" t="s">
        <v>622</v>
      </c>
      <c r="Y493" s="36" t="s">
        <v>623</v>
      </c>
      <c r="Z493" s="30" t="s">
        <v>495</v>
      </c>
      <c r="AA493" s="134" t="s">
        <v>168</v>
      </c>
      <c r="AD493" s="38">
        <v>69.2</v>
      </c>
      <c r="AF493" s="76">
        <f t="shared" ref="AF493:AF498" si="52">AF492+AD493-AE493</f>
        <v>349976.52000000008</v>
      </c>
    </row>
    <row r="494" spans="1:32" ht="8.25" customHeight="1" x14ac:dyDescent="0.15">
      <c r="K494" s="52">
        <v>13</v>
      </c>
      <c r="T494" s="33">
        <v>46046</v>
      </c>
      <c r="U494" s="34">
        <v>2026</v>
      </c>
      <c r="V494" s="35" t="s">
        <v>12</v>
      </c>
      <c r="X494" s="37" t="s">
        <v>636</v>
      </c>
      <c r="Y494" s="36" t="s">
        <v>637</v>
      </c>
      <c r="Z494" s="30" t="s">
        <v>638</v>
      </c>
      <c r="AA494" s="136" t="s">
        <v>1787</v>
      </c>
      <c r="AD494" s="38">
        <v>100</v>
      </c>
      <c r="AF494" s="76">
        <f t="shared" si="52"/>
        <v>350076.52000000008</v>
      </c>
    </row>
    <row r="495" spans="1:32" ht="8.25" customHeight="1" x14ac:dyDescent="0.15">
      <c r="L495" s="52">
        <v>13</v>
      </c>
      <c r="T495" s="33">
        <v>46046</v>
      </c>
      <c r="U495" s="34">
        <v>2026</v>
      </c>
      <c r="V495" s="35" t="s">
        <v>12</v>
      </c>
      <c r="X495" s="37" t="s">
        <v>639</v>
      </c>
      <c r="Y495" s="36" t="s">
        <v>120</v>
      </c>
      <c r="Z495" s="30" t="s">
        <v>638</v>
      </c>
      <c r="AA495" s="134" t="s">
        <v>373</v>
      </c>
      <c r="AD495" s="38">
        <v>50</v>
      </c>
      <c r="AF495" s="76">
        <f t="shared" si="52"/>
        <v>350126.52000000008</v>
      </c>
    </row>
    <row r="496" spans="1:32" ht="8.25" customHeight="1" x14ac:dyDescent="0.15">
      <c r="K496" s="52">
        <v>14</v>
      </c>
      <c r="T496" s="33">
        <v>46046</v>
      </c>
      <c r="U496" s="34">
        <v>2026</v>
      </c>
      <c r="V496" s="35" t="s">
        <v>12</v>
      </c>
      <c r="X496" s="37" t="s">
        <v>640</v>
      </c>
      <c r="Y496" s="36" t="s">
        <v>641</v>
      </c>
      <c r="Z496" s="30" t="s">
        <v>642</v>
      </c>
      <c r="AA496" s="136" t="s">
        <v>1787</v>
      </c>
      <c r="AD496" s="38">
        <v>100</v>
      </c>
      <c r="AF496" s="76">
        <f t="shared" si="52"/>
        <v>350226.52000000008</v>
      </c>
    </row>
    <row r="497" spans="1:32" ht="8.25" customHeight="1" x14ac:dyDescent="0.15">
      <c r="L497" s="52">
        <v>14</v>
      </c>
      <c r="T497" s="33">
        <v>46046</v>
      </c>
      <c r="U497" s="34">
        <v>2026</v>
      </c>
      <c r="V497" s="35" t="s">
        <v>12</v>
      </c>
      <c r="X497" s="37" t="s">
        <v>643</v>
      </c>
      <c r="Y497" s="36" t="s">
        <v>120</v>
      </c>
      <c r="Z497" s="30" t="s">
        <v>642</v>
      </c>
      <c r="AA497" s="134" t="s">
        <v>373</v>
      </c>
      <c r="AD497" s="38">
        <v>50</v>
      </c>
      <c r="AF497" s="76">
        <f t="shared" si="52"/>
        <v>350276.52000000008</v>
      </c>
    </row>
    <row r="498" spans="1:32" ht="8.25" customHeight="1" x14ac:dyDescent="0.25">
      <c r="A498" s="51" t="s">
        <v>205</v>
      </c>
      <c r="R498" s="53">
        <v>28</v>
      </c>
      <c r="T498" s="33">
        <v>46046</v>
      </c>
      <c r="U498" s="34">
        <v>2026</v>
      </c>
      <c r="V498" s="35" t="s">
        <v>12</v>
      </c>
      <c r="X498" s="37" t="s">
        <v>624</v>
      </c>
      <c r="Y498" s="36" t="s">
        <v>115</v>
      </c>
      <c r="Z498" s="30" t="s">
        <v>16</v>
      </c>
      <c r="AA498" s="30" t="s">
        <v>92</v>
      </c>
      <c r="AE498" s="38">
        <v>1000</v>
      </c>
      <c r="AF498" s="76">
        <f t="shared" si="52"/>
        <v>349276.52000000008</v>
      </c>
    </row>
    <row r="499" spans="1:32" ht="8.25" customHeight="1" thickBot="1" x14ac:dyDescent="0.3">
      <c r="A499" s="51" t="s">
        <v>205</v>
      </c>
      <c r="AA499" s="75" t="s">
        <v>257</v>
      </c>
      <c r="AD499" s="91">
        <f>SUM(AD491:AD498)</f>
        <v>7299.9999999999991</v>
      </c>
      <c r="AE499" s="91">
        <f>SUM(AE491:AE498)</f>
        <v>1000</v>
      </c>
      <c r="AF499" s="76">
        <f>AF490+AD499-AE499</f>
        <v>349276.52000000008</v>
      </c>
    </row>
    <row r="500" spans="1:32" ht="8.25" customHeight="1" thickTop="1" x14ac:dyDescent="0.25">
      <c r="A500" s="51" t="s">
        <v>205</v>
      </c>
    </row>
    <row r="501" spans="1:32" ht="8.25" customHeight="1" x14ac:dyDescent="0.25">
      <c r="A501" s="51" t="s">
        <v>205</v>
      </c>
      <c r="X501" s="109"/>
      <c r="Y501" s="67" t="s">
        <v>214</v>
      </c>
      <c r="Z501" s="68"/>
      <c r="AA501" s="75"/>
    </row>
    <row r="502" spans="1:32" ht="8.25" customHeight="1" x14ac:dyDescent="0.25">
      <c r="A502" s="51" t="s">
        <v>205</v>
      </c>
      <c r="X502" s="110" t="s">
        <v>120</v>
      </c>
      <c r="Y502" s="111">
        <v>200</v>
      </c>
      <c r="Z502" s="111">
        <f t="shared" ref="Z502:Z507" si="53">X502*Y502</f>
        <v>0</v>
      </c>
      <c r="AA502" s="112"/>
    </row>
    <row r="503" spans="1:32" ht="8.25" customHeight="1" x14ac:dyDescent="0.25">
      <c r="A503" s="51" t="s">
        <v>205</v>
      </c>
      <c r="X503" s="110" t="s">
        <v>1101</v>
      </c>
      <c r="Y503" s="111">
        <v>100</v>
      </c>
      <c r="Z503" s="111">
        <f t="shared" si="53"/>
        <v>344400</v>
      </c>
      <c r="AA503" s="112"/>
    </row>
    <row r="504" spans="1:32" ht="8.25" customHeight="1" x14ac:dyDescent="0.25">
      <c r="A504" s="51" t="s">
        <v>205</v>
      </c>
      <c r="X504" s="110" t="s">
        <v>619</v>
      </c>
      <c r="Y504" s="111">
        <v>50</v>
      </c>
      <c r="Z504" s="111">
        <f t="shared" si="53"/>
        <v>2700</v>
      </c>
      <c r="AA504" s="76"/>
    </row>
    <row r="505" spans="1:32" ht="8.25" customHeight="1" x14ac:dyDescent="0.25">
      <c r="A505" s="51" t="s">
        <v>205</v>
      </c>
      <c r="X505" s="110" t="s">
        <v>222</v>
      </c>
      <c r="Y505" s="111">
        <v>20</v>
      </c>
      <c r="Z505" s="111">
        <f t="shared" si="53"/>
        <v>20</v>
      </c>
      <c r="AA505" s="38"/>
    </row>
    <row r="506" spans="1:32" ht="8.25" customHeight="1" x14ac:dyDescent="0.25">
      <c r="A506" s="51" t="s">
        <v>205</v>
      </c>
      <c r="X506" s="110" t="s">
        <v>670</v>
      </c>
      <c r="Y506" s="111">
        <v>10</v>
      </c>
      <c r="Z506" s="111">
        <f t="shared" si="53"/>
        <v>160</v>
      </c>
      <c r="AA506" s="112"/>
    </row>
    <row r="507" spans="1:32" ht="8.25" customHeight="1" x14ac:dyDescent="0.25">
      <c r="A507" s="51" t="s">
        <v>205</v>
      </c>
      <c r="X507" s="110" t="s">
        <v>671</v>
      </c>
      <c r="Y507" s="111">
        <v>5</v>
      </c>
      <c r="Z507" s="111">
        <f t="shared" si="53"/>
        <v>1475</v>
      </c>
      <c r="AA507" s="112"/>
    </row>
    <row r="508" spans="1:32" ht="8.25" customHeight="1" x14ac:dyDescent="0.25">
      <c r="A508" s="51" t="s">
        <v>205</v>
      </c>
      <c r="X508" s="269">
        <v>0</v>
      </c>
      <c r="Y508" s="270"/>
      <c r="Z508" s="271"/>
      <c r="AA508" s="38"/>
    </row>
    <row r="509" spans="1:32" ht="8.25" customHeight="1" x14ac:dyDescent="0.25">
      <c r="A509" s="51" t="s">
        <v>205</v>
      </c>
      <c r="X509" s="110" t="s">
        <v>696</v>
      </c>
      <c r="Y509" s="111">
        <v>1</v>
      </c>
      <c r="Z509" s="111">
        <f t="shared" ref="Z509:Z514" si="54">X509*Y509</f>
        <v>477</v>
      </c>
      <c r="AA509" s="76"/>
    </row>
    <row r="510" spans="1:32" ht="8.25" customHeight="1" x14ac:dyDescent="0.25">
      <c r="A510" s="51" t="s">
        <v>205</v>
      </c>
      <c r="X510" s="110" t="s">
        <v>231</v>
      </c>
      <c r="Y510" s="111">
        <v>0.5</v>
      </c>
      <c r="Z510" s="111">
        <f t="shared" si="54"/>
        <v>23</v>
      </c>
      <c r="AA510" s="112"/>
    </row>
    <row r="511" spans="1:32" ht="8.25" customHeight="1" x14ac:dyDescent="0.25">
      <c r="A511" s="51" t="s">
        <v>205</v>
      </c>
      <c r="X511" s="110" t="s">
        <v>625</v>
      </c>
      <c r="Y511" s="111">
        <v>0.25</v>
      </c>
      <c r="Z511" s="111">
        <f t="shared" si="54"/>
        <v>21.25</v>
      </c>
      <c r="AA511" s="113"/>
    </row>
    <row r="512" spans="1:32" ht="8.25" customHeight="1" x14ac:dyDescent="0.25">
      <c r="A512" s="51" t="s">
        <v>205</v>
      </c>
      <c r="X512" s="110" t="s">
        <v>224</v>
      </c>
      <c r="Y512" s="111">
        <v>0.1</v>
      </c>
      <c r="Z512" s="111">
        <f t="shared" si="54"/>
        <v>0.2</v>
      </c>
      <c r="AA512" s="114" t="s">
        <v>219</v>
      </c>
    </row>
    <row r="513" spans="1:32" ht="8.25" customHeight="1" thickBot="1" x14ac:dyDescent="0.3">
      <c r="A513" s="51" t="s">
        <v>205</v>
      </c>
      <c r="X513" s="110" t="s">
        <v>222</v>
      </c>
      <c r="Y513" s="111">
        <v>0.05</v>
      </c>
      <c r="Z513" s="111">
        <f t="shared" si="54"/>
        <v>0.05</v>
      </c>
      <c r="AA513" s="115">
        <f>SUM(Z502:Z507)+Z509+Z510+Z511+Z512+Z513+Z514</f>
        <v>349276.52</v>
      </c>
    </row>
    <row r="514" spans="1:32" ht="8.25" customHeight="1" thickTop="1" x14ac:dyDescent="0.25">
      <c r="A514" s="51" t="s">
        <v>205</v>
      </c>
      <c r="X514" s="110" t="s">
        <v>224</v>
      </c>
      <c r="Y514" s="111">
        <v>0.01</v>
      </c>
      <c r="Z514" s="111">
        <f t="shared" si="54"/>
        <v>0.02</v>
      </c>
    </row>
    <row r="515" spans="1:32" ht="8.25" customHeight="1" x14ac:dyDescent="0.25">
      <c r="A515" s="51" t="s">
        <v>205</v>
      </c>
    </row>
    <row r="516" spans="1:32" ht="8.25" customHeight="1" x14ac:dyDescent="0.25">
      <c r="A516" s="51" t="s">
        <v>205</v>
      </c>
      <c r="AA516" s="75" t="s">
        <v>251</v>
      </c>
      <c r="AF516" s="76">
        <f>AF499</f>
        <v>349276.52000000008</v>
      </c>
    </row>
    <row r="517" spans="1:32" ht="8.25" customHeight="1" x14ac:dyDescent="0.25">
      <c r="A517" s="51" t="s">
        <v>205</v>
      </c>
      <c r="R517" s="53">
        <v>29</v>
      </c>
      <c r="T517" s="178">
        <v>46048</v>
      </c>
      <c r="U517" s="179">
        <v>2026</v>
      </c>
      <c r="V517" s="180" t="s">
        <v>12</v>
      </c>
      <c r="W517" s="180"/>
      <c r="X517" s="181" t="s">
        <v>627</v>
      </c>
      <c r="Y517" s="182" t="s">
        <v>411</v>
      </c>
      <c r="Z517" s="183" t="s">
        <v>398</v>
      </c>
      <c r="AA517" s="183" t="s">
        <v>618</v>
      </c>
      <c r="AB517" s="183"/>
      <c r="AC517" s="184"/>
      <c r="AD517" s="177"/>
      <c r="AE517" s="177">
        <v>70000</v>
      </c>
      <c r="AF517" s="177">
        <f t="shared" ref="AF517:AF522" si="55">AF516+AD517-AE517</f>
        <v>279276.52000000008</v>
      </c>
    </row>
    <row r="518" spans="1:32" ht="8.25" customHeight="1" x14ac:dyDescent="0.25">
      <c r="A518" s="51" t="s">
        <v>205</v>
      </c>
      <c r="R518" s="53">
        <v>30</v>
      </c>
      <c r="T518" s="33">
        <v>46048</v>
      </c>
      <c r="U518" s="34">
        <v>2026</v>
      </c>
      <c r="V518" s="35" t="s">
        <v>12</v>
      </c>
      <c r="X518" s="37" t="s">
        <v>628</v>
      </c>
      <c r="Y518" s="36" t="s">
        <v>629</v>
      </c>
      <c r="Z518" s="30" t="s">
        <v>630</v>
      </c>
      <c r="AA518" s="30" t="s">
        <v>92</v>
      </c>
      <c r="AE518" s="38">
        <v>100</v>
      </c>
      <c r="AF518" s="76">
        <f t="shared" si="55"/>
        <v>279176.52000000008</v>
      </c>
    </row>
    <row r="519" spans="1:32" ht="8.25" customHeight="1" x14ac:dyDescent="0.25">
      <c r="A519" s="51" t="s">
        <v>205</v>
      </c>
      <c r="R519" s="53">
        <v>31</v>
      </c>
      <c r="T519" s="33">
        <v>46048</v>
      </c>
      <c r="U519" s="34">
        <v>2026</v>
      </c>
      <c r="V519" s="35" t="s">
        <v>12</v>
      </c>
      <c r="X519" s="37" t="s">
        <v>631</v>
      </c>
      <c r="Z519" s="30" t="s">
        <v>16</v>
      </c>
      <c r="AA519" s="30" t="s">
        <v>167</v>
      </c>
      <c r="AE519" s="38">
        <v>1815</v>
      </c>
      <c r="AF519" s="76">
        <f t="shared" si="55"/>
        <v>277361.52000000008</v>
      </c>
    </row>
    <row r="520" spans="1:32" ht="8.25" customHeight="1" x14ac:dyDescent="0.25">
      <c r="A520" s="51" t="s">
        <v>205</v>
      </c>
      <c r="R520" s="53">
        <v>32</v>
      </c>
      <c r="T520" s="33">
        <v>46048</v>
      </c>
      <c r="U520" s="34">
        <v>2026</v>
      </c>
      <c r="V520" s="35" t="s">
        <v>12</v>
      </c>
      <c r="X520" s="37" t="s">
        <v>632</v>
      </c>
      <c r="Y520" s="36" t="s">
        <v>633</v>
      </c>
      <c r="Z520" s="30" t="s">
        <v>634</v>
      </c>
      <c r="AA520" s="30" t="s">
        <v>92</v>
      </c>
      <c r="AE520" s="38">
        <v>20000</v>
      </c>
      <c r="AF520" s="76">
        <f t="shared" si="55"/>
        <v>257361.52000000008</v>
      </c>
    </row>
    <row r="521" spans="1:32" ht="8.25" customHeight="1" x14ac:dyDescent="0.25">
      <c r="A521" s="51" t="s">
        <v>205</v>
      </c>
      <c r="R521" s="53">
        <v>33</v>
      </c>
      <c r="T521" s="33">
        <v>46048</v>
      </c>
      <c r="U521" s="34">
        <v>2026</v>
      </c>
      <c r="V521" s="35" t="s">
        <v>12</v>
      </c>
      <c r="X521" s="37" t="s">
        <v>635</v>
      </c>
      <c r="Y521" s="36" t="s">
        <v>116</v>
      </c>
      <c r="Z521" s="30" t="s">
        <v>18</v>
      </c>
      <c r="AA521" s="30" t="s">
        <v>92</v>
      </c>
      <c r="AE521" s="38">
        <v>21700</v>
      </c>
      <c r="AF521" s="76">
        <f t="shared" si="55"/>
        <v>235661.52000000008</v>
      </c>
    </row>
    <row r="522" spans="1:32" ht="8.25" customHeight="1" x14ac:dyDescent="0.25">
      <c r="R522" s="53">
        <v>34</v>
      </c>
      <c r="T522" s="33">
        <v>46048</v>
      </c>
      <c r="U522" s="34">
        <v>2026</v>
      </c>
      <c r="V522" s="35" t="s">
        <v>12</v>
      </c>
      <c r="X522" s="37" t="s">
        <v>644</v>
      </c>
      <c r="Z522" s="30" t="s">
        <v>645</v>
      </c>
      <c r="AA522" s="30" t="s">
        <v>646</v>
      </c>
      <c r="AE522" s="38">
        <v>1692.29</v>
      </c>
      <c r="AF522" s="76">
        <f t="shared" si="55"/>
        <v>233969.23000000007</v>
      </c>
    </row>
    <row r="523" spans="1:32" ht="8.25" customHeight="1" thickBot="1" x14ac:dyDescent="0.3">
      <c r="A523" s="51" t="s">
        <v>205</v>
      </c>
      <c r="AA523" s="75" t="s">
        <v>257</v>
      </c>
      <c r="AD523" s="91">
        <f>SUM(AD517:AD522)</f>
        <v>0</v>
      </c>
      <c r="AE523" s="91">
        <f>SUM(AE517:AE522)</f>
        <v>115307.29</v>
      </c>
      <c r="AF523" s="76">
        <f>AF516+AD523-AE523</f>
        <v>233969.2300000001</v>
      </c>
    </row>
    <row r="524" spans="1:32" ht="8.25" customHeight="1" thickTop="1" x14ac:dyDescent="0.25">
      <c r="A524" s="51" t="s">
        <v>205</v>
      </c>
      <c r="AA524" s="75"/>
    </row>
    <row r="525" spans="1:32" ht="8.25" customHeight="1" x14ac:dyDescent="0.25">
      <c r="A525" s="51" t="s">
        <v>205</v>
      </c>
    </row>
    <row r="526" spans="1:32" ht="8.25" customHeight="1" x14ac:dyDescent="0.25">
      <c r="A526" s="51" t="s">
        <v>205</v>
      </c>
      <c r="X526" s="109"/>
      <c r="Y526" s="67" t="s">
        <v>214</v>
      </c>
      <c r="Z526" s="68"/>
      <c r="AA526" s="75"/>
    </row>
    <row r="527" spans="1:32" ht="8.25" customHeight="1" x14ac:dyDescent="0.25">
      <c r="A527" s="51" t="s">
        <v>205</v>
      </c>
      <c r="X527" s="110" t="s">
        <v>120</v>
      </c>
      <c r="Y527" s="111">
        <v>200</v>
      </c>
      <c r="Z527" s="111">
        <f t="shared" ref="Z527:Z532" si="56">X527*Y527</f>
        <v>0</v>
      </c>
      <c r="AA527" s="112"/>
    </row>
    <row r="528" spans="1:32" ht="8.25" customHeight="1" x14ac:dyDescent="0.25">
      <c r="A528" s="51" t="s">
        <v>205</v>
      </c>
      <c r="X528" s="110" t="s">
        <v>1102</v>
      </c>
      <c r="Y528" s="111">
        <v>100</v>
      </c>
      <c r="Z528" s="111">
        <f t="shared" si="56"/>
        <v>229300</v>
      </c>
      <c r="AA528" s="112"/>
    </row>
    <row r="529" spans="1:32" ht="8.25" customHeight="1" x14ac:dyDescent="0.25">
      <c r="A529" s="51" t="s">
        <v>205</v>
      </c>
      <c r="X529" s="110" t="s">
        <v>710</v>
      </c>
      <c r="Y529" s="111">
        <v>50</v>
      </c>
      <c r="Z529" s="111">
        <f t="shared" si="56"/>
        <v>2600</v>
      </c>
      <c r="AA529" s="76"/>
    </row>
    <row r="530" spans="1:32" ht="8.25" customHeight="1" x14ac:dyDescent="0.25">
      <c r="A530" s="51" t="s">
        <v>205</v>
      </c>
      <c r="X530" s="110"/>
      <c r="Y530" s="111">
        <v>20</v>
      </c>
      <c r="Z530" s="111">
        <f t="shared" si="56"/>
        <v>0</v>
      </c>
      <c r="AA530" s="38"/>
    </row>
    <row r="531" spans="1:32" ht="8.25" customHeight="1" x14ac:dyDescent="0.25">
      <c r="A531" s="51" t="s">
        <v>205</v>
      </c>
      <c r="X531" s="110" t="s">
        <v>299</v>
      </c>
      <c r="Y531" s="111">
        <v>10</v>
      </c>
      <c r="Z531" s="111">
        <f t="shared" si="56"/>
        <v>40</v>
      </c>
      <c r="AA531" s="112"/>
    </row>
    <row r="532" spans="1:32" ht="8.25" customHeight="1" x14ac:dyDescent="0.25">
      <c r="A532" s="51" t="s">
        <v>205</v>
      </c>
      <c r="X532" s="110" t="s">
        <v>550</v>
      </c>
      <c r="Y532" s="111">
        <v>5</v>
      </c>
      <c r="Z532" s="111">
        <f t="shared" si="56"/>
        <v>1500</v>
      </c>
      <c r="AA532" s="112"/>
    </row>
    <row r="533" spans="1:32" ht="8.25" customHeight="1" x14ac:dyDescent="0.25">
      <c r="A533" s="51" t="s">
        <v>205</v>
      </c>
      <c r="X533" s="269">
        <v>0</v>
      </c>
      <c r="Y533" s="270"/>
      <c r="Z533" s="271"/>
      <c r="AA533" s="38"/>
    </row>
    <row r="534" spans="1:32" ht="8.25" customHeight="1" x14ac:dyDescent="0.25">
      <c r="A534" s="51" t="s">
        <v>205</v>
      </c>
      <c r="X534" s="110" t="s">
        <v>796</v>
      </c>
      <c r="Y534" s="111">
        <v>1</v>
      </c>
      <c r="Z534" s="111">
        <f t="shared" ref="Z534:Z539" si="57">X534*Y534</f>
        <v>485</v>
      </c>
      <c r="AA534" s="76"/>
    </row>
    <row r="535" spans="1:32" ht="8.25" customHeight="1" x14ac:dyDescent="0.25">
      <c r="A535" s="51" t="s">
        <v>205</v>
      </c>
      <c r="X535" s="110" t="s">
        <v>231</v>
      </c>
      <c r="Y535" s="111">
        <v>0.5</v>
      </c>
      <c r="Z535" s="111">
        <f t="shared" si="57"/>
        <v>23</v>
      </c>
      <c r="AA535" s="112"/>
    </row>
    <row r="536" spans="1:32" ht="8.25" customHeight="1" x14ac:dyDescent="0.25">
      <c r="A536" s="51" t="s">
        <v>205</v>
      </c>
      <c r="X536" s="110" t="s">
        <v>563</v>
      </c>
      <c r="Y536" s="111">
        <v>0.25</v>
      </c>
      <c r="Z536" s="111">
        <f t="shared" si="57"/>
        <v>21</v>
      </c>
      <c r="AA536" s="113"/>
    </row>
    <row r="537" spans="1:32" ht="8.25" customHeight="1" x14ac:dyDescent="0.25">
      <c r="A537" s="51" t="s">
        <v>205</v>
      </c>
      <c r="X537" s="110" t="s">
        <v>224</v>
      </c>
      <c r="Y537" s="111">
        <v>0.1</v>
      </c>
      <c r="Z537" s="111">
        <f t="shared" si="57"/>
        <v>0.2</v>
      </c>
      <c r="AA537" s="114" t="s">
        <v>219</v>
      </c>
    </row>
    <row r="538" spans="1:32" ht="8.25" customHeight="1" thickBot="1" x14ac:dyDescent="0.3">
      <c r="A538" s="51" t="s">
        <v>205</v>
      </c>
      <c r="X538" s="110"/>
      <c r="Y538" s="111">
        <v>0.05</v>
      </c>
      <c r="Z538" s="111">
        <f t="shared" si="57"/>
        <v>0</v>
      </c>
      <c r="AA538" s="115">
        <f>SUM(Z527:Z532)+Z534+Z535+Z536+Z537+Z538+Z539</f>
        <v>233969.23</v>
      </c>
    </row>
    <row r="539" spans="1:32" ht="8.25" customHeight="1" thickTop="1" x14ac:dyDescent="0.25">
      <c r="A539" s="51" t="s">
        <v>205</v>
      </c>
      <c r="X539" s="110" t="s">
        <v>223</v>
      </c>
      <c r="Y539" s="111">
        <v>0.01</v>
      </c>
      <c r="Z539" s="111">
        <f t="shared" si="57"/>
        <v>0.03</v>
      </c>
    </row>
    <row r="540" spans="1:32" ht="8.25" customHeight="1" x14ac:dyDescent="0.25">
      <c r="A540" s="51" t="s">
        <v>205</v>
      </c>
    </row>
    <row r="541" spans="1:32" ht="8.25" customHeight="1" x14ac:dyDescent="0.25">
      <c r="A541" s="51" t="s">
        <v>205</v>
      </c>
      <c r="AA541" s="75" t="s">
        <v>251</v>
      </c>
      <c r="AF541" s="76">
        <f>AF523</f>
        <v>233969.2300000001</v>
      </c>
    </row>
    <row r="542" spans="1:32" ht="8.25" customHeight="1" x14ac:dyDescent="0.25">
      <c r="A542" s="51" t="s">
        <v>205</v>
      </c>
      <c r="N542" s="52">
        <v>35</v>
      </c>
      <c r="T542" s="33">
        <v>46049</v>
      </c>
      <c r="U542" s="34">
        <v>2026</v>
      </c>
      <c r="V542" s="35" t="s">
        <v>12</v>
      </c>
      <c r="X542" s="37" t="s">
        <v>672</v>
      </c>
      <c r="Y542" s="36" t="s">
        <v>673</v>
      </c>
      <c r="Z542" s="30" t="s">
        <v>674</v>
      </c>
      <c r="AA542" s="30" t="s">
        <v>3899</v>
      </c>
      <c r="AD542" s="38">
        <v>5041.0200000000004</v>
      </c>
      <c r="AF542" s="76">
        <f t="shared" ref="AF542:AF561" si="58">AF541+AD542-AE542</f>
        <v>239010.25000000009</v>
      </c>
    </row>
    <row r="543" spans="1:32" ht="8.25" customHeight="1" x14ac:dyDescent="0.15">
      <c r="A543" s="51" t="s">
        <v>205</v>
      </c>
      <c r="N543" s="52">
        <v>35</v>
      </c>
      <c r="T543" s="33">
        <v>46049</v>
      </c>
      <c r="U543" s="34">
        <v>2026</v>
      </c>
      <c r="V543" s="35" t="s">
        <v>12</v>
      </c>
      <c r="X543" s="37" t="s">
        <v>672</v>
      </c>
      <c r="Y543" s="36" t="s">
        <v>673</v>
      </c>
      <c r="Z543" s="30" t="s">
        <v>674</v>
      </c>
      <c r="AA543" s="134" t="s">
        <v>166</v>
      </c>
      <c r="AD543" s="38">
        <v>3958.98</v>
      </c>
      <c r="AF543" s="76">
        <f t="shared" si="58"/>
        <v>242969.2300000001</v>
      </c>
    </row>
    <row r="544" spans="1:32" ht="8.25" customHeight="1" x14ac:dyDescent="0.25">
      <c r="A544" s="51" t="s">
        <v>205</v>
      </c>
      <c r="N544" s="52">
        <v>36</v>
      </c>
      <c r="T544" s="33">
        <v>46049</v>
      </c>
      <c r="U544" s="34">
        <v>2026</v>
      </c>
      <c r="V544" s="35" t="s">
        <v>12</v>
      </c>
      <c r="X544" s="37" t="s">
        <v>675</v>
      </c>
      <c r="Y544" s="36" t="s">
        <v>676</v>
      </c>
      <c r="Z544" s="30" t="s">
        <v>677</v>
      </c>
      <c r="AA544" s="30" t="s">
        <v>3899</v>
      </c>
      <c r="AD544" s="38">
        <v>6946.97</v>
      </c>
      <c r="AF544" s="76">
        <f t="shared" si="58"/>
        <v>249916.2000000001</v>
      </c>
    </row>
    <row r="545" spans="1:32" ht="8.25" customHeight="1" x14ac:dyDescent="0.15">
      <c r="A545" s="51" t="s">
        <v>205</v>
      </c>
      <c r="N545" s="52">
        <v>36</v>
      </c>
      <c r="T545" s="33">
        <v>46049</v>
      </c>
      <c r="U545" s="34">
        <v>2026</v>
      </c>
      <c r="V545" s="35" t="s">
        <v>12</v>
      </c>
      <c r="X545" s="37" t="s">
        <v>675</v>
      </c>
      <c r="Y545" s="36" t="s">
        <v>676</v>
      </c>
      <c r="Z545" s="30" t="s">
        <v>677</v>
      </c>
      <c r="AA545" s="134" t="s">
        <v>166</v>
      </c>
      <c r="AD545" s="38">
        <v>6053.03</v>
      </c>
      <c r="AF545" s="76">
        <f t="shared" si="58"/>
        <v>255969.2300000001</v>
      </c>
    </row>
    <row r="546" spans="1:32" ht="8.25" customHeight="1" x14ac:dyDescent="0.25">
      <c r="A546" s="51" t="s">
        <v>205</v>
      </c>
      <c r="N546" s="52">
        <v>37</v>
      </c>
      <c r="T546" s="33">
        <v>46049</v>
      </c>
      <c r="U546" s="34">
        <v>2026</v>
      </c>
      <c r="V546" s="35" t="s">
        <v>12</v>
      </c>
      <c r="X546" s="37" t="s">
        <v>678</v>
      </c>
      <c r="Y546" s="36" t="s">
        <v>679</v>
      </c>
      <c r="Z546" s="30" t="s">
        <v>680</v>
      </c>
      <c r="AA546" s="30" t="s">
        <v>3899</v>
      </c>
      <c r="AD546" s="38">
        <v>7353.65</v>
      </c>
      <c r="AF546" s="76">
        <f t="shared" si="58"/>
        <v>263322.88000000012</v>
      </c>
    </row>
    <row r="547" spans="1:32" ht="8.25" customHeight="1" x14ac:dyDescent="0.15">
      <c r="A547" s="51" t="s">
        <v>205</v>
      </c>
      <c r="N547" s="52">
        <v>37</v>
      </c>
      <c r="T547" s="33">
        <v>46049</v>
      </c>
      <c r="U547" s="34">
        <v>2026</v>
      </c>
      <c r="V547" s="35" t="s">
        <v>12</v>
      </c>
      <c r="X547" s="37" t="s">
        <v>678</v>
      </c>
      <c r="Y547" s="36" t="s">
        <v>679</v>
      </c>
      <c r="Z547" s="30" t="s">
        <v>680</v>
      </c>
      <c r="AA547" s="134" t="s">
        <v>166</v>
      </c>
      <c r="AD547" s="38">
        <v>4646.3500000000004</v>
      </c>
      <c r="AF547" s="76">
        <f t="shared" si="58"/>
        <v>267969.2300000001</v>
      </c>
    </row>
    <row r="548" spans="1:32" ht="8.25" customHeight="1" x14ac:dyDescent="0.25">
      <c r="A548" s="51" t="s">
        <v>205</v>
      </c>
      <c r="N548" s="52">
        <v>38</v>
      </c>
      <c r="T548" s="33">
        <v>46049</v>
      </c>
      <c r="U548" s="34">
        <v>2026</v>
      </c>
      <c r="V548" s="35" t="s">
        <v>12</v>
      </c>
      <c r="X548" s="37" t="s">
        <v>681</v>
      </c>
      <c r="Y548" s="36" t="s">
        <v>682</v>
      </c>
      <c r="Z548" s="30" t="s">
        <v>683</v>
      </c>
      <c r="AA548" s="30" t="s">
        <v>3899</v>
      </c>
      <c r="AD548" s="38">
        <v>5775.75</v>
      </c>
      <c r="AF548" s="76">
        <f t="shared" si="58"/>
        <v>273744.9800000001</v>
      </c>
    </row>
    <row r="549" spans="1:32" ht="8.25" customHeight="1" x14ac:dyDescent="0.15">
      <c r="A549" s="51" t="s">
        <v>205</v>
      </c>
      <c r="N549" s="52">
        <v>38</v>
      </c>
      <c r="T549" s="33">
        <v>46049</v>
      </c>
      <c r="U549" s="34">
        <v>2026</v>
      </c>
      <c r="V549" s="35" t="s">
        <v>12</v>
      </c>
      <c r="X549" s="37" t="s">
        <v>681</v>
      </c>
      <c r="Y549" s="36" t="s">
        <v>682</v>
      </c>
      <c r="Z549" s="30" t="s">
        <v>683</v>
      </c>
      <c r="AA549" s="134" t="s">
        <v>166</v>
      </c>
      <c r="AD549" s="38">
        <v>5224.25</v>
      </c>
      <c r="AF549" s="76">
        <f t="shared" si="58"/>
        <v>278969.2300000001</v>
      </c>
    </row>
    <row r="550" spans="1:32" ht="8.25" customHeight="1" x14ac:dyDescent="0.25">
      <c r="A550" s="51" t="s">
        <v>205</v>
      </c>
      <c r="N550" s="52">
        <v>39</v>
      </c>
      <c r="T550" s="33">
        <v>46049</v>
      </c>
      <c r="U550" s="34">
        <v>2026</v>
      </c>
      <c r="V550" s="35" t="s">
        <v>12</v>
      </c>
      <c r="X550" s="37" t="s">
        <v>684</v>
      </c>
      <c r="Y550" s="36" t="s">
        <v>685</v>
      </c>
      <c r="Z550" s="30" t="s">
        <v>686</v>
      </c>
      <c r="AA550" s="30" t="s">
        <v>3899</v>
      </c>
      <c r="AD550" s="38">
        <v>6862.31</v>
      </c>
      <c r="AF550" s="76">
        <f t="shared" si="58"/>
        <v>285831.5400000001</v>
      </c>
    </row>
    <row r="551" spans="1:32" ht="8.25" customHeight="1" x14ac:dyDescent="0.15">
      <c r="A551" s="51" t="s">
        <v>205</v>
      </c>
      <c r="N551" s="52">
        <v>39</v>
      </c>
      <c r="T551" s="33">
        <v>46049</v>
      </c>
      <c r="U551" s="34">
        <v>2026</v>
      </c>
      <c r="V551" s="35" t="s">
        <v>12</v>
      </c>
      <c r="X551" s="37" t="s">
        <v>684</v>
      </c>
      <c r="Y551" s="36" t="s">
        <v>685</v>
      </c>
      <c r="Z551" s="30" t="s">
        <v>686</v>
      </c>
      <c r="AA551" s="134" t="s">
        <v>166</v>
      </c>
      <c r="AD551" s="38">
        <v>4137.6899999999996</v>
      </c>
      <c r="AF551" s="76">
        <f t="shared" si="58"/>
        <v>289969.2300000001</v>
      </c>
    </row>
    <row r="552" spans="1:32" ht="8.25" customHeight="1" x14ac:dyDescent="0.25">
      <c r="A552" s="51" t="s">
        <v>205</v>
      </c>
      <c r="N552" s="52">
        <v>40</v>
      </c>
      <c r="T552" s="33">
        <v>46049</v>
      </c>
      <c r="U552" s="34">
        <v>2026</v>
      </c>
      <c r="V552" s="35" t="s">
        <v>12</v>
      </c>
      <c r="X552" s="37" t="s">
        <v>687</v>
      </c>
      <c r="Y552" s="36" t="s">
        <v>688</v>
      </c>
      <c r="Z552" s="30" t="s">
        <v>689</v>
      </c>
      <c r="AA552" s="30" t="s">
        <v>3899</v>
      </c>
      <c r="AD552" s="38">
        <v>3738.88</v>
      </c>
      <c r="AF552" s="76">
        <f t="shared" si="58"/>
        <v>293708.1100000001</v>
      </c>
    </row>
    <row r="553" spans="1:32" ht="8.25" customHeight="1" x14ac:dyDescent="0.15">
      <c r="A553" s="51" t="s">
        <v>205</v>
      </c>
      <c r="N553" s="52">
        <v>41</v>
      </c>
      <c r="T553" s="33">
        <v>46049</v>
      </c>
      <c r="U553" s="34">
        <v>2026</v>
      </c>
      <c r="V553" s="35" t="s">
        <v>12</v>
      </c>
      <c r="X553" s="37" t="s">
        <v>687</v>
      </c>
      <c r="Y553" s="36" t="s">
        <v>688</v>
      </c>
      <c r="Z553" s="30" t="s">
        <v>689</v>
      </c>
      <c r="AA553" s="134" t="s">
        <v>166</v>
      </c>
      <c r="AD553" s="38">
        <v>961.12</v>
      </c>
      <c r="AF553" s="76">
        <f t="shared" si="58"/>
        <v>294669.2300000001</v>
      </c>
    </row>
    <row r="554" spans="1:32" ht="8.25" customHeight="1" x14ac:dyDescent="0.25">
      <c r="A554" s="51" t="s">
        <v>205</v>
      </c>
      <c r="I554" s="52">
        <v>23</v>
      </c>
      <c r="T554" s="33">
        <v>46049</v>
      </c>
      <c r="U554" s="34">
        <v>2026</v>
      </c>
      <c r="V554" s="35" t="s">
        <v>12</v>
      </c>
      <c r="X554" s="37" t="s">
        <v>690</v>
      </c>
      <c r="Y554" s="36" t="s">
        <v>691</v>
      </c>
      <c r="Z554" s="30" t="s">
        <v>692</v>
      </c>
      <c r="AA554" s="30" t="s">
        <v>13</v>
      </c>
      <c r="AD554" s="38">
        <v>1126</v>
      </c>
      <c r="AF554" s="76">
        <f t="shared" si="58"/>
        <v>295795.2300000001</v>
      </c>
    </row>
    <row r="555" spans="1:32" ht="8.25" customHeight="1" x14ac:dyDescent="0.15">
      <c r="A555" s="51" t="s">
        <v>205</v>
      </c>
      <c r="K555" s="52">
        <v>15</v>
      </c>
      <c r="T555" s="33">
        <v>46049</v>
      </c>
      <c r="U555" s="34">
        <v>2026</v>
      </c>
      <c r="V555" s="35" t="s">
        <v>12</v>
      </c>
      <c r="X555" s="37" t="s">
        <v>697</v>
      </c>
      <c r="Y555" s="36" t="s">
        <v>698</v>
      </c>
      <c r="Z555" s="30" t="s">
        <v>699</v>
      </c>
      <c r="AA555" s="136" t="s">
        <v>1787</v>
      </c>
      <c r="AD555" s="38">
        <v>100</v>
      </c>
      <c r="AF555" s="76">
        <f t="shared" si="58"/>
        <v>295895.2300000001</v>
      </c>
    </row>
    <row r="556" spans="1:32" ht="8.25" customHeight="1" x14ac:dyDescent="0.25">
      <c r="A556" s="51" t="s">
        <v>205</v>
      </c>
      <c r="L556" s="52">
        <v>15</v>
      </c>
      <c r="T556" s="33">
        <v>46049</v>
      </c>
      <c r="U556" s="34">
        <v>2026</v>
      </c>
      <c r="V556" s="35" t="s">
        <v>12</v>
      </c>
      <c r="X556" s="37" t="s">
        <v>700</v>
      </c>
      <c r="Y556" s="36" t="s">
        <v>120</v>
      </c>
      <c r="Z556" s="30" t="s">
        <v>699</v>
      </c>
      <c r="AA556" s="30" t="s">
        <v>373</v>
      </c>
      <c r="AD556" s="38">
        <v>50</v>
      </c>
      <c r="AF556" s="76">
        <f t="shared" si="58"/>
        <v>295945.2300000001</v>
      </c>
    </row>
    <row r="557" spans="1:32" ht="8.25" customHeight="1" x14ac:dyDescent="0.15">
      <c r="K557" s="52">
        <v>16</v>
      </c>
      <c r="T557" s="33">
        <v>46049</v>
      </c>
      <c r="U557" s="34">
        <v>2026</v>
      </c>
      <c r="V557" s="35" t="s">
        <v>12</v>
      </c>
      <c r="X557" s="37" t="s">
        <v>701</v>
      </c>
      <c r="Y557" s="36" t="s">
        <v>702</v>
      </c>
      <c r="Z557" s="30" t="s">
        <v>703</v>
      </c>
      <c r="AA557" s="136" t="s">
        <v>1787</v>
      </c>
      <c r="AD557" s="38">
        <v>100</v>
      </c>
      <c r="AF557" s="76">
        <f t="shared" si="58"/>
        <v>296045.2300000001</v>
      </c>
    </row>
    <row r="558" spans="1:32" ht="8.25" customHeight="1" x14ac:dyDescent="0.25">
      <c r="L558" s="52">
        <v>16</v>
      </c>
      <c r="T558" s="33">
        <v>46049</v>
      </c>
      <c r="U558" s="34">
        <v>2026</v>
      </c>
      <c r="V558" s="35" t="s">
        <v>12</v>
      </c>
      <c r="X558" s="37" t="s">
        <v>704</v>
      </c>
      <c r="Y558" s="36" t="s">
        <v>120</v>
      </c>
      <c r="Z558" s="30" t="s">
        <v>703</v>
      </c>
      <c r="AA558" s="30" t="s">
        <v>373</v>
      </c>
      <c r="AD558" s="38">
        <v>50</v>
      </c>
      <c r="AF558" s="76">
        <f t="shared" si="58"/>
        <v>296095.2300000001</v>
      </c>
    </row>
    <row r="559" spans="1:32" ht="8.25" customHeight="1" x14ac:dyDescent="0.25">
      <c r="I559" s="52">
        <v>24</v>
      </c>
      <c r="T559" s="33">
        <v>46049</v>
      </c>
      <c r="U559" s="34">
        <v>2026</v>
      </c>
      <c r="V559" s="35" t="s">
        <v>12</v>
      </c>
      <c r="X559" s="37" t="s">
        <v>705</v>
      </c>
      <c r="Y559" s="36" t="s">
        <v>706</v>
      </c>
      <c r="Z559" s="30" t="s">
        <v>703</v>
      </c>
      <c r="AA559" s="30" t="s">
        <v>13</v>
      </c>
      <c r="AD559" s="38">
        <v>200</v>
      </c>
      <c r="AF559" s="76">
        <f t="shared" si="58"/>
        <v>296295.2300000001</v>
      </c>
    </row>
    <row r="560" spans="1:32" ht="8.25" customHeight="1" x14ac:dyDescent="0.25">
      <c r="T560" s="33">
        <v>46049</v>
      </c>
      <c r="U560" s="34">
        <v>2026</v>
      </c>
      <c r="V560" s="35" t="s">
        <v>12</v>
      </c>
      <c r="X560" s="37" t="s">
        <v>782</v>
      </c>
      <c r="Y560" s="36" t="s">
        <v>783</v>
      </c>
      <c r="Z560" s="30" t="s">
        <v>784</v>
      </c>
      <c r="AA560" s="30" t="s">
        <v>13</v>
      </c>
      <c r="AD560" s="38">
        <v>200</v>
      </c>
      <c r="AF560" s="76">
        <f t="shared" si="58"/>
        <v>296495.2300000001</v>
      </c>
    </row>
    <row r="561" spans="1:32" ht="8.25" customHeight="1" x14ac:dyDescent="0.25">
      <c r="A561" s="51" t="s">
        <v>205</v>
      </c>
      <c r="R561" s="53">
        <v>36</v>
      </c>
      <c r="T561" s="33">
        <v>46049</v>
      </c>
      <c r="U561" s="34">
        <v>2026</v>
      </c>
      <c r="V561" s="35" t="s">
        <v>12</v>
      </c>
      <c r="X561" s="37" t="s">
        <v>693</v>
      </c>
      <c r="Y561" s="36" t="s">
        <v>694</v>
      </c>
      <c r="Z561" s="30" t="s">
        <v>695</v>
      </c>
      <c r="AA561" s="30" t="s">
        <v>92</v>
      </c>
      <c r="AE561" s="38">
        <v>200</v>
      </c>
      <c r="AF561" s="76">
        <f t="shared" si="58"/>
        <v>296295.2300000001</v>
      </c>
    </row>
    <row r="562" spans="1:32" ht="8.25" customHeight="1" thickBot="1" x14ac:dyDescent="0.3">
      <c r="A562" s="51" t="s">
        <v>205</v>
      </c>
      <c r="X562" s="119"/>
      <c r="Y562" s="120"/>
      <c r="Z562" s="62"/>
      <c r="AA562" s="75" t="s">
        <v>257</v>
      </c>
      <c r="AD562" s="91">
        <f>SUM(AD542:AD561)</f>
        <v>62526</v>
      </c>
      <c r="AE562" s="91">
        <f>SUM(AE542:AE561)</f>
        <v>200</v>
      </c>
      <c r="AF562" s="76">
        <f>AF541+AD562-AE562</f>
        <v>296295.2300000001</v>
      </c>
    </row>
    <row r="563" spans="1:32" ht="8.25" customHeight="1" thickTop="1" x14ac:dyDescent="0.25">
      <c r="A563" s="51" t="s">
        <v>205</v>
      </c>
      <c r="X563" s="121"/>
      <c r="Y563" s="122"/>
      <c r="Z563" s="122"/>
      <c r="AA563" s="118"/>
    </row>
    <row r="564" spans="1:32" ht="8.25" customHeight="1" x14ac:dyDescent="0.25">
      <c r="A564" s="51" t="s">
        <v>205</v>
      </c>
      <c r="X564" s="109"/>
      <c r="Y564" s="67" t="s">
        <v>214</v>
      </c>
      <c r="Z564" s="68"/>
      <c r="AA564" s="75"/>
    </row>
    <row r="565" spans="1:32" ht="8.25" customHeight="1" x14ac:dyDescent="0.25">
      <c r="A565" s="51" t="s">
        <v>205</v>
      </c>
      <c r="X565" s="110" t="s">
        <v>120</v>
      </c>
      <c r="Y565" s="111">
        <v>200</v>
      </c>
      <c r="Z565" s="111">
        <f t="shared" ref="Z565:Z570" si="59">X565*Y565</f>
        <v>0</v>
      </c>
      <c r="AA565" s="112"/>
    </row>
    <row r="566" spans="1:32" ht="8.25" customHeight="1" x14ac:dyDescent="0.25">
      <c r="A566" s="51" t="s">
        <v>205</v>
      </c>
      <c r="X566" s="110" t="s">
        <v>1103</v>
      </c>
      <c r="Y566" s="111">
        <v>100</v>
      </c>
      <c r="Z566" s="111">
        <f t="shared" si="59"/>
        <v>291500</v>
      </c>
      <c r="AA566" s="112"/>
    </row>
    <row r="567" spans="1:32" ht="8.25" customHeight="1" x14ac:dyDescent="0.25">
      <c r="A567" s="51" t="s">
        <v>205</v>
      </c>
      <c r="X567" s="110" t="s">
        <v>797</v>
      </c>
      <c r="Y567" s="111">
        <v>50</v>
      </c>
      <c r="Z567" s="111">
        <f t="shared" si="59"/>
        <v>2550</v>
      </c>
      <c r="AA567" s="76"/>
    </row>
    <row r="568" spans="1:32" ht="8.25" customHeight="1" x14ac:dyDescent="0.25">
      <c r="A568" s="51" t="s">
        <v>205</v>
      </c>
      <c r="X568" s="110" t="s">
        <v>221</v>
      </c>
      <c r="Y568" s="111">
        <v>20</v>
      </c>
      <c r="Z568" s="111">
        <f t="shared" si="59"/>
        <v>140</v>
      </c>
      <c r="AA568" s="38"/>
    </row>
    <row r="569" spans="1:32" ht="8.25" customHeight="1" x14ac:dyDescent="0.25">
      <c r="A569" s="51" t="s">
        <v>205</v>
      </c>
      <c r="X569" s="110" t="s">
        <v>319</v>
      </c>
      <c r="Y569" s="111">
        <v>10</v>
      </c>
      <c r="Z569" s="111">
        <f t="shared" si="59"/>
        <v>60</v>
      </c>
      <c r="AA569" s="112"/>
    </row>
    <row r="570" spans="1:32" ht="8.25" customHeight="1" x14ac:dyDescent="0.25">
      <c r="A570" s="51" t="s">
        <v>205</v>
      </c>
      <c r="X570" s="110" t="s">
        <v>489</v>
      </c>
      <c r="Y570" s="111">
        <v>5</v>
      </c>
      <c r="Z570" s="111">
        <f t="shared" si="59"/>
        <v>1525</v>
      </c>
      <c r="AA570" s="112"/>
    </row>
    <row r="571" spans="1:32" ht="8.25" customHeight="1" x14ac:dyDescent="0.25">
      <c r="A571" s="51" t="s">
        <v>205</v>
      </c>
      <c r="X571" s="269">
        <v>0</v>
      </c>
      <c r="Y571" s="270"/>
      <c r="Z571" s="271"/>
      <c r="AA571" s="38"/>
    </row>
    <row r="572" spans="1:32" ht="8.25" customHeight="1" x14ac:dyDescent="0.25">
      <c r="A572" s="51" t="s">
        <v>205</v>
      </c>
      <c r="X572" s="110" t="s">
        <v>798</v>
      </c>
      <c r="Y572" s="111">
        <v>1</v>
      </c>
      <c r="Z572" s="111">
        <f t="shared" ref="Z572:Z577" si="60">X572*Y572</f>
        <v>476</v>
      </c>
      <c r="AA572" s="76"/>
    </row>
    <row r="573" spans="1:32" ht="8.25" customHeight="1" x14ac:dyDescent="0.25">
      <c r="A573" s="51" t="s">
        <v>205</v>
      </c>
      <c r="X573" s="110" t="s">
        <v>231</v>
      </c>
      <c r="Y573" s="111">
        <v>0.5</v>
      </c>
      <c r="Z573" s="111">
        <f t="shared" si="60"/>
        <v>23</v>
      </c>
      <c r="AA573" s="112"/>
    </row>
    <row r="574" spans="1:32" ht="8.25" customHeight="1" x14ac:dyDescent="0.25">
      <c r="A574" s="51" t="s">
        <v>205</v>
      </c>
      <c r="X574" s="110" t="s">
        <v>563</v>
      </c>
      <c r="Y574" s="111">
        <v>0.25</v>
      </c>
      <c r="Z574" s="111">
        <f t="shared" si="60"/>
        <v>21</v>
      </c>
      <c r="AA574" s="113"/>
    </row>
    <row r="575" spans="1:32" ht="8.25" customHeight="1" x14ac:dyDescent="0.25">
      <c r="A575" s="51" t="s">
        <v>205</v>
      </c>
      <c r="X575" s="110" t="s">
        <v>224</v>
      </c>
      <c r="Y575" s="111">
        <v>0.1</v>
      </c>
      <c r="Z575" s="111">
        <f t="shared" si="60"/>
        <v>0.2</v>
      </c>
      <c r="AA575" s="114" t="s">
        <v>219</v>
      </c>
    </row>
    <row r="576" spans="1:32" ht="8.25" customHeight="1" thickBot="1" x14ac:dyDescent="0.3">
      <c r="A576" s="51" t="s">
        <v>205</v>
      </c>
      <c r="X576" s="110"/>
      <c r="Y576" s="111">
        <v>0.05</v>
      </c>
      <c r="Z576" s="111">
        <f t="shared" si="60"/>
        <v>0</v>
      </c>
      <c r="AA576" s="115">
        <f>SUM(Z565:Z570)+Z572+Z573+Z574+Z575+Z576+Z577</f>
        <v>296295.23000000004</v>
      </c>
    </row>
    <row r="577" spans="1:32" ht="8.25" customHeight="1" thickTop="1" x14ac:dyDescent="0.25">
      <c r="A577" s="51" t="s">
        <v>205</v>
      </c>
      <c r="X577" s="110" t="s">
        <v>223</v>
      </c>
      <c r="Y577" s="111">
        <v>0.01</v>
      </c>
      <c r="Z577" s="111">
        <f t="shared" si="60"/>
        <v>0.03</v>
      </c>
    </row>
    <row r="578" spans="1:32" ht="8.25" customHeight="1" x14ac:dyDescent="0.25">
      <c r="A578" s="51" t="s">
        <v>205</v>
      </c>
    </row>
    <row r="579" spans="1:32" ht="8.25" customHeight="1" x14ac:dyDescent="0.25">
      <c r="A579" s="51" t="s">
        <v>205</v>
      </c>
      <c r="AA579" s="75" t="s">
        <v>251</v>
      </c>
      <c r="AF579" s="76">
        <f>AF562</f>
        <v>296295.2300000001</v>
      </c>
    </row>
    <row r="580" spans="1:32" ht="8.25" customHeight="1" x14ac:dyDescent="0.25">
      <c r="A580" s="51" t="s">
        <v>205</v>
      </c>
      <c r="N580" s="52">
        <v>42</v>
      </c>
      <c r="T580" s="33">
        <v>46050</v>
      </c>
      <c r="U580" s="34">
        <v>2026</v>
      </c>
      <c r="V580" s="35" t="s">
        <v>12</v>
      </c>
      <c r="X580" s="37" t="s">
        <v>707</v>
      </c>
      <c r="Y580" s="36" t="s">
        <v>708</v>
      </c>
      <c r="Z580" s="30" t="s">
        <v>709</v>
      </c>
      <c r="AA580" s="30" t="s">
        <v>3899</v>
      </c>
      <c r="AD580" s="38">
        <v>2120.9899999999998</v>
      </c>
      <c r="AF580" s="76">
        <f t="shared" ref="AF580:AF586" si="61">AF579+AD580-AE580</f>
        <v>298416.22000000009</v>
      </c>
    </row>
    <row r="581" spans="1:32" ht="8.25" customHeight="1" x14ac:dyDescent="0.15">
      <c r="A581" s="51" t="s">
        <v>205</v>
      </c>
      <c r="N581" s="52">
        <v>42</v>
      </c>
      <c r="T581" s="33">
        <v>46050</v>
      </c>
      <c r="U581" s="34">
        <v>2026</v>
      </c>
      <c r="V581" s="35" t="s">
        <v>12</v>
      </c>
      <c r="X581" s="37" t="s">
        <v>707</v>
      </c>
      <c r="Y581" s="36" t="s">
        <v>708</v>
      </c>
      <c r="Z581" s="30" t="s">
        <v>709</v>
      </c>
      <c r="AA581" s="134" t="s">
        <v>166</v>
      </c>
      <c r="AD581" s="38">
        <v>3095.39</v>
      </c>
      <c r="AF581" s="76">
        <f t="shared" si="61"/>
        <v>301511.6100000001</v>
      </c>
    </row>
    <row r="582" spans="1:32" ht="8.25" customHeight="1" x14ac:dyDescent="0.25">
      <c r="A582" s="51" t="s">
        <v>205</v>
      </c>
      <c r="N582" s="52">
        <v>42</v>
      </c>
      <c r="T582" s="33">
        <v>46050</v>
      </c>
      <c r="U582" s="34">
        <v>2026</v>
      </c>
      <c r="V582" s="35" t="s">
        <v>12</v>
      </c>
      <c r="X582" s="37" t="s">
        <v>707</v>
      </c>
      <c r="Y582" s="36" t="s">
        <v>708</v>
      </c>
      <c r="Z582" s="30" t="s">
        <v>709</v>
      </c>
      <c r="AA582" s="30" t="s">
        <v>168</v>
      </c>
      <c r="AD582" s="38">
        <v>783.62</v>
      </c>
      <c r="AF582" s="76">
        <f t="shared" si="61"/>
        <v>302295.2300000001</v>
      </c>
    </row>
    <row r="583" spans="1:32" ht="8.25" customHeight="1" x14ac:dyDescent="0.25">
      <c r="A583" s="51" t="s">
        <v>205</v>
      </c>
      <c r="T583" s="144">
        <v>46050</v>
      </c>
      <c r="U583" s="145">
        <v>2026</v>
      </c>
      <c r="V583" s="146" t="s">
        <v>12</v>
      </c>
      <c r="W583" s="146"/>
      <c r="X583" s="158" t="s">
        <v>715</v>
      </c>
      <c r="Y583" s="172" t="s">
        <v>411</v>
      </c>
      <c r="Z583" s="148" t="s">
        <v>412</v>
      </c>
      <c r="AA583" s="148" t="s">
        <v>399</v>
      </c>
      <c r="AB583" s="148"/>
      <c r="AC583" s="173"/>
      <c r="AD583" s="143"/>
      <c r="AE583" s="143">
        <v>81818.179999999993</v>
      </c>
      <c r="AF583" s="143">
        <f t="shared" si="61"/>
        <v>220477.0500000001</v>
      </c>
    </row>
    <row r="584" spans="1:32" ht="8.25" customHeight="1" x14ac:dyDescent="0.25">
      <c r="T584" s="33">
        <v>46050</v>
      </c>
      <c r="U584" s="34">
        <v>2026</v>
      </c>
      <c r="V584" s="35" t="s">
        <v>12</v>
      </c>
      <c r="X584" s="37" t="s">
        <v>716</v>
      </c>
      <c r="Y584" s="36" t="s">
        <v>717</v>
      </c>
      <c r="Z584" s="30" t="s">
        <v>699</v>
      </c>
      <c r="AA584" s="30" t="s">
        <v>13</v>
      </c>
      <c r="AD584" s="38">
        <v>68181.820000000007</v>
      </c>
      <c r="AF584" s="76">
        <f t="shared" si="61"/>
        <v>288658.87000000011</v>
      </c>
    </row>
    <row r="585" spans="1:32" ht="8.25" customHeight="1" x14ac:dyDescent="0.25">
      <c r="T585" s="33">
        <v>46050</v>
      </c>
      <c r="U585" s="34">
        <v>2026</v>
      </c>
      <c r="V585" s="35" t="s">
        <v>12</v>
      </c>
      <c r="X585" s="37" t="s">
        <v>718</v>
      </c>
      <c r="Y585" s="36" t="s">
        <v>120</v>
      </c>
      <c r="Z585" s="30" t="s">
        <v>699</v>
      </c>
      <c r="AA585" s="30" t="s">
        <v>385</v>
      </c>
      <c r="AD585" s="38">
        <v>13636.36</v>
      </c>
      <c r="AF585" s="76">
        <f t="shared" si="61"/>
        <v>302295.2300000001</v>
      </c>
    </row>
    <row r="586" spans="1:32" ht="8.25" customHeight="1" x14ac:dyDescent="0.25">
      <c r="T586" s="33">
        <v>46050</v>
      </c>
      <c r="U586" s="34">
        <v>2026</v>
      </c>
      <c r="V586" s="35" t="s">
        <v>12</v>
      </c>
      <c r="X586" s="37" t="s">
        <v>714</v>
      </c>
      <c r="Y586" s="36" t="s">
        <v>713</v>
      </c>
      <c r="Z586" s="30" t="s">
        <v>712</v>
      </c>
      <c r="AA586" s="30" t="s">
        <v>92</v>
      </c>
      <c r="AE586" s="38">
        <v>100</v>
      </c>
      <c r="AF586" s="76">
        <f t="shared" si="61"/>
        <v>302195.2300000001</v>
      </c>
    </row>
    <row r="587" spans="1:32" ht="8.25" customHeight="1" thickBot="1" x14ac:dyDescent="0.3">
      <c r="A587" s="51" t="s">
        <v>205</v>
      </c>
      <c r="AA587" s="75" t="s">
        <v>257</v>
      </c>
      <c r="AD587" s="91">
        <f>SUM(AD580:AD586)</f>
        <v>87818.180000000008</v>
      </c>
      <c r="AE587" s="91">
        <f>SUM(AE580:AE586)</f>
        <v>81918.179999999993</v>
      </c>
      <c r="AF587" s="76">
        <f>AF579+AD587-AE587</f>
        <v>302195.2300000001</v>
      </c>
    </row>
    <row r="588" spans="1:32" ht="8.25" customHeight="1" thickTop="1" x14ac:dyDescent="0.25">
      <c r="A588" s="51" t="s">
        <v>205</v>
      </c>
    </row>
    <row r="589" spans="1:32" ht="8.25" customHeight="1" x14ac:dyDescent="0.25">
      <c r="A589" s="51" t="s">
        <v>205</v>
      </c>
      <c r="X589" s="109"/>
      <c r="Y589" s="67" t="s">
        <v>214</v>
      </c>
      <c r="Z589" s="68"/>
      <c r="AA589" s="75"/>
    </row>
    <row r="590" spans="1:32" ht="8.25" customHeight="1" x14ac:dyDescent="0.25">
      <c r="A590" s="51" t="s">
        <v>205</v>
      </c>
      <c r="X590" s="110" t="s">
        <v>120</v>
      </c>
      <c r="Y590" s="111">
        <v>200</v>
      </c>
      <c r="Z590" s="111">
        <f t="shared" ref="Z590:Z595" si="62">X590*Y590</f>
        <v>0</v>
      </c>
      <c r="AA590" s="112"/>
    </row>
    <row r="591" spans="1:32" ht="8.25" customHeight="1" x14ac:dyDescent="0.25">
      <c r="A591" s="51" t="s">
        <v>205</v>
      </c>
      <c r="X591" s="110" t="s">
        <v>1104</v>
      </c>
      <c r="Y591" s="111">
        <v>100</v>
      </c>
      <c r="Z591" s="111">
        <f t="shared" si="62"/>
        <v>297500</v>
      </c>
      <c r="AA591" s="112"/>
    </row>
    <row r="592" spans="1:32" ht="8.25" customHeight="1" x14ac:dyDescent="0.25">
      <c r="A592" s="51" t="s">
        <v>205</v>
      </c>
      <c r="X592" s="110" t="s">
        <v>711</v>
      </c>
      <c r="Y592" s="111">
        <v>50</v>
      </c>
      <c r="Z592" s="111">
        <f t="shared" si="62"/>
        <v>2500</v>
      </c>
      <c r="AA592" s="76"/>
    </row>
    <row r="593" spans="1:32" ht="8.25" customHeight="1" x14ac:dyDescent="0.25">
      <c r="A593" s="51" t="s">
        <v>205</v>
      </c>
      <c r="X593" s="110" t="s">
        <v>402</v>
      </c>
      <c r="Y593" s="111">
        <v>20</v>
      </c>
      <c r="Z593" s="111">
        <f t="shared" si="62"/>
        <v>100</v>
      </c>
      <c r="AA593" s="38"/>
    </row>
    <row r="594" spans="1:32" ht="8.25" customHeight="1" x14ac:dyDescent="0.25">
      <c r="A594" s="51" t="s">
        <v>205</v>
      </c>
      <c r="X594" s="110" t="s">
        <v>402</v>
      </c>
      <c r="Y594" s="111">
        <v>10</v>
      </c>
      <c r="Z594" s="111">
        <f t="shared" si="62"/>
        <v>50</v>
      </c>
      <c r="AA594" s="112"/>
    </row>
    <row r="595" spans="1:32" ht="8.25" customHeight="1" x14ac:dyDescent="0.25">
      <c r="A595" s="51" t="s">
        <v>205</v>
      </c>
      <c r="X595" s="110" t="s">
        <v>489</v>
      </c>
      <c r="Y595" s="111">
        <v>5</v>
      </c>
      <c r="Z595" s="111">
        <f t="shared" si="62"/>
        <v>1525</v>
      </c>
      <c r="AA595" s="112"/>
    </row>
    <row r="596" spans="1:32" ht="8.25" customHeight="1" x14ac:dyDescent="0.25">
      <c r="A596" s="51" t="s">
        <v>205</v>
      </c>
      <c r="X596" s="269">
        <v>0</v>
      </c>
      <c r="Y596" s="270"/>
      <c r="Z596" s="271"/>
      <c r="AA596" s="38"/>
    </row>
    <row r="597" spans="1:32" ht="8.25" customHeight="1" x14ac:dyDescent="0.25">
      <c r="A597" s="51" t="s">
        <v>205</v>
      </c>
      <c r="X597" s="110" t="s">
        <v>798</v>
      </c>
      <c r="Y597" s="111">
        <v>1</v>
      </c>
      <c r="Z597" s="111">
        <f t="shared" ref="Z597:Z602" si="63">X597*Y597</f>
        <v>476</v>
      </c>
      <c r="AA597" s="76"/>
    </row>
    <row r="598" spans="1:32" ht="8.25" customHeight="1" x14ac:dyDescent="0.25">
      <c r="A598" s="51" t="s">
        <v>205</v>
      </c>
      <c r="X598" s="110" t="s">
        <v>231</v>
      </c>
      <c r="Y598" s="111">
        <v>0.5</v>
      </c>
      <c r="Z598" s="111">
        <f t="shared" si="63"/>
        <v>23</v>
      </c>
      <c r="AA598" s="112"/>
    </row>
    <row r="599" spans="1:32" ht="8.25" customHeight="1" x14ac:dyDescent="0.25">
      <c r="A599" s="51" t="s">
        <v>205</v>
      </c>
      <c r="X599" s="110" t="s">
        <v>563</v>
      </c>
      <c r="Y599" s="111">
        <v>0.25</v>
      </c>
      <c r="Z599" s="111">
        <f t="shared" si="63"/>
        <v>21</v>
      </c>
      <c r="AA599" s="113"/>
    </row>
    <row r="600" spans="1:32" ht="8.25" customHeight="1" x14ac:dyDescent="0.25">
      <c r="A600" s="51" t="s">
        <v>205</v>
      </c>
      <c r="X600" s="110" t="s">
        <v>224</v>
      </c>
      <c r="Y600" s="111">
        <v>0.1</v>
      </c>
      <c r="Z600" s="111">
        <f t="shared" si="63"/>
        <v>0.2</v>
      </c>
      <c r="AA600" s="114" t="s">
        <v>219</v>
      </c>
    </row>
    <row r="601" spans="1:32" ht="8.25" customHeight="1" thickBot="1" x14ac:dyDescent="0.3">
      <c r="A601" s="51" t="s">
        <v>205</v>
      </c>
      <c r="X601" s="110"/>
      <c r="Y601" s="111">
        <v>0.05</v>
      </c>
      <c r="Z601" s="111">
        <f t="shared" si="63"/>
        <v>0</v>
      </c>
      <c r="AA601" s="115">
        <f>SUM(Z590:Z595)+Z597+Z598+Z599+Z600+Z601+Z602</f>
        <v>302195.23000000004</v>
      </c>
    </row>
    <row r="602" spans="1:32" ht="8.25" customHeight="1" thickTop="1" x14ac:dyDescent="0.25">
      <c r="A602" s="51" t="s">
        <v>205</v>
      </c>
      <c r="X602" s="110" t="s">
        <v>223</v>
      </c>
      <c r="Y602" s="111">
        <v>0.01</v>
      </c>
      <c r="Z602" s="111">
        <f t="shared" si="63"/>
        <v>0.03</v>
      </c>
    </row>
    <row r="603" spans="1:32" ht="8.25" customHeight="1" x14ac:dyDescent="0.25">
      <c r="A603" s="51" t="s">
        <v>205</v>
      </c>
    </row>
    <row r="604" spans="1:32" ht="8.25" customHeight="1" x14ac:dyDescent="0.25">
      <c r="A604" s="51" t="s">
        <v>205</v>
      </c>
      <c r="AA604" s="75" t="s">
        <v>251</v>
      </c>
      <c r="AF604" s="76">
        <f>AF587</f>
        <v>302195.2300000001</v>
      </c>
    </row>
    <row r="605" spans="1:32" ht="8.25" customHeight="1" x14ac:dyDescent="0.25">
      <c r="A605" s="51" t="s">
        <v>205</v>
      </c>
      <c r="T605" s="186">
        <v>46051</v>
      </c>
      <c r="U605" s="187">
        <v>2026</v>
      </c>
      <c r="V605" s="188" t="s">
        <v>12</v>
      </c>
      <c r="W605" s="188"/>
      <c r="X605" s="189" t="s">
        <v>720</v>
      </c>
      <c r="Y605" s="190" t="s">
        <v>721</v>
      </c>
      <c r="Z605" s="191" t="s">
        <v>578</v>
      </c>
      <c r="AA605" s="191" t="s">
        <v>722</v>
      </c>
      <c r="AB605" s="191"/>
      <c r="AC605" s="192"/>
      <c r="AD605" s="185"/>
      <c r="AE605" s="185">
        <v>136477.26999999999</v>
      </c>
      <c r="AF605" s="185">
        <f t="shared" ref="AF605:AF606" si="64">AF604+AD605-AE605</f>
        <v>165717.96000000011</v>
      </c>
    </row>
    <row r="606" spans="1:32" ht="8.25" customHeight="1" x14ac:dyDescent="0.25">
      <c r="A606" s="51" t="s">
        <v>205</v>
      </c>
      <c r="T606" s="33">
        <v>46051</v>
      </c>
      <c r="U606" s="34">
        <v>2026</v>
      </c>
      <c r="V606" s="35" t="s">
        <v>12</v>
      </c>
      <c r="X606" s="37" t="s">
        <v>723</v>
      </c>
      <c r="Y606" s="36" t="s">
        <v>577</v>
      </c>
      <c r="Z606" s="30" t="s">
        <v>578</v>
      </c>
      <c r="AA606" s="30" t="s">
        <v>13</v>
      </c>
      <c r="AD606" s="38">
        <v>13647.73</v>
      </c>
      <c r="AF606" s="76">
        <f t="shared" si="64"/>
        <v>179365.69000000012</v>
      </c>
    </row>
    <row r="607" spans="1:32" ht="8.25" customHeight="1" x14ac:dyDescent="0.25">
      <c r="A607" s="51" t="s">
        <v>205</v>
      </c>
      <c r="T607" s="33">
        <v>46051</v>
      </c>
      <c r="U607" s="34">
        <v>2026</v>
      </c>
      <c r="V607" s="35" t="s">
        <v>12</v>
      </c>
      <c r="X607" s="37" t="s">
        <v>724</v>
      </c>
      <c r="Y607" s="36" t="s">
        <v>120</v>
      </c>
      <c r="Z607" s="30" t="s">
        <v>578</v>
      </c>
      <c r="AA607" s="30" t="s">
        <v>385</v>
      </c>
      <c r="AD607" s="38">
        <v>2729.54</v>
      </c>
      <c r="AF607" s="76">
        <f>AF606+AD607-AE607</f>
        <v>182095.23000000013</v>
      </c>
    </row>
    <row r="608" spans="1:32" ht="8.25" customHeight="1" x14ac:dyDescent="0.25">
      <c r="T608" s="186">
        <v>46051</v>
      </c>
      <c r="U608" s="187">
        <v>2026</v>
      </c>
      <c r="V608" s="188" t="s">
        <v>12</v>
      </c>
      <c r="W608" s="188"/>
      <c r="X608" s="189" t="s">
        <v>729</v>
      </c>
      <c r="Y608" s="190" t="s">
        <v>411</v>
      </c>
      <c r="Z608" s="191" t="s">
        <v>412</v>
      </c>
      <c r="AA608" s="191" t="s">
        <v>399</v>
      </c>
      <c r="AB608" s="191"/>
      <c r="AC608" s="192"/>
      <c r="AD608" s="185"/>
      <c r="AE608" s="185">
        <v>272727.27</v>
      </c>
      <c r="AF608" s="185">
        <f>AF607+AD608-AE608</f>
        <v>-90632.039999999892</v>
      </c>
    </row>
    <row r="609" spans="1:32" ht="8.25" customHeight="1" x14ac:dyDescent="0.25">
      <c r="T609" s="33">
        <v>46051</v>
      </c>
      <c r="U609" s="34">
        <v>2026</v>
      </c>
      <c r="V609" s="35" t="s">
        <v>12</v>
      </c>
      <c r="X609" s="37" t="s">
        <v>726</v>
      </c>
      <c r="Y609" s="36" t="s">
        <v>728</v>
      </c>
      <c r="Z609" s="30" t="s">
        <v>642</v>
      </c>
      <c r="AA609" s="30" t="s">
        <v>13</v>
      </c>
      <c r="AD609" s="38">
        <v>227272.73</v>
      </c>
      <c r="AF609" s="76">
        <f t="shared" ref="AF609:AF610" si="65">AF608+AD609-AE609</f>
        <v>136640.69000000012</v>
      </c>
    </row>
    <row r="610" spans="1:32" ht="8.25" customHeight="1" x14ac:dyDescent="0.25">
      <c r="T610" s="33">
        <v>46051</v>
      </c>
      <c r="U610" s="34">
        <v>2026</v>
      </c>
      <c r="V610" s="35" t="s">
        <v>12</v>
      </c>
      <c r="X610" s="37" t="s">
        <v>727</v>
      </c>
      <c r="Y610" s="36" t="s">
        <v>120</v>
      </c>
      <c r="Z610" s="30" t="s">
        <v>642</v>
      </c>
      <c r="AA610" s="30" t="s">
        <v>385</v>
      </c>
      <c r="AD610" s="38">
        <v>45454.54</v>
      </c>
      <c r="AF610" s="76">
        <f t="shared" si="65"/>
        <v>182095.23000000013</v>
      </c>
    </row>
    <row r="611" spans="1:32" ht="8.25" customHeight="1" x14ac:dyDescent="0.25">
      <c r="A611" s="51" t="s">
        <v>205</v>
      </c>
      <c r="AA611" s="75" t="s">
        <v>257</v>
      </c>
      <c r="AD611" s="76">
        <f>SUM(AD606:AD610)</f>
        <v>289104.53999999998</v>
      </c>
      <c r="AE611" s="76">
        <f>SUM(AE605:AE610)</f>
        <v>409204.54000000004</v>
      </c>
      <c r="AF611" s="76">
        <f>AF604+AD611-AE611</f>
        <v>182095.22999999998</v>
      </c>
    </row>
    <row r="612" spans="1:32" ht="8.25" customHeight="1" thickBot="1" x14ac:dyDescent="0.3">
      <c r="A612" s="51" t="s">
        <v>205</v>
      </c>
      <c r="AD612" s="91"/>
      <c r="AE612" s="91"/>
    </row>
    <row r="613" spans="1:32" ht="8.25" customHeight="1" thickTop="1" x14ac:dyDescent="0.25">
      <c r="A613" s="51" t="s">
        <v>205</v>
      </c>
      <c r="X613" s="109"/>
      <c r="Y613" s="67" t="s">
        <v>214</v>
      </c>
      <c r="Z613" s="68"/>
      <c r="AA613" s="75"/>
    </row>
    <row r="614" spans="1:32" ht="8.25" customHeight="1" x14ac:dyDescent="0.25">
      <c r="A614" s="51" t="s">
        <v>205</v>
      </c>
      <c r="X614" s="110" t="s">
        <v>222</v>
      </c>
      <c r="Y614" s="111">
        <v>200</v>
      </c>
      <c r="Z614" s="111">
        <f t="shared" ref="Z614:Z619" si="66">X614*Y614</f>
        <v>200</v>
      </c>
      <c r="AA614" s="112"/>
    </row>
    <row r="615" spans="1:32" ht="8.25" customHeight="1" x14ac:dyDescent="0.25">
      <c r="A615" s="51" t="s">
        <v>205</v>
      </c>
      <c r="X615" s="110" t="s">
        <v>1105</v>
      </c>
      <c r="Y615" s="111">
        <v>100</v>
      </c>
      <c r="Z615" s="111">
        <f t="shared" si="66"/>
        <v>178000</v>
      </c>
      <c r="AA615" s="112"/>
    </row>
    <row r="616" spans="1:32" ht="8.25" customHeight="1" x14ac:dyDescent="0.25">
      <c r="A616" s="51" t="s">
        <v>205</v>
      </c>
      <c r="X616" s="110" t="s">
        <v>231</v>
      </c>
      <c r="Y616" s="111">
        <v>50</v>
      </c>
      <c r="Z616" s="111">
        <f t="shared" si="66"/>
        <v>2300</v>
      </c>
      <c r="AA616" s="76"/>
    </row>
    <row r="617" spans="1:32" ht="8.25" customHeight="1" x14ac:dyDescent="0.25">
      <c r="A617" s="51" t="s">
        <v>205</v>
      </c>
      <c r="X617" s="110" t="s">
        <v>223</v>
      </c>
      <c r="Y617" s="111">
        <v>20</v>
      </c>
      <c r="Z617" s="111">
        <f t="shared" si="66"/>
        <v>60</v>
      </c>
      <c r="AA617" s="38"/>
    </row>
    <row r="618" spans="1:32" ht="8.25" customHeight="1" x14ac:dyDescent="0.25">
      <c r="A618" s="51" t="s">
        <v>205</v>
      </c>
      <c r="X618" s="110" t="s">
        <v>222</v>
      </c>
      <c r="Y618" s="111">
        <v>10</v>
      </c>
      <c r="Z618" s="111">
        <f t="shared" si="66"/>
        <v>10</v>
      </c>
      <c r="AA618" s="112"/>
    </row>
    <row r="619" spans="1:32" ht="8.25" customHeight="1" x14ac:dyDescent="0.25">
      <c r="A619" s="51" t="s">
        <v>205</v>
      </c>
      <c r="X619" s="110" t="s">
        <v>725</v>
      </c>
      <c r="Y619" s="111">
        <v>5</v>
      </c>
      <c r="Z619" s="111">
        <f t="shared" si="66"/>
        <v>1005</v>
      </c>
      <c r="AA619" s="112"/>
    </row>
    <row r="620" spans="1:32" ht="8.25" customHeight="1" x14ac:dyDescent="0.25">
      <c r="A620" s="51" t="s">
        <v>205</v>
      </c>
      <c r="X620" s="269">
        <v>0</v>
      </c>
      <c r="Y620" s="270"/>
      <c r="Z620" s="271"/>
      <c r="AA620" s="38"/>
    </row>
    <row r="621" spans="1:32" ht="8.25" customHeight="1" x14ac:dyDescent="0.25">
      <c r="A621" s="51" t="s">
        <v>205</v>
      </c>
      <c r="X621" s="110" t="s">
        <v>798</v>
      </c>
      <c r="Y621" s="111">
        <v>1</v>
      </c>
      <c r="Z621" s="111">
        <f t="shared" ref="Z621:Z626" si="67">X621*Y621</f>
        <v>476</v>
      </c>
      <c r="AA621" s="76"/>
    </row>
    <row r="622" spans="1:32" ht="8.25" customHeight="1" x14ac:dyDescent="0.25">
      <c r="A622" s="51" t="s">
        <v>205</v>
      </c>
      <c r="X622" s="110" t="s">
        <v>231</v>
      </c>
      <c r="Y622" s="111">
        <v>0.5</v>
      </c>
      <c r="Z622" s="111">
        <f t="shared" si="67"/>
        <v>23</v>
      </c>
      <c r="AA622" s="112"/>
    </row>
    <row r="623" spans="1:32" ht="8.25" customHeight="1" x14ac:dyDescent="0.25">
      <c r="A623" s="51" t="s">
        <v>205</v>
      </c>
      <c r="X623" s="110" t="s">
        <v>563</v>
      </c>
      <c r="Y623" s="111">
        <v>0.25</v>
      </c>
      <c r="Z623" s="111">
        <f t="shared" si="67"/>
        <v>21</v>
      </c>
      <c r="AA623" s="113"/>
    </row>
    <row r="624" spans="1:32" ht="8.25" customHeight="1" x14ac:dyDescent="0.25">
      <c r="A624" s="51" t="s">
        <v>205</v>
      </c>
      <c r="X624" s="110" t="s">
        <v>224</v>
      </c>
      <c r="Y624" s="111">
        <v>0.1</v>
      </c>
      <c r="Z624" s="111">
        <f t="shared" si="67"/>
        <v>0.2</v>
      </c>
      <c r="AA624" s="114" t="s">
        <v>219</v>
      </c>
    </row>
    <row r="625" spans="1:32" ht="8.25" customHeight="1" thickBot="1" x14ac:dyDescent="0.3">
      <c r="A625" s="51" t="s">
        <v>205</v>
      </c>
      <c r="X625" s="110"/>
      <c r="Y625" s="111">
        <v>0.05</v>
      </c>
      <c r="Z625" s="111">
        <f t="shared" si="67"/>
        <v>0</v>
      </c>
      <c r="AA625" s="115">
        <f>SUM(Z614:Z619)+Z621+Z622+Z623+Z624+Z625+Z626</f>
        <v>182095.23</v>
      </c>
    </row>
    <row r="626" spans="1:32" ht="8.25" customHeight="1" thickTop="1" x14ac:dyDescent="0.25">
      <c r="A626" s="51" t="s">
        <v>205</v>
      </c>
      <c r="X626" s="110" t="s">
        <v>223</v>
      </c>
      <c r="Y626" s="111">
        <v>0.01</v>
      </c>
      <c r="Z626" s="111">
        <f t="shared" si="67"/>
        <v>0.03</v>
      </c>
    </row>
    <row r="627" spans="1:32" ht="8.25" customHeight="1" x14ac:dyDescent="0.25">
      <c r="A627" s="51" t="s">
        <v>205</v>
      </c>
    </row>
    <row r="628" spans="1:32" ht="8.25" customHeight="1" x14ac:dyDescent="0.25">
      <c r="A628" s="51" t="s">
        <v>205</v>
      </c>
      <c r="AA628" s="75" t="s">
        <v>251</v>
      </c>
      <c r="AF628" s="76">
        <f>AF611</f>
        <v>182095.22999999998</v>
      </c>
    </row>
    <row r="629" spans="1:32" ht="8.25" customHeight="1" x14ac:dyDescent="0.25">
      <c r="A629" s="51" t="s">
        <v>205</v>
      </c>
      <c r="T629" s="33">
        <v>46052</v>
      </c>
      <c r="U629" s="34">
        <v>2026</v>
      </c>
      <c r="V629" s="35" t="s">
        <v>12</v>
      </c>
      <c r="X629" s="37" t="s">
        <v>730</v>
      </c>
      <c r="Y629" s="36" t="s">
        <v>731</v>
      </c>
      <c r="Z629" s="30" t="s">
        <v>732</v>
      </c>
      <c r="AA629" s="30" t="s">
        <v>13</v>
      </c>
      <c r="AD629" s="38">
        <v>10000</v>
      </c>
      <c r="AF629" s="76">
        <f t="shared" ref="AF629:AF640" si="68">AF628+AD629-AE629</f>
        <v>192095.22999999998</v>
      </c>
    </row>
    <row r="630" spans="1:32" ht="8.25" customHeight="1" x14ac:dyDescent="0.25">
      <c r="A630" s="51" t="s">
        <v>205</v>
      </c>
      <c r="T630" s="33">
        <v>46052</v>
      </c>
      <c r="U630" s="34">
        <v>2026</v>
      </c>
      <c r="V630" s="35" t="s">
        <v>12</v>
      </c>
      <c r="X630" s="37" t="s">
        <v>733</v>
      </c>
      <c r="Y630" s="36" t="s">
        <v>734</v>
      </c>
      <c r="Z630" s="30" t="s">
        <v>735</v>
      </c>
      <c r="AA630" s="30" t="s">
        <v>3899</v>
      </c>
      <c r="AD630" s="38">
        <v>8846.58</v>
      </c>
      <c r="AF630" s="76">
        <f t="shared" si="68"/>
        <v>200941.80999999997</v>
      </c>
    </row>
    <row r="631" spans="1:32" ht="8.25" customHeight="1" x14ac:dyDescent="0.15">
      <c r="A631" s="51" t="s">
        <v>205</v>
      </c>
      <c r="T631" s="33">
        <v>46052</v>
      </c>
      <c r="U631" s="34">
        <v>2026</v>
      </c>
      <c r="V631" s="35" t="s">
        <v>12</v>
      </c>
      <c r="X631" s="37" t="s">
        <v>733</v>
      </c>
      <c r="Y631" s="36" t="s">
        <v>734</v>
      </c>
      <c r="Z631" s="30" t="s">
        <v>735</v>
      </c>
      <c r="AA631" s="134" t="s">
        <v>166</v>
      </c>
      <c r="AD631" s="38">
        <v>8153.42</v>
      </c>
      <c r="AF631" s="76">
        <f t="shared" si="68"/>
        <v>209095.22999999998</v>
      </c>
    </row>
    <row r="632" spans="1:32" ht="8.25" customHeight="1" x14ac:dyDescent="0.25">
      <c r="A632" s="51" t="s">
        <v>205</v>
      </c>
      <c r="T632" s="33">
        <v>46052</v>
      </c>
      <c r="U632" s="34">
        <v>2026</v>
      </c>
      <c r="V632" s="35" t="s">
        <v>12</v>
      </c>
      <c r="X632" s="37" t="s">
        <v>736</v>
      </c>
      <c r="Y632" s="36" t="s">
        <v>196</v>
      </c>
      <c r="Z632" s="30" t="s">
        <v>16</v>
      </c>
      <c r="AA632" s="30" t="s">
        <v>3708</v>
      </c>
      <c r="AD632" s="38">
        <v>2891.65</v>
      </c>
      <c r="AF632" s="76">
        <f t="shared" si="68"/>
        <v>211986.87999999998</v>
      </c>
    </row>
    <row r="633" spans="1:32" ht="8.25" customHeight="1" x14ac:dyDescent="0.15">
      <c r="A633" s="51" t="s">
        <v>205</v>
      </c>
      <c r="T633" s="33">
        <v>46052</v>
      </c>
      <c r="U633" s="34">
        <v>2026</v>
      </c>
      <c r="V633" s="35" t="s">
        <v>12</v>
      </c>
      <c r="X633" s="37" t="s">
        <v>736</v>
      </c>
      <c r="Y633" s="36" t="s">
        <v>196</v>
      </c>
      <c r="Z633" s="30" t="s">
        <v>16</v>
      </c>
      <c r="AA633" s="134" t="s">
        <v>1748</v>
      </c>
      <c r="AD633" s="38">
        <v>108.35</v>
      </c>
      <c r="AF633" s="76">
        <f t="shared" si="68"/>
        <v>212095.22999999998</v>
      </c>
    </row>
    <row r="634" spans="1:32" ht="8.25" customHeight="1" x14ac:dyDescent="0.25">
      <c r="A634" s="51" t="s">
        <v>205</v>
      </c>
      <c r="T634" s="33">
        <v>46052</v>
      </c>
      <c r="U634" s="34">
        <v>2026</v>
      </c>
      <c r="V634" s="35" t="s">
        <v>12</v>
      </c>
      <c r="X634" s="37" t="s">
        <v>737</v>
      </c>
      <c r="Y634" s="36" t="s">
        <v>738</v>
      </c>
      <c r="Z634" s="30" t="s">
        <v>645</v>
      </c>
      <c r="AA634" s="30" t="s">
        <v>13</v>
      </c>
      <c r="AD634" s="38">
        <v>2500</v>
      </c>
      <c r="AF634" s="76">
        <f t="shared" si="68"/>
        <v>214595.22999999998</v>
      </c>
    </row>
    <row r="635" spans="1:32" ht="8.25" customHeight="1" x14ac:dyDescent="0.25">
      <c r="A635" s="51" t="s">
        <v>205</v>
      </c>
      <c r="T635" s="33">
        <v>46052</v>
      </c>
      <c r="U635" s="34">
        <v>2026</v>
      </c>
      <c r="V635" s="35" t="s">
        <v>12</v>
      </c>
      <c r="X635" s="37" t="s">
        <v>739</v>
      </c>
      <c r="Y635" s="36" t="s">
        <v>349</v>
      </c>
      <c r="Z635" s="30" t="s">
        <v>740</v>
      </c>
      <c r="AA635" s="30" t="s">
        <v>92</v>
      </c>
      <c r="AE635" s="38">
        <v>1000</v>
      </c>
      <c r="AF635" s="76">
        <f t="shared" si="68"/>
        <v>213595.22999999998</v>
      </c>
    </row>
    <row r="636" spans="1:32" ht="8.25" customHeight="1" x14ac:dyDescent="0.25">
      <c r="A636" s="51" t="s">
        <v>205</v>
      </c>
      <c r="T636" s="33">
        <v>46052</v>
      </c>
      <c r="U636" s="34">
        <v>2026</v>
      </c>
      <c r="V636" s="35" t="s">
        <v>12</v>
      </c>
      <c r="X636" s="37" t="s">
        <v>741</v>
      </c>
      <c r="Z636" s="30" t="s">
        <v>16</v>
      </c>
      <c r="AA636" s="30" t="s">
        <v>167</v>
      </c>
      <c r="AE636" s="38">
        <v>1905</v>
      </c>
      <c r="AF636" s="76">
        <f t="shared" si="68"/>
        <v>211690.22999999998</v>
      </c>
    </row>
    <row r="637" spans="1:32" ht="8.25" customHeight="1" x14ac:dyDescent="0.25">
      <c r="A637" s="51" t="s">
        <v>205</v>
      </c>
      <c r="T637" s="33">
        <v>46052</v>
      </c>
      <c r="U637" s="34">
        <v>2026</v>
      </c>
      <c r="V637" s="35" t="s">
        <v>12</v>
      </c>
      <c r="X637" s="37" t="s">
        <v>742</v>
      </c>
      <c r="Y637" s="36" t="s">
        <v>629</v>
      </c>
      <c r="Z637" s="30" t="s">
        <v>630</v>
      </c>
      <c r="AA637" s="30" t="s">
        <v>92</v>
      </c>
      <c r="AE637" s="38">
        <v>100</v>
      </c>
      <c r="AF637" s="76">
        <f t="shared" si="68"/>
        <v>211590.22999999998</v>
      </c>
    </row>
    <row r="638" spans="1:32" ht="8.25" customHeight="1" x14ac:dyDescent="0.25">
      <c r="A638" s="51" t="s">
        <v>205</v>
      </c>
      <c r="T638" s="33">
        <v>46052</v>
      </c>
      <c r="U638" s="34">
        <v>2026</v>
      </c>
      <c r="V638" s="35" t="s">
        <v>12</v>
      </c>
      <c r="X638" s="37" t="s">
        <v>743</v>
      </c>
      <c r="Y638" s="36" t="s">
        <v>744</v>
      </c>
      <c r="Z638" s="30" t="s">
        <v>745</v>
      </c>
      <c r="AA638" s="30" t="s">
        <v>92</v>
      </c>
      <c r="AE638" s="38">
        <v>600</v>
      </c>
      <c r="AF638" s="76">
        <f t="shared" si="68"/>
        <v>210990.22999999998</v>
      </c>
    </row>
    <row r="639" spans="1:32" ht="8.25" customHeight="1" x14ac:dyDescent="0.25">
      <c r="A639" s="51" t="s">
        <v>205</v>
      </c>
      <c r="T639" s="33">
        <v>46052</v>
      </c>
      <c r="U639" s="34">
        <v>2026</v>
      </c>
      <c r="V639" s="35" t="s">
        <v>12</v>
      </c>
      <c r="X639" s="37" t="s">
        <v>746</v>
      </c>
      <c r="Z639" s="30" t="s">
        <v>16</v>
      </c>
      <c r="AA639" s="30" t="s">
        <v>167</v>
      </c>
      <c r="AE639" s="38">
        <v>1900</v>
      </c>
      <c r="AF639" s="76">
        <f t="shared" si="68"/>
        <v>209090.22999999998</v>
      </c>
    </row>
    <row r="640" spans="1:32" ht="8.25" customHeight="1" x14ac:dyDescent="0.25">
      <c r="A640" s="51" t="s">
        <v>205</v>
      </c>
      <c r="T640" s="33">
        <v>46052</v>
      </c>
      <c r="U640" s="34">
        <v>2026</v>
      </c>
      <c r="V640" s="35" t="s">
        <v>12</v>
      </c>
      <c r="X640" s="37" t="s">
        <v>747</v>
      </c>
      <c r="Z640" s="30" t="s">
        <v>16</v>
      </c>
      <c r="AA640" s="30" t="s">
        <v>167</v>
      </c>
      <c r="AE640" s="38">
        <v>240</v>
      </c>
      <c r="AF640" s="76">
        <f t="shared" si="68"/>
        <v>208850.22999999998</v>
      </c>
    </row>
    <row r="641" spans="1:32" ht="8.25" customHeight="1" thickBot="1" x14ac:dyDescent="0.3">
      <c r="A641" s="51" t="s">
        <v>205</v>
      </c>
      <c r="AA641" s="75" t="s">
        <v>257</v>
      </c>
      <c r="AD641" s="91">
        <f>SUM(AD629:AD640)</f>
        <v>32500</v>
      </c>
      <c r="AE641" s="91">
        <f>SUM(AE635:AE640)</f>
        <v>5745</v>
      </c>
      <c r="AF641" s="76">
        <f>AF628+AD641-AE641</f>
        <v>208850.22999999998</v>
      </c>
    </row>
    <row r="642" spans="1:32" ht="8.25" customHeight="1" thickTop="1" x14ac:dyDescent="0.25">
      <c r="AA642" s="75" t="s">
        <v>912</v>
      </c>
      <c r="AD642" s="76">
        <f>AD24+AD43+AD65+AD96+AD130+AD171+AD202+AD242+AD283+AD316+AD348+AD372+AD399+AD430+AD453+AD474+AD499+AD523+AD562+AD587+AD611+AD641</f>
        <v>1495349.81</v>
      </c>
      <c r="AE642" s="76">
        <f>AE24+AE65+AE96+AE130+AE171+AE202+AE242+AE262+AE283+AE316+AE348+AE372+AE399+AE430+AE453+AE474+AE499+AE523+AE562+AE587+AE611+AE641</f>
        <v>1368369.46</v>
      </c>
      <c r="AF642" s="76">
        <f>AF6+AD642-AE642</f>
        <v>208850.22999999998</v>
      </c>
    </row>
    <row r="643" spans="1:32" ht="8.25" customHeight="1" x14ac:dyDescent="0.25">
      <c r="A643" s="51" t="s">
        <v>205</v>
      </c>
      <c r="X643" s="109"/>
      <c r="Y643" s="67" t="s">
        <v>214</v>
      </c>
      <c r="Z643" s="68"/>
      <c r="AA643" s="75"/>
    </row>
    <row r="644" spans="1:32" ht="8.25" customHeight="1" x14ac:dyDescent="0.25">
      <c r="A644" s="51" t="s">
        <v>205</v>
      </c>
      <c r="X644" s="110" t="s">
        <v>669</v>
      </c>
      <c r="Y644" s="111">
        <v>200</v>
      </c>
      <c r="Z644" s="111">
        <f t="shared" ref="Z644:Z649" si="69">X644*Y644</f>
        <v>3800</v>
      </c>
      <c r="AA644" s="112"/>
    </row>
    <row r="645" spans="1:32" ht="8.25" customHeight="1" x14ac:dyDescent="0.25">
      <c r="A645" s="51" t="s">
        <v>205</v>
      </c>
      <c r="X645" s="110" t="s">
        <v>1106</v>
      </c>
      <c r="Y645" s="111">
        <v>100</v>
      </c>
      <c r="Z645" s="111">
        <f t="shared" si="69"/>
        <v>200400</v>
      </c>
      <c r="AA645" s="112"/>
    </row>
    <row r="646" spans="1:32" ht="8.25" customHeight="1" x14ac:dyDescent="0.25">
      <c r="A646" s="51" t="s">
        <v>205</v>
      </c>
      <c r="X646" s="110" t="s">
        <v>748</v>
      </c>
      <c r="Y646" s="111">
        <v>50</v>
      </c>
      <c r="Z646" s="111">
        <f t="shared" si="69"/>
        <v>2200</v>
      </c>
      <c r="AA646" s="76"/>
    </row>
    <row r="647" spans="1:32" ht="8.25" customHeight="1" x14ac:dyDescent="0.25">
      <c r="A647" s="51" t="s">
        <v>205</v>
      </c>
      <c r="X647" s="110" t="s">
        <v>711</v>
      </c>
      <c r="Y647" s="111">
        <v>20</v>
      </c>
      <c r="Z647" s="111">
        <f t="shared" si="69"/>
        <v>1000</v>
      </c>
      <c r="AA647" s="38"/>
    </row>
    <row r="648" spans="1:32" ht="8.25" customHeight="1" x14ac:dyDescent="0.25">
      <c r="A648" s="51" t="s">
        <v>205</v>
      </c>
      <c r="U648" s="34" t="s">
        <v>781</v>
      </c>
      <c r="X648" s="110" t="s">
        <v>224</v>
      </c>
      <c r="Y648" s="111">
        <v>10</v>
      </c>
      <c r="Z648" s="111">
        <f t="shared" si="69"/>
        <v>20</v>
      </c>
      <c r="AA648" s="112"/>
    </row>
    <row r="649" spans="1:32" ht="8.25" customHeight="1" x14ac:dyDescent="0.25">
      <c r="A649" s="51" t="s">
        <v>205</v>
      </c>
      <c r="X649" s="110" t="s">
        <v>799</v>
      </c>
      <c r="Y649" s="111">
        <v>5</v>
      </c>
      <c r="Z649" s="111">
        <f t="shared" si="69"/>
        <v>910</v>
      </c>
      <c r="AA649" s="112"/>
    </row>
    <row r="650" spans="1:32" ht="8.25" customHeight="1" x14ac:dyDescent="0.25">
      <c r="A650" s="51" t="s">
        <v>205</v>
      </c>
      <c r="X650" s="269">
        <v>0</v>
      </c>
      <c r="Y650" s="270"/>
      <c r="Z650" s="271"/>
      <c r="AA650" s="38"/>
    </row>
    <row r="651" spans="1:32" ht="8.25" customHeight="1" x14ac:dyDescent="0.25">
      <c r="A651" s="51" t="s">
        <v>205</v>
      </c>
      <c r="X651" s="110" t="s">
        <v>798</v>
      </c>
      <c r="Y651" s="111">
        <v>1</v>
      </c>
      <c r="Z651" s="111">
        <f t="shared" ref="Z651:Z656" si="70">X651*Y651</f>
        <v>476</v>
      </c>
      <c r="AA651" s="76"/>
    </row>
    <row r="652" spans="1:32" ht="8.25" customHeight="1" x14ac:dyDescent="0.25">
      <c r="A652" s="51" t="s">
        <v>205</v>
      </c>
      <c r="X652" s="110" t="s">
        <v>231</v>
      </c>
      <c r="Y652" s="111">
        <v>0.5</v>
      </c>
      <c r="Z652" s="111">
        <f t="shared" si="70"/>
        <v>23</v>
      </c>
      <c r="AA652" s="112"/>
    </row>
    <row r="653" spans="1:32" ht="8.25" customHeight="1" x14ac:dyDescent="0.25">
      <c r="A653" s="51" t="s">
        <v>205</v>
      </c>
      <c r="X653" s="110" t="s">
        <v>563</v>
      </c>
      <c r="Y653" s="111">
        <v>0.25</v>
      </c>
      <c r="Z653" s="111">
        <f t="shared" si="70"/>
        <v>21</v>
      </c>
      <c r="AA653" s="113"/>
    </row>
    <row r="654" spans="1:32" ht="8.25" customHeight="1" x14ac:dyDescent="0.25">
      <c r="A654" s="51" t="s">
        <v>205</v>
      </c>
      <c r="X654" s="110" t="s">
        <v>224</v>
      </c>
      <c r="Y654" s="111">
        <v>0.1</v>
      </c>
      <c r="Z654" s="111">
        <f t="shared" si="70"/>
        <v>0.2</v>
      </c>
      <c r="AA654" s="114" t="s">
        <v>219</v>
      </c>
    </row>
    <row r="655" spans="1:32" ht="8.25" customHeight="1" thickBot="1" x14ac:dyDescent="0.3">
      <c r="A655" s="51" t="s">
        <v>205</v>
      </c>
      <c r="X655" s="110"/>
      <c r="Y655" s="111">
        <v>0.05</v>
      </c>
      <c r="Z655" s="111">
        <f t="shared" si="70"/>
        <v>0</v>
      </c>
      <c r="AA655" s="115">
        <f>SUM(Z644:Z649)+Z651+Z652+Z653+Z654+Z655+Z656</f>
        <v>208850.23</v>
      </c>
    </row>
    <row r="656" spans="1:32" ht="8.25" customHeight="1" thickTop="1" x14ac:dyDescent="0.25">
      <c r="A656" s="51" t="s">
        <v>205</v>
      </c>
      <c r="X656" s="110" t="s">
        <v>223</v>
      </c>
      <c r="Y656" s="111">
        <v>0.01</v>
      </c>
      <c r="Z656" s="111">
        <f t="shared" si="70"/>
        <v>0.03</v>
      </c>
    </row>
    <row r="657" spans="1:32" ht="8.25" customHeight="1" x14ac:dyDescent="0.25">
      <c r="A657" s="51" t="s">
        <v>205</v>
      </c>
    </row>
    <row r="658" spans="1:32" ht="8.25" customHeight="1" x14ac:dyDescent="0.25">
      <c r="A658" s="51" t="s">
        <v>205</v>
      </c>
      <c r="AA658" s="75" t="s">
        <v>251</v>
      </c>
      <c r="AF658" s="76">
        <f>AF641</f>
        <v>208850.22999999998</v>
      </c>
    </row>
    <row r="659" spans="1:32" ht="8.25" customHeight="1" x14ac:dyDescent="0.15">
      <c r="A659" s="51" t="s">
        <v>205</v>
      </c>
      <c r="K659" s="52">
        <v>1</v>
      </c>
      <c r="T659" s="33">
        <v>46055</v>
      </c>
      <c r="U659" s="34">
        <v>2026</v>
      </c>
      <c r="V659" s="35" t="s">
        <v>749</v>
      </c>
      <c r="X659" s="37" t="s">
        <v>750</v>
      </c>
      <c r="Y659" s="36" t="s">
        <v>751</v>
      </c>
      <c r="Z659" s="30" t="s">
        <v>752</v>
      </c>
      <c r="AA659" s="136" t="s">
        <v>1787</v>
      </c>
      <c r="AD659" s="38">
        <v>100</v>
      </c>
      <c r="AF659" s="76">
        <f>AF658+AD659-AE659</f>
        <v>208950.22999999998</v>
      </c>
    </row>
    <row r="660" spans="1:32" ht="8.25" customHeight="1" x14ac:dyDescent="0.25">
      <c r="A660" s="51" t="s">
        <v>205</v>
      </c>
      <c r="L660" s="52">
        <v>1</v>
      </c>
      <c r="T660" s="33">
        <v>46055</v>
      </c>
      <c r="U660" s="34">
        <v>2026</v>
      </c>
      <c r="V660" s="35" t="s">
        <v>749</v>
      </c>
      <c r="X660" s="37" t="s">
        <v>753</v>
      </c>
      <c r="Y660" s="36" t="s">
        <v>120</v>
      </c>
      <c r="Z660" s="30" t="s">
        <v>752</v>
      </c>
      <c r="AA660" s="30" t="s">
        <v>373</v>
      </c>
      <c r="AD660" s="38">
        <v>50</v>
      </c>
      <c r="AF660" s="76">
        <f t="shared" ref="AF660:AF679" si="71">AF659+AD660-AE660</f>
        <v>209000.22999999998</v>
      </c>
    </row>
    <row r="661" spans="1:32" ht="8.25" customHeight="1" x14ac:dyDescent="0.15">
      <c r="A661" s="51" t="s">
        <v>205</v>
      </c>
      <c r="K661" s="52">
        <v>2</v>
      </c>
      <c r="T661" s="33">
        <v>46055</v>
      </c>
      <c r="U661" s="34">
        <v>2026</v>
      </c>
      <c r="V661" s="35" t="s">
        <v>749</v>
      </c>
      <c r="X661" s="37" t="s">
        <v>754</v>
      </c>
      <c r="Y661" s="36" t="s">
        <v>755</v>
      </c>
      <c r="Z661" s="30" t="s">
        <v>756</v>
      </c>
      <c r="AA661" s="136" t="s">
        <v>1787</v>
      </c>
      <c r="AD661" s="38">
        <v>100</v>
      </c>
      <c r="AF661" s="76">
        <f t="shared" si="71"/>
        <v>209100.22999999998</v>
      </c>
    </row>
    <row r="662" spans="1:32" ht="8.25" customHeight="1" x14ac:dyDescent="0.25">
      <c r="A662" s="51" t="s">
        <v>205</v>
      </c>
      <c r="L662" s="52">
        <v>2</v>
      </c>
      <c r="T662" s="33">
        <v>46055</v>
      </c>
      <c r="U662" s="34">
        <v>2026</v>
      </c>
      <c r="V662" s="35" t="s">
        <v>749</v>
      </c>
      <c r="X662" s="37" t="s">
        <v>757</v>
      </c>
      <c r="Y662" s="36" t="s">
        <v>120</v>
      </c>
      <c r="Z662" s="30" t="s">
        <v>756</v>
      </c>
      <c r="AA662" s="30" t="s">
        <v>373</v>
      </c>
      <c r="AD662" s="38">
        <v>50</v>
      </c>
      <c r="AF662" s="76">
        <f t="shared" si="71"/>
        <v>209150.22999999998</v>
      </c>
    </row>
    <row r="663" spans="1:32" ht="8.25" customHeight="1" x14ac:dyDescent="0.15">
      <c r="A663" s="51" t="s">
        <v>205</v>
      </c>
      <c r="I663" s="52">
        <v>1</v>
      </c>
      <c r="T663" s="33">
        <v>46055</v>
      </c>
      <c r="U663" s="34">
        <v>2026</v>
      </c>
      <c r="V663" s="35" t="s">
        <v>749</v>
      </c>
      <c r="X663" s="37" t="s">
        <v>758</v>
      </c>
      <c r="Y663" s="36" t="s">
        <v>759</v>
      </c>
      <c r="Z663" s="30" t="s">
        <v>760</v>
      </c>
      <c r="AA663" s="136" t="s">
        <v>1787</v>
      </c>
      <c r="AD663" s="38">
        <v>100</v>
      </c>
      <c r="AF663" s="76">
        <f t="shared" si="71"/>
        <v>209250.22999999998</v>
      </c>
    </row>
    <row r="664" spans="1:32" ht="8.25" customHeight="1" x14ac:dyDescent="0.25">
      <c r="A664" s="51" t="s">
        <v>205</v>
      </c>
      <c r="K664" s="52">
        <v>3</v>
      </c>
      <c r="T664" s="33">
        <v>46055</v>
      </c>
      <c r="U664" s="34">
        <v>2026</v>
      </c>
      <c r="V664" s="35" t="s">
        <v>749</v>
      </c>
      <c r="X664" s="37" t="s">
        <v>761</v>
      </c>
      <c r="Y664" s="36" t="s">
        <v>120</v>
      </c>
      <c r="Z664" s="30" t="s">
        <v>760</v>
      </c>
      <c r="AA664" s="30" t="s">
        <v>373</v>
      </c>
      <c r="AD664" s="38">
        <v>50</v>
      </c>
      <c r="AF664" s="76">
        <f t="shared" si="71"/>
        <v>209300.22999999998</v>
      </c>
    </row>
    <row r="665" spans="1:32" ht="8.25" customHeight="1" x14ac:dyDescent="0.25">
      <c r="A665" s="51" t="s">
        <v>205</v>
      </c>
      <c r="L665" s="52">
        <v>3</v>
      </c>
      <c r="T665" s="33">
        <v>46055</v>
      </c>
      <c r="U665" s="34">
        <v>2026</v>
      </c>
      <c r="V665" s="35" t="s">
        <v>749</v>
      </c>
      <c r="X665" s="37" t="s">
        <v>762</v>
      </c>
      <c r="Y665" s="36" t="s">
        <v>763</v>
      </c>
      <c r="Z665" s="30" t="s">
        <v>760</v>
      </c>
      <c r="AA665" s="30" t="s">
        <v>13</v>
      </c>
      <c r="AD665" s="38">
        <v>200</v>
      </c>
      <c r="AF665" s="76">
        <f t="shared" si="71"/>
        <v>209500.22999999998</v>
      </c>
    </row>
    <row r="666" spans="1:32" ht="8.25" customHeight="1" x14ac:dyDescent="0.25">
      <c r="A666" s="51" t="s">
        <v>205</v>
      </c>
      <c r="N666" s="52">
        <v>1</v>
      </c>
      <c r="T666" s="33">
        <v>46055</v>
      </c>
      <c r="U666" s="34">
        <v>2026</v>
      </c>
      <c r="V666" s="35" t="s">
        <v>749</v>
      </c>
      <c r="X666" s="37" t="s">
        <v>764</v>
      </c>
      <c r="Y666" s="36" t="s">
        <v>765</v>
      </c>
      <c r="Z666" s="30" t="s">
        <v>766</v>
      </c>
      <c r="AA666" s="30" t="s">
        <v>3899</v>
      </c>
      <c r="AD666" s="38">
        <v>2559.37</v>
      </c>
      <c r="AF666" s="76">
        <f t="shared" si="71"/>
        <v>212059.59999999998</v>
      </c>
    </row>
    <row r="667" spans="1:32" ht="8.25" customHeight="1" x14ac:dyDescent="0.15">
      <c r="A667" s="51" t="s">
        <v>205</v>
      </c>
      <c r="N667" s="52">
        <v>1</v>
      </c>
      <c r="T667" s="33">
        <v>46055</v>
      </c>
      <c r="U667" s="34">
        <v>2026</v>
      </c>
      <c r="V667" s="35" t="s">
        <v>749</v>
      </c>
      <c r="X667" s="37" t="s">
        <v>764</v>
      </c>
      <c r="Y667" s="36" t="s">
        <v>765</v>
      </c>
      <c r="Z667" s="30" t="s">
        <v>766</v>
      </c>
      <c r="AA667" s="134" t="s">
        <v>166</v>
      </c>
      <c r="AD667" s="38">
        <v>1895.63</v>
      </c>
      <c r="AF667" s="76">
        <f t="shared" si="71"/>
        <v>213955.22999999998</v>
      </c>
    </row>
    <row r="668" spans="1:32" ht="8.25" customHeight="1" x14ac:dyDescent="0.25">
      <c r="A668" s="51" t="s">
        <v>205</v>
      </c>
      <c r="N668" s="52">
        <v>1</v>
      </c>
      <c r="T668" s="33">
        <v>46055</v>
      </c>
      <c r="U668" s="34">
        <v>2026</v>
      </c>
      <c r="V668" s="35" t="s">
        <v>749</v>
      </c>
      <c r="X668" s="37" t="s">
        <v>764</v>
      </c>
      <c r="Y668" s="36" t="s">
        <v>765</v>
      </c>
      <c r="Z668" s="30" t="s">
        <v>766</v>
      </c>
      <c r="AA668" s="30" t="s">
        <v>168</v>
      </c>
      <c r="AD668" s="38">
        <v>45</v>
      </c>
      <c r="AF668" s="76">
        <f t="shared" si="71"/>
        <v>214000.22999999998</v>
      </c>
    </row>
    <row r="669" spans="1:32" ht="8.25" customHeight="1" x14ac:dyDescent="0.25">
      <c r="A669" s="51" t="s">
        <v>205</v>
      </c>
      <c r="I669" s="52">
        <v>2</v>
      </c>
      <c r="T669" s="33">
        <v>46055</v>
      </c>
      <c r="U669" s="34">
        <v>2026</v>
      </c>
      <c r="V669" s="35" t="s">
        <v>749</v>
      </c>
      <c r="X669" s="37" t="s">
        <v>767</v>
      </c>
      <c r="Y669" s="36" t="s">
        <v>419</v>
      </c>
      <c r="Z669" s="30" t="s">
        <v>420</v>
      </c>
      <c r="AA669" s="30" t="s">
        <v>13</v>
      </c>
      <c r="AD669" s="38">
        <v>400</v>
      </c>
      <c r="AF669" s="76">
        <f t="shared" si="71"/>
        <v>214400.22999999998</v>
      </c>
    </row>
    <row r="670" spans="1:32" ht="8.25" customHeight="1" x14ac:dyDescent="0.25">
      <c r="A670" s="51" t="s">
        <v>205</v>
      </c>
      <c r="N670" s="52">
        <v>2</v>
      </c>
      <c r="T670" s="33">
        <v>46055</v>
      </c>
      <c r="U670" s="34">
        <v>2026</v>
      </c>
      <c r="V670" s="35" t="s">
        <v>749</v>
      </c>
      <c r="X670" s="37" t="s">
        <v>768</v>
      </c>
      <c r="Y670" s="36" t="s">
        <v>252</v>
      </c>
      <c r="Z670" s="30" t="s">
        <v>15</v>
      </c>
      <c r="AA670" s="30" t="s">
        <v>3899</v>
      </c>
      <c r="AD670" s="38">
        <v>698.34</v>
      </c>
      <c r="AF670" s="76">
        <f t="shared" si="71"/>
        <v>215098.56999999998</v>
      </c>
    </row>
    <row r="671" spans="1:32" ht="8.25" customHeight="1" x14ac:dyDescent="0.15">
      <c r="A671" s="51" t="s">
        <v>205</v>
      </c>
      <c r="N671" s="52">
        <v>2</v>
      </c>
      <c r="T671" s="33">
        <v>46055</v>
      </c>
      <c r="U671" s="34">
        <v>2026</v>
      </c>
      <c r="V671" s="35" t="s">
        <v>749</v>
      </c>
      <c r="X671" s="37" t="s">
        <v>768</v>
      </c>
      <c r="Y671" s="36" t="s">
        <v>252</v>
      </c>
      <c r="Z671" s="30" t="s">
        <v>15</v>
      </c>
      <c r="AA671" s="134" t="s">
        <v>166</v>
      </c>
      <c r="AD671" s="38">
        <v>101.66</v>
      </c>
      <c r="AF671" s="76">
        <f t="shared" si="71"/>
        <v>215200.22999999998</v>
      </c>
    </row>
    <row r="672" spans="1:32" ht="8.25" customHeight="1" x14ac:dyDescent="0.25">
      <c r="A672" s="51" t="s">
        <v>205</v>
      </c>
      <c r="I672" s="52">
        <v>3</v>
      </c>
      <c r="T672" s="33">
        <v>46055</v>
      </c>
      <c r="U672" s="34">
        <v>2026</v>
      </c>
      <c r="V672" s="35" t="s">
        <v>749</v>
      </c>
      <c r="X672" s="37" t="s">
        <v>769</v>
      </c>
      <c r="Y672" s="36" t="s">
        <v>770</v>
      </c>
      <c r="Z672" s="30" t="s">
        <v>771</v>
      </c>
      <c r="AA672" s="30" t="s">
        <v>13</v>
      </c>
      <c r="AD672" s="38">
        <v>800</v>
      </c>
      <c r="AF672" s="76">
        <f t="shared" si="71"/>
        <v>216000.22999999998</v>
      </c>
    </row>
    <row r="673" spans="1:32" ht="8.25" customHeight="1" x14ac:dyDescent="0.25">
      <c r="A673" s="51" t="s">
        <v>205</v>
      </c>
      <c r="T673" s="144">
        <v>46055</v>
      </c>
      <c r="U673" s="145">
        <v>2026</v>
      </c>
      <c r="V673" s="146" t="s">
        <v>749</v>
      </c>
      <c r="W673" s="146"/>
      <c r="X673" s="158" t="s">
        <v>775</v>
      </c>
      <c r="Y673" s="172" t="s">
        <v>411</v>
      </c>
      <c r="Z673" s="148" t="s">
        <v>412</v>
      </c>
      <c r="AA673" s="148" t="s">
        <v>399</v>
      </c>
      <c r="AB673" s="148"/>
      <c r="AC673" s="173"/>
      <c r="AD673" s="143"/>
      <c r="AE673" s="143">
        <v>40909.089999999997</v>
      </c>
      <c r="AF673" s="143">
        <f t="shared" si="71"/>
        <v>175091.13999999998</v>
      </c>
    </row>
    <row r="674" spans="1:32" ht="8.25" customHeight="1" x14ac:dyDescent="0.25">
      <c r="A674" s="51" t="s">
        <v>205</v>
      </c>
      <c r="I674" s="52">
        <v>4</v>
      </c>
      <c r="T674" s="33">
        <v>46055</v>
      </c>
      <c r="U674" s="34">
        <v>2026</v>
      </c>
      <c r="V674" s="35" t="s">
        <v>749</v>
      </c>
      <c r="X674" s="37" t="s">
        <v>773</v>
      </c>
      <c r="Y674" s="36" t="s">
        <v>774</v>
      </c>
      <c r="Z674" s="30" t="s">
        <v>756</v>
      </c>
      <c r="AA674" s="30" t="s">
        <v>13</v>
      </c>
      <c r="AD674" s="38">
        <v>34090.910000000003</v>
      </c>
      <c r="AF674" s="76">
        <f t="shared" si="71"/>
        <v>209182.05</v>
      </c>
    </row>
    <row r="675" spans="1:32" ht="8.25" customHeight="1" x14ac:dyDescent="0.25">
      <c r="A675" s="51" t="s">
        <v>205</v>
      </c>
      <c r="M675" s="52">
        <v>1</v>
      </c>
      <c r="T675" s="33">
        <v>46055</v>
      </c>
      <c r="U675" s="34">
        <v>2026</v>
      </c>
      <c r="V675" s="35" t="s">
        <v>749</v>
      </c>
      <c r="X675" s="37" t="s">
        <v>772</v>
      </c>
      <c r="Y675" s="36" t="s">
        <v>120</v>
      </c>
      <c r="Z675" s="30" t="s">
        <v>756</v>
      </c>
      <c r="AA675" s="30" t="s">
        <v>385</v>
      </c>
      <c r="AD675" s="38">
        <v>6818.18</v>
      </c>
      <c r="AF675" s="76">
        <f t="shared" si="71"/>
        <v>216000.22999999998</v>
      </c>
    </row>
    <row r="676" spans="1:32" ht="8.25" customHeight="1" x14ac:dyDescent="0.25">
      <c r="A676" s="51" t="s">
        <v>205</v>
      </c>
      <c r="T676" s="144">
        <v>46055</v>
      </c>
      <c r="U676" s="145">
        <v>2026</v>
      </c>
      <c r="V676" s="146" t="s">
        <v>749</v>
      </c>
      <c r="W676" s="146"/>
      <c r="X676" s="158" t="s">
        <v>779</v>
      </c>
      <c r="Y676" s="172" t="s">
        <v>411</v>
      </c>
      <c r="Z676" s="148" t="s">
        <v>412</v>
      </c>
      <c r="AA676" s="148" t="s">
        <v>399</v>
      </c>
      <c r="AB676" s="148"/>
      <c r="AC676" s="173"/>
      <c r="AD676" s="143"/>
      <c r="AE676" s="143">
        <v>40909.089999999997</v>
      </c>
      <c r="AF676" s="143">
        <f t="shared" si="71"/>
        <v>175091.13999999998</v>
      </c>
    </row>
    <row r="677" spans="1:32" ht="8.25" customHeight="1" x14ac:dyDescent="0.25">
      <c r="A677" s="51" t="s">
        <v>205</v>
      </c>
      <c r="I677" s="52">
        <v>5</v>
      </c>
      <c r="T677" s="33">
        <v>46055</v>
      </c>
      <c r="U677" s="34">
        <v>2026</v>
      </c>
      <c r="V677" s="35" t="s">
        <v>749</v>
      </c>
      <c r="X677" s="37" t="s">
        <v>776</v>
      </c>
      <c r="Y677" s="36" t="s">
        <v>777</v>
      </c>
      <c r="Z677" s="30" t="s">
        <v>752</v>
      </c>
      <c r="AA677" s="30" t="s">
        <v>13</v>
      </c>
      <c r="AD677" s="38">
        <v>34090.910000000003</v>
      </c>
      <c r="AF677" s="76">
        <f t="shared" si="71"/>
        <v>209182.05</v>
      </c>
    </row>
    <row r="678" spans="1:32" ht="8.25" customHeight="1" x14ac:dyDescent="0.25">
      <c r="A678" s="51" t="s">
        <v>205</v>
      </c>
      <c r="M678" s="52">
        <v>2</v>
      </c>
      <c r="T678" s="33">
        <v>46055</v>
      </c>
      <c r="U678" s="34">
        <v>2026</v>
      </c>
      <c r="V678" s="35" t="s">
        <v>749</v>
      </c>
      <c r="X678" s="37" t="s">
        <v>778</v>
      </c>
      <c r="Y678" s="36" t="s">
        <v>120</v>
      </c>
      <c r="Z678" s="30" t="s">
        <v>752</v>
      </c>
      <c r="AA678" s="30" t="s">
        <v>385</v>
      </c>
      <c r="AD678" s="38">
        <v>6818.18</v>
      </c>
      <c r="AF678" s="76">
        <f t="shared" si="71"/>
        <v>216000.22999999998</v>
      </c>
    </row>
    <row r="679" spans="1:32" ht="8.25" customHeight="1" x14ac:dyDescent="0.25">
      <c r="A679" s="51" t="s">
        <v>205</v>
      </c>
      <c r="I679" s="52">
        <v>6</v>
      </c>
      <c r="T679" s="33">
        <v>46055</v>
      </c>
      <c r="U679" s="34">
        <v>2026</v>
      </c>
      <c r="V679" s="35" t="s">
        <v>749</v>
      </c>
      <c r="X679" s="37" t="s">
        <v>780</v>
      </c>
      <c r="Y679" s="36" t="s">
        <v>262</v>
      </c>
      <c r="Z679" s="30" t="s">
        <v>261</v>
      </c>
      <c r="AA679" s="30" t="s">
        <v>92</v>
      </c>
      <c r="AE679" s="38">
        <v>4000</v>
      </c>
      <c r="AF679" s="76">
        <f t="shared" si="71"/>
        <v>212000.22999999998</v>
      </c>
    </row>
    <row r="680" spans="1:32" ht="8.25" customHeight="1" x14ac:dyDescent="0.25">
      <c r="A680" s="51" t="s">
        <v>205</v>
      </c>
      <c r="T680" s="215">
        <v>46055</v>
      </c>
      <c r="U680" s="216">
        <v>2026</v>
      </c>
      <c r="V680" s="217" t="s">
        <v>749</v>
      </c>
      <c r="W680" s="217"/>
      <c r="X680" s="218" t="s">
        <v>794</v>
      </c>
      <c r="Y680" s="218" t="s">
        <v>411</v>
      </c>
      <c r="Z680" s="219" t="s">
        <v>719</v>
      </c>
      <c r="AA680" s="219" t="s">
        <v>937</v>
      </c>
      <c r="AB680" s="219"/>
      <c r="AC680" s="214"/>
      <c r="AD680" s="214"/>
      <c r="AE680" s="214">
        <v>7100</v>
      </c>
      <c r="AF680" s="76">
        <f>AF679+AD680-AE680</f>
        <v>204900.22999999998</v>
      </c>
    </row>
    <row r="681" spans="1:32" ht="8.25" customHeight="1" x14ac:dyDescent="0.25">
      <c r="T681" s="178">
        <v>46055</v>
      </c>
      <c r="U681" s="179">
        <v>2026</v>
      </c>
      <c r="V681" s="180" t="s">
        <v>749</v>
      </c>
      <c r="W681" s="180"/>
      <c r="X681" s="181" t="s">
        <v>795</v>
      </c>
      <c r="Y681" s="181" t="s">
        <v>411</v>
      </c>
      <c r="Z681" s="183" t="s">
        <v>412</v>
      </c>
      <c r="AA681" s="183" t="s">
        <v>618</v>
      </c>
      <c r="AB681" s="183"/>
      <c r="AC681" s="184"/>
      <c r="AD681" s="177"/>
      <c r="AE681" s="177">
        <v>70000</v>
      </c>
      <c r="AF681" s="76">
        <f t="shared" ref="AF681" si="72">AF680+AD681-AE681</f>
        <v>134900.22999999998</v>
      </c>
    </row>
    <row r="682" spans="1:32" ht="8.25" customHeight="1" thickBot="1" x14ac:dyDescent="0.3">
      <c r="Y682" s="37"/>
      <c r="AA682" s="75" t="s">
        <v>257</v>
      </c>
      <c r="AD682" s="91">
        <f>SUM(AD659:AD681)</f>
        <v>88968.18</v>
      </c>
      <c r="AE682" s="91">
        <f>SUM(AE659:AE681)</f>
        <v>162918.18</v>
      </c>
      <c r="AF682" s="76">
        <f>AF658+AD682-AE682</f>
        <v>134900.22999999998</v>
      </c>
    </row>
    <row r="683" spans="1:32" ht="8.25" customHeight="1" thickTop="1" x14ac:dyDescent="0.25">
      <c r="Y683" s="37"/>
      <c r="AA683" s="75"/>
      <c r="AD683" s="76"/>
      <c r="AE683" s="76"/>
    </row>
    <row r="684" spans="1:32" ht="8.25" customHeight="1" x14ac:dyDescent="0.25">
      <c r="A684" s="51" t="s">
        <v>205</v>
      </c>
    </row>
    <row r="685" spans="1:32" ht="8.25" customHeight="1" x14ac:dyDescent="0.25">
      <c r="A685" s="51" t="s">
        <v>205</v>
      </c>
      <c r="X685" s="109"/>
      <c r="Y685" s="67" t="s">
        <v>214</v>
      </c>
      <c r="Z685" s="68"/>
      <c r="AA685" s="75"/>
    </row>
    <row r="686" spans="1:32" ht="8.25" customHeight="1" x14ac:dyDescent="0.25">
      <c r="A686" s="51" t="s">
        <v>205</v>
      </c>
      <c r="X686" s="110" t="s">
        <v>669</v>
      </c>
      <c r="Y686" s="111">
        <v>200</v>
      </c>
      <c r="Z686" s="111">
        <f t="shared" ref="Z686:Z691" si="73">X686*Y686</f>
        <v>3800</v>
      </c>
      <c r="AA686" s="112"/>
    </row>
    <row r="687" spans="1:32" ht="8.25" customHeight="1" x14ac:dyDescent="0.25">
      <c r="A687" s="51" t="s">
        <v>205</v>
      </c>
      <c r="X687" s="110" t="s">
        <v>1107</v>
      </c>
      <c r="Y687" s="111">
        <v>100</v>
      </c>
      <c r="Z687" s="111">
        <f t="shared" si="73"/>
        <v>126500</v>
      </c>
      <c r="AA687" s="112"/>
    </row>
    <row r="688" spans="1:32" ht="8.25" customHeight="1" x14ac:dyDescent="0.25">
      <c r="A688" s="51" t="s">
        <v>205</v>
      </c>
      <c r="X688" s="110" t="s">
        <v>748</v>
      </c>
      <c r="Y688" s="111">
        <v>50</v>
      </c>
      <c r="Z688" s="111">
        <f t="shared" si="73"/>
        <v>2200</v>
      </c>
      <c r="AA688" s="76"/>
    </row>
    <row r="689" spans="1:32" ht="8.25" customHeight="1" x14ac:dyDescent="0.25">
      <c r="A689" s="51" t="s">
        <v>205</v>
      </c>
      <c r="X689" s="110" t="s">
        <v>655</v>
      </c>
      <c r="Y689" s="111">
        <v>20</v>
      </c>
      <c r="Z689" s="111">
        <f t="shared" si="73"/>
        <v>960</v>
      </c>
      <c r="AA689" s="38"/>
    </row>
    <row r="690" spans="1:32" ht="8.25" customHeight="1" x14ac:dyDescent="0.25">
      <c r="A690" s="51" t="s">
        <v>205</v>
      </c>
      <c r="X690" s="110" t="s">
        <v>222</v>
      </c>
      <c r="Y690" s="111">
        <v>10</v>
      </c>
      <c r="Z690" s="111">
        <f t="shared" si="73"/>
        <v>10</v>
      </c>
      <c r="AA690" s="112"/>
    </row>
    <row r="691" spans="1:32" ht="8.25" customHeight="1" x14ac:dyDescent="0.25">
      <c r="A691" s="51" t="s">
        <v>205</v>
      </c>
      <c r="X691" s="110" t="s">
        <v>799</v>
      </c>
      <c r="Y691" s="111">
        <v>5</v>
      </c>
      <c r="Z691" s="111">
        <f t="shared" si="73"/>
        <v>910</v>
      </c>
      <c r="AA691" s="112"/>
    </row>
    <row r="692" spans="1:32" ht="8.25" customHeight="1" x14ac:dyDescent="0.25">
      <c r="A692" s="51" t="s">
        <v>205</v>
      </c>
      <c r="X692" s="269">
        <v>0</v>
      </c>
      <c r="Y692" s="270"/>
      <c r="Z692" s="271"/>
      <c r="AA692" s="38"/>
    </row>
    <row r="693" spans="1:32" ht="8.25" customHeight="1" x14ac:dyDescent="0.25">
      <c r="A693" s="51" t="s">
        <v>205</v>
      </c>
      <c r="X693" s="110" t="s">
        <v>798</v>
      </c>
      <c r="Y693" s="111">
        <v>1</v>
      </c>
      <c r="Z693" s="111">
        <f t="shared" ref="Z693:Z698" si="74">X693*Y693</f>
        <v>476</v>
      </c>
      <c r="AA693" s="76"/>
    </row>
    <row r="694" spans="1:32" ht="8.25" customHeight="1" x14ac:dyDescent="0.25">
      <c r="A694" s="51" t="s">
        <v>205</v>
      </c>
      <c r="X694" s="110" t="s">
        <v>231</v>
      </c>
      <c r="Y694" s="111">
        <v>0.5</v>
      </c>
      <c r="Z694" s="111">
        <f t="shared" si="74"/>
        <v>23</v>
      </c>
      <c r="AA694" s="112"/>
    </row>
    <row r="695" spans="1:32" ht="8.25" customHeight="1" x14ac:dyDescent="0.25">
      <c r="A695" s="51" t="s">
        <v>205</v>
      </c>
      <c r="X695" s="110" t="s">
        <v>563</v>
      </c>
      <c r="Y695" s="111">
        <v>0.25</v>
      </c>
      <c r="Z695" s="111">
        <f t="shared" si="74"/>
        <v>21</v>
      </c>
      <c r="AA695" s="113"/>
    </row>
    <row r="696" spans="1:32" ht="8.25" customHeight="1" x14ac:dyDescent="0.25">
      <c r="A696" s="51" t="s">
        <v>205</v>
      </c>
      <c r="X696" s="110" t="s">
        <v>224</v>
      </c>
      <c r="Y696" s="111">
        <v>0.1</v>
      </c>
      <c r="Z696" s="111">
        <f t="shared" si="74"/>
        <v>0.2</v>
      </c>
      <c r="AA696" s="114" t="s">
        <v>219</v>
      </c>
    </row>
    <row r="697" spans="1:32" ht="8.25" customHeight="1" thickBot="1" x14ac:dyDescent="0.3">
      <c r="A697" s="51" t="s">
        <v>205</v>
      </c>
      <c r="X697" s="110"/>
      <c r="Y697" s="111">
        <v>0.05</v>
      </c>
      <c r="Z697" s="111">
        <f t="shared" si="74"/>
        <v>0</v>
      </c>
      <c r="AA697" s="115">
        <f>SUM(Z686:Z691)+Z693+Z694+Z695+Z696+Z697+Z698</f>
        <v>134900.23000000001</v>
      </c>
    </row>
    <row r="698" spans="1:32" ht="8.25" customHeight="1" thickTop="1" x14ac:dyDescent="0.25">
      <c r="A698" s="51" t="s">
        <v>205</v>
      </c>
      <c r="X698" s="110" t="s">
        <v>223</v>
      </c>
      <c r="Y698" s="111">
        <v>0.01</v>
      </c>
      <c r="Z698" s="111">
        <f t="shared" si="74"/>
        <v>0.03</v>
      </c>
    </row>
    <row r="699" spans="1:32" ht="8.25" customHeight="1" x14ac:dyDescent="0.25">
      <c r="A699" s="51" t="s">
        <v>205</v>
      </c>
    </row>
    <row r="700" spans="1:32" ht="8.25" customHeight="1" x14ac:dyDescent="0.25">
      <c r="AA700" s="75" t="s">
        <v>251</v>
      </c>
      <c r="AF700" s="76">
        <f>AF681</f>
        <v>134900.22999999998</v>
      </c>
    </row>
    <row r="701" spans="1:32" s="209" customFormat="1" ht="8.25" customHeight="1" x14ac:dyDescent="0.25">
      <c r="A701" s="210" t="s">
        <v>205</v>
      </c>
      <c r="B701" s="211"/>
      <c r="C701" s="211"/>
      <c r="D701" s="211"/>
      <c r="E701" s="211"/>
      <c r="F701" s="212"/>
      <c r="G701" s="212"/>
      <c r="H701" s="212"/>
      <c r="I701" s="211"/>
      <c r="J701" s="211"/>
      <c r="K701" s="211"/>
      <c r="L701" s="211"/>
      <c r="M701" s="211"/>
      <c r="N701" s="211"/>
      <c r="O701" s="211"/>
      <c r="P701" s="211"/>
      <c r="Q701" s="211">
        <v>1</v>
      </c>
      <c r="R701" s="212">
        <v>2</v>
      </c>
      <c r="T701" s="201">
        <v>46056</v>
      </c>
      <c r="U701" s="202">
        <v>2026</v>
      </c>
      <c r="V701" s="203" t="s">
        <v>749</v>
      </c>
      <c r="W701" s="203"/>
      <c r="X701" s="204" t="s">
        <v>792</v>
      </c>
      <c r="Y701" s="205" t="s">
        <v>793</v>
      </c>
      <c r="Z701" s="206" t="s">
        <v>291</v>
      </c>
      <c r="AA701" s="206" t="s">
        <v>395</v>
      </c>
      <c r="AB701" s="206"/>
      <c r="AC701" s="207"/>
      <c r="AD701" s="208"/>
      <c r="AE701" s="208">
        <v>56818.18</v>
      </c>
      <c r="AF701" s="208">
        <f t="shared" ref="AF701:AF707" si="75">AF700+AD701-AE701</f>
        <v>78082.049999999988</v>
      </c>
    </row>
    <row r="702" spans="1:32" ht="8.25" customHeight="1" x14ac:dyDescent="0.25">
      <c r="A702" s="51" t="s">
        <v>205</v>
      </c>
      <c r="I702" s="52">
        <v>7</v>
      </c>
      <c r="T702" s="33">
        <v>46056</v>
      </c>
      <c r="U702" s="34">
        <v>2026</v>
      </c>
      <c r="V702" s="35" t="s">
        <v>749</v>
      </c>
      <c r="X702" s="37" t="s">
        <v>785</v>
      </c>
      <c r="Y702" s="36" t="s">
        <v>293</v>
      </c>
      <c r="Z702" s="30" t="s">
        <v>291</v>
      </c>
      <c r="AA702" s="30" t="s">
        <v>13</v>
      </c>
      <c r="AD702" s="38">
        <v>5681.82</v>
      </c>
      <c r="AF702" s="76">
        <f t="shared" si="75"/>
        <v>83763.87</v>
      </c>
    </row>
    <row r="703" spans="1:32" ht="8.25" customHeight="1" x14ac:dyDescent="0.25">
      <c r="A703" s="51" t="s">
        <v>205</v>
      </c>
      <c r="M703" s="52">
        <v>3</v>
      </c>
      <c r="T703" s="33">
        <v>46056</v>
      </c>
      <c r="U703" s="34">
        <v>2026</v>
      </c>
      <c r="V703" s="35" t="s">
        <v>749</v>
      </c>
      <c r="X703" s="37" t="s">
        <v>786</v>
      </c>
      <c r="Y703" s="36" t="s">
        <v>120</v>
      </c>
      <c r="Z703" s="30" t="s">
        <v>291</v>
      </c>
      <c r="AA703" s="30" t="s">
        <v>385</v>
      </c>
      <c r="AD703" s="38">
        <v>1136.3599999999999</v>
      </c>
      <c r="AF703" s="76">
        <f t="shared" si="75"/>
        <v>84900.23</v>
      </c>
    </row>
    <row r="704" spans="1:32" s="209" customFormat="1" ht="8.25" customHeight="1" x14ac:dyDescent="0.25">
      <c r="A704" s="210" t="s">
        <v>205</v>
      </c>
      <c r="B704" s="211"/>
      <c r="C704" s="211"/>
      <c r="D704" s="211"/>
      <c r="E704" s="211"/>
      <c r="F704" s="212"/>
      <c r="G704" s="212"/>
      <c r="H704" s="212"/>
      <c r="I704" s="211"/>
      <c r="J704" s="211"/>
      <c r="K704" s="211"/>
      <c r="L704" s="211"/>
      <c r="M704" s="211"/>
      <c r="N704" s="211"/>
      <c r="O704" s="211"/>
      <c r="P704" s="211"/>
      <c r="Q704" s="211">
        <v>2</v>
      </c>
      <c r="R704" s="212">
        <v>3</v>
      </c>
      <c r="T704" s="201">
        <v>46056</v>
      </c>
      <c r="U704" s="202">
        <v>2026</v>
      </c>
      <c r="V704" s="203" t="s">
        <v>749</v>
      </c>
      <c r="W704" s="203"/>
      <c r="X704" s="204" t="s">
        <v>791</v>
      </c>
      <c r="Y704" s="205" t="s">
        <v>790</v>
      </c>
      <c r="Z704" s="206" t="s">
        <v>14</v>
      </c>
      <c r="AA704" s="206" t="s">
        <v>395</v>
      </c>
      <c r="AB704" s="206"/>
      <c r="AC704" s="207"/>
      <c r="AD704" s="208"/>
      <c r="AE704" s="208">
        <v>34090.910000000003</v>
      </c>
      <c r="AF704" s="208">
        <f t="shared" si="75"/>
        <v>50809.319999999992</v>
      </c>
    </row>
    <row r="705" spans="1:32" ht="8.25" customHeight="1" x14ac:dyDescent="0.25">
      <c r="A705" s="51" t="s">
        <v>205</v>
      </c>
      <c r="I705" s="52">
        <v>8</v>
      </c>
      <c r="T705" s="33">
        <v>46056</v>
      </c>
      <c r="U705" s="34">
        <v>2026</v>
      </c>
      <c r="V705" s="35" t="s">
        <v>749</v>
      </c>
      <c r="X705" s="37" t="s">
        <v>787</v>
      </c>
      <c r="Y705" s="36" t="s">
        <v>114</v>
      </c>
      <c r="Z705" s="30" t="s">
        <v>14</v>
      </c>
      <c r="AA705" s="30" t="s">
        <v>13</v>
      </c>
      <c r="AD705" s="38">
        <v>3409.09</v>
      </c>
      <c r="AF705" s="76">
        <f t="shared" si="75"/>
        <v>54218.409999999989</v>
      </c>
    </row>
    <row r="706" spans="1:32" ht="8.25" customHeight="1" x14ac:dyDescent="0.25">
      <c r="A706" s="51" t="s">
        <v>205</v>
      </c>
      <c r="M706" s="52">
        <v>4</v>
      </c>
      <c r="T706" s="33">
        <v>46056</v>
      </c>
      <c r="U706" s="34">
        <v>2026</v>
      </c>
      <c r="V706" s="35" t="s">
        <v>749</v>
      </c>
      <c r="X706" s="37" t="s">
        <v>788</v>
      </c>
      <c r="Y706" s="36" t="s">
        <v>120</v>
      </c>
      <c r="Z706" s="30" t="s">
        <v>14</v>
      </c>
      <c r="AA706" s="30" t="s">
        <v>385</v>
      </c>
      <c r="AD706" s="38">
        <v>681.82</v>
      </c>
      <c r="AF706" s="76">
        <f t="shared" si="75"/>
        <v>54900.229999999989</v>
      </c>
    </row>
    <row r="707" spans="1:32" ht="8.25" customHeight="1" x14ac:dyDescent="0.25">
      <c r="A707" s="51" t="s">
        <v>205</v>
      </c>
      <c r="I707" s="52">
        <v>9</v>
      </c>
      <c r="T707" s="33">
        <v>46056</v>
      </c>
      <c r="U707" s="34">
        <v>2026</v>
      </c>
      <c r="V707" s="35" t="s">
        <v>749</v>
      </c>
      <c r="X707" s="119" t="s">
        <v>789</v>
      </c>
      <c r="Y707" s="175" t="s">
        <v>364</v>
      </c>
      <c r="Z707" s="62" t="s">
        <v>365</v>
      </c>
      <c r="AA707" s="30" t="s">
        <v>13</v>
      </c>
      <c r="AD707" s="38">
        <v>200</v>
      </c>
      <c r="AF707" s="76">
        <f t="shared" si="75"/>
        <v>55100.229999999989</v>
      </c>
    </row>
    <row r="708" spans="1:32" ht="8.25" customHeight="1" thickBot="1" x14ac:dyDescent="0.3">
      <c r="X708" s="119"/>
      <c r="Y708" s="120"/>
      <c r="Z708" s="62"/>
      <c r="AA708" s="75" t="s">
        <v>257</v>
      </c>
      <c r="AD708" s="91">
        <f>SUM(AD701:AD707)</f>
        <v>11109.09</v>
      </c>
      <c r="AE708" s="91">
        <f>SUM(AE701:AE707)</f>
        <v>90909.09</v>
      </c>
      <c r="AF708" s="76">
        <f>AF700+AD708-AE708</f>
        <v>55100.229999999981</v>
      </c>
    </row>
    <row r="709" spans="1:32" ht="8.25" customHeight="1" thickTop="1" x14ac:dyDescent="0.25">
      <c r="X709" s="119"/>
      <c r="Y709" s="120"/>
      <c r="Z709" s="62"/>
      <c r="AA709" s="75"/>
    </row>
    <row r="710" spans="1:32" ht="8.25" customHeight="1" x14ac:dyDescent="0.25">
      <c r="A710" s="51" t="s">
        <v>205</v>
      </c>
      <c r="X710" s="109"/>
      <c r="Y710" s="67" t="s">
        <v>214</v>
      </c>
      <c r="Z710" s="68"/>
      <c r="AA710" s="75"/>
    </row>
    <row r="711" spans="1:32" ht="8.25" customHeight="1" x14ac:dyDescent="0.25">
      <c r="A711" s="51" t="s">
        <v>205</v>
      </c>
      <c r="X711" s="110" t="s">
        <v>669</v>
      </c>
      <c r="Y711" s="111">
        <v>200</v>
      </c>
      <c r="Z711" s="111">
        <f t="shared" ref="Z711:Z716" si="76">X711*Y711</f>
        <v>3800</v>
      </c>
      <c r="AA711" s="112"/>
    </row>
    <row r="712" spans="1:32" ht="8.25" customHeight="1" x14ac:dyDescent="0.25">
      <c r="A712" s="51" t="s">
        <v>205</v>
      </c>
      <c r="X712" s="110" t="s">
        <v>874</v>
      </c>
      <c r="Y712" s="111">
        <v>100</v>
      </c>
      <c r="Z712" s="111">
        <f t="shared" si="76"/>
        <v>47000</v>
      </c>
      <c r="AA712" s="112"/>
    </row>
    <row r="713" spans="1:32" ht="8.25" customHeight="1" x14ac:dyDescent="0.25">
      <c r="A713" s="51" t="s">
        <v>205</v>
      </c>
      <c r="X713" s="110" t="s">
        <v>800</v>
      </c>
      <c r="Y713" s="111">
        <v>50</v>
      </c>
      <c r="Z713" s="111">
        <f t="shared" si="76"/>
        <v>1900</v>
      </c>
      <c r="AA713" s="76"/>
    </row>
    <row r="714" spans="1:32" ht="8.25" customHeight="1" x14ac:dyDescent="0.25">
      <c r="A714" s="51" t="s">
        <v>205</v>
      </c>
      <c r="X714" s="110" t="s">
        <v>431</v>
      </c>
      <c r="Y714" s="111">
        <v>20</v>
      </c>
      <c r="Z714" s="111">
        <f t="shared" si="76"/>
        <v>900</v>
      </c>
      <c r="AA714" s="38"/>
    </row>
    <row r="715" spans="1:32" ht="8.25" customHeight="1" x14ac:dyDescent="0.25">
      <c r="A715" s="51" t="s">
        <v>205</v>
      </c>
      <c r="X715" s="110" t="s">
        <v>91</v>
      </c>
      <c r="Y715" s="111">
        <v>10</v>
      </c>
      <c r="Z715" s="111">
        <f t="shared" si="76"/>
        <v>110</v>
      </c>
      <c r="AA715" s="112"/>
    </row>
    <row r="716" spans="1:32" ht="8.25" customHeight="1" x14ac:dyDescent="0.25">
      <c r="A716" s="51" t="s">
        <v>205</v>
      </c>
      <c r="X716" s="110" t="s">
        <v>801</v>
      </c>
      <c r="Y716" s="111">
        <v>5</v>
      </c>
      <c r="Z716" s="111">
        <f t="shared" si="76"/>
        <v>870</v>
      </c>
      <c r="AA716" s="112"/>
    </row>
    <row r="717" spans="1:32" ht="8.25" customHeight="1" x14ac:dyDescent="0.25">
      <c r="A717" s="51" t="s">
        <v>205</v>
      </c>
      <c r="X717" s="269">
        <v>0</v>
      </c>
      <c r="Y717" s="270"/>
      <c r="Z717" s="271"/>
      <c r="AA717" s="38"/>
    </row>
    <row r="718" spans="1:32" ht="8.25" customHeight="1" x14ac:dyDescent="0.25">
      <c r="A718" s="51" t="s">
        <v>205</v>
      </c>
      <c r="X718" s="110" t="s">
        <v>798</v>
      </c>
      <c r="Y718" s="111">
        <v>1</v>
      </c>
      <c r="Z718" s="111">
        <f t="shared" ref="Z718:Z723" si="77">X718*Y718</f>
        <v>476</v>
      </c>
      <c r="AA718" s="76"/>
    </row>
    <row r="719" spans="1:32" ht="8.25" customHeight="1" x14ac:dyDescent="0.25">
      <c r="A719" s="51" t="s">
        <v>205</v>
      </c>
      <c r="X719" s="110" t="s">
        <v>231</v>
      </c>
      <c r="Y719" s="111">
        <v>0.5</v>
      </c>
      <c r="Z719" s="111">
        <f t="shared" si="77"/>
        <v>23</v>
      </c>
      <c r="AA719" s="112"/>
    </row>
    <row r="720" spans="1:32" ht="8.25" customHeight="1" x14ac:dyDescent="0.25">
      <c r="A720" s="51" t="s">
        <v>205</v>
      </c>
      <c r="X720" s="110" t="s">
        <v>563</v>
      </c>
      <c r="Y720" s="111">
        <v>0.25</v>
      </c>
      <c r="Z720" s="111">
        <f t="shared" si="77"/>
        <v>21</v>
      </c>
      <c r="AA720" s="113"/>
    </row>
    <row r="721" spans="1:32" ht="8.25" customHeight="1" x14ac:dyDescent="0.25">
      <c r="A721" s="51" t="s">
        <v>205</v>
      </c>
      <c r="X721" s="110" t="s">
        <v>224</v>
      </c>
      <c r="Y721" s="111">
        <v>0.1</v>
      </c>
      <c r="Z721" s="111">
        <f t="shared" si="77"/>
        <v>0.2</v>
      </c>
      <c r="AA721" s="114" t="s">
        <v>219</v>
      </c>
    </row>
    <row r="722" spans="1:32" ht="8.25" customHeight="1" thickBot="1" x14ac:dyDescent="0.3">
      <c r="A722" s="51" t="s">
        <v>205</v>
      </c>
      <c r="X722" s="110"/>
      <c r="Y722" s="111">
        <v>0.05</v>
      </c>
      <c r="Z722" s="111">
        <f t="shared" si="77"/>
        <v>0</v>
      </c>
      <c r="AA722" s="115">
        <f>SUM(Z711:Z716)+Z718+Z719+Z720+Z721+Z722+Z723</f>
        <v>55100.229999999996</v>
      </c>
    </row>
    <row r="723" spans="1:32" ht="8.25" customHeight="1" thickTop="1" x14ac:dyDescent="0.25">
      <c r="A723" s="51" t="s">
        <v>205</v>
      </c>
      <c r="X723" s="110" t="s">
        <v>223</v>
      </c>
      <c r="Y723" s="111">
        <v>0.01</v>
      </c>
      <c r="Z723" s="111">
        <f t="shared" si="77"/>
        <v>0.03</v>
      </c>
    </row>
    <row r="724" spans="1:32" ht="8.25" customHeight="1" x14ac:dyDescent="0.25">
      <c r="A724" s="51" t="s">
        <v>205</v>
      </c>
    </row>
    <row r="725" spans="1:32" ht="8.25" customHeight="1" x14ac:dyDescent="0.25">
      <c r="A725" s="51" t="s">
        <v>205</v>
      </c>
      <c r="AA725" s="75" t="s">
        <v>251</v>
      </c>
      <c r="AF725" s="76">
        <f>AF708</f>
        <v>55100.229999999981</v>
      </c>
    </row>
    <row r="726" spans="1:32" ht="8.25" customHeight="1" x14ac:dyDescent="0.25">
      <c r="A726" s="51" t="s">
        <v>205</v>
      </c>
      <c r="N726" s="52">
        <v>3</v>
      </c>
      <c r="T726" s="33">
        <v>46057</v>
      </c>
      <c r="U726" s="34">
        <v>2026</v>
      </c>
      <c r="V726" s="35" t="s">
        <v>749</v>
      </c>
      <c r="X726" s="37" t="s">
        <v>802</v>
      </c>
      <c r="Y726" s="36" t="s">
        <v>322</v>
      </c>
      <c r="Z726" s="30" t="s">
        <v>323</v>
      </c>
      <c r="AA726" s="30" t="s">
        <v>3899</v>
      </c>
      <c r="AD726" s="38">
        <v>8521.27</v>
      </c>
      <c r="AF726" s="76">
        <f t="shared" ref="AF726:AF741" si="78">AF725+AD726-AE726</f>
        <v>63621.499999999985</v>
      </c>
    </row>
    <row r="727" spans="1:32" ht="8.25" customHeight="1" x14ac:dyDescent="0.15">
      <c r="A727" s="51" t="s">
        <v>205</v>
      </c>
      <c r="N727" s="52">
        <v>3</v>
      </c>
      <c r="T727" s="33">
        <v>46057</v>
      </c>
      <c r="U727" s="34">
        <v>2026</v>
      </c>
      <c r="V727" s="35" t="s">
        <v>749</v>
      </c>
      <c r="X727" s="37" t="s">
        <v>802</v>
      </c>
      <c r="Y727" s="36" t="s">
        <v>322</v>
      </c>
      <c r="Z727" s="30" t="s">
        <v>323</v>
      </c>
      <c r="AA727" s="134" t="s">
        <v>166</v>
      </c>
      <c r="AD727" s="38">
        <v>8878.73</v>
      </c>
      <c r="AF727" s="76">
        <f t="shared" si="78"/>
        <v>72500.229999999981</v>
      </c>
    </row>
    <row r="728" spans="1:32" ht="8.25" customHeight="1" x14ac:dyDescent="0.25">
      <c r="A728" s="51" t="s">
        <v>205</v>
      </c>
      <c r="N728" s="52">
        <v>4</v>
      </c>
      <c r="T728" s="33">
        <v>46057</v>
      </c>
      <c r="U728" s="34">
        <v>2026</v>
      </c>
      <c r="V728" s="35" t="s">
        <v>749</v>
      </c>
      <c r="X728" s="37" t="s">
        <v>803</v>
      </c>
      <c r="Y728" s="36" t="s">
        <v>325</v>
      </c>
      <c r="Z728" s="30" t="s">
        <v>804</v>
      </c>
      <c r="AA728" s="30" t="s">
        <v>3899</v>
      </c>
      <c r="AD728" s="38">
        <v>5222.78</v>
      </c>
      <c r="AF728" s="76">
        <f t="shared" si="78"/>
        <v>77723.00999999998</v>
      </c>
    </row>
    <row r="729" spans="1:32" ht="8.25" customHeight="1" x14ac:dyDescent="0.15">
      <c r="A729" s="51" t="s">
        <v>205</v>
      </c>
      <c r="N729" s="52">
        <v>4</v>
      </c>
      <c r="T729" s="33">
        <v>46057</v>
      </c>
      <c r="U729" s="34">
        <v>2026</v>
      </c>
      <c r="V729" s="35" t="s">
        <v>749</v>
      </c>
      <c r="X729" s="37" t="s">
        <v>803</v>
      </c>
      <c r="Y729" s="36" t="s">
        <v>325</v>
      </c>
      <c r="Z729" s="30" t="s">
        <v>804</v>
      </c>
      <c r="AA729" s="134" t="s">
        <v>166</v>
      </c>
      <c r="AD729" s="38">
        <v>4777.22</v>
      </c>
      <c r="AF729" s="76">
        <f t="shared" si="78"/>
        <v>82500.229999999981</v>
      </c>
    </row>
    <row r="730" spans="1:32" ht="8.25" customHeight="1" x14ac:dyDescent="0.15">
      <c r="A730" s="51" t="s">
        <v>205</v>
      </c>
      <c r="I730" s="52">
        <v>10</v>
      </c>
      <c r="T730" s="33">
        <v>46057</v>
      </c>
      <c r="U730" s="34">
        <v>2026</v>
      </c>
      <c r="V730" s="35" t="s">
        <v>749</v>
      </c>
      <c r="X730" s="37" t="s">
        <v>805</v>
      </c>
      <c r="Y730" s="36" t="s">
        <v>806</v>
      </c>
      <c r="Z730" s="30" t="s">
        <v>807</v>
      </c>
      <c r="AA730" s="136" t="s">
        <v>1787</v>
      </c>
      <c r="AD730" s="38">
        <v>100</v>
      </c>
      <c r="AF730" s="76">
        <f t="shared" si="78"/>
        <v>82600.229999999981</v>
      </c>
    </row>
    <row r="731" spans="1:32" ht="8.25" customHeight="1" x14ac:dyDescent="0.25">
      <c r="A731" s="51" t="s">
        <v>205</v>
      </c>
      <c r="K731" s="52">
        <v>4</v>
      </c>
      <c r="T731" s="33">
        <v>46057</v>
      </c>
      <c r="U731" s="34">
        <v>2026</v>
      </c>
      <c r="V731" s="35" t="s">
        <v>749</v>
      </c>
      <c r="X731" s="37" t="s">
        <v>808</v>
      </c>
      <c r="Y731" s="36" t="s">
        <v>120</v>
      </c>
      <c r="Z731" s="30" t="s">
        <v>807</v>
      </c>
      <c r="AA731" s="30" t="s">
        <v>373</v>
      </c>
      <c r="AD731" s="38">
        <v>50</v>
      </c>
      <c r="AF731" s="76">
        <f t="shared" si="78"/>
        <v>82650.229999999981</v>
      </c>
    </row>
    <row r="732" spans="1:32" ht="8.25" customHeight="1" x14ac:dyDescent="0.25">
      <c r="A732" s="51" t="s">
        <v>205</v>
      </c>
      <c r="L732" s="52">
        <v>4</v>
      </c>
      <c r="T732" s="33">
        <v>46057</v>
      </c>
      <c r="U732" s="34">
        <v>2026</v>
      </c>
      <c r="V732" s="35" t="s">
        <v>749</v>
      </c>
      <c r="X732" s="37" t="s">
        <v>809</v>
      </c>
      <c r="Y732" s="36" t="s">
        <v>810</v>
      </c>
      <c r="Z732" s="30" t="s">
        <v>811</v>
      </c>
      <c r="AA732" s="30" t="s">
        <v>13</v>
      </c>
      <c r="AD732" s="38">
        <v>1000</v>
      </c>
      <c r="AF732" s="76">
        <f t="shared" si="78"/>
        <v>83650.229999999981</v>
      </c>
    </row>
    <row r="733" spans="1:32" ht="8.25" customHeight="1" x14ac:dyDescent="0.25">
      <c r="A733" s="51" t="s">
        <v>205</v>
      </c>
      <c r="N733" s="52">
        <v>5</v>
      </c>
      <c r="T733" s="33">
        <v>46057</v>
      </c>
      <c r="U733" s="34">
        <v>2026</v>
      </c>
      <c r="V733" s="35" t="s">
        <v>749</v>
      </c>
      <c r="X733" s="37" t="s">
        <v>812</v>
      </c>
      <c r="Y733" s="36" t="s">
        <v>225</v>
      </c>
      <c r="Z733" s="30" t="s">
        <v>119</v>
      </c>
      <c r="AA733" s="30" t="s">
        <v>3899</v>
      </c>
      <c r="AD733" s="38">
        <v>8892.32</v>
      </c>
      <c r="AF733" s="76">
        <f t="shared" si="78"/>
        <v>92542.549999999988</v>
      </c>
    </row>
    <row r="734" spans="1:32" ht="8.25" customHeight="1" x14ac:dyDescent="0.15">
      <c r="A734" s="51" t="s">
        <v>205</v>
      </c>
      <c r="N734" s="52">
        <v>5</v>
      </c>
      <c r="T734" s="33">
        <v>46057</v>
      </c>
      <c r="U734" s="34">
        <v>2026</v>
      </c>
      <c r="V734" s="35" t="s">
        <v>749</v>
      </c>
      <c r="X734" s="37" t="s">
        <v>812</v>
      </c>
      <c r="Y734" s="36" t="s">
        <v>225</v>
      </c>
      <c r="Z734" s="30" t="s">
        <v>119</v>
      </c>
      <c r="AA734" s="134" t="s">
        <v>166</v>
      </c>
      <c r="AD734" s="38">
        <v>3486.68</v>
      </c>
      <c r="AF734" s="76">
        <f t="shared" si="78"/>
        <v>96029.229999999981</v>
      </c>
    </row>
    <row r="735" spans="1:32" ht="8.25" customHeight="1" x14ac:dyDescent="0.25">
      <c r="N735" s="52">
        <v>5</v>
      </c>
      <c r="T735" s="33">
        <v>46057</v>
      </c>
      <c r="U735" s="34">
        <v>2026</v>
      </c>
      <c r="V735" s="35" t="s">
        <v>749</v>
      </c>
      <c r="W735" s="35" t="s">
        <v>17</v>
      </c>
      <c r="X735" s="37" t="s">
        <v>812</v>
      </c>
      <c r="Y735" s="36" t="s">
        <v>225</v>
      </c>
      <c r="Z735" s="30" t="s">
        <v>119</v>
      </c>
      <c r="AA735" s="30" t="s">
        <v>3306</v>
      </c>
      <c r="AD735" s="38">
        <v>45</v>
      </c>
      <c r="AF735" s="76">
        <f t="shared" si="78"/>
        <v>96074.229999999981</v>
      </c>
    </row>
    <row r="736" spans="1:32" ht="8.25" customHeight="1" x14ac:dyDescent="0.25">
      <c r="J736" s="52">
        <v>1</v>
      </c>
      <c r="T736" s="33">
        <v>46057</v>
      </c>
      <c r="U736" s="34">
        <v>2026</v>
      </c>
      <c r="V736" s="35" t="s">
        <v>749</v>
      </c>
      <c r="W736" s="35" t="s">
        <v>17</v>
      </c>
      <c r="X736" s="37" t="s">
        <v>813</v>
      </c>
      <c r="Y736" s="36" t="s">
        <v>814</v>
      </c>
      <c r="Z736" s="30" t="s">
        <v>692</v>
      </c>
      <c r="AA736" s="30" t="s">
        <v>589</v>
      </c>
      <c r="AD736" s="38">
        <v>6626</v>
      </c>
      <c r="AF736" s="76">
        <f t="shared" si="78"/>
        <v>102700.22999999998</v>
      </c>
    </row>
    <row r="737" spans="11:32" ht="8.25" customHeight="1" x14ac:dyDescent="0.25">
      <c r="T737" s="144">
        <v>46057</v>
      </c>
      <c r="U737" s="145">
        <v>2026</v>
      </c>
      <c r="V737" s="146" t="s">
        <v>749</v>
      </c>
      <c r="W737" s="35" t="s">
        <v>5</v>
      </c>
      <c r="X737" s="158" t="s">
        <v>820</v>
      </c>
      <c r="Y737" s="172" t="s">
        <v>411</v>
      </c>
      <c r="Z737" s="148" t="s">
        <v>412</v>
      </c>
      <c r="AA737" s="148" t="s">
        <v>399</v>
      </c>
      <c r="AB737" s="148"/>
      <c r="AC737" s="173"/>
      <c r="AD737" s="143"/>
      <c r="AE737" s="143">
        <v>40909.089999999997</v>
      </c>
      <c r="AF737" s="143">
        <f t="shared" si="78"/>
        <v>61791.139999999985</v>
      </c>
    </row>
    <row r="738" spans="11:32" ht="8.25" customHeight="1" x14ac:dyDescent="0.25">
      <c r="K738" s="52">
        <v>5</v>
      </c>
      <c r="T738" s="33">
        <v>46057</v>
      </c>
      <c r="U738" s="34">
        <v>2026</v>
      </c>
      <c r="V738" s="35" t="s">
        <v>749</v>
      </c>
      <c r="W738" s="35" t="s">
        <v>17</v>
      </c>
      <c r="X738" s="37" t="s">
        <v>815</v>
      </c>
      <c r="Y738" s="36" t="s">
        <v>816</v>
      </c>
      <c r="Z738" s="30" t="s">
        <v>807</v>
      </c>
      <c r="AA738" s="30" t="s">
        <v>13</v>
      </c>
      <c r="AD738" s="38">
        <v>34090.910000000003</v>
      </c>
      <c r="AF738" s="76">
        <f t="shared" si="78"/>
        <v>95882.049999999988</v>
      </c>
    </row>
    <row r="739" spans="11:32" ht="8.25" customHeight="1" x14ac:dyDescent="0.25">
      <c r="M739" s="52">
        <v>5</v>
      </c>
      <c r="T739" s="33">
        <v>46057</v>
      </c>
      <c r="U739" s="34">
        <v>2026</v>
      </c>
      <c r="V739" s="35" t="s">
        <v>749</v>
      </c>
      <c r="W739" s="35" t="s">
        <v>17</v>
      </c>
      <c r="X739" s="37" t="s">
        <v>817</v>
      </c>
      <c r="Y739" s="36" t="s">
        <v>120</v>
      </c>
      <c r="Z739" s="30" t="s">
        <v>807</v>
      </c>
      <c r="AA739" s="30" t="s">
        <v>385</v>
      </c>
      <c r="AD739" s="38">
        <v>6818.18</v>
      </c>
      <c r="AF739" s="76">
        <f t="shared" si="78"/>
        <v>102700.22999999998</v>
      </c>
    </row>
    <row r="740" spans="11:32" ht="8.25" customHeight="1" x14ac:dyDescent="0.25">
      <c r="R740" s="53">
        <v>4</v>
      </c>
      <c r="T740" s="33">
        <v>46057</v>
      </c>
      <c r="U740" s="34">
        <v>2026</v>
      </c>
      <c r="V740" s="35" t="s">
        <v>749</v>
      </c>
      <c r="W740" s="35" t="s">
        <v>5</v>
      </c>
      <c r="X740" s="37" t="s">
        <v>818</v>
      </c>
      <c r="Y740" s="36" t="s">
        <v>364</v>
      </c>
      <c r="Z740" s="30" t="s">
        <v>365</v>
      </c>
      <c r="AA740" s="30" t="s">
        <v>92</v>
      </c>
      <c r="AE740" s="38">
        <v>700</v>
      </c>
      <c r="AF740" s="76">
        <f t="shared" si="78"/>
        <v>102000.22999999998</v>
      </c>
    </row>
    <row r="741" spans="11:32" ht="8.25" customHeight="1" x14ac:dyDescent="0.25">
      <c r="R741" s="53">
        <v>5</v>
      </c>
      <c r="T741" s="33">
        <v>46057</v>
      </c>
      <c r="U741" s="34">
        <v>2026</v>
      </c>
      <c r="V741" s="35" t="s">
        <v>749</v>
      </c>
      <c r="W741" s="35" t="s">
        <v>5</v>
      </c>
      <c r="X741" s="37" t="s">
        <v>819</v>
      </c>
      <c r="Y741" s="36" t="s">
        <v>691</v>
      </c>
      <c r="Z741" s="30" t="s">
        <v>692</v>
      </c>
      <c r="AA741" s="30" t="s">
        <v>92</v>
      </c>
      <c r="AE741" s="38">
        <v>7470.57</v>
      </c>
      <c r="AF741" s="76">
        <f t="shared" si="78"/>
        <v>94529.659999999974</v>
      </c>
    </row>
    <row r="742" spans="11:32" ht="8.25" customHeight="1" thickBot="1" x14ac:dyDescent="0.3">
      <c r="AA742" s="75" t="s">
        <v>257</v>
      </c>
      <c r="AD742" s="91">
        <f>SUM(AD726:AD741)</f>
        <v>88509.09</v>
      </c>
      <c r="AE742" s="91">
        <f>SUM(AE726:AE741)</f>
        <v>49079.659999999996</v>
      </c>
      <c r="AF742" s="76">
        <f>AF725+AD742-AE742</f>
        <v>94529.659999999974</v>
      </c>
    </row>
    <row r="743" spans="11:32" ht="8.25" customHeight="1" thickTop="1" x14ac:dyDescent="0.25"/>
    <row r="744" spans="11:32" ht="8.25" customHeight="1" x14ac:dyDescent="0.25">
      <c r="X744" s="109"/>
      <c r="Y744" s="67" t="s">
        <v>214</v>
      </c>
      <c r="Z744" s="68"/>
      <c r="AA744" s="75"/>
    </row>
    <row r="745" spans="11:32" ht="8.25" customHeight="1" x14ac:dyDescent="0.25">
      <c r="X745" s="110" t="s">
        <v>669</v>
      </c>
      <c r="Y745" s="111">
        <v>200</v>
      </c>
      <c r="Z745" s="111">
        <f t="shared" ref="Z745:Z750" si="79">X745*Y745</f>
        <v>3800</v>
      </c>
      <c r="AA745" s="112"/>
    </row>
    <row r="746" spans="11:32" ht="8.25" customHeight="1" x14ac:dyDescent="0.25">
      <c r="X746" s="110" t="s">
        <v>1108</v>
      </c>
      <c r="Y746" s="111">
        <v>100</v>
      </c>
      <c r="Z746" s="111">
        <f t="shared" si="79"/>
        <v>86700</v>
      </c>
      <c r="AA746" s="112"/>
    </row>
    <row r="747" spans="11:32" ht="8.25" customHeight="1" x14ac:dyDescent="0.25">
      <c r="X747" s="110" t="s">
        <v>821</v>
      </c>
      <c r="Y747" s="111">
        <v>50</v>
      </c>
      <c r="Z747" s="111">
        <f t="shared" si="79"/>
        <v>1700</v>
      </c>
      <c r="AA747" s="76"/>
    </row>
    <row r="748" spans="11:32" ht="8.25" customHeight="1" x14ac:dyDescent="0.25">
      <c r="X748" s="110" t="s">
        <v>431</v>
      </c>
      <c r="Y748" s="111">
        <v>20</v>
      </c>
      <c r="Z748" s="111">
        <f t="shared" si="79"/>
        <v>900</v>
      </c>
      <c r="AA748" s="38"/>
      <c r="AC748" s="176"/>
    </row>
    <row r="749" spans="11:32" ht="8.25" customHeight="1" x14ac:dyDescent="0.25">
      <c r="X749" s="110" t="s">
        <v>402</v>
      </c>
      <c r="Y749" s="111">
        <v>10</v>
      </c>
      <c r="Z749" s="111">
        <f t="shared" si="79"/>
        <v>50</v>
      </c>
      <c r="AA749" s="112"/>
    </row>
    <row r="750" spans="11:32" ht="8.25" customHeight="1" x14ac:dyDescent="0.25">
      <c r="X750" s="110" t="s">
        <v>822</v>
      </c>
      <c r="Y750" s="111">
        <v>5</v>
      </c>
      <c r="Z750" s="111">
        <f t="shared" si="79"/>
        <v>860</v>
      </c>
      <c r="AA750" s="112"/>
    </row>
    <row r="751" spans="11:32" ht="8.25" customHeight="1" x14ac:dyDescent="0.25">
      <c r="X751" s="269">
        <v>0</v>
      </c>
      <c r="Y751" s="270"/>
      <c r="Z751" s="271"/>
      <c r="AA751" s="38"/>
    </row>
    <row r="752" spans="11:32" ht="8.25" customHeight="1" x14ac:dyDescent="0.25">
      <c r="X752" s="110" t="s">
        <v>823</v>
      </c>
      <c r="Y752" s="111">
        <v>1</v>
      </c>
      <c r="Z752" s="111">
        <f t="shared" ref="Z752:Z757" si="80">X752*Y752</f>
        <v>475</v>
      </c>
      <c r="AA752" s="76"/>
    </row>
    <row r="753" spans="7:32" ht="8.25" customHeight="1" x14ac:dyDescent="0.25">
      <c r="X753" s="110" t="s">
        <v>250</v>
      </c>
      <c r="Y753" s="111">
        <v>0.5</v>
      </c>
      <c r="Z753" s="111">
        <f t="shared" si="80"/>
        <v>23.5</v>
      </c>
      <c r="AA753" s="112"/>
    </row>
    <row r="754" spans="7:32" ht="8.25" customHeight="1" x14ac:dyDescent="0.25">
      <c r="X754" s="110" t="s">
        <v>563</v>
      </c>
      <c r="Y754" s="111">
        <v>0.25</v>
      </c>
      <c r="Z754" s="111">
        <f t="shared" si="80"/>
        <v>21</v>
      </c>
      <c r="AA754" s="113"/>
    </row>
    <row r="755" spans="7:32" ht="8.25" customHeight="1" x14ac:dyDescent="0.25">
      <c r="X755" s="110" t="s">
        <v>222</v>
      </c>
      <c r="Y755" s="111">
        <v>0.1</v>
      </c>
      <c r="Z755" s="111">
        <f t="shared" si="80"/>
        <v>0.1</v>
      </c>
      <c r="AA755" s="114" t="s">
        <v>219</v>
      </c>
    </row>
    <row r="756" spans="7:32" ht="8.25" customHeight="1" thickBot="1" x14ac:dyDescent="0.3">
      <c r="X756" s="110" t="s">
        <v>222</v>
      </c>
      <c r="Y756" s="111">
        <v>0.05</v>
      </c>
      <c r="Z756" s="111">
        <f t="shared" si="80"/>
        <v>0.05</v>
      </c>
      <c r="AA756" s="115">
        <f>SUM(Z745:Z750)+Z752+Z753+Z754+Z755+Z756+Z757</f>
        <v>94529.66</v>
      </c>
    </row>
    <row r="757" spans="7:32" ht="8.25" customHeight="1" thickTop="1" x14ac:dyDescent="0.25">
      <c r="X757" s="110" t="s">
        <v>222</v>
      </c>
      <c r="Y757" s="111">
        <v>0.01</v>
      </c>
      <c r="Z757" s="111">
        <f t="shared" si="80"/>
        <v>0.01</v>
      </c>
    </row>
    <row r="759" spans="7:32" ht="8.25" customHeight="1" x14ac:dyDescent="0.25">
      <c r="AA759" s="75" t="s">
        <v>251</v>
      </c>
      <c r="AF759" s="76">
        <f>AF742</f>
        <v>94529.659999999974</v>
      </c>
    </row>
    <row r="760" spans="7:32" ht="8.25" customHeight="1" x14ac:dyDescent="0.25">
      <c r="I760" s="52">
        <v>11</v>
      </c>
      <c r="T760" s="33">
        <v>46058</v>
      </c>
      <c r="U760" s="34">
        <v>2026</v>
      </c>
      <c r="V760" s="35" t="s">
        <v>749</v>
      </c>
      <c r="W760" s="35" t="s">
        <v>17</v>
      </c>
      <c r="X760" s="37" t="s">
        <v>824</v>
      </c>
      <c r="Y760" s="36" t="s">
        <v>825</v>
      </c>
      <c r="Z760" s="30" t="s">
        <v>826</v>
      </c>
      <c r="AA760" s="30" t="s">
        <v>13</v>
      </c>
      <c r="AD760" s="38">
        <v>30000</v>
      </c>
      <c r="AF760" s="76">
        <f>AF759+AD760-AE760</f>
        <v>124529.65999999997</v>
      </c>
    </row>
    <row r="761" spans="7:32" ht="8.25" customHeight="1" x14ac:dyDescent="0.25">
      <c r="I761" s="52">
        <v>12</v>
      </c>
      <c r="T761" s="33">
        <v>46058</v>
      </c>
      <c r="U761" s="34">
        <v>2026</v>
      </c>
      <c r="V761" s="35" t="s">
        <v>749</v>
      </c>
      <c r="W761" s="35" t="s">
        <v>17</v>
      </c>
      <c r="X761" s="37" t="s">
        <v>827</v>
      </c>
      <c r="Y761" s="36" t="s">
        <v>828</v>
      </c>
      <c r="Z761" s="30" t="s">
        <v>557</v>
      </c>
      <c r="AA761" s="30" t="s">
        <v>13</v>
      </c>
      <c r="AD761" s="38">
        <v>1000</v>
      </c>
      <c r="AF761" s="76">
        <f t="shared" ref="AF761:AF765" si="81">AF760+AD761-AE761</f>
        <v>125529.65999999997</v>
      </c>
    </row>
    <row r="762" spans="7:32" ht="8.25" customHeight="1" x14ac:dyDescent="0.25">
      <c r="T762" s="33">
        <v>46058</v>
      </c>
      <c r="U762" s="34">
        <v>2026</v>
      </c>
      <c r="V762" s="35" t="s">
        <v>749</v>
      </c>
      <c r="X762" s="37" t="s">
        <v>829</v>
      </c>
      <c r="Z762" s="30" t="s">
        <v>830</v>
      </c>
      <c r="AD762" s="38">
        <v>0</v>
      </c>
      <c r="AF762" s="76">
        <f t="shared" si="81"/>
        <v>125529.65999999997</v>
      </c>
    </row>
    <row r="763" spans="7:32" ht="8.25" customHeight="1" x14ac:dyDescent="0.25">
      <c r="R763" s="53">
        <v>6</v>
      </c>
      <c r="T763" s="194">
        <v>46058</v>
      </c>
      <c r="U763" s="195">
        <v>2026</v>
      </c>
      <c r="V763" s="196" t="s">
        <v>749</v>
      </c>
      <c r="W763" s="196" t="s">
        <v>5</v>
      </c>
      <c r="X763" s="197" t="s">
        <v>831</v>
      </c>
      <c r="Y763" s="198"/>
      <c r="Z763" s="199" t="s">
        <v>578</v>
      </c>
      <c r="AA763" s="199" t="s">
        <v>832</v>
      </c>
      <c r="AB763" s="199"/>
      <c r="AC763" s="200"/>
      <c r="AD763" s="193"/>
      <c r="AE763" s="193">
        <v>5125</v>
      </c>
      <c r="AF763" s="193">
        <f t="shared" si="81"/>
        <v>120404.65999999997</v>
      </c>
    </row>
    <row r="764" spans="7:32" ht="8.25" customHeight="1" x14ac:dyDescent="0.25">
      <c r="R764" s="53">
        <v>7</v>
      </c>
      <c r="T764" s="33">
        <v>46058</v>
      </c>
      <c r="U764" s="34">
        <v>2026</v>
      </c>
      <c r="V764" s="35" t="s">
        <v>749</v>
      </c>
      <c r="W764" s="255" t="s">
        <v>5</v>
      </c>
      <c r="X764" s="37" t="s">
        <v>833</v>
      </c>
      <c r="Y764" s="36" t="s">
        <v>828</v>
      </c>
      <c r="Z764" s="30" t="s">
        <v>557</v>
      </c>
      <c r="AA764" s="30" t="s">
        <v>92</v>
      </c>
      <c r="AE764" s="38">
        <v>700</v>
      </c>
      <c r="AF764" s="76">
        <f t="shared" si="81"/>
        <v>119704.65999999997</v>
      </c>
    </row>
    <row r="765" spans="7:32" ht="8.25" customHeight="1" x14ac:dyDescent="0.25">
      <c r="G765" s="53">
        <v>1</v>
      </c>
      <c r="T765" s="33">
        <v>46058</v>
      </c>
      <c r="U765" s="34">
        <v>2026</v>
      </c>
      <c r="V765" s="35" t="s">
        <v>749</v>
      </c>
      <c r="W765" s="255" t="s">
        <v>5</v>
      </c>
      <c r="Y765" s="36" t="s">
        <v>834</v>
      </c>
      <c r="Z765" s="30" t="s">
        <v>835</v>
      </c>
      <c r="AA765" s="30" t="s">
        <v>3945</v>
      </c>
      <c r="AE765" s="38">
        <v>1457.93</v>
      </c>
      <c r="AF765" s="76">
        <f t="shared" si="81"/>
        <v>118246.72999999998</v>
      </c>
    </row>
    <row r="766" spans="7:32" ht="8.25" customHeight="1" thickBot="1" x14ac:dyDescent="0.3">
      <c r="AA766" s="75" t="s">
        <v>257</v>
      </c>
      <c r="AD766" s="91">
        <f>SUM(AD760:AD765)</f>
        <v>31000</v>
      </c>
      <c r="AE766" s="91">
        <f>SUM(AE760:AE765)</f>
        <v>7282.93</v>
      </c>
      <c r="AF766" s="76">
        <f>AF759+AD766-AE766</f>
        <v>118246.72999999998</v>
      </c>
    </row>
    <row r="767" spans="7:32" ht="8.25" customHeight="1" thickTop="1" x14ac:dyDescent="0.25"/>
    <row r="768" spans="7:32" ht="8.25" customHeight="1" x14ac:dyDescent="0.25">
      <c r="X768" s="109"/>
      <c r="Y768" s="67" t="s">
        <v>214</v>
      </c>
      <c r="Z768" s="68"/>
      <c r="AA768" s="75"/>
    </row>
    <row r="769" spans="18:32" ht="8.25" customHeight="1" x14ac:dyDescent="0.25">
      <c r="X769" s="110" t="s">
        <v>669</v>
      </c>
      <c r="Y769" s="111">
        <v>200</v>
      </c>
      <c r="Z769" s="111">
        <f t="shared" ref="Z769:Z774" si="82">X769*Y769</f>
        <v>3800</v>
      </c>
      <c r="AA769" s="112"/>
    </row>
    <row r="770" spans="18:32" ht="8.25" customHeight="1" x14ac:dyDescent="0.25">
      <c r="X770" s="110" t="s">
        <v>1109</v>
      </c>
      <c r="Y770" s="111">
        <v>100</v>
      </c>
      <c r="Z770" s="111">
        <f t="shared" si="82"/>
        <v>110500</v>
      </c>
      <c r="AA770" s="112"/>
    </row>
    <row r="771" spans="18:32" ht="8.25" customHeight="1" x14ac:dyDescent="0.25">
      <c r="X771" s="110" t="s">
        <v>836</v>
      </c>
      <c r="Y771" s="111">
        <v>50</v>
      </c>
      <c r="Z771" s="111">
        <f t="shared" si="82"/>
        <v>1650</v>
      </c>
      <c r="AA771" s="76"/>
    </row>
    <row r="772" spans="18:32" ht="8.25" customHeight="1" x14ac:dyDescent="0.25">
      <c r="X772" s="110" t="s">
        <v>748</v>
      </c>
      <c r="Y772" s="111">
        <v>20</v>
      </c>
      <c r="Z772" s="111">
        <f t="shared" si="82"/>
        <v>880</v>
      </c>
      <c r="AA772" s="38"/>
    </row>
    <row r="773" spans="18:32" ht="8.25" customHeight="1" x14ac:dyDescent="0.25">
      <c r="X773" s="110" t="s">
        <v>402</v>
      </c>
      <c r="Y773" s="111">
        <v>10</v>
      </c>
      <c r="Z773" s="111">
        <f t="shared" si="82"/>
        <v>50</v>
      </c>
      <c r="AA773" s="112"/>
    </row>
    <row r="774" spans="18:32" ht="8.25" customHeight="1" x14ac:dyDescent="0.25">
      <c r="X774" s="110" t="s">
        <v>837</v>
      </c>
      <c r="Y774" s="111">
        <v>5</v>
      </c>
      <c r="Z774" s="111">
        <f t="shared" si="82"/>
        <v>850</v>
      </c>
      <c r="AA774" s="112"/>
    </row>
    <row r="775" spans="18:32" ht="8.25" customHeight="1" x14ac:dyDescent="0.25">
      <c r="X775" s="269">
        <v>0</v>
      </c>
      <c r="Y775" s="270"/>
      <c r="Z775" s="271"/>
      <c r="AA775" s="38"/>
    </row>
    <row r="776" spans="18:32" ht="8.25" customHeight="1" x14ac:dyDescent="0.25">
      <c r="X776" s="110" t="s">
        <v>838</v>
      </c>
      <c r="Y776" s="111">
        <v>1</v>
      </c>
      <c r="Z776" s="111">
        <f t="shared" ref="Z776:Z781" si="83">X776*Y776</f>
        <v>472</v>
      </c>
      <c r="AA776" s="76"/>
    </row>
    <row r="777" spans="18:32" ht="8.25" customHeight="1" x14ac:dyDescent="0.25">
      <c r="X777" s="110" t="s">
        <v>250</v>
      </c>
      <c r="Y777" s="111">
        <v>0.5</v>
      </c>
      <c r="Z777" s="111">
        <f t="shared" si="83"/>
        <v>23.5</v>
      </c>
      <c r="AA777" s="112"/>
    </row>
    <row r="778" spans="18:32" ht="8.25" customHeight="1" x14ac:dyDescent="0.25">
      <c r="X778" s="110" t="s">
        <v>563</v>
      </c>
      <c r="Y778" s="111">
        <v>0.25</v>
      </c>
      <c r="Z778" s="111">
        <f t="shared" si="83"/>
        <v>21</v>
      </c>
      <c r="AA778" s="113"/>
    </row>
    <row r="779" spans="18:32" ht="8.25" customHeight="1" x14ac:dyDescent="0.25">
      <c r="X779" s="110" t="s">
        <v>224</v>
      </c>
      <c r="Y779" s="111">
        <v>0.1</v>
      </c>
      <c r="Z779" s="111">
        <f t="shared" si="83"/>
        <v>0.2</v>
      </c>
      <c r="AA779" s="114" t="s">
        <v>219</v>
      </c>
    </row>
    <row r="780" spans="18:32" ht="8.25" customHeight="1" thickBot="1" x14ac:dyDescent="0.3">
      <c r="X780" s="110"/>
      <c r="Y780" s="111">
        <v>0.05</v>
      </c>
      <c r="Z780" s="111">
        <f t="shared" si="83"/>
        <v>0</v>
      </c>
      <c r="AA780" s="115">
        <f>SUM(Z769:Z774)+Z776+Z777+Z778+Z779+Z780+Z781</f>
        <v>118246.73</v>
      </c>
    </row>
    <row r="781" spans="18:32" ht="8.25" customHeight="1" thickTop="1" x14ac:dyDescent="0.25">
      <c r="X781" s="110" t="s">
        <v>223</v>
      </c>
      <c r="Y781" s="111">
        <v>0.01</v>
      </c>
      <c r="Z781" s="111">
        <f t="shared" si="83"/>
        <v>0.03</v>
      </c>
    </row>
    <row r="783" spans="18:32" ht="8.25" customHeight="1" x14ac:dyDescent="0.25">
      <c r="AA783" s="75" t="s">
        <v>251</v>
      </c>
      <c r="AF783" s="76">
        <f>AF766</f>
        <v>118246.72999999998</v>
      </c>
    </row>
    <row r="784" spans="18:32" ht="8.25" customHeight="1" x14ac:dyDescent="0.25">
      <c r="R784" s="53">
        <v>8</v>
      </c>
      <c r="T784" s="33">
        <v>46059</v>
      </c>
      <c r="U784" s="34">
        <v>2026</v>
      </c>
      <c r="V784" s="35" t="s">
        <v>749</v>
      </c>
      <c r="W784" s="35" t="s">
        <v>5</v>
      </c>
      <c r="X784" s="37" t="s">
        <v>839</v>
      </c>
      <c r="Y784" s="36" t="s">
        <v>840</v>
      </c>
      <c r="Z784" s="30" t="s">
        <v>841</v>
      </c>
      <c r="AA784" s="30" t="s">
        <v>92</v>
      </c>
      <c r="AE784" s="38">
        <v>500</v>
      </c>
      <c r="AF784" s="76">
        <f t="shared" ref="AF784:AF789" si="84">AF783+AD784-AE784</f>
        <v>117746.72999999998</v>
      </c>
    </row>
    <row r="785" spans="4:32" ht="8.25" customHeight="1" x14ac:dyDescent="0.25">
      <c r="G785" s="53">
        <v>2</v>
      </c>
      <c r="T785" s="33">
        <v>46059</v>
      </c>
      <c r="U785" s="34">
        <v>2026</v>
      </c>
      <c r="V785" s="35" t="s">
        <v>749</v>
      </c>
      <c r="W785" s="35" t="s">
        <v>5</v>
      </c>
      <c r="Y785" s="36" t="s">
        <v>842</v>
      </c>
      <c r="Z785" s="30" t="s">
        <v>843</v>
      </c>
      <c r="AA785" s="30" t="s">
        <v>3945</v>
      </c>
      <c r="AE785" s="38">
        <v>5384.05</v>
      </c>
      <c r="AF785" s="76">
        <f t="shared" si="84"/>
        <v>112362.67999999998</v>
      </c>
    </row>
    <row r="786" spans="4:32" ht="8.25" customHeight="1" x14ac:dyDescent="0.25">
      <c r="G786" s="53">
        <v>3</v>
      </c>
      <c r="T786" s="33">
        <v>46059</v>
      </c>
      <c r="U786" s="34">
        <v>2026</v>
      </c>
      <c r="V786" s="35" t="s">
        <v>749</v>
      </c>
      <c r="W786" s="35" t="s">
        <v>5</v>
      </c>
      <c r="Y786" s="36" t="s">
        <v>842</v>
      </c>
      <c r="Z786" s="30" t="s">
        <v>844</v>
      </c>
      <c r="AA786" s="30" t="s">
        <v>3945</v>
      </c>
      <c r="AE786" s="38">
        <v>2328.48</v>
      </c>
      <c r="AF786" s="76">
        <f t="shared" si="84"/>
        <v>110034.19999999998</v>
      </c>
    </row>
    <row r="787" spans="4:32" ht="8.25" customHeight="1" x14ac:dyDescent="0.25">
      <c r="R787" s="53">
        <v>9</v>
      </c>
      <c r="T787" s="33">
        <v>46059</v>
      </c>
      <c r="U787" s="34">
        <v>2026</v>
      </c>
      <c r="V787" s="35" t="s">
        <v>749</v>
      </c>
      <c r="W787" s="35" t="s">
        <v>17</v>
      </c>
      <c r="Y787" s="36" t="s">
        <v>847</v>
      </c>
      <c r="Z787" s="30" t="s">
        <v>846</v>
      </c>
      <c r="AA787" s="30" t="s">
        <v>256</v>
      </c>
      <c r="AD787" s="38">
        <v>1000</v>
      </c>
      <c r="AF787" s="76">
        <f t="shared" si="84"/>
        <v>111034.19999999998</v>
      </c>
    </row>
    <row r="788" spans="4:32" ht="8.25" customHeight="1" x14ac:dyDescent="0.25">
      <c r="D788" s="52">
        <v>1</v>
      </c>
      <c r="T788" s="33">
        <v>46059</v>
      </c>
      <c r="U788" s="34">
        <v>2026</v>
      </c>
      <c r="V788" s="35" t="s">
        <v>749</v>
      </c>
      <c r="W788" s="35" t="s">
        <v>17</v>
      </c>
      <c r="X788" s="37" t="s">
        <v>848</v>
      </c>
      <c r="Y788" s="36" t="s">
        <v>849</v>
      </c>
      <c r="Z788" s="30" t="s">
        <v>850</v>
      </c>
      <c r="AA788" s="30" t="s">
        <v>13</v>
      </c>
      <c r="AD788" s="38">
        <v>300</v>
      </c>
      <c r="AF788" s="76">
        <f t="shared" si="84"/>
        <v>111334.19999999998</v>
      </c>
    </row>
    <row r="789" spans="4:32" ht="8.25" customHeight="1" x14ac:dyDescent="0.25">
      <c r="I789" s="52">
        <v>13</v>
      </c>
      <c r="AF789" s="76">
        <f t="shared" si="84"/>
        <v>111334.19999999998</v>
      </c>
    </row>
    <row r="790" spans="4:32" ht="8.25" customHeight="1" thickBot="1" x14ac:dyDescent="0.3">
      <c r="AA790" s="75" t="s">
        <v>257</v>
      </c>
      <c r="AD790" s="91">
        <f>SUM(AD784:AD789)</f>
        <v>1300</v>
      </c>
      <c r="AE790" s="91">
        <f>SUM(AE784:AE789)</f>
        <v>8212.5300000000007</v>
      </c>
      <c r="AF790" s="76">
        <f>AF783+AD790-AE790</f>
        <v>111334.19999999998</v>
      </c>
    </row>
    <row r="791" spans="4:32" ht="8.25" customHeight="1" thickTop="1" x14ac:dyDescent="0.25"/>
    <row r="792" spans="4:32" ht="8.25" customHeight="1" x14ac:dyDescent="0.25">
      <c r="X792" s="109"/>
      <c r="Y792" s="67" t="s">
        <v>214</v>
      </c>
      <c r="Z792" s="68"/>
      <c r="AA792" s="75"/>
    </row>
    <row r="793" spans="4:32" ht="8.25" customHeight="1" x14ac:dyDescent="0.25">
      <c r="X793" s="110" t="s">
        <v>669</v>
      </c>
      <c r="Y793" s="111">
        <v>200</v>
      </c>
      <c r="Z793" s="111">
        <f t="shared" ref="Z793:Z798" si="85">X793*Y793</f>
        <v>3800</v>
      </c>
      <c r="AA793" s="112"/>
    </row>
    <row r="794" spans="4:32" ht="8.25" customHeight="1" x14ac:dyDescent="0.25">
      <c r="X794" s="110" t="s">
        <v>1110</v>
      </c>
      <c r="Y794" s="111">
        <v>100</v>
      </c>
      <c r="Z794" s="111">
        <f t="shared" si="85"/>
        <v>103700</v>
      </c>
      <c r="AA794" s="112"/>
    </row>
    <row r="795" spans="4:32" ht="8.25" customHeight="1" x14ac:dyDescent="0.25">
      <c r="X795" s="110" t="s">
        <v>851</v>
      </c>
      <c r="Y795" s="111">
        <v>50</v>
      </c>
      <c r="Z795" s="111">
        <f t="shared" si="85"/>
        <v>1600</v>
      </c>
      <c r="AA795" s="76"/>
    </row>
    <row r="796" spans="4:32" ht="8.25" customHeight="1" x14ac:dyDescent="0.25">
      <c r="X796" s="110" t="s">
        <v>1111</v>
      </c>
      <c r="Y796" s="111">
        <v>20</v>
      </c>
      <c r="Z796" s="111">
        <f t="shared" si="85"/>
        <v>840</v>
      </c>
      <c r="AA796" s="38"/>
    </row>
    <row r="797" spans="4:32" ht="8.25" customHeight="1" x14ac:dyDescent="0.25">
      <c r="X797" s="110" t="s">
        <v>223</v>
      </c>
      <c r="Y797" s="111">
        <v>10</v>
      </c>
      <c r="Z797" s="111">
        <f t="shared" si="85"/>
        <v>30</v>
      </c>
      <c r="AA797" s="112"/>
    </row>
    <row r="798" spans="4:32" ht="8.25" customHeight="1" x14ac:dyDescent="0.25">
      <c r="X798" s="110" t="s">
        <v>852</v>
      </c>
      <c r="Y798" s="111">
        <v>5</v>
      </c>
      <c r="Z798" s="111">
        <f t="shared" si="85"/>
        <v>845</v>
      </c>
      <c r="AA798" s="112"/>
    </row>
    <row r="799" spans="4:32" ht="8.25" customHeight="1" x14ac:dyDescent="0.25">
      <c r="X799" s="269">
        <v>0</v>
      </c>
      <c r="Y799" s="270"/>
      <c r="Z799" s="271"/>
      <c r="AA799" s="38"/>
    </row>
    <row r="800" spans="4:32" ht="8.25" customHeight="1" x14ac:dyDescent="0.25">
      <c r="X800" s="110" t="s">
        <v>823</v>
      </c>
      <c r="Y800" s="111">
        <v>1</v>
      </c>
      <c r="Z800" s="111">
        <f t="shared" ref="Z800:Z805" si="86">X800*Y800</f>
        <v>475</v>
      </c>
      <c r="AA800" s="76"/>
    </row>
    <row r="801" spans="3:32" ht="8.25" customHeight="1" x14ac:dyDescent="0.25">
      <c r="X801" s="110" t="s">
        <v>250</v>
      </c>
      <c r="Y801" s="111">
        <v>0.5</v>
      </c>
      <c r="Z801" s="111">
        <f t="shared" si="86"/>
        <v>23.5</v>
      </c>
      <c r="AA801" s="112"/>
    </row>
    <row r="802" spans="3:32" ht="8.25" customHeight="1" x14ac:dyDescent="0.25">
      <c r="X802" s="110" t="s">
        <v>875</v>
      </c>
      <c r="Y802" s="111">
        <v>0.25</v>
      </c>
      <c r="Z802" s="111">
        <f t="shared" si="86"/>
        <v>20.5</v>
      </c>
      <c r="AA802" s="113"/>
    </row>
    <row r="803" spans="3:32" ht="8.25" customHeight="1" x14ac:dyDescent="0.25">
      <c r="X803" s="110" t="s">
        <v>224</v>
      </c>
      <c r="Y803" s="111">
        <v>0.1</v>
      </c>
      <c r="Z803" s="111">
        <f t="shared" si="86"/>
        <v>0.2</v>
      </c>
      <c r="AA803" s="114" t="s">
        <v>219</v>
      </c>
    </row>
    <row r="804" spans="3:32" ht="8.25" customHeight="1" thickBot="1" x14ac:dyDescent="0.3">
      <c r="X804" s="110"/>
      <c r="Y804" s="111">
        <v>0.05</v>
      </c>
      <c r="Z804" s="111">
        <f t="shared" si="86"/>
        <v>0</v>
      </c>
      <c r="AA804" s="115">
        <f>SUM(Z793:Z798)+Z800+Z801+Z802+Z803+Z804+Z805</f>
        <v>111334.2</v>
      </c>
    </row>
    <row r="805" spans="3:32" ht="8.25" customHeight="1" thickTop="1" x14ac:dyDescent="0.25">
      <c r="X805" s="110"/>
      <c r="Y805" s="111">
        <v>0.01</v>
      </c>
      <c r="Z805" s="111">
        <f t="shared" si="86"/>
        <v>0</v>
      </c>
    </row>
    <row r="807" spans="3:32" ht="8.25" customHeight="1" x14ac:dyDescent="0.25">
      <c r="AA807" s="75" t="s">
        <v>251</v>
      </c>
      <c r="AF807" s="76">
        <f>AF790</f>
        <v>111334.19999999998</v>
      </c>
    </row>
    <row r="808" spans="3:32" ht="8.25" customHeight="1" x14ac:dyDescent="0.25">
      <c r="G808" s="53">
        <v>3</v>
      </c>
      <c r="T808" s="33">
        <v>46060</v>
      </c>
      <c r="U808" s="34">
        <v>2026</v>
      </c>
      <c r="V808" s="35" t="s">
        <v>749</v>
      </c>
      <c r="W808" s="35" t="s">
        <v>5</v>
      </c>
      <c r="Y808" s="36" t="s">
        <v>855</v>
      </c>
      <c r="Z808" s="30" t="s">
        <v>856</v>
      </c>
      <c r="AA808" s="30" t="s">
        <v>3945</v>
      </c>
      <c r="AE808" s="38">
        <v>6144</v>
      </c>
      <c r="AF808" s="76">
        <f>AF807+AD808-AE808</f>
        <v>105190.19999999998</v>
      </c>
    </row>
    <row r="809" spans="3:32" ht="8.25" customHeight="1" x14ac:dyDescent="0.25">
      <c r="G809" s="53">
        <v>4</v>
      </c>
      <c r="T809" s="33">
        <v>46060</v>
      </c>
      <c r="U809" s="34">
        <v>2026</v>
      </c>
      <c r="V809" s="35" t="s">
        <v>749</v>
      </c>
      <c r="W809" s="35" t="s">
        <v>5</v>
      </c>
      <c r="Y809" s="36" t="s">
        <v>853</v>
      </c>
      <c r="Z809" s="30" t="s">
        <v>854</v>
      </c>
      <c r="AA809" s="30" t="s">
        <v>3945</v>
      </c>
      <c r="AE809" s="38">
        <v>600</v>
      </c>
      <c r="AF809" s="76">
        <f t="shared" ref="AF809:AF818" si="87">AF808+AD809-AE809</f>
        <v>104590.19999999998</v>
      </c>
    </row>
    <row r="810" spans="3:32" ht="8.25" customHeight="1" x14ac:dyDescent="0.25">
      <c r="G810" s="53">
        <v>5</v>
      </c>
      <c r="T810" s="33">
        <v>46060</v>
      </c>
      <c r="U810" s="34">
        <v>2026</v>
      </c>
      <c r="V810" s="35" t="s">
        <v>749</v>
      </c>
      <c r="W810" s="35" t="s">
        <v>5</v>
      </c>
      <c r="Y810" s="36" t="s">
        <v>860</v>
      </c>
      <c r="Z810" s="30" t="s">
        <v>862</v>
      </c>
      <c r="AA810" s="30" t="s">
        <v>3945</v>
      </c>
      <c r="AE810" s="38">
        <v>20763</v>
      </c>
      <c r="AF810" s="76">
        <f t="shared" si="87"/>
        <v>83827.199999999983</v>
      </c>
    </row>
    <row r="811" spans="3:32" ht="8.25" customHeight="1" x14ac:dyDescent="0.25">
      <c r="G811" s="53">
        <v>6</v>
      </c>
      <c r="T811" s="33">
        <v>46060</v>
      </c>
      <c r="U811" s="34">
        <v>2026</v>
      </c>
      <c r="V811" s="35" t="s">
        <v>749</v>
      </c>
      <c r="W811" s="35" t="s">
        <v>5</v>
      </c>
      <c r="Y811" s="36" t="s">
        <v>859</v>
      </c>
      <c r="Z811" s="30" t="s">
        <v>863</v>
      </c>
      <c r="AA811" s="30" t="s">
        <v>3945</v>
      </c>
      <c r="AE811" s="38">
        <v>7225.61</v>
      </c>
      <c r="AF811" s="76">
        <f t="shared" si="87"/>
        <v>76601.589999999982</v>
      </c>
    </row>
    <row r="812" spans="3:32" ht="8.25" customHeight="1" x14ac:dyDescent="0.25">
      <c r="G812" s="53">
        <v>7</v>
      </c>
      <c r="T812" s="33">
        <v>46060</v>
      </c>
      <c r="U812" s="34">
        <v>2026</v>
      </c>
      <c r="V812" s="35" t="s">
        <v>749</v>
      </c>
      <c r="W812" s="35" t="s">
        <v>5</v>
      </c>
      <c r="Y812" s="36" t="s">
        <v>857</v>
      </c>
      <c r="Z812" s="30" t="s">
        <v>858</v>
      </c>
      <c r="AA812" s="30" t="s">
        <v>3945</v>
      </c>
      <c r="AE812" s="38">
        <v>15006.84</v>
      </c>
      <c r="AF812" s="76">
        <f t="shared" si="87"/>
        <v>61594.749999999985</v>
      </c>
    </row>
    <row r="813" spans="3:32" ht="8.25" customHeight="1" x14ac:dyDescent="0.25">
      <c r="G813" s="53">
        <v>8</v>
      </c>
      <c r="T813" s="33">
        <v>46060</v>
      </c>
      <c r="U813" s="34">
        <v>2026</v>
      </c>
      <c r="V813" s="35" t="s">
        <v>749</v>
      </c>
      <c r="W813" s="35" t="s">
        <v>5</v>
      </c>
      <c r="Y813" s="36" t="s">
        <v>864</v>
      </c>
      <c r="Z813" s="30" t="s">
        <v>865</v>
      </c>
      <c r="AA813" s="30" t="s">
        <v>3945</v>
      </c>
      <c r="AE813" s="38">
        <v>766.25</v>
      </c>
      <c r="AF813" s="76">
        <f t="shared" si="87"/>
        <v>60828.499999999985</v>
      </c>
    </row>
    <row r="814" spans="3:32" ht="8.25" customHeight="1" x14ac:dyDescent="0.25">
      <c r="G814" s="53">
        <v>9</v>
      </c>
      <c r="T814" s="33">
        <v>46060</v>
      </c>
      <c r="U814" s="34">
        <v>2026</v>
      </c>
      <c r="V814" s="35" t="s">
        <v>749</v>
      </c>
      <c r="W814" s="35" t="s">
        <v>5</v>
      </c>
      <c r="Y814" s="36" t="s">
        <v>866</v>
      </c>
      <c r="Z814" s="30" t="s">
        <v>862</v>
      </c>
      <c r="AA814" s="30" t="s">
        <v>3945</v>
      </c>
      <c r="AE814" s="38">
        <v>23070</v>
      </c>
      <c r="AF814" s="76">
        <f t="shared" si="87"/>
        <v>37758.499999999985</v>
      </c>
    </row>
    <row r="815" spans="3:32" ht="8.25" customHeight="1" x14ac:dyDescent="0.25">
      <c r="C815" s="52">
        <v>1</v>
      </c>
      <c r="T815" s="33">
        <v>46060</v>
      </c>
      <c r="U815" s="34">
        <v>2026</v>
      </c>
      <c r="V815" s="35" t="s">
        <v>749</v>
      </c>
      <c r="W815" s="35" t="s">
        <v>3620</v>
      </c>
      <c r="Y815" s="36" t="s">
        <v>867</v>
      </c>
      <c r="Z815" s="30" t="s">
        <v>868</v>
      </c>
      <c r="AA815" s="30" t="s">
        <v>340</v>
      </c>
      <c r="AD815" s="38">
        <v>133</v>
      </c>
      <c r="AF815" s="76">
        <f t="shared" si="87"/>
        <v>37891.499999999985</v>
      </c>
    </row>
    <row r="816" spans="3:32" ht="8.25" customHeight="1" x14ac:dyDescent="0.25">
      <c r="T816" s="33">
        <v>46060</v>
      </c>
      <c r="U816" s="34">
        <v>2026</v>
      </c>
      <c r="V816" s="35" t="s">
        <v>749</v>
      </c>
      <c r="W816" s="35" t="s">
        <v>17</v>
      </c>
      <c r="Y816" s="36" t="s">
        <v>861</v>
      </c>
      <c r="Z816" s="30" t="s">
        <v>869</v>
      </c>
      <c r="AA816" s="30" t="s">
        <v>256</v>
      </c>
      <c r="AD816" s="38">
        <v>10000</v>
      </c>
      <c r="AF816" s="76">
        <f t="shared" si="87"/>
        <v>47891.499999999985</v>
      </c>
    </row>
    <row r="817" spans="3:32" ht="8.25" customHeight="1" x14ac:dyDescent="0.25">
      <c r="F817" s="53">
        <v>1</v>
      </c>
      <c r="T817" s="33">
        <v>46060</v>
      </c>
      <c r="U817" s="34">
        <v>2026</v>
      </c>
      <c r="V817" s="35" t="s">
        <v>749</v>
      </c>
      <c r="W817" s="35" t="s">
        <v>17</v>
      </c>
      <c r="Y817" s="36" t="s">
        <v>870</v>
      </c>
      <c r="Z817" s="30" t="s">
        <v>869</v>
      </c>
      <c r="AA817" s="30" t="s">
        <v>256</v>
      </c>
      <c r="AD817" s="38">
        <v>11500</v>
      </c>
      <c r="AF817" s="76">
        <f t="shared" si="87"/>
        <v>59391.499999999985</v>
      </c>
    </row>
    <row r="818" spans="3:32" ht="8.25" customHeight="1" x14ac:dyDescent="0.25">
      <c r="C818" s="52">
        <v>2</v>
      </c>
      <c r="T818" s="33">
        <v>46060</v>
      </c>
      <c r="U818" s="34">
        <v>2026</v>
      </c>
      <c r="V818" s="35" t="s">
        <v>749</v>
      </c>
      <c r="W818" s="35" t="s">
        <v>3620</v>
      </c>
      <c r="Y818" s="36" t="s">
        <v>871</v>
      </c>
      <c r="Z818" s="30" t="s">
        <v>872</v>
      </c>
      <c r="AA818" s="30" t="s">
        <v>340</v>
      </c>
      <c r="AD818" s="38">
        <v>553.55999999999995</v>
      </c>
      <c r="AF818" s="76">
        <f t="shared" si="87"/>
        <v>59945.059999999983</v>
      </c>
    </row>
    <row r="819" spans="3:32" ht="8.25" customHeight="1" thickBot="1" x14ac:dyDescent="0.3">
      <c r="AA819" s="75" t="s">
        <v>257</v>
      </c>
      <c r="AD819" s="91">
        <f>SUM(AD808:AD818)</f>
        <v>22186.560000000001</v>
      </c>
      <c r="AE819" s="91">
        <f>SUM(AE808:AE818)</f>
        <v>73575.7</v>
      </c>
      <c r="AF819" s="76">
        <f>AF807+AD819-AE819</f>
        <v>59945.059999999983</v>
      </c>
    </row>
    <row r="820" spans="3:32" ht="8.25" customHeight="1" thickTop="1" x14ac:dyDescent="0.25"/>
    <row r="821" spans="3:32" ht="8.25" customHeight="1" x14ac:dyDescent="0.25">
      <c r="X821" s="109"/>
      <c r="Y821" s="67" t="s">
        <v>214</v>
      </c>
      <c r="Z821" s="68"/>
      <c r="AA821" s="75"/>
    </row>
    <row r="822" spans="3:32" ht="8.25" customHeight="1" x14ac:dyDescent="0.25">
      <c r="X822" s="110" t="s">
        <v>669</v>
      </c>
      <c r="Y822" s="111">
        <v>200</v>
      </c>
      <c r="Z822" s="111">
        <f t="shared" ref="Z822:Z827" si="88">X822*Y822</f>
        <v>3800</v>
      </c>
      <c r="AA822" s="112"/>
    </row>
    <row r="823" spans="3:32" ht="8.25" customHeight="1" x14ac:dyDescent="0.25">
      <c r="X823" s="110" t="s">
        <v>1112</v>
      </c>
      <c r="Y823" s="111">
        <v>100</v>
      </c>
      <c r="Z823" s="111">
        <f t="shared" si="88"/>
        <v>53500</v>
      </c>
      <c r="AA823" s="112"/>
    </row>
    <row r="824" spans="3:32" ht="8.25" customHeight="1" x14ac:dyDescent="0.25">
      <c r="X824" s="110" t="s">
        <v>564</v>
      </c>
      <c r="Y824" s="111">
        <v>50</v>
      </c>
      <c r="Z824" s="111">
        <f t="shared" si="88"/>
        <v>700</v>
      </c>
      <c r="AA824" s="76"/>
    </row>
    <row r="825" spans="3:32" ht="8.25" customHeight="1" x14ac:dyDescent="0.25">
      <c r="X825" s="110" t="s">
        <v>926</v>
      </c>
      <c r="Y825" s="111">
        <v>20</v>
      </c>
      <c r="Z825" s="111">
        <f t="shared" si="88"/>
        <v>620</v>
      </c>
      <c r="AA825" s="38"/>
    </row>
    <row r="826" spans="3:32" ht="8.25" customHeight="1" x14ac:dyDescent="0.25">
      <c r="X826" s="110" t="s">
        <v>319</v>
      </c>
      <c r="Y826" s="111">
        <v>10</v>
      </c>
      <c r="Z826" s="111">
        <f t="shared" si="88"/>
        <v>60</v>
      </c>
      <c r="AA826" s="112"/>
    </row>
    <row r="827" spans="3:32" ht="8.25" customHeight="1" x14ac:dyDescent="0.25">
      <c r="X827" s="110" t="s">
        <v>873</v>
      </c>
      <c r="Y827" s="111">
        <v>5</v>
      </c>
      <c r="Z827" s="111">
        <f t="shared" si="88"/>
        <v>750</v>
      </c>
      <c r="AA827" s="112"/>
    </row>
    <row r="828" spans="3:32" ht="8.25" customHeight="1" x14ac:dyDescent="0.25">
      <c r="X828" s="269">
        <v>0</v>
      </c>
      <c r="Y828" s="270"/>
      <c r="Z828" s="271"/>
      <c r="AA828" s="38"/>
    </row>
    <row r="829" spans="3:32" ht="8.25" customHeight="1" x14ac:dyDescent="0.25">
      <c r="X829" s="110" t="s">
        <v>1113</v>
      </c>
      <c r="Y829" s="111">
        <v>1</v>
      </c>
      <c r="Z829" s="111">
        <f t="shared" ref="Z829:Z834" si="89">X829*Y829</f>
        <v>471</v>
      </c>
      <c r="AA829" s="76"/>
    </row>
    <row r="830" spans="3:32" ht="8.25" customHeight="1" x14ac:dyDescent="0.25">
      <c r="X830" s="110" t="s">
        <v>250</v>
      </c>
      <c r="Y830" s="111">
        <v>0.5</v>
      </c>
      <c r="Z830" s="111">
        <f t="shared" si="89"/>
        <v>23.5</v>
      </c>
      <c r="AA830" s="112"/>
    </row>
    <row r="831" spans="3:32" ht="8.25" customHeight="1" x14ac:dyDescent="0.25">
      <c r="X831" s="110" t="s">
        <v>875</v>
      </c>
      <c r="Y831" s="111">
        <v>0.25</v>
      </c>
      <c r="Z831" s="111">
        <f t="shared" si="89"/>
        <v>20.5</v>
      </c>
      <c r="AA831" s="113"/>
    </row>
    <row r="832" spans="3:32" ht="8.25" customHeight="1" x14ac:dyDescent="0.25">
      <c r="X832" s="110"/>
      <c r="Y832" s="111">
        <v>0.1</v>
      </c>
      <c r="Z832" s="111">
        <f t="shared" si="89"/>
        <v>0</v>
      </c>
      <c r="AA832" s="114" t="s">
        <v>219</v>
      </c>
    </row>
    <row r="833" spans="3:32" ht="8.25" customHeight="1" thickBot="1" x14ac:dyDescent="0.3">
      <c r="X833" s="110" t="s">
        <v>222</v>
      </c>
      <c r="Y833" s="111">
        <v>0.05</v>
      </c>
      <c r="Z833" s="111">
        <f t="shared" si="89"/>
        <v>0.05</v>
      </c>
      <c r="AA833" s="115">
        <f>SUM(Z822:Z827)+Z829+Z830+Z831+Z832+Z833+Z834</f>
        <v>59945.060000000005</v>
      </c>
    </row>
    <row r="834" spans="3:32" ht="8.25" customHeight="1" thickTop="1" x14ac:dyDescent="0.25">
      <c r="X834" s="110" t="s">
        <v>222</v>
      </c>
      <c r="Y834" s="111">
        <v>0.01</v>
      </c>
      <c r="Z834" s="111">
        <f t="shared" si="89"/>
        <v>0.01</v>
      </c>
    </row>
    <row r="836" spans="3:32" ht="8.25" customHeight="1" x14ac:dyDescent="0.25">
      <c r="AA836" s="75" t="s">
        <v>251</v>
      </c>
      <c r="AF836" s="76">
        <f>AF819</f>
        <v>59945.059999999983</v>
      </c>
    </row>
    <row r="837" spans="3:32" ht="8.25" customHeight="1" x14ac:dyDescent="0.25">
      <c r="G837" s="53">
        <v>10</v>
      </c>
      <c r="T837" s="33">
        <v>46062</v>
      </c>
      <c r="U837" s="34">
        <v>2026</v>
      </c>
      <c r="V837" s="35" t="s">
        <v>749</v>
      </c>
      <c r="W837" s="35" t="s">
        <v>5</v>
      </c>
      <c r="Y837" s="36" t="s">
        <v>877</v>
      </c>
      <c r="Z837" s="30" t="s">
        <v>876</v>
      </c>
      <c r="AA837" s="30" t="s">
        <v>3945</v>
      </c>
      <c r="AE837" s="38">
        <v>2298</v>
      </c>
      <c r="AF837" s="76">
        <f t="shared" ref="AF837:AF843" si="90">AF836+AD837-AE837</f>
        <v>57647.059999999983</v>
      </c>
    </row>
    <row r="838" spans="3:32" ht="8.25" customHeight="1" x14ac:dyDescent="0.25">
      <c r="G838" s="53">
        <v>11</v>
      </c>
      <c r="T838" s="33">
        <v>46062</v>
      </c>
      <c r="U838" s="34">
        <v>2026</v>
      </c>
      <c r="V838" s="35" t="s">
        <v>749</v>
      </c>
      <c r="W838" s="35" t="s">
        <v>5</v>
      </c>
      <c r="Y838" s="36" t="s">
        <v>878</v>
      </c>
      <c r="Z838" s="30" t="s">
        <v>879</v>
      </c>
      <c r="AA838" s="30" t="s">
        <v>3945</v>
      </c>
      <c r="AE838" s="38">
        <v>1307.9000000000001</v>
      </c>
      <c r="AF838" s="76">
        <f t="shared" si="90"/>
        <v>56339.159999999982</v>
      </c>
    </row>
    <row r="839" spans="3:32" ht="8.25" customHeight="1" x14ac:dyDescent="0.25">
      <c r="G839" s="53">
        <v>12</v>
      </c>
      <c r="T839" s="33">
        <v>46062</v>
      </c>
      <c r="U839" s="34">
        <v>2026</v>
      </c>
      <c r="V839" s="35" t="s">
        <v>749</v>
      </c>
      <c r="W839" s="35" t="s">
        <v>5</v>
      </c>
      <c r="Y839" s="36" t="s">
        <v>880</v>
      </c>
      <c r="Z839" s="30" t="s">
        <v>879</v>
      </c>
      <c r="AA839" s="30" t="s">
        <v>3945</v>
      </c>
      <c r="AE839" s="38">
        <v>2081.59</v>
      </c>
      <c r="AF839" s="76">
        <f t="shared" si="90"/>
        <v>54257.569999999978</v>
      </c>
    </row>
    <row r="840" spans="3:32" ht="8.25" customHeight="1" x14ac:dyDescent="0.25">
      <c r="C840" s="52">
        <v>3</v>
      </c>
      <c r="T840" s="33">
        <v>46062</v>
      </c>
      <c r="U840" s="34">
        <v>2026</v>
      </c>
      <c r="V840" s="35" t="s">
        <v>749</v>
      </c>
      <c r="W840" s="35" t="s">
        <v>3620</v>
      </c>
      <c r="Y840" s="36" t="s">
        <v>881</v>
      </c>
      <c r="Z840" s="30" t="s">
        <v>882</v>
      </c>
      <c r="AA840" s="30" t="s">
        <v>340</v>
      </c>
      <c r="AD840" s="38">
        <v>88</v>
      </c>
      <c r="AF840" s="76">
        <f t="shared" si="90"/>
        <v>54345.569999999978</v>
      </c>
    </row>
    <row r="841" spans="3:32" ht="8.25" customHeight="1" x14ac:dyDescent="0.25">
      <c r="N841" s="52">
        <v>6</v>
      </c>
      <c r="T841" s="33">
        <v>46062</v>
      </c>
      <c r="U841" s="34">
        <v>2026</v>
      </c>
      <c r="V841" s="35" t="s">
        <v>749</v>
      </c>
      <c r="W841" s="35" t="s">
        <v>17</v>
      </c>
      <c r="X841" s="37" t="s">
        <v>883</v>
      </c>
      <c r="Y841" s="36" t="s">
        <v>884</v>
      </c>
      <c r="Z841" s="30" t="s">
        <v>885</v>
      </c>
      <c r="AA841" s="30" t="s">
        <v>3899</v>
      </c>
      <c r="AD841" s="38">
        <v>1044.4100000000001</v>
      </c>
      <c r="AF841" s="76">
        <f t="shared" si="90"/>
        <v>55389.979999999981</v>
      </c>
    </row>
    <row r="842" spans="3:32" ht="8.25" customHeight="1" x14ac:dyDescent="0.15">
      <c r="N842" s="52">
        <v>6</v>
      </c>
      <c r="T842" s="33">
        <v>46062</v>
      </c>
      <c r="U842" s="34">
        <v>2026</v>
      </c>
      <c r="V842" s="35" t="s">
        <v>749</v>
      </c>
      <c r="W842" s="35" t="s">
        <v>17</v>
      </c>
      <c r="X842" s="37" t="s">
        <v>883</v>
      </c>
      <c r="Y842" s="36" t="s">
        <v>884</v>
      </c>
      <c r="Z842" s="30" t="s">
        <v>885</v>
      </c>
      <c r="AA842" s="134" t="s">
        <v>166</v>
      </c>
      <c r="AD842" s="38">
        <v>1338.55</v>
      </c>
      <c r="AF842" s="76">
        <f t="shared" si="90"/>
        <v>56728.529999999984</v>
      </c>
    </row>
    <row r="843" spans="3:32" ht="8.25" customHeight="1" x14ac:dyDescent="0.25">
      <c r="N843" s="52">
        <v>6</v>
      </c>
      <c r="T843" s="33">
        <v>46062</v>
      </c>
      <c r="U843" s="34">
        <v>2026</v>
      </c>
      <c r="V843" s="35" t="s">
        <v>749</v>
      </c>
      <c r="W843" s="35" t="s">
        <v>17</v>
      </c>
      <c r="X843" s="37" t="s">
        <v>883</v>
      </c>
      <c r="Y843" s="36" t="s">
        <v>884</v>
      </c>
      <c r="Z843" s="30" t="s">
        <v>885</v>
      </c>
      <c r="AA843" s="30" t="s">
        <v>3306</v>
      </c>
      <c r="AD843" s="38">
        <v>617.04</v>
      </c>
      <c r="AF843" s="76">
        <f t="shared" si="90"/>
        <v>57345.569999999985</v>
      </c>
    </row>
    <row r="844" spans="3:32" ht="8.25" customHeight="1" thickBot="1" x14ac:dyDescent="0.3">
      <c r="AA844" s="75" t="s">
        <v>257</v>
      </c>
      <c r="AD844" s="91">
        <f>SUM(AD837:AD843)</f>
        <v>3088</v>
      </c>
      <c r="AE844" s="91">
        <f>SUM(AE837:AE843)</f>
        <v>5687.49</v>
      </c>
      <c r="AF844" s="76">
        <f>AF836+AD844-AE844</f>
        <v>57345.569999999985</v>
      </c>
    </row>
    <row r="845" spans="3:32" ht="8.25" customHeight="1" thickTop="1" x14ac:dyDescent="0.25"/>
    <row r="846" spans="3:32" ht="8.25" customHeight="1" x14ac:dyDescent="0.25">
      <c r="X846" s="109"/>
      <c r="Y846" s="67" t="s">
        <v>214</v>
      </c>
      <c r="Z846" s="68"/>
      <c r="AA846" s="75"/>
    </row>
    <row r="847" spans="3:32" ht="8.25" customHeight="1" x14ac:dyDescent="0.25">
      <c r="X847" s="110" t="s">
        <v>319</v>
      </c>
      <c r="Y847" s="111">
        <v>200</v>
      </c>
      <c r="Z847" s="111">
        <f t="shared" ref="Z847:Z852" si="91">X847*Y847</f>
        <v>1200</v>
      </c>
      <c r="AA847" s="112"/>
    </row>
    <row r="848" spans="3:32" ht="8.25" customHeight="1" x14ac:dyDescent="0.25">
      <c r="X848" s="110" t="s">
        <v>1028</v>
      </c>
      <c r="Y848" s="111">
        <v>100</v>
      </c>
      <c r="Z848" s="111">
        <f t="shared" si="91"/>
        <v>52800</v>
      </c>
      <c r="AA848" s="112"/>
    </row>
    <row r="849" spans="9:32" ht="8.25" customHeight="1" x14ac:dyDescent="0.25">
      <c r="X849" s="110" t="s">
        <v>901</v>
      </c>
      <c r="Y849" s="111">
        <v>50</v>
      </c>
      <c r="Z849" s="111">
        <f t="shared" si="91"/>
        <v>1300</v>
      </c>
      <c r="AA849" s="76"/>
    </row>
    <row r="850" spans="9:32" ht="8.25" customHeight="1" x14ac:dyDescent="0.25">
      <c r="X850" s="110" t="s">
        <v>1114</v>
      </c>
      <c r="Y850" s="111">
        <v>20</v>
      </c>
      <c r="Z850" s="111">
        <f t="shared" si="91"/>
        <v>700</v>
      </c>
      <c r="AA850" s="38"/>
    </row>
    <row r="851" spans="9:32" ht="8.25" customHeight="1" x14ac:dyDescent="0.25">
      <c r="X851" s="110" t="s">
        <v>224</v>
      </c>
      <c r="Y851" s="111">
        <v>10</v>
      </c>
      <c r="Z851" s="111">
        <f t="shared" si="91"/>
        <v>20</v>
      </c>
      <c r="AA851" s="112"/>
    </row>
    <row r="852" spans="9:32" ht="8.25" customHeight="1" x14ac:dyDescent="0.25">
      <c r="X852" s="110" t="s">
        <v>887</v>
      </c>
      <c r="Y852" s="111">
        <v>5</v>
      </c>
      <c r="Z852" s="111">
        <f t="shared" si="91"/>
        <v>810</v>
      </c>
      <c r="AA852" s="112"/>
    </row>
    <row r="853" spans="9:32" ht="8.25" customHeight="1" x14ac:dyDescent="0.25">
      <c r="X853" s="269">
        <v>0</v>
      </c>
      <c r="Y853" s="270"/>
      <c r="Z853" s="271"/>
      <c r="AA853" s="38"/>
    </row>
    <row r="854" spans="9:32" ht="8.25" customHeight="1" x14ac:dyDescent="0.25">
      <c r="X854" s="110" t="s">
        <v>1113</v>
      </c>
      <c r="Y854" s="111">
        <v>1</v>
      </c>
      <c r="Z854" s="111">
        <f t="shared" ref="Z854:Z859" si="92">X854*Y854</f>
        <v>471</v>
      </c>
      <c r="AA854" s="76"/>
    </row>
    <row r="855" spans="9:32" ht="8.25" customHeight="1" x14ac:dyDescent="0.25">
      <c r="X855" s="110" t="s">
        <v>655</v>
      </c>
      <c r="Y855" s="111">
        <v>0.5</v>
      </c>
      <c r="Z855" s="111">
        <f t="shared" si="92"/>
        <v>24</v>
      </c>
      <c r="AA855" s="112"/>
    </row>
    <row r="856" spans="9:32" ht="8.25" customHeight="1" x14ac:dyDescent="0.25">
      <c r="X856" s="110" t="s">
        <v>875</v>
      </c>
      <c r="Y856" s="111">
        <v>0.25</v>
      </c>
      <c r="Z856" s="111">
        <f t="shared" si="92"/>
        <v>20.5</v>
      </c>
      <c r="AA856" s="113"/>
    </row>
    <row r="857" spans="9:32" ht="8.25" customHeight="1" x14ac:dyDescent="0.25">
      <c r="X857" s="110"/>
      <c r="Y857" s="111">
        <v>0.1</v>
      </c>
      <c r="Z857" s="111">
        <f t="shared" si="92"/>
        <v>0</v>
      </c>
      <c r="AA857" s="114" t="s">
        <v>219</v>
      </c>
    </row>
    <row r="858" spans="9:32" ht="8.25" customHeight="1" thickBot="1" x14ac:dyDescent="0.3">
      <c r="X858" s="110" t="s">
        <v>222</v>
      </c>
      <c r="Y858" s="111">
        <v>0.05</v>
      </c>
      <c r="Z858" s="111">
        <f t="shared" si="92"/>
        <v>0.05</v>
      </c>
      <c r="AA858" s="115">
        <f>SUM(Z847:Z852)+Z854+Z855+Z856+Z857+Z858+Z859</f>
        <v>57345.57</v>
      </c>
    </row>
    <row r="859" spans="9:32" ht="8.25" customHeight="1" thickTop="1" x14ac:dyDescent="0.25">
      <c r="X859" s="110" t="s">
        <v>224</v>
      </c>
      <c r="Y859" s="111">
        <v>0.01</v>
      </c>
      <c r="Z859" s="111">
        <f t="shared" si="92"/>
        <v>0.02</v>
      </c>
    </row>
    <row r="861" spans="9:32" ht="8.25" customHeight="1" x14ac:dyDescent="0.25">
      <c r="AA861" s="75" t="s">
        <v>251</v>
      </c>
      <c r="AF861" s="76">
        <f>AF844</f>
        <v>57345.569999999985</v>
      </c>
    </row>
    <row r="862" spans="9:32" ht="8.25" customHeight="1" x14ac:dyDescent="0.25">
      <c r="I862" s="52">
        <v>14</v>
      </c>
      <c r="T862" s="33">
        <v>46063</v>
      </c>
      <c r="U862" s="34">
        <v>2026</v>
      </c>
      <c r="V862" s="35" t="s">
        <v>749</v>
      </c>
      <c r="W862" s="35" t="s">
        <v>17</v>
      </c>
      <c r="X862" s="37" t="s">
        <v>888</v>
      </c>
      <c r="Y862" s="36" t="s">
        <v>889</v>
      </c>
      <c r="Z862" s="30" t="s">
        <v>890</v>
      </c>
      <c r="AA862" s="30" t="s">
        <v>13</v>
      </c>
      <c r="AD862" s="38">
        <v>1000</v>
      </c>
      <c r="AF862" s="76">
        <f t="shared" ref="AF862:AF884" si="93">AF861+AD862-AE862</f>
        <v>58345.569999999985</v>
      </c>
    </row>
    <row r="863" spans="9:32" ht="8.25" customHeight="1" x14ac:dyDescent="0.25">
      <c r="I863" s="52">
        <v>15</v>
      </c>
      <c r="T863" s="33">
        <v>46063</v>
      </c>
      <c r="U863" s="34">
        <v>2026</v>
      </c>
      <c r="V863" s="35" t="s">
        <v>749</v>
      </c>
      <c r="W863" s="35" t="s">
        <v>17</v>
      </c>
      <c r="X863" s="37" t="s">
        <v>891</v>
      </c>
      <c r="Y863" s="36" t="s">
        <v>419</v>
      </c>
      <c r="Z863" s="30" t="s">
        <v>420</v>
      </c>
      <c r="AA863" s="30" t="s">
        <v>13</v>
      </c>
      <c r="AD863" s="38">
        <v>400</v>
      </c>
      <c r="AF863" s="76">
        <f t="shared" si="93"/>
        <v>58745.569999999985</v>
      </c>
    </row>
    <row r="864" spans="9:32" ht="8.25" customHeight="1" x14ac:dyDescent="0.25">
      <c r="N864" s="52">
        <v>7</v>
      </c>
      <c r="T864" s="33">
        <v>46063</v>
      </c>
      <c r="U864" s="34">
        <v>2026</v>
      </c>
      <c r="V864" s="35" t="s">
        <v>749</v>
      </c>
      <c r="W864" s="35" t="s">
        <v>17</v>
      </c>
      <c r="X864" s="37" t="s">
        <v>892</v>
      </c>
      <c r="Y864" s="36" t="s">
        <v>433</v>
      </c>
      <c r="Z864" s="30" t="s">
        <v>434</v>
      </c>
      <c r="AA864" s="30" t="s">
        <v>3899</v>
      </c>
      <c r="AD864" s="38">
        <v>8711.9500000000007</v>
      </c>
      <c r="AF864" s="76">
        <f t="shared" si="93"/>
        <v>67457.51999999999</v>
      </c>
    </row>
    <row r="865" spans="14:32" ht="8.25" customHeight="1" x14ac:dyDescent="0.15">
      <c r="N865" s="52">
        <v>7</v>
      </c>
      <c r="T865" s="33">
        <v>46063</v>
      </c>
      <c r="U865" s="34">
        <v>2026</v>
      </c>
      <c r="V865" s="35" t="s">
        <v>749</v>
      </c>
      <c r="W865" s="35" t="s">
        <v>17</v>
      </c>
      <c r="X865" s="37" t="s">
        <v>892</v>
      </c>
      <c r="Y865" s="36" t="s">
        <v>433</v>
      </c>
      <c r="Z865" s="30" t="s">
        <v>434</v>
      </c>
      <c r="AA865" s="134" t="s">
        <v>166</v>
      </c>
      <c r="AD865" s="38">
        <v>4288.05</v>
      </c>
      <c r="AF865" s="76">
        <f t="shared" si="93"/>
        <v>71745.569999999992</v>
      </c>
    </row>
    <row r="866" spans="14:32" ht="8.25" customHeight="1" x14ac:dyDescent="0.25">
      <c r="N866" s="52">
        <v>8</v>
      </c>
      <c r="T866" s="33">
        <v>46063</v>
      </c>
      <c r="U866" s="34">
        <v>2026</v>
      </c>
      <c r="V866" s="35" t="s">
        <v>749</v>
      </c>
      <c r="W866" s="35" t="s">
        <v>17</v>
      </c>
      <c r="X866" s="37" t="s">
        <v>893</v>
      </c>
      <c r="Y866" s="36" t="s">
        <v>450</v>
      </c>
      <c r="Z866" s="30" t="s">
        <v>451</v>
      </c>
      <c r="AA866" s="30" t="s">
        <v>3899</v>
      </c>
      <c r="AD866" s="38">
        <v>9328.34</v>
      </c>
      <c r="AF866" s="76">
        <f t="shared" si="93"/>
        <v>81073.909999999989</v>
      </c>
    </row>
    <row r="867" spans="14:32" ht="8.25" customHeight="1" x14ac:dyDescent="0.15">
      <c r="N867" s="52">
        <v>8</v>
      </c>
      <c r="T867" s="33">
        <v>46063</v>
      </c>
      <c r="U867" s="34">
        <v>2026</v>
      </c>
      <c r="V867" s="35" t="s">
        <v>749</v>
      </c>
      <c r="W867" s="35" t="s">
        <v>17</v>
      </c>
      <c r="X867" s="37" t="s">
        <v>893</v>
      </c>
      <c r="Y867" s="36" t="s">
        <v>450</v>
      </c>
      <c r="Z867" s="30" t="s">
        <v>451</v>
      </c>
      <c r="AA867" s="134" t="s">
        <v>166</v>
      </c>
      <c r="AD867" s="38">
        <v>6171.66</v>
      </c>
      <c r="AF867" s="76">
        <f t="shared" si="93"/>
        <v>87245.569999999992</v>
      </c>
    </row>
    <row r="868" spans="14:32" ht="8.25" customHeight="1" x14ac:dyDescent="0.25">
      <c r="N868" s="52">
        <v>9</v>
      </c>
      <c r="T868" s="33">
        <v>46063</v>
      </c>
      <c r="U868" s="34">
        <v>2026</v>
      </c>
      <c r="V868" s="35" t="s">
        <v>749</v>
      </c>
      <c r="W868" s="35" t="s">
        <v>17</v>
      </c>
      <c r="X868" s="37" t="s">
        <v>894</v>
      </c>
      <c r="Y868" s="36" t="s">
        <v>507</v>
      </c>
      <c r="Z868" s="30" t="s">
        <v>508</v>
      </c>
      <c r="AA868" s="30" t="s">
        <v>3899</v>
      </c>
      <c r="AD868" s="38">
        <v>7343.74</v>
      </c>
      <c r="AF868" s="76">
        <f t="shared" si="93"/>
        <v>94589.31</v>
      </c>
    </row>
    <row r="869" spans="14:32" ht="8.25" customHeight="1" x14ac:dyDescent="0.15">
      <c r="N869" s="52">
        <v>9</v>
      </c>
      <c r="T869" s="33">
        <v>46063</v>
      </c>
      <c r="U869" s="34">
        <v>2026</v>
      </c>
      <c r="V869" s="35" t="s">
        <v>749</v>
      </c>
      <c r="W869" s="35" t="s">
        <v>17</v>
      </c>
      <c r="X869" s="37" t="s">
        <v>894</v>
      </c>
      <c r="Y869" s="36" t="s">
        <v>507</v>
      </c>
      <c r="Z869" s="30" t="s">
        <v>508</v>
      </c>
      <c r="AA869" s="134" t="s">
        <v>166</v>
      </c>
      <c r="AD869" s="38">
        <v>6656.26</v>
      </c>
      <c r="AF869" s="76">
        <f t="shared" si="93"/>
        <v>101245.56999999999</v>
      </c>
    </row>
    <row r="870" spans="14:32" ht="8.25" customHeight="1" x14ac:dyDescent="0.25">
      <c r="N870" s="52">
        <v>10</v>
      </c>
      <c r="T870" s="33">
        <v>46063</v>
      </c>
      <c r="U870" s="34">
        <v>2026</v>
      </c>
      <c r="V870" s="35" t="s">
        <v>749</v>
      </c>
      <c r="W870" s="35" t="s">
        <v>17</v>
      </c>
      <c r="X870" s="37" t="s">
        <v>895</v>
      </c>
      <c r="Y870" s="36" t="s">
        <v>346</v>
      </c>
      <c r="Z870" s="30" t="s">
        <v>303</v>
      </c>
      <c r="AA870" s="30" t="s">
        <v>3899</v>
      </c>
      <c r="AD870" s="38">
        <v>6506.55</v>
      </c>
      <c r="AF870" s="76">
        <f t="shared" si="93"/>
        <v>107752.12</v>
      </c>
    </row>
    <row r="871" spans="14:32" ht="8.25" customHeight="1" x14ac:dyDescent="0.15">
      <c r="N871" s="52">
        <v>10</v>
      </c>
      <c r="T871" s="33">
        <v>46063</v>
      </c>
      <c r="U871" s="34">
        <v>2026</v>
      </c>
      <c r="V871" s="35" t="s">
        <v>749</v>
      </c>
      <c r="W871" s="35" t="s">
        <v>17</v>
      </c>
      <c r="X871" s="37" t="s">
        <v>895</v>
      </c>
      <c r="Y871" s="36" t="s">
        <v>346</v>
      </c>
      <c r="Z871" s="30" t="s">
        <v>303</v>
      </c>
      <c r="AA871" s="134" t="s">
        <v>166</v>
      </c>
      <c r="AD871" s="38">
        <v>6493.45</v>
      </c>
      <c r="AF871" s="76">
        <f t="shared" si="93"/>
        <v>114245.56999999999</v>
      </c>
    </row>
    <row r="872" spans="14:32" ht="8.25" customHeight="1" x14ac:dyDescent="0.25">
      <c r="N872" s="52">
        <v>11</v>
      </c>
      <c r="T872" s="33">
        <v>46063</v>
      </c>
      <c r="U872" s="34">
        <v>2026</v>
      </c>
      <c r="V872" s="35" t="s">
        <v>749</v>
      </c>
      <c r="W872" s="35" t="s">
        <v>17</v>
      </c>
      <c r="X872" s="37" t="s">
        <v>896</v>
      </c>
      <c r="Y872" s="36" t="s">
        <v>348</v>
      </c>
      <c r="Z872" s="30" t="s">
        <v>307</v>
      </c>
      <c r="AA872" s="30" t="s">
        <v>3899</v>
      </c>
      <c r="AD872" s="38">
        <v>6178.19</v>
      </c>
      <c r="AF872" s="76">
        <f t="shared" si="93"/>
        <v>120423.76</v>
      </c>
    </row>
    <row r="873" spans="14:32" ht="8.25" customHeight="1" x14ac:dyDescent="0.15">
      <c r="N873" s="52">
        <v>11</v>
      </c>
      <c r="T873" s="33">
        <v>46063</v>
      </c>
      <c r="U873" s="34">
        <v>2026</v>
      </c>
      <c r="V873" s="35" t="s">
        <v>749</v>
      </c>
      <c r="W873" s="35" t="s">
        <v>17</v>
      </c>
      <c r="X873" s="37" t="s">
        <v>896</v>
      </c>
      <c r="Y873" s="36" t="s">
        <v>348</v>
      </c>
      <c r="Z873" s="30" t="s">
        <v>307</v>
      </c>
      <c r="AA873" s="134" t="s">
        <v>166</v>
      </c>
      <c r="AD873" s="38">
        <v>4821.8100000000004</v>
      </c>
      <c r="AF873" s="76">
        <f t="shared" si="93"/>
        <v>125245.56999999999</v>
      </c>
    </row>
    <row r="874" spans="14:32" ht="8.25" customHeight="1" x14ac:dyDescent="0.25">
      <c r="N874" s="52">
        <v>12</v>
      </c>
      <c r="T874" s="33">
        <v>46063</v>
      </c>
      <c r="U874" s="34">
        <v>2026</v>
      </c>
      <c r="V874" s="35" t="s">
        <v>749</v>
      </c>
      <c r="W874" s="35" t="s">
        <v>17</v>
      </c>
      <c r="X874" s="37" t="s">
        <v>897</v>
      </c>
      <c r="Y874" s="36" t="s">
        <v>442</v>
      </c>
      <c r="Z874" s="30" t="s">
        <v>443</v>
      </c>
      <c r="AA874" s="30" t="s">
        <v>3899</v>
      </c>
      <c r="AD874" s="38">
        <v>5892.95</v>
      </c>
      <c r="AF874" s="76">
        <f t="shared" si="93"/>
        <v>131138.51999999999</v>
      </c>
    </row>
    <row r="875" spans="14:32" ht="8.25" customHeight="1" x14ac:dyDescent="0.15">
      <c r="N875" s="52">
        <v>12</v>
      </c>
      <c r="T875" s="33">
        <v>46063</v>
      </c>
      <c r="U875" s="34">
        <v>2026</v>
      </c>
      <c r="V875" s="35" t="s">
        <v>749</v>
      </c>
      <c r="W875" s="35" t="s">
        <v>17</v>
      </c>
      <c r="X875" s="37" t="s">
        <v>897</v>
      </c>
      <c r="Y875" s="36" t="s">
        <v>442</v>
      </c>
      <c r="Z875" s="30" t="s">
        <v>443</v>
      </c>
      <c r="AA875" s="134" t="s">
        <v>166</v>
      </c>
      <c r="AD875" s="38">
        <v>4107.05</v>
      </c>
      <c r="AF875" s="76">
        <f t="shared" si="93"/>
        <v>135245.56999999998</v>
      </c>
    </row>
    <row r="876" spans="14:32" ht="8.25" customHeight="1" x14ac:dyDescent="0.25">
      <c r="N876" s="52">
        <v>13</v>
      </c>
      <c r="T876" s="33">
        <v>46063</v>
      </c>
      <c r="U876" s="34">
        <v>2026</v>
      </c>
      <c r="V876" s="35" t="s">
        <v>749</v>
      </c>
      <c r="W876" s="35" t="s">
        <v>17</v>
      </c>
      <c r="X876" s="37" t="s">
        <v>898</v>
      </c>
      <c r="Y876" s="36" t="s">
        <v>439</v>
      </c>
      <c r="Z876" s="30" t="s">
        <v>440</v>
      </c>
      <c r="AA876" s="30" t="s">
        <v>3899</v>
      </c>
      <c r="AD876" s="38">
        <v>2317.6799999999998</v>
      </c>
      <c r="AF876" s="76">
        <f t="shared" si="93"/>
        <v>137563.24999999997</v>
      </c>
    </row>
    <row r="877" spans="14:32" ht="8.25" customHeight="1" x14ac:dyDescent="0.15">
      <c r="N877" s="52">
        <v>13</v>
      </c>
      <c r="T877" s="33">
        <v>46063</v>
      </c>
      <c r="U877" s="34">
        <v>2026</v>
      </c>
      <c r="V877" s="35" t="s">
        <v>749</v>
      </c>
      <c r="W877" s="35" t="s">
        <v>17</v>
      </c>
      <c r="X877" s="37" t="s">
        <v>898</v>
      </c>
      <c r="Y877" s="36" t="s">
        <v>439</v>
      </c>
      <c r="Z877" s="30" t="s">
        <v>440</v>
      </c>
      <c r="AA877" s="134" t="s">
        <v>166</v>
      </c>
      <c r="AD877" s="38">
        <v>4612.3100000000004</v>
      </c>
      <c r="AF877" s="76">
        <f t="shared" si="93"/>
        <v>142175.55999999997</v>
      </c>
    </row>
    <row r="878" spans="14:32" ht="8.25" customHeight="1" x14ac:dyDescent="0.25">
      <c r="N878" s="52">
        <v>14</v>
      </c>
      <c r="T878" s="33">
        <v>46063</v>
      </c>
      <c r="U878" s="34">
        <v>2026</v>
      </c>
      <c r="V878" s="35" t="s">
        <v>749</v>
      </c>
      <c r="W878" s="35" t="s">
        <v>17</v>
      </c>
      <c r="X878" s="37" t="s">
        <v>899</v>
      </c>
      <c r="Y878" s="36" t="s">
        <v>347</v>
      </c>
      <c r="Z878" s="30" t="s">
        <v>305</v>
      </c>
      <c r="AA878" s="30" t="s">
        <v>3899</v>
      </c>
      <c r="AD878" s="38">
        <v>5579.91</v>
      </c>
      <c r="AF878" s="76">
        <f t="shared" si="93"/>
        <v>147755.46999999997</v>
      </c>
    </row>
    <row r="879" spans="14:32" ht="8.25" customHeight="1" x14ac:dyDescent="0.15">
      <c r="N879" s="52">
        <v>14</v>
      </c>
      <c r="T879" s="33">
        <v>46063</v>
      </c>
      <c r="U879" s="34">
        <v>2026</v>
      </c>
      <c r="V879" s="35" t="s">
        <v>749</v>
      </c>
      <c r="W879" s="35" t="s">
        <v>17</v>
      </c>
      <c r="X879" s="37" t="s">
        <v>899</v>
      </c>
      <c r="Y879" s="36" t="s">
        <v>347</v>
      </c>
      <c r="Z879" s="30" t="s">
        <v>305</v>
      </c>
      <c r="AA879" s="134" t="s">
        <v>166</v>
      </c>
      <c r="AD879" s="38">
        <v>5420.09</v>
      </c>
      <c r="AF879" s="76">
        <f t="shared" si="93"/>
        <v>153175.55999999997</v>
      </c>
    </row>
    <row r="880" spans="14:32" ht="8.25" customHeight="1" x14ac:dyDescent="0.25">
      <c r="N880" s="52">
        <v>15</v>
      </c>
      <c r="T880" s="33">
        <v>46063</v>
      </c>
      <c r="U880" s="34">
        <v>2026</v>
      </c>
      <c r="V880" s="35" t="s">
        <v>749</v>
      </c>
      <c r="W880" s="35" t="s">
        <v>17</v>
      </c>
      <c r="X880" s="37" t="s">
        <v>902</v>
      </c>
      <c r="Y880" s="36" t="s">
        <v>903</v>
      </c>
      <c r="Z880" s="30" t="s">
        <v>355</v>
      </c>
      <c r="AA880" s="30" t="s">
        <v>3899</v>
      </c>
      <c r="AD880" s="38">
        <v>5252.05</v>
      </c>
      <c r="AF880" s="76">
        <f t="shared" si="93"/>
        <v>158427.60999999996</v>
      </c>
    </row>
    <row r="881" spans="9:32" ht="8.25" customHeight="1" x14ac:dyDescent="0.15">
      <c r="N881" s="52">
        <v>15</v>
      </c>
      <c r="T881" s="33">
        <v>46063</v>
      </c>
      <c r="U881" s="34">
        <v>2026</v>
      </c>
      <c r="V881" s="35" t="s">
        <v>749</v>
      </c>
      <c r="W881" s="35" t="s">
        <v>17</v>
      </c>
      <c r="X881" s="37" t="s">
        <v>902</v>
      </c>
      <c r="Y881" s="36" t="s">
        <v>903</v>
      </c>
      <c r="Z881" s="30" t="s">
        <v>355</v>
      </c>
      <c r="AA881" s="134" t="s">
        <v>166</v>
      </c>
      <c r="AD881" s="38">
        <v>2547.9499999999998</v>
      </c>
      <c r="AF881" s="76">
        <f t="shared" si="93"/>
        <v>160975.55999999997</v>
      </c>
    </row>
    <row r="882" spans="9:32" ht="8.25" customHeight="1" x14ac:dyDescent="0.25">
      <c r="N882" s="52">
        <v>16</v>
      </c>
      <c r="T882" s="33">
        <v>46063</v>
      </c>
      <c r="U882" s="34">
        <v>2026</v>
      </c>
      <c r="V882" s="35" t="s">
        <v>749</v>
      </c>
      <c r="W882" s="35" t="s">
        <v>17</v>
      </c>
      <c r="X882" s="37" t="s">
        <v>906</v>
      </c>
      <c r="Y882" s="36" t="s">
        <v>120</v>
      </c>
      <c r="Z882" s="30" t="s">
        <v>261</v>
      </c>
      <c r="AA882" s="30" t="s">
        <v>907</v>
      </c>
      <c r="AD882" s="38">
        <v>15</v>
      </c>
      <c r="AE882" s="76"/>
      <c r="AF882" s="76">
        <f t="shared" si="93"/>
        <v>160990.55999999997</v>
      </c>
    </row>
    <row r="883" spans="9:32" ht="8.25" customHeight="1" x14ac:dyDescent="0.25">
      <c r="I883" s="52">
        <v>16</v>
      </c>
      <c r="T883" s="33">
        <v>46063</v>
      </c>
      <c r="U883" s="34">
        <v>2026</v>
      </c>
      <c r="V883" s="35" t="s">
        <v>749</v>
      </c>
      <c r="W883" s="35" t="s">
        <v>17</v>
      </c>
      <c r="X883" s="37" t="s">
        <v>908</v>
      </c>
      <c r="Y883" s="36" t="s">
        <v>262</v>
      </c>
      <c r="Z883" s="30" t="s">
        <v>261</v>
      </c>
      <c r="AA883" s="30" t="s">
        <v>13</v>
      </c>
      <c r="AD883" s="38">
        <v>5000</v>
      </c>
      <c r="AE883" s="76"/>
      <c r="AF883" s="76">
        <f t="shared" si="93"/>
        <v>165990.55999999997</v>
      </c>
    </row>
    <row r="884" spans="9:32" ht="8.25" customHeight="1" x14ac:dyDescent="0.25">
      <c r="T884" s="178">
        <v>46063</v>
      </c>
      <c r="U884" s="179">
        <v>2026</v>
      </c>
      <c r="V884" s="180" t="s">
        <v>749</v>
      </c>
      <c r="W884" s="180"/>
      <c r="X884" s="181" t="s">
        <v>904</v>
      </c>
      <c r="Y884" s="182" t="s">
        <v>411</v>
      </c>
      <c r="Z884" s="183" t="s">
        <v>905</v>
      </c>
      <c r="AA884" s="183" t="s">
        <v>618</v>
      </c>
      <c r="AB884" s="183"/>
      <c r="AC884" s="184"/>
      <c r="AD884" s="177"/>
      <c r="AE884" s="177">
        <v>70000</v>
      </c>
      <c r="AF884" s="177">
        <f t="shared" si="93"/>
        <v>95990.559999999969</v>
      </c>
    </row>
    <row r="885" spans="9:32" ht="8.25" customHeight="1" thickBot="1" x14ac:dyDescent="0.3">
      <c r="AA885" s="75" t="s">
        <v>257</v>
      </c>
      <c r="AD885" s="91">
        <f>SUM(AD862:AD884)</f>
        <v>108644.98999999999</v>
      </c>
      <c r="AE885" s="91">
        <f>SUM(AE862:AE884)</f>
        <v>70000</v>
      </c>
      <c r="AF885" s="76">
        <f>AF861+AD885-AE885</f>
        <v>95990.559999999969</v>
      </c>
    </row>
    <row r="886" spans="9:32" ht="8.25" customHeight="1" thickTop="1" x14ac:dyDescent="0.25">
      <c r="X886" s="109"/>
      <c r="Y886" s="67" t="s">
        <v>214</v>
      </c>
      <c r="Z886" s="68"/>
      <c r="AA886" s="75"/>
    </row>
    <row r="887" spans="9:32" ht="8.25" customHeight="1" x14ac:dyDescent="0.25">
      <c r="X887" s="110" t="s">
        <v>319</v>
      </c>
      <c r="Y887" s="111">
        <v>200</v>
      </c>
      <c r="Z887" s="111">
        <f t="shared" ref="Z887:Z892" si="94">X887*Y887</f>
        <v>1200</v>
      </c>
      <c r="AA887" s="112"/>
    </row>
    <row r="888" spans="9:32" ht="8.25" customHeight="1" x14ac:dyDescent="0.25">
      <c r="X888" s="110" t="s">
        <v>1115</v>
      </c>
      <c r="Y888" s="111">
        <v>100</v>
      </c>
      <c r="Z888" s="111">
        <f t="shared" si="94"/>
        <v>91400</v>
      </c>
      <c r="AA888" s="112"/>
    </row>
    <row r="889" spans="9:32" ht="8.25" customHeight="1" x14ac:dyDescent="0.25">
      <c r="X889" s="110" t="s">
        <v>886</v>
      </c>
      <c r="Y889" s="111">
        <v>50</v>
      </c>
      <c r="Z889" s="111">
        <f t="shared" si="94"/>
        <v>1350</v>
      </c>
      <c r="AA889" s="76"/>
    </row>
    <row r="890" spans="9:32" ht="8.25" customHeight="1" x14ac:dyDescent="0.25">
      <c r="X890" s="110" t="s">
        <v>836</v>
      </c>
      <c r="Y890" s="111">
        <v>20</v>
      </c>
      <c r="Z890" s="111">
        <f t="shared" si="94"/>
        <v>660</v>
      </c>
      <c r="AA890" s="38"/>
    </row>
    <row r="891" spans="9:32" ht="8.25" customHeight="1" x14ac:dyDescent="0.25">
      <c r="X891" s="110" t="s">
        <v>319</v>
      </c>
      <c r="Y891" s="111">
        <v>10</v>
      </c>
      <c r="Z891" s="111">
        <f t="shared" si="94"/>
        <v>60</v>
      </c>
      <c r="AA891" s="112"/>
    </row>
    <row r="892" spans="9:32" ht="8.25" customHeight="1" x14ac:dyDescent="0.25">
      <c r="X892" s="110" t="s">
        <v>900</v>
      </c>
      <c r="Y892" s="111">
        <v>5</v>
      </c>
      <c r="Z892" s="111">
        <f t="shared" si="94"/>
        <v>815</v>
      </c>
      <c r="AA892" s="112"/>
    </row>
    <row r="893" spans="9:32" ht="8.25" customHeight="1" x14ac:dyDescent="0.25">
      <c r="X893" s="269">
        <v>0</v>
      </c>
      <c r="Y893" s="270"/>
      <c r="Z893" s="271"/>
      <c r="AA893" s="38"/>
    </row>
    <row r="894" spans="9:32" ht="8.25" customHeight="1" x14ac:dyDescent="0.25">
      <c r="X894" s="110" t="s">
        <v>874</v>
      </c>
      <c r="Y894" s="111">
        <v>1</v>
      </c>
      <c r="Z894" s="111">
        <f t="shared" ref="Z894:Z899" si="95">X894*Y894</f>
        <v>470</v>
      </c>
      <c r="AA894" s="76"/>
    </row>
    <row r="895" spans="9:32" ht="8.25" customHeight="1" x14ac:dyDescent="0.25">
      <c r="X895" s="110" t="s">
        <v>655</v>
      </c>
      <c r="Y895" s="111">
        <v>0.5</v>
      </c>
      <c r="Z895" s="111">
        <f t="shared" si="95"/>
        <v>24</v>
      </c>
      <c r="AA895" s="112"/>
    </row>
    <row r="896" spans="9:32" ht="8.25" customHeight="1" x14ac:dyDescent="0.25">
      <c r="X896" s="110" t="s">
        <v>231</v>
      </c>
      <c r="Y896" s="111">
        <v>0.25</v>
      </c>
      <c r="Z896" s="111">
        <f t="shared" si="95"/>
        <v>11.5</v>
      </c>
      <c r="AA896" s="113"/>
    </row>
    <row r="897" spans="7:32" ht="8.25" customHeight="1" x14ac:dyDescent="0.25">
      <c r="X897" s="110"/>
      <c r="Y897" s="111">
        <v>0.1</v>
      </c>
      <c r="Z897" s="111">
        <f t="shared" si="95"/>
        <v>0</v>
      </c>
      <c r="AA897" s="114" t="s">
        <v>219</v>
      </c>
    </row>
    <row r="898" spans="7:32" ht="8.25" customHeight="1" thickBot="1" x14ac:dyDescent="0.3">
      <c r="X898" s="110" t="s">
        <v>222</v>
      </c>
      <c r="Y898" s="111">
        <v>0.05</v>
      </c>
      <c r="Z898" s="111">
        <f t="shared" si="95"/>
        <v>0.05</v>
      </c>
      <c r="AA898" s="115">
        <f>SUM(Z887:Z892)+Z894+Z895+Z896+Z897+Z898+Z899</f>
        <v>95990.56</v>
      </c>
    </row>
    <row r="899" spans="7:32" ht="8.25" customHeight="1" thickTop="1" x14ac:dyDescent="0.25">
      <c r="X899" s="110" t="s">
        <v>222</v>
      </c>
      <c r="Y899" s="111">
        <v>0.01</v>
      </c>
      <c r="Z899" s="111">
        <f t="shared" si="95"/>
        <v>0.01</v>
      </c>
    </row>
    <row r="901" spans="7:32" ht="8.25" customHeight="1" x14ac:dyDescent="0.25">
      <c r="AA901" s="75" t="s">
        <v>251</v>
      </c>
      <c r="AF901" s="76">
        <f>AF885</f>
        <v>95990.559999999969</v>
      </c>
    </row>
    <row r="902" spans="7:32" ht="8.25" customHeight="1" x14ac:dyDescent="0.25">
      <c r="G902" s="53">
        <v>13</v>
      </c>
      <c r="T902" s="33">
        <v>46064</v>
      </c>
      <c r="U902" s="34">
        <v>2026</v>
      </c>
      <c r="V902" s="35" t="s">
        <v>749</v>
      </c>
      <c r="W902" s="35" t="s">
        <v>5</v>
      </c>
      <c r="Y902" s="36" t="s">
        <v>909</v>
      </c>
      <c r="Z902" s="30" t="s">
        <v>547</v>
      </c>
      <c r="AA902" s="30" t="s">
        <v>3945</v>
      </c>
      <c r="AE902" s="38">
        <v>5817.06</v>
      </c>
      <c r="AF902" s="76">
        <f t="shared" ref="AF902:AF913" si="96">AF901+AD902-AE902</f>
        <v>90173.499999999971</v>
      </c>
    </row>
    <row r="903" spans="7:32" ht="8.25" customHeight="1" x14ac:dyDescent="0.25">
      <c r="G903" s="53">
        <v>14</v>
      </c>
      <c r="T903" s="33">
        <v>46064</v>
      </c>
      <c r="U903" s="34">
        <v>2026</v>
      </c>
      <c r="V903" s="35" t="s">
        <v>749</v>
      </c>
      <c r="W903" s="35" t="s">
        <v>5</v>
      </c>
      <c r="Y903" s="36" t="s">
        <v>910</v>
      </c>
      <c r="Z903" s="30" t="s">
        <v>835</v>
      </c>
      <c r="AA903" s="30" t="s">
        <v>3945</v>
      </c>
      <c r="AE903" s="38">
        <v>1007.85</v>
      </c>
      <c r="AF903" s="76">
        <f t="shared" si="96"/>
        <v>89165.649999999965</v>
      </c>
    </row>
    <row r="904" spans="7:32" ht="8.25" customHeight="1" x14ac:dyDescent="0.15">
      <c r="R904" s="53">
        <v>10</v>
      </c>
      <c r="T904" s="33">
        <v>46064</v>
      </c>
      <c r="U904" s="34">
        <v>2026</v>
      </c>
      <c r="V904" s="35" t="s">
        <v>749</v>
      </c>
      <c r="W904" s="35" t="s">
        <v>17</v>
      </c>
      <c r="X904" s="37" t="s">
        <v>918</v>
      </c>
      <c r="Y904" s="36" t="s">
        <v>916</v>
      </c>
      <c r="Z904" s="30" t="s">
        <v>917</v>
      </c>
      <c r="AA904" s="136" t="s">
        <v>1788</v>
      </c>
      <c r="AD904" s="38">
        <v>100</v>
      </c>
      <c r="AF904" s="76">
        <f t="shared" si="96"/>
        <v>89265.649999999965</v>
      </c>
    </row>
    <row r="905" spans="7:32" ht="8.25" customHeight="1" x14ac:dyDescent="0.15">
      <c r="K905" s="52">
        <v>6</v>
      </c>
      <c r="T905" s="33">
        <v>46064</v>
      </c>
      <c r="U905" s="34">
        <v>2026</v>
      </c>
      <c r="V905" s="35" t="s">
        <v>749</v>
      </c>
      <c r="W905" s="35" t="s">
        <v>17</v>
      </c>
      <c r="X905" s="37" t="s">
        <v>919</v>
      </c>
      <c r="Y905" s="36" t="s">
        <v>456</v>
      </c>
      <c r="Z905" s="30" t="s">
        <v>917</v>
      </c>
      <c r="AA905" s="134" t="s">
        <v>373</v>
      </c>
      <c r="AD905" s="38">
        <v>50</v>
      </c>
      <c r="AF905" s="76">
        <f t="shared" si="96"/>
        <v>89315.649999999965</v>
      </c>
    </row>
    <row r="906" spans="7:32" ht="8.25" customHeight="1" x14ac:dyDescent="0.25">
      <c r="L906" s="52">
        <v>6</v>
      </c>
      <c r="T906" s="33">
        <v>46064</v>
      </c>
      <c r="U906" s="34">
        <v>2026</v>
      </c>
      <c r="V906" s="35" t="s">
        <v>749</v>
      </c>
      <c r="W906" s="35" t="s">
        <v>17</v>
      </c>
      <c r="X906" s="37" t="s">
        <v>911</v>
      </c>
      <c r="Y906" s="36" t="s">
        <v>456</v>
      </c>
      <c r="Z906" s="30" t="s">
        <v>547</v>
      </c>
      <c r="AA906" s="30" t="s">
        <v>3899</v>
      </c>
      <c r="AD906" s="38">
        <v>2349.4299999999998</v>
      </c>
      <c r="AF906" s="76">
        <f t="shared" si="96"/>
        <v>91665.079999999958</v>
      </c>
    </row>
    <row r="907" spans="7:32" ht="8.25" customHeight="1" x14ac:dyDescent="0.15">
      <c r="N907" s="52">
        <v>17</v>
      </c>
      <c r="T907" s="33">
        <v>46064</v>
      </c>
      <c r="U907" s="34">
        <v>2026</v>
      </c>
      <c r="V907" s="35" t="s">
        <v>749</v>
      </c>
      <c r="W907" s="35" t="s">
        <v>17</v>
      </c>
      <c r="X907" s="37" t="s">
        <v>911</v>
      </c>
      <c r="Y907" s="36" t="s">
        <v>456</v>
      </c>
      <c r="Z907" s="30" t="s">
        <v>547</v>
      </c>
      <c r="AA907" s="134" t="s">
        <v>166</v>
      </c>
      <c r="AD907" s="38">
        <v>1650.57</v>
      </c>
      <c r="AF907" s="76">
        <f t="shared" si="96"/>
        <v>93315.649999999965</v>
      </c>
    </row>
    <row r="908" spans="7:32" ht="8.25" customHeight="1" x14ac:dyDescent="0.15">
      <c r="N908" s="52">
        <v>17</v>
      </c>
      <c r="T908" s="33">
        <v>46064</v>
      </c>
      <c r="U908" s="34">
        <v>2026</v>
      </c>
      <c r="V908" s="35" t="s">
        <v>749</v>
      </c>
      <c r="W908" s="35" t="s">
        <v>17</v>
      </c>
      <c r="X908" s="37" t="s">
        <v>913</v>
      </c>
      <c r="Y908" s="36" t="s">
        <v>914</v>
      </c>
      <c r="Z908" s="30" t="s">
        <v>915</v>
      </c>
      <c r="AA908" s="136" t="s">
        <v>1788</v>
      </c>
      <c r="AD908" s="38">
        <v>100</v>
      </c>
      <c r="AF908" s="76">
        <f t="shared" si="96"/>
        <v>93415.649999999965</v>
      </c>
    </row>
    <row r="909" spans="7:32" ht="8.25" customHeight="1" x14ac:dyDescent="0.15">
      <c r="K909" s="52">
        <v>7</v>
      </c>
      <c r="T909" s="33">
        <v>46064</v>
      </c>
      <c r="U909" s="34">
        <v>2026</v>
      </c>
      <c r="V909" s="35" t="s">
        <v>749</v>
      </c>
      <c r="W909" s="35" t="s">
        <v>17</v>
      </c>
      <c r="X909" s="37" t="s">
        <v>922</v>
      </c>
      <c r="Y909" s="36" t="s">
        <v>120</v>
      </c>
      <c r="Z909" s="30" t="s">
        <v>915</v>
      </c>
      <c r="AA909" s="134" t="s">
        <v>373</v>
      </c>
      <c r="AD909" s="38">
        <v>50</v>
      </c>
      <c r="AF909" s="76">
        <f t="shared" si="96"/>
        <v>93465.649999999965</v>
      </c>
    </row>
    <row r="910" spans="7:32" ht="8.25" customHeight="1" x14ac:dyDescent="0.25">
      <c r="L910" s="52">
        <v>7</v>
      </c>
      <c r="T910" s="33">
        <v>46064</v>
      </c>
      <c r="U910" s="34">
        <v>2026</v>
      </c>
      <c r="V910" s="35" t="s">
        <v>749</v>
      </c>
      <c r="W910" s="35" t="s">
        <v>5</v>
      </c>
      <c r="X910" s="37" t="s">
        <v>920</v>
      </c>
      <c r="Y910" s="36" t="s">
        <v>411</v>
      </c>
      <c r="Z910" s="30" t="s">
        <v>921</v>
      </c>
      <c r="AA910" s="30" t="s">
        <v>399</v>
      </c>
      <c r="AE910" s="38">
        <v>27272.73</v>
      </c>
      <c r="AF910" s="76">
        <f t="shared" si="96"/>
        <v>66192.919999999969</v>
      </c>
    </row>
    <row r="911" spans="7:32" ht="8.25" customHeight="1" x14ac:dyDescent="0.25">
      <c r="R911" s="53">
        <v>11</v>
      </c>
      <c r="T911" s="33">
        <v>46064</v>
      </c>
      <c r="U911" s="34">
        <v>2026</v>
      </c>
      <c r="V911" s="35" t="s">
        <v>749</v>
      </c>
      <c r="W911" s="35" t="s">
        <v>17</v>
      </c>
      <c r="X911" s="37" t="s">
        <v>923</v>
      </c>
      <c r="Y911" s="36" t="s">
        <v>925</v>
      </c>
      <c r="Z911" s="30" t="s">
        <v>917</v>
      </c>
      <c r="AA911" s="30" t="s">
        <v>13</v>
      </c>
      <c r="AD911" s="38">
        <v>22727.27</v>
      </c>
      <c r="AF911" s="76">
        <f t="shared" si="96"/>
        <v>88920.189999999973</v>
      </c>
    </row>
    <row r="912" spans="7:32" ht="8.25" customHeight="1" x14ac:dyDescent="0.25">
      <c r="I912" s="52">
        <v>17</v>
      </c>
      <c r="T912" s="33">
        <v>46064</v>
      </c>
      <c r="U912" s="34">
        <v>2026</v>
      </c>
      <c r="V912" s="35" t="s">
        <v>749</v>
      </c>
      <c r="W912" s="35" t="s">
        <v>17</v>
      </c>
      <c r="X912" s="37" t="s">
        <v>924</v>
      </c>
      <c r="Y912" s="36" t="s">
        <v>120</v>
      </c>
      <c r="Z912" s="30" t="s">
        <v>917</v>
      </c>
      <c r="AA912" s="30" t="s">
        <v>385</v>
      </c>
      <c r="AD912" s="38">
        <v>4545.46</v>
      </c>
      <c r="AF912" s="76">
        <f t="shared" si="96"/>
        <v>93465.64999999998</v>
      </c>
    </row>
    <row r="913" spans="13:32" ht="8.25" customHeight="1" x14ac:dyDescent="0.25">
      <c r="M913" s="52">
        <v>6</v>
      </c>
      <c r="AF913" s="76">
        <f t="shared" si="96"/>
        <v>93465.64999999998</v>
      </c>
    </row>
    <row r="914" spans="13:32" ht="8.25" customHeight="1" thickBot="1" x14ac:dyDescent="0.3">
      <c r="AA914" s="75" t="s">
        <v>257</v>
      </c>
      <c r="AD914" s="91">
        <f>SUM(AD902:AD913)</f>
        <v>31572.73</v>
      </c>
      <c r="AE914" s="91">
        <f>SUM(AE902:AE913)</f>
        <v>34097.64</v>
      </c>
      <c r="AF914" s="76">
        <f>AF901+AD914-AE914</f>
        <v>93465.649999999965</v>
      </c>
    </row>
    <row r="915" spans="13:32" ht="8.25" customHeight="1" thickTop="1" x14ac:dyDescent="0.25"/>
    <row r="916" spans="13:32" ht="8.25" customHeight="1" x14ac:dyDescent="0.25">
      <c r="X916" s="109"/>
      <c r="Y916" s="67" t="s">
        <v>214</v>
      </c>
      <c r="Z916" s="68"/>
      <c r="AA916" s="75"/>
    </row>
    <row r="917" spans="13:32" ht="8.25" customHeight="1" x14ac:dyDescent="0.25">
      <c r="X917" s="110" t="s">
        <v>224</v>
      </c>
      <c r="Y917" s="111">
        <v>200</v>
      </c>
      <c r="Z917" s="111">
        <f t="shared" ref="Z917:Z922" si="97">X917*Y917</f>
        <v>400</v>
      </c>
      <c r="AA917" s="112"/>
    </row>
    <row r="918" spans="13:32" ht="8.25" customHeight="1" x14ac:dyDescent="0.25">
      <c r="X918" s="110" t="s">
        <v>1116</v>
      </c>
      <c r="Y918" s="111">
        <v>100</v>
      </c>
      <c r="Z918" s="111">
        <f t="shared" si="97"/>
        <v>89700</v>
      </c>
      <c r="AA918" s="112"/>
    </row>
    <row r="919" spans="13:32" ht="8.25" customHeight="1" x14ac:dyDescent="0.25">
      <c r="X919" s="110" t="s">
        <v>1117</v>
      </c>
      <c r="Y919" s="111">
        <v>50</v>
      </c>
      <c r="Z919" s="111">
        <f t="shared" si="97"/>
        <v>1400</v>
      </c>
      <c r="AA919" s="76"/>
    </row>
    <row r="920" spans="13:32" ht="8.25" customHeight="1" x14ac:dyDescent="0.25">
      <c r="X920" s="110" t="s">
        <v>926</v>
      </c>
      <c r="Y920" s="111">
        <v>20</v>
      </c>
      <c r="Z920" s="111">
        <f t="shared" si="97"/>
        <v>620</v>
      </c>
      <c r="AA920" s="38"/>
    </row>
    <row r="921" spans="13:32" ht="8.25" customHeight="1" x14ac:dyDescent="0.25">
      <c r="X921" s="110" t="s">
        <v>223</v>
      </c>
      <c r="Y921" s="111">
        <v>10</v>
      </c>
      <c r="Z921" s="111">
        <f t="shared" si="97"/>
        <v>30</v>
      </c>
      <c r="AA921" s="112"/>
    </row>
    <row r="922" spans="13:32" ht="8.25" customHeight="1" x14ac:dyDescent="0.25">
      <c r="X922" s="110" t="s">
        <v>927</v>
      </c>
      <c r="Y922" s="111">
        <v>5</v>
      </c>
      <c r="Z922" s="111">
        <f t="shared" si="97"/>
        <v>805</v>
      </c>
      <c r="AA922" s="112"/>
    </row>
    <row r="923" spans="13:32" ht="8.25" customHeight="1" x14ac:dyDescent="0.25">
      <c r="X923" s="269">
        <v>0</v>
      </c>
      <c r="Y923" s="270"/>
      <c r="Z923" s="271"/>
      <c r="AA923" s="38"/>
    </row>
    <row r="924" spans="13:32" ht="8.25" customHeight="1" x14ac:dyDescent="0.25">
      <c r="X924" s="110" t="s">
        <v>928</v>
      </c>
      <c r="Y924" s="111">
        <v>1</v>
      </c>
      <c r="Z924" s="111">
        <f t="shared" ref="Z924:Z929" si="98">X924*Y924</f>
        <v>465</v>
      </c>
      <c r="AA924" s="76"/>
    </row>
    <row r="925" spans="13:32" ht="8.25" customHeight="1" x14ac:dyDescent="0.25">
      <c r="X925" s="110" t="s">
        <v>655</v>
      </c>
      <c r="Y925" s="111">
        <v>0.5</v>
      </c>
      <c r="Z925" s="111">
        <f t="shared" si="98"/>
        <v>24</v>
      </c>
      <c r="AA925" s="112"/>
    </row>
    <row r="926" spans="13:32" ht="8.25" customHeight="1" x14ac:dyDescent="0.25">
      <c r="X926" s="110" t="s">
        <v>625</v>
      </c>
      <c r="Y926" s="111">
        <v>0.25</v>
      </c>
      <c r="Z926" s="111">
        <f t="shared" si="98"/>
        <v>21.25</v>
      </c>
      <c r="AA926" s="113"/>
    </row>
    <row r="927" spans="13:32" ht="8.25" customHeight="1" x14ac:dyDescent="0.25">
      <c r="X927" s="110" t="s">
        <v>299</v>
      </c>
      <c r="Y927" s="111">
        <v>0.1</v>
      </c>
      <c r="Z927" s="111">
        <f t="shared" si="98"/>
        <v>0.4</v>
      </c>
      <c r="AA927" s="114" t="s">
        <v>219</v>
      </c>
    </row>
    <row r="928" spans="13:32" ht="8.25" customHeight="1" thickBot="1" x14ac:dyDescent="0.3">
      <c r="X928" s="110"/>
      <c r="Y928" s="111">
        <v>0.05</v>
      </c>
      <c r="Z928" s="111">
        <f t="shared" si="98"/>
        <v>0</v>
      </c>
      <c r="AA928" s="115">
        <f>SUM(Z917:Z922)+Z924+Z925+Z926+Z927+Z928+Z929</f>
        <v>93465.65</v>
      </c>
    </row>
    <row r="929" spans="3:32" ht="8.25" customHeight="1" thickTop="1" x14ac:dyDescent="0.25">
      <c r="X929" s="110"/>
      <c r="Y929" s="111">
        <v>0.01</v>
      </c>
      <c r="Z929" s="111">
        <f t="shared" si="98"/>
        <v>0</v>
      </c>
    </row>
    <row r="931" spans="3:32" ht="8.25" customHeight="1" x14ac:dyDescent="0.25">
      <c r="AA931" s="75" t="s">
        <v>251</v>
      </c>
      <c r="AF931" s="76">
        <f>AF913</f>
        <v>93465.64999999998</v>
      </c>
    </row>
    <row r="932" spans="3:32" ht="8.25" customHeight="1" x14ac:dyDescent="0.25">
      <c r="N932" s="52">
        <v>18</v>
      </c>
      <c r="T932" s="33">
        <v>46065</v>
      </c>
      <c r="U932" s="34">
        <v>2026</v>
      </c>
      <c r="V932" s="35" t="s">
        <v>749</v>
      </c>
      <c r="W932" s="35" t="s">
        <v>17</v>
      </c>
      <c r="X932" s="37" t="s">
        <v>929</v>
      </c>
      <c r="Y932" s="36" t="s">
        <v>394</v>
      </c>
      <c r="Z932" s="30" t="s">
        <v>380</v>
      </c>
      <c r="AA932" s="30" t="s">
        <v>3899</v>
      </c>
      <c r="AD932" s="38">
        <v>7125.53</v>
      </c>
      <c r="AF932" s="76">
        <f t="shared" ref="AF932:AF942" si="99">AF931+AD932-AE932</f>
        <v>100591.17999999998</v>
      </c>
    </row>
    <row r="933" spans="3:32" ht="8.25" customHeight="1" x14ac:dyDescent="0.15">
      <c r="N933" s="52">
        <v>18</v>
      </c>
      <c r="T933" s="33">
        <v>46065</v>
      </c>
      <c r="U933" s="34">
        <v>2026</v>
      </c>
      <c r="V933" s="35" t="s">
        <v>749</v>
      </c>
      <c r="W933" s="35" t="s">
        <v>17</v>
      </c>
      <c r="X933" s="37" t="s">
        <v>929</v>
      </c>
      <c r="Y933" s="36" t="s">
        <v>394</v>
      </c>
      <c r="Z933" s="30" t="s">
        <v>380</v>
      </c>
      <c r="AA933" s="134" t="s">
        <v>166</v>
      </c>
      <c r="AD933" s="38">
        <v>3474.47</v>
      </c>
      <c r="AF933" s="76">
        <f t="shared" si="99"/>
        <v>104065.64999999998</v>
      </c>
    </row>
    <row r="934" spans="3:32" ht="8.25" customHeight="1" x14ac:dyDescent="0.25">
      <c r="N934" s="52">
        <v>19</v>
      </c>
      <c r="T934" s="33">
        <v>46065</v>
      </c>
      <c r="U934" s="34">
        <v>2026</v>
      </c>
      <c r="V934" s="35" t="s">
        <v>749</v>
      </c>
      <c r="W934" s="35" t="s">
        <v>17</v>
      </c>
      <c r="X934" s="37" t="s">
        <v>930</v>
      </c>
      <c r="Y934" s="36" t="s">
        <v>931</v>
      </c>
      <c r="Z934" s="30" t="s">
        <v>932</v>
      </c>
      <c r="AA934" s="30" t="s">
        <v>3899</v>
      </c>
      <c r="AD934" s="38">
        <v>6252.26</v>
      </c>
      <c r="AF934" s="76">
        <f t="shared" si="99"/>
        <v>110317.90999999997</v>
      </c>
    </row>
    <row r="935" spans="3:32" ht="8.25" customHeight="1" x14ac:dyDescent="0.15">
      <c r="N935" s="52">
        <v>19</v>
      </c>
      <c r="T935" s="33">
        <v>46065</v>
      </c>
      <c r="U935" s="34">
        <v>2026</v>
      </c>
      <c r="V935" s="35" t="s">
        <v>749</v>
      </c>
      <c r="W935" s="35" t="s">
        <v>17</v>
      </c>
      <c r="X935" s="37" t="s">
        <v>930</v>
      </c>
      <c r="Y935" s="36" t="s">
        <v>931</v>
      </c>
      <c r="Z935" s="30" t="s">
        <v>932</v>
      </c>
      <c r="AA935" s="134" t="s">
        <v>166</v>
      </c>
      <c r="AD935" s="38">
        <v>3402.74</v>
      </c>
      <c r="AF935" s="76">
        <f t="shared" si="99"/>
        <v>113720.64999999998</v>
      </c>
    </row>
    <row r="936" spans="3:32" ht="8.25" customHeight="1" x14ac:dyDescent="0.25">
      <c r="N936" s="52">
        <v>19</v>
      </c>
      <c r="T936" s="33">
        <v>46065</v>
      </c>
      <c r="U936" s="34">
        <v>2026</v>
      </c>
      <c r="V936" s="35" t="s">
        <v>749</v>
      </c>
      <c r="W936" s="35" t="s">
        <v>17</v>
      </c>
      <c r="X936" s="37" t="s">
        <v>930</v>
      </c>
      <c r="Y936" s="36" t="s">
        <v>931</v>
      </c>
      <c r="Z936" s="30" t="s">
        <v>932</v>
      </c>
      <c r="AA936" s="30" t="s">
        <v>3306</v>
      </c>
      <c r="AD936" s="38">
        <v>190</v>
      </c>
      <c r="AF936" s="76">
        <f t="shared" si="99"/>
        <v>113910.64999999998</v>
      </c>
    </row>
    <row r="937" spans="3:32" ht="8.25" customHeight="1" x14ac:dyDescent="0.25">
      <c r="D937" s="52">
        <v>2</v>
      </c>
      <c r="T937" s="33">
        <v>46065</v>
      </c>
      <c r="U937" s="34">
        <v>2026</v>
      </c>
      <c r="V937" s="35" t="s">
        <v>749</v>
      </c>
      <c r="W937" s="35" t="s">
        <v>17</v>
      </c>
      <c r="Y937" s="36" t="s">
        <v>933</v>
      </c>
      <c r="Z937" s="30" t="s">
        <v>934</v>
      </c>
      <c r="AA937" s="30" t="s">
        <v>256</v>
      </c>
      <c r="AD937" s="38">
        <v>5000</v>
      </c>
      <c r="AF937" s="76">
        <f t="shared" si="99"/>
        <v>118910.64999999998</v>
      </c>
    </row>
    <row r="938" spans="3:32" ht="8.25" customHeight="1" x14ac:dyDescent="0.25">
      <c r="C938" s="52">
        <v>4</v>
      </c>
      <c r="T938" s="33">
        <v>46065</v>
      </c>
      <c r="U938" s="34">
        <v>2026</v>
      </c>
      <c r="V938" s="35" t="s">
        <v>749</v>
      </c>
      <c r="W938" s="35" t="s">
        <v>3620</v>
      </c>
      <c r="Y938" s="36" t="s">
        <v>935</v>
      </c>
      <c r="Z938" s="30" t="s">
        <v>339</v>
      </c>
      <c r="AA938" s="30" t="s">
        <v>340</v>
      </c>
      <c r="AD938" s="38">
        <v>35</v>
      </c>
      <c r="AF938" s="76">
        <f t="shared" si="99"/>
        <v>118945.64999999998</v>
      </c>
    </row>
    <row r="939" spans="3:32" ht="8.25" customHeight="1" x14ac:dyDescent="0.25">
      <c r="N939" s="52">
        <v>20</v>
      </c>
      <c r="T939" s="33">
        <v>46065</v>
      </c>
      <c r="U939" s="34">
        <v>2026</v>
      </c>
      <c r="V939" s="35" t="s">
        <v>749</v>
      </c>
      <c r="W939" s="35" t="s">
        <v>17</v>
      </c>
      <c r="X939" s="37" t="s">
        <v>938</v>
      </c>
      <c r="Y939" s="36" t="s">
        <v>939</v>
      </c>
      <c r="Z939" s="30" t="s">
        <v>14</v>
      </c>
      <c r="AA939" s="30" t="s">
        <v>3899</v>
      </c>
      <c r="AD939" s="38">
        <v>1898.26</v>
      </c>
      <c r="AF939" s="76">
        <f t="shared" si="99"/>
        <v>120843.90999999997</v>
      </c>
    </row>
    <row r="940" spans="3:32" ht="8.25" customHeight="1" x14ac:dyDescent="0.15">
      <c r="N940" s="52">
        <v>20</v>
      </c>
      <c r="T940" s="33">
        <v>46065</v>
      </c>
      <c r="U940" s="34">
        <v>2026</v>
      </c>
      <c r="V940" s="35" t="s">
        <v>749</v>
      </c>
      <c r="W940" s="35" t="s">
        <v>17</v>
      </c>
      <c r="X940" s="37" t="s">
        <v>938</v>
      </c>
      <c r="Y940" s="36" t="s">
        <v>939</v>
      </c>
      <c r="Z940" s="30" t="s">
        <v>14</v>
      </c>
      <c r="AA940" s="134" t="s">
        <v>166</v>
      </c>
      <c r="AD940" s="38">
        <v>201.74</v>
      </c>
      <c r="AF940" s="76">
        <f t="shared" si="99"/>
        <v>121045.64999999998</v>
      </c>
    </row>
    <row r="941" spans="3:32" ht="8.25" customHeight="1" x14ac:dyDescent="0.25">
      <c r="I941" s="52">
        <v>18</v>
      </c>
      <c r="T941" s="33">
        <v>46065</v>
      </c>
      <c r="U941" s="34">
        <v>2026</v>
      </c>
      <c r="V941" s="35" t="s">
        <v>749</v>
      </c>
      <c r="W941" s="35" t="s">
        <v>17</v>
      </c>
      <c r="X941" s="37" t="s">
        <v>940</v>
      </c>
      <c r="Y941" s="36" t="s">
        <v>114</v>
      </c>
      <c r="Z941" s="30" t="s">
        <v>14</v>
      </c>
      <c r="AA941" s="30" t="s">
        <v>13</v>
      </c>
      <c r="AD941" s="38">
        <v>300</v>
      </c>
      <c r="AF941" s="76">
        <f t="shared" si="99"/>
        <v>121345.64999999998</v>
      </c>
    </row>
    <row r="942" spans="3:32" ht="8.25" customHeight="1" x14ac:dyDescent="0.25">
      <c r="R942" s="53">
        <v>12</v>
      </c>
      <c r="T942" s="33">
        <v>46065</v>
      </c>
      <c r="U942" s="34">
        <v>2026</v>
      </c>
      <c r="V942" s="35" t="s">
        <v>749</v>
      </c>
      <c r="W942" s="35" t="s">
        <v>5</v>
      </c>
      <c r="X942" s="37" t="s">
        <v>936</v>
      </c>
      <c r="Y942" s="36" t="s">
        <v>354</v>
      </c>
      <c r="Z942" s="30" t="s">
        <v>355</v>
      </c>
      <c r="AA942" s="30" t="s">
        <v>92</v>
      </c>
      <c r="AE942" s="38">
        <v>5000</v>
      </c>
      <c r="AF942" s="76">
        <f t="shared" si="99"/>
        <v>116345.64999999998</v>
      </c>
    </row>
    <row r="943" spans="3:32" ht="8.25" customHeight="1" thickBot="1" x14ac:dyDescent="0.3">
      <c r="V943" s="35" t="s">
        <v>749</v>
      </c>
      <c r="AA943" s="75" t="s">
        <v>257</v>
      </c>
      <c r="AD943" s="91">
        <f>SUM(AD932:AD942)</f>
        <v>27880</v>
      </c>
      <c r="AE943" s="91">
        <f>SUM(AE932:AE942)</f>
        <v>5000</v>
      </c>
      <c r="AF943" s="76">
        <f>AF931+AD943-AE943</f>
        <v>116345.64999999998</v>
      </c>
    </row>
    <row r="944" spans="3:32" ht="8.25" customHeight="1" thickTop="1" x14ac:dyDescent="0.25"/>
    <row r="945" spans="24:32" ht="8.25" customHeight="1" x14ac:dyDescent="0.25">
      <c r="X945" s="109"/>
      <c r="Y945" s="67" t="s">
        <v>214</v>
      </c>
      <c r="Z945" s="68"/>
      <c r="AA945" s="75"/>
    </row>
    <row r="946" spans="24:32" ht="8.25" customHeight="1" x14ac:dyDescent="0.25">
      <c r="X946" s="110" t="s">
        <v>319</v>
      </c>
      <c r="Y946" s="111">
        <v>200</v>
      </c>
      <c r="Z946" s="111">
        <f t="shared" ref="Z946:Z951" si="100">X946*Y946</f>
        <v>1200</v>
      </c>
      <c r="AA946" s="112"/>
    </row>
    <row r="947" spans="24:32" ht="8.25" customHeight="1" x14ac:dyDescent="0.25">
      <c r="X947" s="110" t="s">
        <v>1118</v>
      </c>
      <c r="Y947" s="111">
        <v>100</v>
      </c>
      <c r="Z947" s="111">
        <f t="shared" si="100"/>
        <v>112000</v>
      </c>
      <c r="AA947" s="112"/>
    </row>
    <row r="948" spans="24:32" ht="8.25" customHeight="1" x14ac:dyDescent="0.25">
      <c r="X948" s="110" t="s">
        <v>963</v>
      </c>
      <c r="Y948" s="111">
        <v>50</v>
      </c>
      <c r="Z948" s="111">
        <f t="shared" si="100"/>
        <v>1150</v>
      </c>
      <c r="AA948" s="76"/>
    </row>
    <row r="949" spans="24:32" ht="8.25" customHeight="1" x14ac:dyDescent="0.25">
      <c r="X949" s="110" t="s">
        <v>851</v>
      </c>
      <c r="Y949" s="111">
        <v>20</v>
      </c>
      <c r="Z949" s="111">
        <f t="shared" si="100"/>
        <v>640</v>
      </c>
      <c r="AA949" s="38"/>
    </row>
    <row r="950" spans="24:32" ht="8.25" customHeight="1" x14ac:dyDescent="0.25">
      <c r="X950" s="110" t="s">
        <v>299</v>
      </c>
      <c r="Y950" s="111">
        <v>10</v>
      </c>
      <c r="Z950" s="111">
        <f t="shared" si="100"/>
        <v>40</v>
      </c>
      <c r="AA950" s="112"/>
    </row>
    <row r="951" spans="24:32" ht="8.25" customHeight="1" x14ac:dyDescent="0.25">
      <c r="X951" s="110" t="s">
        <v>927</v>
      </c>
      <c r="Y951" s="111">
        <v>5</v>
      </c>
      <c r="Z951" s="111">
        <f t="shared" si="100"/>
        <v>805</v>
      </c>
      <c r="AA951" s="112"/>
    </row>
    <row r="952" spans="24:32" ht="8.25" customHeight="1" x14ac:dyDescent="0.25">
      <c r="X952" s="269">
        <v>0</v>
      </c>
      <c r="Y952" s="270"/>
      <c r="Z952" s="271"/>
      <c r="AA952" s="38"/>
    </row>
    <row r="953" spans="24:32" ht="8.25" customHeight="1" x14ac:dyDescent="0.25">
      <c r="X953" s="110" t="s">
        <v>647</v>
      </c>
      <c r="Y953" s="111">
        <v>1</v>
      </c>
      <c r="Z953" s="111">
        <f t="shared" ref="Z953:Z958" si="101">X953*Y953</f>
        <v>466</v>
      </c>
      <c r="AA953" s="76"/>
    </row>
    <row r="954" spans="24:32" ht="8.25" customHeight="1" x14ac:dyDescent="0.25">
      <c r="X954" s="110" t="s">
        <v>655</v>
      </c>
      <c r="Y954" s="111">
        <v>0.5</v>
      </c>
      <c r="Z954" s="111">
        <f t="shared" si="101"/>
        <v>24</v>
      </c>
      <c r="AA954" s="112"/>
    </row>
    <row r="955" spans="24:32" ht="8.25" customHeight="1" x14ac:dyDescent="0.25">
      <c r="X955" s="110" t="s">
        <v>875</v>
      </c>
      <c r="Y955" s="111">
        <v>0.25</v>
      </c>
      <c r="Z955" s="111">
        <f t="shared" si="101"/>
        <v>20.5</v>
      </c>
      <c r="AA955" s="113"/>
    </row>
    <row r="956" spans="24:32" ht="8.25" customHeight="1" x14ac:dyDescent="0.25">
      <c r="X956" s="110" t="s">
        <v>222</v>
      </c>
      <c r="Y956" s="111">
        <v>0.1</v>
      </c>
      <c r="Z956" s="111">
        <f t="shared" si="101"/>
        <v>0.1</v>
      </c>
      <c r="AA956" s="114" t="s">
        <v>219</v>
      </c>
    </row>
    <row r="957" spans="24:32" ht="8.25" customHeight="1" thickBot="1" x14ac:dyDescent="0.3">
      <c r="X957" s="110" t="s">
        <v>222</v>
      </c>
      <c r="Y957" s="111">
        <v>0.05</v>
      </c>
      <c r="Z957" s="111">
        <f t="shared" si="101"/>
        <v>0.05</v>
      </c>
      <c r="AA957" s="115">
        <f>SUM(Z946:Z951)+Z953+Z954+Z955+Z956+Z957+Z958</f>
        <v>116345.65000000001</v>
      </c>
    </row>
    <row r="958" spans="24:32" ht="8.25" customHeight="1" thickTop="1" x14ac:dyDescent="0.25">
      <c r="X958" s="110"/>
      <c r="Y958" s="111">
        <v>0.01</v>
      </c>
      <c r="Z958" s="111">
        <f t="shared" si="101"/>
        <v>0</v>
      </c>
    </row>
    <row r="960" spans="24:32" ht="8.25" customHeight="1" x14ac:dyDescent="0.25">
      <c r="AA960" s="75" t="s">
        <v>251</v>
      </c>
      <c r="AF960" s="76">
        <f>AF942</f>
        <v>116345.64999999998</v>
      </c>
    </row>
    <row r="961" spans="9:32" ht="8.25" customHeight="1" x14ac:dyDescent="0.25">
      <c r="N961" s="52">
        <v>21</v>
      </c>
      <c r="T961" s="33">
        <v>46066</v>
      </c>
      <c r="U961" s="34">
        <v>2026</v>
      </c>
      <c r="V961" s="35" t="s">
        <v>749</v>
      </c>
      <c r="W961" s="35" t="s">
        <v>17</v>
      </c>
      <c r="X961" s="37" t="s">
        <v>941</v>
      </c>
      <c r="Y961" s="36" t="s">
        <v>942</v>
      </c>
      <c r="Z961" s="30" t="s">
        <v>943</v>
      </c>
      <c r="AA961" s="30" t="s">
        <v>3899</v>
      </c>
      <c r="AD961" s="38">
        <v>7151.06</v>
      </c>
      <c r="AF961" s="76">
        <f t="shared" ref="AF961:AF979" si="102">AF960+AD961-AE961</f>
        <v>123496.70999999998</v>
      </c>
    </row>
    <row r="962" spans="9:32" ht="8.25" customHeight="1" x14ac:dyDescent="0.15">
      <c r="N962" s="52">
        <v>21</v>
      </c>
      <c r="T962" s="33">
        <v>46066</v>
      </c>
      <c r="U962" s="34">
        <v>2026</v>
      </c>
      <c r="V962" s="35" t="s">
        <v>749</v>
      </c>
      <c r="W962" s="35" t="s">
        <v>17</v>
      </c>
      <c r="X962" s="37" t="s">
        <v>941</v>
      </c>
      <c r="Y962" s="36" t="s">
        <v>942</v>
      </c>
      <c r="Z962" s="30" t="s">
        <v>943</v>
      </c>
      <c r="AA962" s="134" t="s">
        <v>166</v>
      </c>
      <c r="AD962" s="38">
        <v>6948.94</v>
      </c>
      <c r="AF962" s="76">
        <f t="shared" si="102"/>
        <v>130445.64999999998</v>
      </c>
    </row>
    <row r="963" spans="9:32" ht="8.25" customHeight="1" x14ac:dyDescent="0.25">
      <c r="N963" s="52">
        <v>22</v>
      </c>
      <c r="T963" s="33">
        <v>46066</v>
      </c>
      <c r="U963" s="34">
        <v>2026</v>
      </c>
      <c r="V963" s="35" t="s">
        <v>749</v>
      </c>
      <c r="W963" s="35" t="s">
        <v>17</v>
      </c>
      <c r="X963" s="37" t="s">
        <v>944</v>
      </c>
      <c r="Y963" s="36" t="s">
        <v>436</v>
      </c>
      <c r="Z963" s="30" t="s">
        <v>437</v>
      </c>
      <c r="AA963" s="30" t="s">
        <v>3899</v>
      </c>
      <c r="AD963" s="38">
        <v>7146.1</v>
      </c>
      <c r="AF963" s="76">
        <f t="shared" si="102"/>
        <v>137591.74999999997</v>
      </c>
    </row>
    <row r="964" spans="9:32" ht="8.25" customHeight="1" x14ac:dyDescent="0.15">
      <c r="N964" s="52">
        <v>22</v>
      </c>
      <c r="T964" s="33">
        <v>46066</v>
      </c>
      <c r="U964" s="34">
        <v>2026</v>
      </c>
      <c r="V964" s="35" t="s">
        <v>749</v>
      </c>
      <c r="W964" s="35" t="s">
        <v>17</v>
      </c>
      <c r="X964" s="37" t="s">
        <v>944</v>
      </c>
      <c r="Y964" s="36" t="s">
        <v>436</v>
      </c>
      <c r="Z964" s="30" t="s">
        <v>437</v>
      </c>
      <c r="AA964" s="134" t="s">
        <v>166</v>
      </c>
      <c r="AD964" s="38">
        <v>6653.9</v>
      </c>
      <c r="AF964" s="76">
        <f t="shared" si="102"/>
        <v>144245.64999999997</v>
      </c>
    </row>
    <row r="965" spans="9:32" ht="8.25" customHeight="1" x14ac:dyDescent="0.25">
      <c r="N965" s="52">
        <v>23</v>
      </c>
      <c r="T965" s="33">
        <v>46066</v>
      </c>
      <c r="U965" s="34">
        <v>2026</v>
      </c>
      <c r="V965" s="35" t="s">
        <v>749</v>
      </c>
      <c r="W965" s="35" t="s">
        <v>17</v>
      </c>
      <c r="X965" s="37" t="s">
        <v>945</v>
      </c>
      <c r="Y965" s="36" t="s">
        <v>414</v>
      </c>
      <c r="Z965" s="30" t="s">
        <v>415</v>
      </c>
      <c r="AA965" s="30" t="s">
        <v>3899</v>
      </c>
      <c r="AD965" s="38">
        <v>5289.27</v>
      </c>
      <c r="AF965" s="76">
        <f t="shared" si="102"/>
        <v>149534.91999999995</v>
      </c>
    </row>
    <row r="966" spans="9:32" ht="8.25" customHeight="1" x14ac:dyDescent="0.15">
      <c r="N966" s="52">
        <v>23</v>
      </c>
      <c r="T966" s="33">
        <v>46066</v>
      </c>
      <c r="U966" s="34">
        <v>2026</v>
      </c>
      <c r="V966" s="35" t="s">
        <v>749</v>
      </c>
      <c r="W966" s="35" t="s">
        <v>17</v>
      </c>
      <c r="X966" s="37" t="s">
        <v>945</v>
      </c>
      <c r="Y966" s="36" t="s">
        <v>414</v>
      </c>
      <c r="Z966" s="30" t="s">
        <v>415</v>
      </c>
      <c r="AA966" s="134" t="s">
        <v>166</v>
      </c>
      <c r="AD966" s="38">
        <v>4710.7299999999996</v>
      </c>
      <c r="AF966" s="76">
        <f t="shared" si="102"/>
        <v>154245.64999999997</v>
      </c>
    </row>
    <row r="967" spans="9:32" ht="8.25" customHeight="1" x14ac:dyDescent="0.25">
      <c r="N967" s="52">
        <v>24</v>
      </c>
      <c r="T967" s="33">
        <v>46066</v>
      </c>
      <c r="U967" s="34">
        <v>2026</v>
      </c>
      <c r="V967" s="35" t="s">
        <v>749</v>
      </c>
      <c r="W967" s="35" t="s">
        <v>17</v>
      </c>
      <c r="X967" s="37" t="s">
        <v>946</v>
      </c>
      <c r="Y967" s="36" t="s">
        <v>407</v>
      </c>
      <c r="Z967" s="30" t="s">
        <v>408</v>
      </c>
      <c r="AA967" s="30" t="s">
        <v>3899</v>
      </c>
      <c r="AD967" s="38">
        <v>6016.69</v>
      </c>
      <c r="AF967" s="76">
        <f t="shared" si="102"/>
        <v>160262.33999999997</v>
      </c>
    </row>
    <row r="968" spans="9:32" ht="8.25" customHeight="1" x14ac:dyDescent="0.15">
      <c r="N968" s="52">
        <v>24</v>
      </c>
      <c r="T968" s="33">
        <v>46066</v>
      </c>
      <c r="U968" s="34">
        <v>2026</v>
      </c>
      <c r="V968" s="35" t="s">
        <v>749</v>
      </c>
      <c r="W968" s="35" t="s">
        <v>17</v>
      </c>
      <c r="X968" s="37" t="s">
        <v>946</v>
      </c>
      <c r="Y968" s="36" t="s">
        <v>407</v>
      </c>
      <c r="Z968" s="30" t="s">
        <v>408</v>
      </c>
      <c r="AA968" s="134" t="s">
        <v>166</v>
      </c>
      <c r="AD968" s="38">
        <v>3983.31</v>
      </c>
      <c r="AF968" s="76">
        <f t="shared" si="102"/>
        <v>164245.64999999997</v>
      </c>
    </row>
    <row r="969" spans="9:32" ht="8.25" customHeight="1" x14ac:dyDescent="0.25">
      <c r="I969" s="52">
        <v>19</v>
      </c>
      <c r="T969" s="33">
        <v>46066</v>
      </c>
      <c r="U969" s="34">
        <v>2026</v>
      </c>
      <c r="V969" s="35" t="s">
        <v>749</v>
      </c>
      <c r="W969" s="35" t="s">
        <v>17</v>
      </c>
      <c r="X969" s="37" t="s">
        <v>947</v>
      </c>
      <c r="Y969" s="36" t="s">
        <v>262</v>
      </c>
      <c r="Z969" s="30" t="s">
        <v>261</v>
      </c>
      <c r="AA969" s="30" t="s">
        <v>13</v>
      </c>
      <c r="AD969" s="38">
        <v>3000</v>
      </c>
      <c r="AF969" s="76">
        <f t="shared" si="102"/>
        <v>167245.64999999997</v>
      </c>
    </row>
    <row r="970" spans="9:32" ht="8.25" customHeight="1" x14ac:dyDescent="0.25">
      <c r="R970" s="53">
        <v>13</v>
      </c>
      <c r="T970" s="178">
        <v>46066</v>
      </c>
      <c r="U970" s="179">
        <v>2026</v>
      </c>
      <c r="V970" s="180" t="s">
        <v>749</v>
      </c>
      <c r="W970" s="35" t="s">
        <v>5</v>
      </c>
      <c r="X970" s="181" t="s">
        <v>948</v>
      </c>
      <c r="Y970" s="182" t="s">
        <v>411</v>
      </c>
      <c r="Z970" s="183" t="s">
        <v>412</v>
      </c>
      <c r="AA970" s="183" t="s">
        <v>618</v>
      </c>
      <c r="AB970" s="183"/>
      <c r="AC970" s="184"/>
      <c r="AD970" s="177"/>
      <c r="AE970" s="177">
        <v>70000</v>
      </c>
      <c r="AF970" s="177">
        <f t="shared" si="102"/>
        <v>97245.649999999965</v>
      </c>
    </row>
    <row r="971" spans="9:32" ht="8.25" customHeight="1" x14ac:dyDescent="0.25">
      <c r="R971" s="53">
        <v>14</v>
      </c>
      <c r="T971" s="33">
        <v>46066</v>
      </c>
      <c r="U971" s="34">
        <v>2026</v>
      </c>
      <c r="V971" s="35" t="s">
        <v>749</v>
      </c>
      <c r="W971" s="35" t="s">
        <v>5</v>
      </c>
      <c r="X971" s="37" t="s">
        <v>949</v>
      </c>
      <c r="Y971" s="36" t="s">
        <v>411</v>
      </c>
      <c r="Z971" s="30" t="s">
        <v>412</v>
      </c>
      <c r="AA971" s="30" t="s">
        <v>399</v>
      </c>
      <c r="AE971" s="38">
        <v>27272.73</v>
      </c>
      <c r="AF971" s="76">
        <f t="shared" si="102"/>
        <v>69972.919999999969</v>
      </c>
    </row>
    <row r="972" spans="9:32" ht="8.25" customHeight="1" x14ac:dyDescent="0.25">
      <c r="I972" s="52">
        <v>20</v>
      </c>
      <c r="T972" s="33">
        <v>46066</v>
      </c>
      <c r="U972" s="34">
        <v>2026</v>
      </c>
      <c r="V972" s="35" t="s">
        <v>749</v>
      </c>
      <c r="W972" s="35" t="s">
        <v>17</v>
      </c>
      <c r="X972" s="37" t="s">
        <v>950</v>
      </c>
      <c r="Y972" s="36" t="s">
        <v>951</v>
      </c>
      <c r="Z972" s="30" t="s">
        <v>952</v>
      </c>
      <c r="AA972" s="30" t="s">
        <v>13</v>
      </c>
      <c r="AD972" s="38">
        <v>22727.27</v>
      </c>
      <c r="AF972" s="76">
        <f t="shared" si="102"/>
        <v>92700.189999999973</v>
      </c>
    </row>
    <row r="973" spans="9:32" ht="8.25" customHeight="1" x14ac:dyDescent="0.25">
      <c r="M973" s="52">
        <v>7</v>
      </c>
      <c r="T973" s="33">
        <v>46066</v>
      </c>
      <c r="U973" s="34">
        <v>2026</v>
      </c>
      <c r="V973" s="35" t="s">
        <v>749</v>
      </c>
      <c r="W973" s="35" t="s">
        <v>17</v>
      </c>
      <c r="X973" s="37" t="s">
        <v>953</v>
      </c>
      <c r="Y973" s="36" t="s">
        <v>120</v>
      </c>
      <c r="Z973" s="30" t="s">
        <v>952</v>
      </c>
      <c r="AA973" s="30" t="s">
        <v>385</v>
      </c>
      <c r="AD973" s="38">
        <v>4545.46</v>
      </c>
      <c r="AF973" s="76">
        <f t="shared" si="102"/>
        <v>97245.64999999998</v>
      </c>
    </row>
    <row r="974" spans="9:32" ht="8.25" customHeight="1" x14ac:dyDescent="0.25">
      <c r="R974" s="53">
        <v>15</v>
      </c>
      <c r="T974" s="33">
        <v>46066</v>
      </c>
      <c r="U974" s="34">
        <v>2026</v>
      </c>
      <c r="V974" s="35" t="s">
        <v>749</v>
      </c>
      <c r="W974" s="35" t="s">
        <v>5</v>
      </c>
      <c r="X974" s="37" t="s">
        <v>954</v>
      </c>
      <c r="Y974" s="36" t="s">
        <v>411</v>
      </c>
      <c r="Z974" s="30" t="s">
        <v>412</v>
      </c>
      <c r="AA974" s="30" t="s">
        <v>399</v>
      </c>
      <c r="AE974" s="38">
        <v>40909.089999999997</v>
      </c>
      <c r="AF974" s="76">
        <f t="shared" si="102"/>
        <v>56336.559999999983</v>
      </c>
    </row>
    <row r="975" spans="9:32" ht="8.25" customHeight="1" x14ac:dyDescent="0.15">
      <c r="K975" s="52">
        <v>8</v>
      </c>
      <c r="T975" s="33">
        <v>46066</v>
      </c>
      <c r="U975" s="34">
        <v>2026</v>
      </c>
      <c r="V975" s="35" t="s">
        <v>749</v>
      </c>
      <c r="W975" s="35" t="s">
        <v>17</v>
      </c>
      <c r="X975" s="37" t="s">
        <v>956</v>
      </c>
      <c r="Y975" s="36" t="s">
        <v>957</v>
      </c>
      <c r="Z975" s="30" t="s">
        <v>958</v>
      </c>
      <c r="AA975" s="136" t="s">
        <v>1788</v>
      </c>
      <c r="AD975" s="38">
        <v>100</v>
      </c>
      <c r="AF975" s="76">
        <f t="shared" si="102"/>
        <v>56436.559999999983</v>
      </c>
    </row>
    <row r="976" spans="9:32" ht="8.25" customHeight="1" x14ac:dyDescent="0.25">
      <c r="L976" s="52">
        <v>8</v>
      </c>
      <c r="T976" s="33">
        <v>46066</v>
      </c>
      <c r="U976" s="34">
        <v>2026</v>
      </c>
      <c r="V976" s="35" t="s">
        <v>749</v>
      </c>
      <c r="W976" s="35" t="s">
        <v>17</v>
      </c>
      <c r="X976" s="37" t="s">
        <v>959</v>
      </c>
      <c r="Y976" s="36" t="s">
        <v>120</v>
      </c>
      <c r="Z976" s="30" t="s">
        <v>958</v>
      </c>
      <c r="AA976" s="30" t="s">
        <v>373</v>
      </c>
      <c r="AD976" s="38">
        <v>50</v>
      </c>
      <c r="AF976" s="76">
        <f t="shared" si="102"/>
        <v>56486.559999999983</v>
      </c>
    </row>
    <row r="977" spans="3:32" ht="8.25" customHeight="1" x14ac:dyDescent="0.25">
      <c r="I977" s="52">
        <v>21</v>
      </c>
      <c r="T977" s="33">
        <v>46066</v>
      </c>
      <c r="U977" s="34">
        <v>2026</v>
      </c>
      <c r="V977" s="35" t="s">
        <v>749</v>
      </c>
      <c r="W977" s="35" t="s">
        <v>17</v>
      </c>
      <c r="X977" s="37" t="s">
        <v>955</v>
      </c>
      <c r="Y977" s="36" t="s">
        <v>960</v>
      </c>
      <c r="Z977" s="30" t="s">
        <v>958</v>
      </c>
      <c r="AA977" s="30" t="s">
        <v>13</v>
      </c>
      <c r="AD977" s="38">
        <v>34090.910000000003</v>
      </c>
      <c r="AF977" s="76">
        <f t="shared" si="102"/>
        <v>90577.469999999987</v>
      </c>
    </row>
    <row r="978" spans="3:32" ht="8.25" customHeight="1" x14ac:dyDescent="0.25">
      <c r="M978" s="52">
        <v>8</v>
      </c>
      <c r="T978" s="33">
        <v>46066</v>
      </c>
      <c r="U978" s="34">
        <v>2026</v>
      </c>
      <c r="V978" s="35" t="s">
        <v>749</v>
      </c>
      <c r="W978" s="35" t="s">
        <v>17</v>
      </c>
      <c r="X978" s="37" t="s">
        <v>961</v>
      </c>
      <c r="Y978" s="36" t="s">
        <v>120</v>
      </c>
      <c r="Z978" s="30" t="s">
        <v>958</v>
      </c>
      <c r="AA978" s="30" t="s">
        <v>385</v>
      </c>
      <c r="AD978" s="38">
        <v>6818.18</v>
      </c>
      <c r="AF978" s="76">
        <f t="shared" si="102"/>
        <v>97395.65</v>
      </c>
    </row>
    <row r="979" spans="3:32" ht="8.25" customHeight="1" x14ac:dyDescent="0.25">
      <c r="C979" s="52">
        <v>5</v>
      </c>
      <c r="T979" s="33">
        <v>46066</v>
      </c>
      <c r="U979" s="34">
        <v>2026</v>
      </c>
      <c r="V979" s="35" t="s">
        <v>749</v>
      </c>
      <c r="W979" s="35" t="s">
        <v>3620</v>
      </c>
      <c r="Y979" s="36" t="s">
        <v>962</v>
      </c>
      <c r="Z979" s="30" t="s">
        <v>370</v>
      </c>
      <c r="AA979" s="30" t="s">
        <v>340</v>
      </c>
      <c r="AD979" s="38">
        <v>148</v>
      </c>
      <c r="AF979" s="76">
        <f t="shared" si="102"/>
        <v>97543.65</v>
      </c>
    </row>
    <row r="980" spans="3:32" ht="8.25" customHeight="1" thickBot="1" x14ac:dyDescent="0.3">
      <c r="AA980" s="75" t="s">
        <v>257</v>
      </c>
      <c r="AD980" s="91">
        <f>SUM(AD961:AD979)</f>
        <v>119379.82</v>
      </c>
      <c r="AE980" s="91">
        <f>SUM(AE961:AE979)</f>
        <v>138181.82</v>
      </c>
      <c r="AF980" s="76">
        <f>AF960+AD980-AE980</f>
        <v>97543.649999999965</v>
      </c>
    </row>
    <row r="981" spans="3:32" ht="8.25" customHeight="1" thickTop="1" x14ac:dyDescent="0.25">
      <c r="X981" s="109"/>
      <c r="Y981" s="67" t="s">
        <v>214</v>
      </c>
      <c r="Z981" s="68"/>
      <c r="AA981" s="75"/>
    </row>
    <row r="982" spans="3:32" ht="8.25" customHeight="1" x14ac:dyDescent="0.25">
      <c r="X982" s="110" t="s">
        <v>319</v>
      </c>
      <c r="Y982" s="111">
        <v>200</v>
      </c>
      <c r="Z982" s="111">
        <f t="shared" ref="Z982:Z987" si="103">X982*Y982</f>
        <v>1200</v>
      </c>
      <c r="AA982" s="112"/>
    </row>
    <row r="983" spans="3:32" ht="8.25" customHeight="1" x14ac:dyDescent="0.25">
      <c r="X983" s="110" t="s">
        <v>1120</v>
      </c>
      <c r="Y983" s="111">
        <v>100</v>
      </c>
      <c r="Z983" s="111">
        <f t="shared" si="103"/>
        <v>93100</v>
      </c>
      <c r="AA983" s="112"/>
    </row>
    <row r="984" spans="3:32" ht="8.25" customHeight="1" x14ac:dyDescent="0.25">
      <c r="X984" s="110" t="s">
        <v>963</v>
      </c>
      <c r="Y984" s="111">
        <v>50</v>
      </c>
      <c r="Z984" s="111">
        <f t="shared" si="103"/>
        <v>1150</v>
      </c>
      <c r="AA984" s="76"/>
    </row>
    <row r="985" spans="3:32" ht="8.25" customHeight="1" x14ac:dyDescent="0.25">
      <c r="X985" s="110" t="s">
        <v>926</v>
      </c>
      <c r="Y985" s="111">
        <v>20</v>
      </c>
      <c r="Z985" s="111">
        <f t="shared" si="103"/>
        <v>620</v>
      </c>
      <c r="AA985" s="38"/>
    </row>
    <row r="986" spans="3:32" ht="8.25" customHeight="1" x14ac:dyDescent="0.25">
      <c r="X986" s="110" t="s">
        <v>402</v>
      </c>
      <c r="Y986" s="111">
        <v>10</v>
      </c>
      <c r="Z986" s="111">
        <f t="shared" si="103"/>
        <v>50</v>
      </c>
      <c r="AA986" s="112"/>
    </row>
    <row r="987" spans="3:32" ht="8.25" customHeight="1" x14ac:dyDescent="0.25">
      <c r="X987" s="110" t="s">
        <v>927</v>
      </c>
      <c r="Y987" s="111">
        <v>5</v>
      </c>
      <c r="Z987" s="111">
        <f t="shared" si="103"/>
        <v>805</v>
      </c>
      <c r="AA987" s="112"/>
    </row>
    <row r="988" spans="3:32" ht="8.25" customHeight="1" x14ac:dyDescent="0.25">
      <c r="X988" s="269">
        <v>0</v>
      </c>
      <c r="Y988" s="270"/>
      <c r="Z988" s="271"/>
      <c r="AA988" s="38"/>
    </row>
    <row r="989" spans="3:32" ht="8.25" customHeight="1" x14ac:dyDescent="0.25">
      <c r="X989" s="110" t="s">
        <v>1121</v>
      </c>
      <c r="Y989" s="111">
        <v>1</v>
      </c>
      <c r="Z989" s="111">
        <f t="shared" ref="Z989:Z994" si="104">X989*Y989</f>
        <v>574</v>
      </c>
      <c r="AA989" s="76"/>
    </row>
    <row r="990" spans="3:32" ht="8.25" customHeight="1" x14ac:dyDescent="0.25">
      <c r="X990" s="110" t="s">
        <v>655</v>
      </c>
      <c r="Y990" s="111">
        <v>0.5</v>
      </c>
      <c r="Z990" s="111">
        <f t="shared" si="104"/>
        <v>24</v>
      </c>
      <c r="AA990" s="112"/>
    </row>
    <row r="991" spans="3:32" ht="8.25" customHeight="1" x14ac:dyDescent="0.25">
      <c r="X991" s="110" t="s">
        <v>875</v>
      </c>
      <c r="Y991" s="111">
        <v>0.25</v>
      </c>
      <c r="Z991" s="111">
        <f t="shared" si="104"/>
        <v>20.5</v>
      </c>
      <c r="AA991" s="113"/>
    </row>
    <row r="992" spans="3:32" ht="8.25" customHeight="1" x14ac:dyDescent="0.25">
      <c r="X992" s="110" t="s">
        <v>222</v>
      </c>
      <c r="Y992" s="111">
        <v>0.1</v>
      </c>
      <c r="Z992" s="111">
        <f t="shared" si="104"/>
        <v>0.1</v>
      </c>
      <c r="AA992" s="114" t="s">
        <v>219</v>
      </c>
    </row>
    <row r="993" spans="4:32" ht="8.25" customHeight="1" thickBot="1" x14ac:dyDescent="0.3">
      <c r="X993" s="110" t="s">
        <v>222</v>
      </c>
      <c r="Y993" s="111">
        <v>0.05</v>
      </c>
      <c r="Z993" s="111">
        <f t="shared" si="104"/>
        <v>0.05</v>
      </c>
      <c r="AA993" s="115">
        <f>SUM(Z982:Z987)+Z989+Z990+Z991+Z992+Z993+Z994</f>
        <v>97543.650000000009</v>
      </c>
    </row>
    <row r="994" spans="4:32" ht="8.25" customHeight="1" thickTop="1" x14ac:dyDescent="0.25">
      <c r="X994" s="110"/>
      <c r="Y994" s="111">
        <v>0.01</v>
      </c>
      <c r="Z994" s="111">
        <f t="shared" si="104"/>
        <v>0</v>
      </c>
    </row>
    <row r="996" spans="4:32" ht="8.25" customHeight="1" x14ac:dyDescent="0.25">
      <c r="AA996" s="75" t="s">
        <v>251</v>
      </c>
      <c r="AF996" s="76">
        <f>AF979</f>
        <v>97543.65</v>
      </c>
    </row>
    <row r="997" spans="4:32" ht="8.25" customHeight="1" x14ac:dyDescent="0.15">
      <c r="K997" s="52">
        <v>9</v>
      </c>
      <c r="T997" s="33">
        <v>46067</v>
      </c>
      <c r="U997" s="34">
        <v>2026</v>
      </c>
      <c r="V997" s="35" t="s">
        <v>749</v>
      </c>
      <c r="W997" s="35" t="s">
        <v>17</v>
      </c>
      <c r="X997" s="37" t="s">
        <v>964</v>
      </c>
      <c r="Y997" s="36" t="s">
        <v>965</v>
      </c>
      <c r="Z997" s="30" t="s">
        <v>966</v>
      </c>
      <c r="AA997" s="136" t="s">
        <v>1788</v>
      </c>
      <c r="AD997" s="38">
        <v>100</v>
      </c>
      <c r="AF997" s="76">
        <f t="shared" ref="AF997:AF1005" si="105">AF996+AD997-AE997</f>
        <v>97643.65</v>
      </c>
    </row>
    <row r="998" spans="4:32" ht="8.25" customHeight="1" x14ac:dyDescent="0.25">
      <c r="L998" s="52">
        <v>9</v>
      </c>
      <c r="T998" s="33">
        <v>46067</v>
      </c>
      <c r="U998" s="34">
        <v>2026</v>
      </c>
      <c r="V998" s="35" t="s">
        <v>749</v>
      </c>
      <c r="W998" s="35" t="s">
        <v>17</v>
      </c>
      <c r="X998" s="37" t="s">
        <v>967</v>
      </c>
      <c r="Y998" s="36" t="s">
        <v>120</v>
      </c>
      <c r="Z998" s="30" t="s">
        <v>966</v>
      </c>
      <c r="AA998" s="30" t="s">
        <v>373</v>
      </c>
      <c r="AD998" s="38">
        <v>50</v>
      </c>
      <c r="AF998" s="76">
        <f t="shared" si="105"/>
        <v>97693.65</v>
      </c>
    </row>
    <row r="999" spans="4:32" ht="8.25" customHeight="1" x14ac:dyDescent="0.25">
      <c r="I999" s="52">
        <v>22</v>
      </c>
      <c r="T999" s="33">
        <v>46067</v>
      </c>
      <c r="U999" s="34">
        <v>2026</v>
      </c>
      <c r="V999" s="35" t="s">
        <v>749</v>
      </c>
      <c r="W999" s="35" t="s">
        <v>17</v>
      </c>
      <c r="X999" s="37" t="s">
        <v>968</v>
      </c>
      <c r="Y999" s="36" t="s">
        <v>969</v>
      </c>
      <c r="Z999" s="30" t="s">
        <v>966</v>
      </c>
      <c r="AA999" s="30" t="s">
        <v>13</v>
      </c>
      <c r="AD999" s="38">
        <v>350</v>
      </c>
      <c r="AF999" s="76">
        <f t="shared" si="105"/>
        <v>98043.65</v>
      </c>
    </row>
    <row r="1000" spans="4:32" ht="8.25" customHeight="1" x14ac:dyDescent="0.25">
      <c r="D1000" s="52">
        <v>3</v>
      </c>
      <c r="T1000" s="33">
        <v>46067</v>
      </c>
      <c r="U1000" s="34">
        <v>2026</v>
      </c>
      <c r="V1000" s="35" t="s">
        <v>749</v>
      </c>
      <c r="W1000" s="35" t="s">
        <v>17</v>
      </c>
      <c r="Y1000" s="36" t="s">
        <v>970</v>
      </c>
      <c r="Z1000" s="30" t="s">
        <v>337</v>
      </c>
      <c r="AA1000" s="30" t="s">
        <v>256</v>
      </c>
      <c r="AD1000" s="38">
        <v>1500</v>
      </c>
      <c r="AF1000" s="76">
        <f t="shared" si="105"/>
        <v>99543.65</v>
      </c>
    </row>
    <row r="1001" spans="4:32" ht="8.25" customHeight="1" x14ac:dyDescent="0.25">
      <c r="R1001" s="53">
        <v>16</v>
      </c>
      <c r="T1001" s="33">
        <v>46067</v>
      </c>
      <c r="U1001" s="34">
        <v>2026</v>
      </c>
      <c r="V1001" s="35" t="s">
        <v>749</v>
      </c>
      <c r="W1001" s="35" t="s">
        <v>5</v>
      </c>
      <c r="X1001" s="37" t="s">
        <v>971</v>
      </c>
      <c r="Y1001" s="36" t="s">
        <v>972</v>
      </c>
      <c r="Z1001" s="30" t="s">
        <v>973</v>
      </c>
      <c r="AA1001" s="30" t="s">
        <v>395</v>
      </c>
      <c r="AE1001" s="38">
        <v>2528.41</v>
      </c>
      <c r="AF1001" s="76">
        <f t="shared" si="105"/>
        <v>97015.239999999991</v>
      </c>
    </row>
    <row r="1002" spans="4:32" ht="8.25" customHeight="1" x14ac:dyDescent="0.15">
      <c r="K1002" s="52">
        <v>10</v>
      </c>
      <c r="T1002" s="33">
        <v>46067</v>
      </c>
      <c r="U1002" s="34">
        <v>2026</v>
      </c>
      <c r="V1002" s="35" t="s">
        <v>749</v>
      </c>
      <c r="W1002" s="35" t="s">
        <v>17</v>
      </c>
      <c r="X1002" s="37" t="s">
        <v>974</v>
      </c>
      <c r="Y1002" s="36" t="s">
        <v>975</v>
      </c>
      <c r="Z1002" s="30" t="s">
        <v>973</v>
      </c>
      <c r="AA1002" s="136" t="s">
        <v>1788</v>
      </c>
      <c r="AD1002" s="38">
        <v>100</v>
      </c>
      <c r="AF1002" s="76">
        <f t="shared" si="105"/>
        <v>97115.239999999991</v>
      </c>
    </row>
    <row r="1003" spans="4:32" ht="8.25" customHeight="1" x14ac:dyDescent="0.25">
      <c r="L1003" s="52">
        <v>10</v>
      </c>
      <c r="T1003" s="33">
        <v>46067</v>
      </c>
      <c r="U1003" s="34">
        <v>2026</v>
      </c>
      <c r="V1003" s="35" t="s">
        <v>749</v>
      </c>
      <c r="W1003" s="35" t="s">
        <v>17</v>
      </c>
      <c r="X1003" s="37" t="s">
        <v>976</v>
      </c>
      <c r="Y1003" s="36" t="s">
        <v>120</v>
      </c>
      <c r="Z1003" s="30" t="s">
        <v>973</v>
      </c>
      <c r="AA1003" s="30" t="s">
        <v>373</v>
      </c>
      <c r="AD1003" s="38">
        <v>50</v>
      </c>
      <c r="AF1003" s="76">
        <f t="shared" si="105"/>
        <v>97165.239999999991</v>
      </c>
    </row>
    <row r="1004" spans="4:32" ht="8.25" customHeight="1" x14ac:dyDescent="0.25">
      <c r="I1004" s="52">
        <v>23</v>
      </c>
      <c r="T1004" s="33">
        <v>46067</v>
      </c>
      <c r="U1004" s="34">
        <v>2026</v>
      </c>
      <c r="V1004" s="35" t="s">
        <v>749</v>
      </c>
      <c r="W1004" s="35" t="s">
        <v>17</v>
      </c>
      <c r="X1004" s="37" t="s">
        <v>977</v>
      </c>
      <c r="Y1004" s="36" t="s">
        <v>978</v>
      </c>
      <c r="Z1004" s="30" t="s">
        <v>973</v>
      </c>
      <c r="AA1004" s="30" t="s">
        <v>13</v>
      </c>
      <c r="AD1004" s="38">
        <v>252.84</v>
      </c>
      <c r="AF1004" s="76">
        <f t="shared" si="105"/>
        <v>97418.079999999987</v>
      </c>
    </row>
    <row r="1005" spans="4:32" ht="8.25" customHeight="1" x14ac:dyDescent="0.25">
      <c r="M1005" s="52">
        <v>9</v>
      </c>
      <c r="T1005" s="33">
        <v>46067</v>
      </c>
      <c r="U1005" s="34">
        <v>2026</v>
      </c>
      <c r="V1005" s="35" t="s">
        <v>749</v>
      </c>
      <c r="W1005" s="35" t="s">
        <v>17</v>
      </c>
      <c r="X1005" s="37" t="s">
        <v>979</v>
      </c>
      <c r="Y1005" s="36" t="s">
        <v>120</v>
      </c>
      <c r="Z1005" s="30" t="s">
        <v>973</v>
      </c>
      <c r="AA1005" s="30" t="s">
        <v>385</v>
      </c>
      <c r="AD1005" s="38">
        <v>50.57</v>
      </c>
      <c r="AF1005" s="76">
        <f t="shared" si="105"/>
        <v>97468.65</v>
      </c>
    </row>
    <row r="1006" spans="4:32" ht="8.25" customHeight="1" thickBot="1" x14ac:dyDescent="0.3">
      <c r="AA1006" s="75" t="s">
        <v>257</v>
      </c>
      <c r="AD1006" s="91">
        <f>SUM(AD997:AD1005)</f>
        <v>2453.4100000000003</v>
      </c>
      <c r="AE1006" s="91">
        <f>SUM(AE997:AE1005)</f>
        <v>2528.41</v>
      </c>
      <c r="AF1006" s="76">
        <f>AF996+AD1006-AE1006</f>
        <v>97468.65</v>
      </c>
    </row>
    <row r="1007" spans="4:32" ht="8.25" customHeight="1" thickTop="1" x14ac:dyDescent="0.25"/>
    <row r="1008" spans="4:32" ht="8.25" customHeight="1" x14ac:dyDescent="0.25">
      <c r="X1008" s="109"/>
      <c r="Y1008" s="67" t="s">
        <v>214</v>
      </c>
      <c r="Z1008" s="68"/>
      <c r="AA1008" s="75"/>
      <c r="AD1008" s="76"/>
      <c r="AE1008" s="76"/>
    </row>
    <row r="1009" spans="9:32" ht="8.25" customHeight="1" x14ac:dyDescent="0.25">
      <c r="X1009" s="110" t="s">
        <v>319</v>
      </c>
      <c r="Y1009" s="111">
        <v>200</v>
      </c>
      <c r="Z1009" s="111">
        <f t="shared" ref="Z1009:Z1014" si="106">X1009*Y1009</f>
        <v>1200</v>
      </c>
      <c r="AA1009" s="112"/>
    </row>
    <row r="1010" spans="9:32" ht="8.25" customHeight="1" x14ac:dyDescent="0.25">
      <c r="X1010" s="110" t="s">
        <v>1119</v>
      </c>
      <c r="Y1010" s="111">
        <v>100</v>
      </c>
      <c r="Z1010" s="111">
        <f t="shared" si="106"/>
        <v>93000</v>
      </c>
      <c r="AA1010" s="112"/>
    </row>
    <row r="1011" spans="9:32" ht="8.25" customHeight="1" x14ac:dyDescent="0.25">
      <c r="X1011" s="110" t="s">
        <v>963</v>
      </c>
      <c r="Y1011" s="111">
        <v>50</v>
      </c>
      <c r="Z1011" s="111">
        <f t="shared" si="106"/>
        <v>1150</v>
      </c>
      <c r="AA1011" s="76"/>
    </row>
    <row r="1012" spans="9:32" ht="8.25" customHeight="1" x14ac:dyDescent="0.25">
      <c r="X1012" s="110" t="s">
        <v>821</v>
      </c>
      <c r="Y1012" s="111">
        <v>20</v>
      </c>
      <c r="Z1012" s="111">
        <f t="shared" si="106"/>
        <v>680</v>
      </c>
      <c r="AA1012" s="38"/>
    </row>
    <row r="1013" spans="9:32" ht="8.25" customHeight="1" x14ac:dyDescent="0.25">
      <c r="X1013" s="110" t="s">
        <v>222</v>
      </c>
      <c r="Y1013" s="111">
        <v>10</v>
      </c>
      <c r="Z1013" s="111">
        <f t="shared" si="106"/>
        <v>10</v>
      </c>
      <c r="AA1013" s="112"/>
    </row>
    <row r="1014" spans="9:32" ht="8.25" customHeight="1" x14ac:dyDescent="0.25">
      <c r="X1014" s="110" t="s">
        <v>887</v>
      </c>
      <c r="Y1014" s="111">
        <v>5</v>
      </c>
      <c r="Z1014" s="111">
        <f t="shared" si="106"/>
        <v>810</v>
      </c>
      <c r="AA1014" s="112"/>
    </row>
    <row r="1015" spans="9:32" ht="8.25" customHeight="1" x14ac:dyDescent="0.25">
      <c r="X1015" s="269">
        <v>0</v>
      </c>
      <c r="Y1015" s="270"/>
      <c r="Z1015" s="271"/>
      <c r="AA1015" s="38"/>
    </row>
    <row r="1016" spans="9:32" ht="8.25" customHeight="1" x14ac:dyDescent="0.25">
      <c r="X1016" s="110" t="s">
        <v>1121</v>
      </c>
      <c r="Y1016" s="111">
        <v>1</v>
      </c>
      <c r="Z1016" s="111">
        <f t="shared" ref="Z1016:Z1021" si="107">X1016*Y1016</f>
        <v>574</v>
      </c>
      <c r="AA1016" s="76"/>
    </row>
    <row r="1017" spans="9:32" ht="8.25" customHeight="1" x14ac:dyDescent="0.25">
      <c r="X1017" s="110" t="s">
        <v>1012</v>
      </c>
      <c r="Y1017" s="111">
        <v>0.5</v>
      </c>
      <c r="Z1017" s="111">
        <f t="shared" si="107"/>
        <v>24.5</v>
      </c>
      <c r="AA1017" s="112"/>
    </row>
    <row r="1018" spans="9:32" ht="8.25" customHeight="1" x14ac:dyDescent="0.25">
      <c r="X1018" s="110" t="s">
        <v>259</v>
      </c>
      <c r="Y1018" s="111">
        <v>0.25</v>
      </c>
      <c r="Z1018" s="111">
        <f t="shared" si="107"/>
        <v>20</v>
      </c>
      <c r="AA1018" s="113"/>
    </row>
    <row r="1019" spans="9:32" ht="8.25" customHeight="1" x14ac:dyDescent="0.25">
      <c r="X1019" s="110" t="s">
        <v>222</v>
      </c>
      <c r="Y1019" s="111">
        <v>0.1</v>
      </c>
      <c r="Z1019" s="111">
        <f t="shared" si="107"/>
        <v>0.1</v>
      </c>
      <c r="AA1019" s="114" t="s">
        <v>219</v>
      </c>
    </row>
    <row r="1020" spans="9:32" ht="8.25" customHeight="1" thickBot="1" x14ac:dyDescent="0.3">
      <c r="X1020" s="110" t="s">
        <v>222</v>
      </c>
      <c r="Y1020" s="111">
        <v>0.05</v>
      </c>
      <c r="Z1020" s="111">
        <f t="shared" si="107"/>
        <v>0.05</v>
      </c>
      <c r="AA1020" s="115">
        <f>SUM(Z1009:Z1014)+Z1016+Z1017+Z1018+Z1019+Z1020+Z1021</f>
        <v>97468.650000000009</v>
      </c>
    </row>
    <row r="1021" spans="9:32" ht="8.25" customHeight="1" thickTop="1" x14ac:dyDescent="0.25">
      <c r="X1021" s="110"/>
      <c r="Y1021" s="111">
        <v>0.01</v>
      </c>
      <c r="Z1021" s="111">
        <f t="shared" si="107"/>
        <v>0</v>
      </c>
    </row>
    <row r="1023" spans="9:32" ht="8.25" customHeight="1" x14ac:dyDescent="0.25">
      <c r="AA1023" s="75" t="s">
        <v>251</v>
      </c>
      <c r="AF1023" s="76">
        <f>AF1005</f>
        <v>97468.65</v>
      </c>
    </row>
    <row r="1024" spans="9:32" ht="8.25" customHeight="1" x14ac:dyDescent="0.25">
      <c r="I1024" s="52">
        <v>24</v>
      </c>
      <c r="T1024" s="33">
        <v>46069</v>
      </c>
      <c r="U1024" s="34">
        <v>2026</v>
      </c>
      <c r="V1024" s="35" t="s">
        <v>749</v>
      </c>
      <c r="W1024" s="35" t="s">
        <v>17</v>
      </c>
      <c r="X1024" s="37" t="s">
        <v>980</v>
      </c>
      <c r="Y1024" s="36" t="s">
        <v>275</v>
      </c>
      <c r="Z1024" s="30" t="s">
        <v>981</v>
      </c>
      <c r="AA1024" s="30" t="s">
        <v>13</v>
      </c>
      <c r="AD1024" s="38">
        <v>15000</v>
      </c>
      <c r="AF1024" s="76">
        <f t="shared" ref="AF1024:AF1032" si="108">AF1023+AD1024-AE1024</f>
        <v>112468.65</v>
      </c>
    </row>
    <row r="1025" spans="3:32" ht="8.25" customHeight="1" x14ac:dyDescent="0.25">
      <c r="N1025" s="52">
        <v>25</v>
      </c>
      <c r="T1025" s="33">
        <v>46069</v>
      </c>
      <c r="U1025" s="34">
        <v>2026</v>
      </c>
      <c r="V1025" s="35" t="s">
        <v>749</v>
      </c>
      <c r="W1025" s="35" t="s">
        <v>17</v>
      </c>
      <c r="X1025" s="37" t="s">
        <v>982</v>
      </c>
      <c r="Y1025" s="36" t="s">
        <v>983</v>
      </c>
      <c r="Z1025" s="30" t="s">
        <v>885</v>
      </c>
      <c r="AA1025" s="30" t="s">
        <v>3899</v>
      </c>
      <c r="AD1025" s="38">
        <v>4369.83</v>
      </c>
      <c r="AF1025" s="76">
        <f t="shared" si="108"/>
        <v>116838.48</v>
      </c>
    </row>
    <row r="1026" spans="3:32" ht="8.25" customHeight="1" x14ac:dyDescent="0.15">
      <c r="N1026" s="52">
        <v>25</v>
      </c>
      <c r="T1026" s="33">
        <v>46069</v>
      </c>
      <c r="U1026" s="34">
        <v>2026</v>
      </c>
      <c r="V1026" s="35" t="s">
        <v>749</v>
      </c>
      <c r="W1026" s="35" t="s">
        <v>17</v>
      </c>
      <c r="X1026" s="37" t="s">
        <v>982</v>
      </c>
      <c r="Y1026" s="36" t="s">
        <v>983</v>
      </c>
      <c r="Z1026" s="30" t="s">
        <v>885</v>
      </c>
      <c r="AA1026" s="134" t="s">
        <v>166</v>
      </c>
      <c r="AD1026" s="38">
        <v>2630.17</v>
      </c>
      <c r="AF1026" s="76">
        <f t="shared" si="108"/>
        <v>119468.65</v>
      </c>
    </row>
    <row r="1027" spans="3:32" ht="8.25" customHeight="1" x14ac:dyDescent="0.25">
      <c r="D1027" s="52">
        <v>4</v>
      </c>
      <c r="T1027" s="33">
        <v>46069</v>
      </c>
      <c r="U1027" s="34">
        <v>2026</v>
      </c>
      <c r="V1027" s="35" t="s">
        <v>749</v>
      </c>
      <c r="W1027" s="35" t="s">
        <v>17</v>
      </c>
      <c r="Y1027" s="36" t="s">
        <v>984</v>
      </c>
      <c r="Z1027" s="30" t="s">
        <v>981</v>
      </c>
      <c r="AA1027" s="30" t="s">
        <v>256</v>
      </c>
      <c r="AD1027" s="38">
        <v>5000</v>
      </c>
      <c r="AF1027" s="76">
        <f t="shared" si="108"/>
        <v>124468.65</v>
      </c>
    </row>
    <row r="1028" spans="3:32" ht="8.25" customHeight="1" x14ac:dyDescent="0.25">
      <c r="C1028" s="52">
        <v>6</v>
      </c>
      <c r="T1028" s="33">
        <v>46069</v>
      </c>
      <c r="U1028" s="34">
        <v>2026</v>
      </c>
      <c r="V1028" s="35" t="s">
        <v>749</v>
      </c>
      <c r="W1028" s="35" t="s">
        <v>3620</v>
      </c>
      <c r="Y1028" s="36" t="s">
        <v>985</v>
      </c>
      <c r="Z1028" s="30" t="s">
        <v>986</v>
      </c>
      <c r="AA1028" s="30" t="s">
        <v>340</v>
      </c>
      <c r="AD1028" s="38">
        <v>118</v>
      </c>
      <c r="AF1028" s="76">
        <f t="shared" si="108"/>
        <v>124586.65</v>
      </c>
    </row>
    <row r="1029" spans="3:32" ht="8.25" customHeight="1" x14ac:dyDescent="0.25">
      <c r="C1029" s="52">
        <v>7</v>
      </c>
      <c r="T1029" s="33">
        <v>46069</v>
      </c>
      <c r="U1029" s="34">
        <v>2026</v>
      </c>
      <c r="V1029" s="35" t="s">
        <v>749</v>
      </c>
      <c r="W1029" s="35" t="s">
        <v>3620</v>
      </c>
      <c r="Y1029" s="36" t="s">
        <v>987</v>
      </c>
      <c r="Z1029" s="30" t="s">
        <v>988</v>
      </c>
      <c r="AA1029" s="30" t="s">
        <v>340</v>
      </c>
      <c r="AD1029" s="38">
        <v>35</v>
      </c>
      <c r="AF1029" s="76">
        <f t="shared" si="108"/>
        <v>124621.65</v>
      </c>
    </row>
    <row r="1030" spans="3:32" ht="8.25" customHeight="1" x14ac:dyDescent="0.25">
      <c r="R1030" s="53">
        <v>17</v>
      </c>
      <c r="T1030" s="33">
        <v>46069</v>
      </c>
      <c r="U1030" s="34">
        <v>2026</v>
      </c>
      <c r="V1030" s="35" t="s">
        <v>749</v>
      </c>
      <c r="W1030" s="35" t="s">
        <v>5</v>
      </c>
      <c r="X1030" s="37" t="s">
        <v>989</v>
      </c>
      <c r="Y1030" s="36" t="s">
        <v>731</v>
      </c>
      <c r="Z1030" s="30" t="s">
        <v>732</v>
      </c>
      <c r="AA1030" s="30" t="s">
        <v>92</v>
      </c>
      <c r="AE1030" s="38">
        <v>10000</v>
      </c>
      <c r="AF1030" s="76">
        <f t="shared" si="108"/>
        <v>114621.65</v>
      </c>
    </row>
    <row r="1031" spans="3:32" ht="8.25" customHeight="1" x14ac:dyDescent="0.25">
      <c r="N1031" s="52">
        <v>26</v>
      </c>
      <c r="T1031" s="33">
        <v>46069</v>
      </c>
      <c r="U1031" s="34">
        <v>2026</v>
      </c>
      <c r="V1031" s="35" t="s">
        <v>749</v>
      </c>
      <c r="W1031" s="35" t="s">
        <v>17</v>
      </c>
      <c r="X1031" s="37" t="s">
        <v>996</v>
      </c>
      <c r="Y1031" s="36" t="s">
        <v>997</v>
      </c>
      <c r="Z1031" s="30" t="s">
        <v>560</v>
      </c>
      <c r="AA1031" s="30" t="s">
        <v>3899</v>
      </c>
      <c r="AD1031" s="38">
        <v>39772.730000000003</v>
      </c>
      <c r="AF1031" s="76">
        <f t="shared" si="108"/>
        <v>154394.38</v>
      </c>
    </row>
    <row r="1032" spans="3:32" ht="8.25" customHeight="1" x14ac:dyDescent="0.15">
      <c r="N1032" s="52">
        <v>26</v>
      </c>
      <c r="T1032" s="33">
        <v>46069</v>
      </c>
      <c r="U1032" s="34">
        <v>2026</v>
      </c>
      <c r="V1032" s="35" t="s">
        <v>749</v>
      </c>
      <c r="W1032" s="35" t="s">
        <v>17</v>
      </c>
      <c r="X1032" s="37" t="s">
        <v>996</v>
      </c>
      <c r="Y1032" s="36" t="s">
        <v>997</v>
      </c>
      <c r="Z1032" s="30" t="s">
        <v>560</v>
      </c>
      <c r="AA1032" s="134" t="s">
        <v>166</v>
      </c>
      <c r="AD1032" s="38">
        <v>810.71</v>
      </c>
      <c r="AF1032" s="76">
        <f t="shared" si="108"/>
        <v>155205.09</v>
      </c>
    </row>
    <row r="1033" spans="3:32" ht="8.25" customHeight="1" x14ac:dyDescent="0.25">
      <c r="I1033" s="52">
        <v>25</v>
      </c>
      <c r="T1033" s="33">
        <v>46069</v>
      </c>
      <c r="U1033" s="34">
        <v>2026</v>
      </c>
      <c r="V1033" s="35" t="s">
        <v>749</v>
      </c>
      <c r="W1033" s="35" t="s">
        <v>17</v>
      </c>
      <c r="X1033" s="37" t="s">
        <v>998</v>
      </c>
      <c r="Y1033" s="36" t="s">
        <v>571</v>
      </c>
      <c r="Z1033" s="30" t="s">
        <v>560</v>
      </c>
      <c r="AA1033" s="30" t="s">
        <v>13</v>
      </c>
      <c r="AD1033" s="38">
        <v>1887.07</v>
      </c>
      <c r="AF1033" s="76">
        <f t="shared" ref="AF1033:AF1043" si="109">AF1032+AD1033-AE1033</f>
        <v>157092.16</v>
      </c>
    </row>
    <row r="1034" spans="3:32" ht="8.25" customHeight="1" x14ac:dyDescent="0.25">
      <c r="M1034" s="52">
        <v>10</v>
      </c>
      <c r="T1034" s="33">
        <v>46069</v>
      </c>
      <c r="U1034" s="34">
        <v>2026</v>
      </c>
      <c r="V1034" s="35" t="s">
        <v>749</v>
      </c>
      <c r="W1034" s="35" t="s">
        <v>17</v>
      </c>
      <c r="X1034" s="37" t="s">
        <v>999</v>
      </c>
      <c r="Y1034" s="36" t="s">
        <v>120</v>
      </c>
      <c r="Z1034" s="30" t="s">
        <v>560</v>
      </c>
      <c r="AA1034" s="30" t="s">
        <v>385</v>
      </c>
      <c r="AD1034" s="38">
        <v>1172.8699999999999</v>
      </c>
      <c r="AF1034" s="76">
        <f t="shared" si="109"/>
        <v>158265.03</v>
      </c>
    </row>
    <row r="1035" spans="3:32" ht="8.25" customHeight="1" x14ac:dyDescent="0.15">
      <c r="K1035" s="52">
        <v>11</v>
      </c>
      <c r="T1035" s="33">
        <v>46069</v>
      </c>
      <c r="U1035" s="34">
        <v>2026</v>
      </c>
      <c r="V1035" s="35" t="s">
        <v>749</v>
      </c>
      <c r="W1035" s="35" t="s">
        <v>17</v>
      </c>
      <c r="X1035" s="37" t="s">
        <v>1000</v>
      </c>
      <c r="Y1035" s="36" t="s">
        <v>1001</v>
      </c>
      <c r="Z1035" s="30" t="s">
        <v>1002</v>
      </c>
      <c r="AA1035" s="136" t="s">
        <v>1788</v>
      </c>
      <c r="AD1035" s="38">
        <v>100</v>
      </c>
      <c r="AF1035" s="76">
        <f t="shared" si="109"/>
        <v>158365.03</v>
      </c>
    </row>
    <row r="1036" spans="3:32" ht="8.25" customHeight="1" x14ac:dyDescent="0.25">
      <c r="L1036" s="52">
        <v>11</v>
      </c>
      <c r="T1036" s="33">
        <v>46069</v>
      </c>
      <c r="U1036" s="34">
        <v>2026</v>
      </c>
      <c r="V1036" s="35" t="s">
        <v>749</v>
      </c>
      <c r="W1036" s="35" t="s">
        <v>17</v>
      </c>
      <c r="X1036" s="37" t="s">
        <v>1003</v>
      </c>
      <c r="Y1036" s="36" t="s">
        <v>120</v>
      </c>
      <c r="Z1036" s="30" t="s">
        <v>1002</v>
      </c>
      <c r="AA1036" s="30" t="s">
        <v>373</v>
      </c>
      <c r="AD1036" s="38">
        <v>50</v>
      </c>
      <c r="AF1036" s="76">
        <f t="shared" si="109"/>
        <v>158415.03</v>
      </c>
    </row>
    <row r="1037" spans="3:32" ht="8.25" customHeight="1" x14ac:dyDescent="0.25">
      <c r="I1037" s="52">
        <v>26</v>
      </c>
      <c r="T1037" s="33">
        <v>46069</v>
      </c>
      <c r="U1037" s="34">
        <v>2026</v>
      </c>
      <c r="V1037" s="35" t="s">
        <v>749</v>
      </c>
      <c r="W1037" s="35" t="s">
        <v>17</v>
      </c>
      <c r="X1037" s="37" t="s">
        <v>1004</v>
      </c>
      <c r="Y1037" s="36" t="s">
        <v>1005</v>
      </c>
      <c r="Z1037" s="30" t="s">
        <v>1002</v>
      </c>
      <c r="AA1037" s="30" t="s">
        <v>13</v>
      </c>
      <c r="AD1037" s="38">
        <v>1136.3599999999999</v>
      </c>
      <c r="AF1037" s="76">
        <f t="shared" si="109"/>
        <v>159551.38999999998</v>
      </c>
    </row>
    <row r="1038" spans="3:32" ht="8.25" customHeight="1" x14ac:dyDescent="0.25">
      <c r="M1038" s="52">
        <v>11</v>
      </c>
      <c r="T1038" s="33">
        <v>46069</v>
      </c>
      <c r="U1038" s="34">
        <v>2026</v>
      </c>
      <c r="V1038" s="35" t="s">
        <v>749</v>
      </c>
      <c r="W1038" s="35" t="s">
        <v>17</v>
      </c>
      <c r="X1038" s="37" t="s">
        <v>1006</v>
      </c>
      <c r="Y1038" s="36" t="s">
        <v>120</v>
      </c>
      <c r="Z1038" s="30" t="s">
        <v>1002</v>
      </c>
      <c r="AA1038" s="30" t="s">
        <v>385</v>
      </c>
      <c r="AD1038" s="38">
        <v>27.28</v>
      </c>
      <c r="AF1038" s="76">
        <f t="shared" si="109"/>
        <v>159578.66999999998</v>
      </c>
    </row>
    <row r="1039" spans="3:32" ht="8.25" customHeight="1" x14ac:dyDescent="0.25">
      <c r="R1039" s="53">
        <v>18</v>
      </c>
      <c r="T1039" s="33">
        <v>46069</v>
      </c>
      <c r="U1039" s="34">
        <v>2026</v>
      </c>
      <c r="V1039" s="35" t="s">
        <v>749</v>
      </c>
      <c r="W1039" s="35" t="s">
        <v>5</v>
      </c>
      <c r="X1039" s="37" t="s">
        <v>1007</v>
      </c>
      <c r="Y1039" s="36" t="s">
        <v>1008</v>
      </c>
      <c r="Z1039" s="30" t="s">
        <v>1009</v>
      </c>
      <c r="AA1039" s="30" t="s">
        <v>395</v>
      </c>
      <c r="AE1039" s="38">
        <v>58643.38</v>
      </c>
      <c r="AF1039" s="76">
        <f t="shared" si="109"/>
        <v>100935.28999999998</v>
      </c>
    </row>
    <row r="1040" spans="3:32" ht="8.25" customHeight="1" x14ac:dyDescent="0.25">
      <c r="R1040" s="53">
        <v>19</v>
      </c>
      <c r="T1040" s="33">
        <v>46069</v>
      </c>
      <c r="U1040" s="34">
        <v>2026</v>
      </c>
      <c r="V1040" s="35" t="s">
        <v>749</v>
      </c>
      <c r="W1040" s="35" t="s">
        <v>5</v>
      </c>
      <c r="X1040" s="37" t="s">
        <v>1010</v>
      </c>
      <c r="Y1040" s="36" t="s">
        <v>1011</v>
      </c>
      <c r="Z1040" s="30" t="s">
        <v>1002</v>
      </c>
      <c r="AA1040" s="30" t="s">
        <v>395</v>
      </c>
      <c r="AE1040" s="38">
        <v>11363.64</v>
      </c>
      <c r="AF1040" s="76">
        <f t="shared" si="109"/>
        <v>89571.64999999998</v>
      </c>
    </row>
    <row r="1041" spans="7:32" ht="8.25" customHeight="1" x14ac:dyDescent="0.25">
      <c r="G1041" s="53">
        <v>15</v>
      </c>
      <c r="T1041" s="33">
        <v>46069</v>
      </c>
      <c r="U1041" s="34">
        <v>2026</v>
      </c>
      <c r="V1041" s="35" t="s">
        <v>749</v>
      </c>
      <c r="W1041" s="35" t="s">
        <v>5</v>
      </c>
      <c r="Y1041" s="36" t="s">
        <v>990</v>
      </c>
      <c r="Z1041" s="30" t="s">
        <v>991</v>
      </c>
      <c r="AA1041" s="30" t="s">
        <v>3945</v>
      </c>
      <c r="AE1041" s="38">
        <v>551.5</v>
      </c>
      <c r="AF1041" s="76">
        <f t="shared" si="109"/>
        <v>89020.14999999998</v>
      </c>
    </row>
    <row r="1042" spans="7:32" ht="8.25" customHeight="1" x14ac:dyDescent="0.25">
      <c r="G1042" s="53">
        <v>16</v>
      </c>
      <c r="T1042" s="33">
        <v>46069</v>
      </c>
      <c r="U1042" s="34">
        <v>2026</v>
      </c>
      <c r="V1042" s="35" t="s">
        <v>749</v>
      </c>
      <c r="W1042" s="35" t="s">
        <v>5</v>
      </c>
      <c r="Y1042" s="36" t="s">
        <v>992</v>
      </c>
      <c r="Z1042" s="30" t="s">
        <v>993</v>
      </c>
      <c r="AA1042" s="30" t="s">
        <v>3945</v>
      </c>
      <c r="AE1042" s="38">
        <v>8250.32</v>
      </c>
      <c r="AF1042" s="76">
        <f t="shared" si="109"/>
        <v>80769.829999999987</v>
      </c>
    </row>
    <row r="1043" spans="7:32" ht="8.25" customHeight="1" x14ac:dyDescent="0.25">
      <c r="G1043" s="53">
        <v>17</v>
      </c>
      <c r="T1043" s="33">
        <v>46069</v>
      </c>
      <c r="U1043" s="34">
        <v>2026</v>
      </c>
      <c r="V1043" s="35" t="s">
        <v>749</v>
      </c>
      <c r="W1043" s="35" t="s">
        <v>5</v>
      </c>
      <c r="Y1043" s="36" t="s">
        <v>994</v>
      </c>
      <c r="Z1043" s="30" t="s">
        <v>995</v>
      </c>
      <c r="AA1043" s="30" t="s">
        <v>3945</v>
      </c>
      <c r="AE1043" s="38">
        <v>9216</v>
      </c>
      <c r="AF1043" s="76">
        <f t="shared" si="109"/>
        <v>71553.829999999987</v>
      </c>
    </row>
    <row r="1044" spans="7:32" ht="8.25" customHeight="1" thickBot="1" x14ac:dyDescent="0.3">
      <c r="AA1044" s="75" t="s">
        <v>257</v>
      </c>
      <c r="AD1044" s="91">
        <f>SUM(AD1024:AD1043)</f>
        <v>72110.020000000019</v>
      </c>
      <c r="AE1044" s="91">
        <f>SUM(AE1024:AE1043)</f>
        <v>98024.84</v>
      </c>
      <c r="AF1044" s="76">
        <f>AF1023+AD1044-AE1044</f>
        <v>71553.830000000016</v>
      </c>
    </row>
    <row r="1045" spans="7:32" ht="8.25" customHeight="1" thickTop="1" x14ac:dyDescent="0.25">
      <c r="X1045" s="109"/>
      <c r="Y1045" s="67" t="s">
        <v>214</v>
      </c>
      <c r="Z1045" s="68"/>
      <c r="AA1045" s="75"/>
    </row>
    <row r="1046" spans="7:32" ht="8.25" customHeight="1" x14ac:dyDescent="0.25">
      <c r="X1046" s="110" t="s">
        <v>319</v>
      </c>
      <c r="Y1046" s="111">
        <v>200</v>
      </c>
      <c r="Z1046" s="111">
        <f t="shared" ref="Z1046:Z1051" si="110">X1046*Y1046</f>
        <v>1200</v>
      </c>
      <c r="AA1046" s="112"/>
    </row>
    <row r="1047" spans="7:32" ht="8.25" customHeight="1" x14ac:dyDescent="0.25">
      <c r="X1047" s="110" t="s">
        <v>1122</v>
      </c>
      <c r="Y1047" s="111">
        <v>100</v>
      </c>
      <c r="Z1047" s="111">
        <f t="shared" si="110"/>
        <v>67100</v>
      </c>
      <c r="AA1047" s="112"/>
    </row>
    <row r="1048" spans="7:32" ht="8.25" customHeight="1" x14ac:dyDescent="0.25">
      <c r="X1048" s="110" t="s">
        <v>963</v>
      </c>
      <c r="Y1048" s="111">
        <v>50</v>
      </c>
      <c r="Z1048" s="111">
        <f t="shared" si="110"/>
        <v>1150</v>
      </c>
      <c r="AA1048" s="76"/>
    </row>
    <row r="1049" spans="7:32" ht="8.25" customHeight="1" x14ac:dyDescent="0.25">
      <c r="X1049" s="110" t="s">
        <v>926</v>
      </c>
      <c r="Y1049" s="111">
        <v>20</v>
      </c>
      <c r="Z1049" s="111">
        <f t="shared" si="110"/>
        <v>620</v>
      </c>
      <c r="AA1049" s="38"/>
      <c r="AD1049" s="76"/>
      <c r="AE1049" s="76"/>
    </row>
    <row r="1050" spans="7:32" ht="8.25" customHeight="1" x14ac:dyDescent="0.25">
      <c r="X1050" s="110" t="s">
        <v>319</v>
      </c>
      <c r="Y1050" s="111">
        <v>10</v>
      </c>
      <c r="Z1050" s="111">
        <f t="shared" si="110"/>
        <v>60</v>
      </c>
      <c r="AA1050" s="112"/>
    </row>
    <row r="1051" spans="7:32" ht="8.25" customHeight="1" x14ac:dyDescent="0.25">
      <c r="X1051" s="110" t="s">
        <v>927</v>
      </c>
      <c r="Y1051" s="111">
        <v>5</v>
      </c>
      <c r="Z1051" s="111">
        <f t="shared" si="110"/>
        <v>805</v>
      </c>
      <c r="AA1051" s="112"/>
    </row>
    <row r="1052" spans="7:32" ht="8.25" customHeight="1" x14ac:dyDescent="0.25">
      <c r="X1052" s="269">
        <v>0</v>
      </c>
      <c r="Y1052" s="270"/>
      <c r="Z1052" s="271"/>
      <c r="AA1052" s="38"/>
    </row>
    <row r="1053" spans="7:32" ht="8.25" customHeight="1" x14ac:dyDescent="0.25">
      <c r="X1053" s="110" t="s">
        <v>1121</v>
      </c>
      <c r="Y1053" s="111">
        <v>1</v>
      </c>
      <c r="Z1053" s="111">
        <f t="shared" ref="Z1053:Z1058" si="111">X1053*Y1053</f>
        <v>574</v>
      </c>
      <c r="AA1053" s="76"/>
    </row>
    <row r="1054" spans="7:32" ht="8.25" customHeight="1" x14ac:dyDescent="0.25">
      <c r="X1054" s="110" t="s">
        <v>1012</v>
      </c>
      <c r="Y1054" s="111">
        <v>0.5</v>
      </c>
      <c r="Z1054" s="111">
        <f t="shared" si="111"/>
        <v>24.5</v>
      </c>
      <c r="AA1054" s="112"/>
    </row>
    <row r="1055" spans="7:32" ht="8.25" customHeight="1" x14ac:dyDescent="0.25">
      <c r="X1055" s="110" t="s">
        <v>259</v>
      </c>
      <c r="Y1055" s="111">
        <v>0.25</v>
      </c>
      <c r="Z1055" s="111">
        <f t="shared" si="111"/>
        <v>20</v>
      </c>
      <c r="AA1055" s="113"/>
    </row>
    <row r="1056" spans="7:32" ht="8.25" customHeight="1" x14ac:dyDescent="0.25">
      <c r="X1056" s="110" t="s">
        <v>223</v>
      </c>
      <c r="Y1056" s="111">
        <v>0.1</v>
      </c>
      <c r="Z1056" s="111">
        <f t="shared" si="111"/>
        <v>0.30000000000000004</v>
      </c>
      <c r="AA1056" s="114" t="s">
        <v>219</v>
      </c>
    </row>
    <row r="1057" spans="14:32" ht="8.25" customHeight="1" thickBot="1" x14ac:dyDescent="0.3">
      <c r="X1057" s="110"/>
      <c r="Y1057" s="111">
        <v>0.05</v>
      </c>
      <c r="Z1057" s="111">
        <f t="shared" si="111"/>
        <v>0</v>
      </c>
      <c r="AA1057" s="115">
        <f>SUM(Z1046:Z1051)+Z1053+Z1054+Z1055+Z1056+Z1057+Z1058</f>
        <v>71553.83</v>
      </c>
    </row>
    <row r="1058" spans="14:32" ht="8.25" customHeight="1" thickTop="1" x14ac:dyDescent="0.25">
      <c r="X1058" s="110" t="s">
        <v>223</v>
      </c>
      <c r="Y1058" s="111">
        <v>0.01</v>
      </c>
      <c r="Z1058" s="111">
        <f t="shared" si="111"/>
        <v>0.03</v>
      </c>
    </row>
    <row r="1060" spans="14:32" ht="8.25" customHeight="1" x14ac:dyDescent="0.25">
      <c r="AA1060" s="75" t="s">
        <v>251</v>
      </c>
      <c r="AF1060" s="76">
        <f>AF1043</f>
        <v>71553.829999999987</v>
      </c>
    </row>
    <row r="1061" spans="14:32" ht="8.25" customHeight="1" x14ac:dyDescent="0.25">
      <c r="N1061" s="52">
        <v>27</v>
      </c>
      <c r="T1061" s="33">
        <v>46070</v>
      </c>
      <c r="U1061" s="34">
        <v>2026</v>
      </c>
      <c r="V1061" s="35" t="s">
        <v>749</v>
      </c>
      <c r="W1061" s="35" t="s">
        <v>17</v>
      </c>
      <c r="X1061" s="37" t="s">
        <v>1013</v>
      </c>
      <c r="Y1061" s="36" t="s">
        <v>450</v>
      </c>
      <c r="Z1061" s="30" t="s">
        <v>451</v>
      </c>
      <c r="AA1061" s="30" t="s">
        <v>3899</v>
      </c>
      <c r="AD1061" s="38">
        <v>12035.24</v>
      </c>
      <c r="AF1061" s="76">
        <f t="shared" ref="AF1061:AF1078" si="112">AF1060+AD1061-AE1061</f>
        <v>83589.069999999992</v>
      </c>
    </row>
    <row r="1062" spans="14:32" ht="8.25" customHeight="1" x14ac:dyDescent="0.15">
      <c r="N1062" s="52">
        <v>27</v>
      </c>
      <c r="T1062" s="33">
        <v>46070</v>
      </c>
      <c r="U1062" s="34">
        <v>2026</v>
      </c>
      <c r="V1062" s="35" t="s">
        <v>749</v>
      </c>
      <c r="W1062" s="35" t="s">
        <v>17</v>
      </c>
      <c r="X1062" s="37" t="s">
        <v>1013</v>
      </c>
      <c r="Y1062" s="36" t="s">
        <v>450</v>
      </c>
      <c r="Z1062" s="30" t="s">
        <v>451</v>
      </c>
      <c r="AA1062" s="134" t="s">
        <v>166</v>
      </c>
      <c r="AD1062" s="38">
        <v>964.76</v>
      </c>
      <c r="AF1062" s="76">
        <f t="shared" si="112"/>
        <v>84553.829999999987</v>
      </c>
    </row>
    <row r="1063" spans="14:32" ht="8.25" customHeight="1" x14ac:dyDescent="0.25">
      <c r="N1063" s="52">
        <v>28</v>
      </c>
      <c r="T1063" s="33">
        <v>46070</v>
      </c>
      <c r="U1063" s="34">
        <v>2026</v>
      </c>
      <c r="V1063" s="35" t="s">
        <v>749</v>
      </c>
      <c r="W1063" s="35" t="s">
        <v>17</v>
      </c>
      <c r="X1063" s="37" t="s">
        <v>1014</v>
      </c>
      <c r="Y1063" s="36" t="s">
        <v>507</v>
      </c>
      <c r="Z1063" s="30" t="s">
        <v>508</v>
      </c>
      <c r="AA1063" s="30" t="s">
        <v>3899</v>
      </c>
      <c r="AD1063" s="38">
        <v>13370.33</v>
      </c>
      <c r="AF1063" s="76">
        <f t="shared" si="112"/>
        <v>97924.159999999989</v>
      </c>
    </row>
    <row r="1064" spans="14:32" ht="8.25" customHeight="1" x14ac:dyDescent="0.15">
      <c r="N1064" s="52">
        <v>28</v>
      </c>
      <c r="T1064" s="33">
        <v>46070</v>
      </c>
      <c r="U1064" s="34">
        <v>2026</v>
      </c>
      <c r="V1064" s="35" t="s">
        <v>749</v>
      </c>
      <c r="W1064" s="35" t="s">
        <v>17</v>
      </c>
      <c r="X1064" s="37" t="s">
        <v>1014</v>
      </c>
      <c r="Y1064" s="36" t="s">
        <v>507</v>
      </c>
      <c r="Z1064" s="30" t="s">
        <v>508</v>
      </c>
      <c r="AA1064" s="134" t="s">
        <v>166</v>
      </c>
      <c r="AD1064" s="38">
        <v>629.66999999999996</v>
      </c>
      <c r="AF1064" s="76">
        <f t="shared" si="112"/>
        <v>98553.829999999987</v>
      </c>
    </row>
    <row r="1065" spans="14:32" ht="8.25" customHeight="1" x14ac:dyDescent="0.25">
      <c r="N1065" s="52">
        <v>29</v>
      </c>
      <c r="T1065" s="33">
        <v>46070</v>
      </c>
      <c r="U1065" s="34">
        <v>2026</v>
      </c>
      <c r="V1065" s="35" t="s">
        <v>749</v>
      </c>
      <c r="W1065" s="35" t="s">
        <v>17</v>
      </c>
      <c r="X1065" s="37" t="s">
        <v>1015</v>
      </c>
      <c r="Y1065" s="36" t="s">
        <v>585</v>
      </c>
      <c r="Z1065" s="30" t="s">
        <v>584</v>
      </c>
      <c r="AA1065" s="30" t="s">
        <v>3899</v>
      </c>
      <c r="AD1065" s="38">
        <v>5931.7</v>
      </c>
      <c r="AF1065" s="76">
        <f t="shared" si="112"/>
        <v>104485.52999999998</v>
      </c>
    </row>
    <row r="1066" spans="14:32" ht="8.25" customHeight="1" x14ac:dyDescent="0.15">
      <c r="N1066" s="52">
        <v>29</v>
      </c>
      <c r="T1066" s="33">
        <v>46070</v>
      </c>
      <c r="U1066" s="34">
        <v>2026</v>
      </c>
      <c r="V1066" s="35" t="s">
        <v>749</v>
      </c>
      <c r="W1066" s="35" t="s">
        <v>17</v>
      </c>
      <c r="X1066" s="37" t="s">
        <v>1015</v>
      </c>
      <c r="Y1066" s="36" t="s">
        <v>585</v>
      </c>
      <c r="Z1066" s="30" t="s">
        <v>584</v>
      </c>
      <c r="AA1066" s="134" t="s">
        <v>166</v>
      </c>
      <c r="AD1066" s="38">
        <v>5668.3</v>
      </c>
      <c r="AF1066" s="76">
        <f t="shared" si="112"/>
        <v>110153.82999999999</v>
      </c>
    </row>
    <row r="1067" spans="14:32" ht="8.25" customHeight="1" x14ac:dyDescent="0.25">
      <c r="N1067" s="52">
        <v>30</v>
      </c>
      <c r="T1067" s="33">
        <v>46070</v>
      </c>
      <c r="U1067" s="34">
        <v>2026</v>
      </c>
      <c r="V1067" s="35" t="s">
        <v>749</v>
      </c>
      <c r="W1067" s="35" t="s">
        <v>17</v>
      </c>
      <c r="X1067" s="37" t="s">
        <v>1016</v>
      </c>
      <c r="Y1067" s="36" t="s">
        <v>486</v>
      </c>
      <c r="Z1067" s="30" t="s">
        <v>487</v>
      </c>
      <c r="AA1067" s="30" t="s">
        <v>3899</v>
      </c>
      <c r="AD1067" s="38">
        <v>4919.3999999999996</v>
      </c>
      <c r="AF1067" s="76">
        <f t="shared" si="112"/>
        <v>115073.22999999998</v>
      </c>
    </row>
    <row r="1068" spans="14:32" ht="8.25" customHeight="1" x14ac:dyDescent="0.15">
      <c r="N1068" s="52">
        <v>30</v>
      </c>
      <c r="T1068" s="33">
        <v>46070</v>
      </c>
      <c r="U1068" s="34">
        <v>2026</v>
      </c>
      <c r="V1068" s="35" t="s">
        <v>749</v>
      </c>
      <c r="W1068" s="35" t="s">
        <v>17</v>
      </c>
      <c r="X1068" s="37" t="s">
        <v>1016</v>
      </c>
      <c r="Y1068" s="36" t="s">
        <v>486</v>
      </c>
      <c r="Z1068" s="30" t="s">
        <v>487</v>
      </c>
      <c r="AA1068" s="134" t="s">
        <v>166</v>
      </c>
      <c r="AD1068" s="38">
        <v>3080.6</v>
      </c>
      <c r="AF1068" s="76">
        <f t="shared" si="112"/>
        <v>118153.82999999999</v>
      </c>
    </row>
    <row r="1069" spans="14:32" ht="8.25" customHeight="1" x14ac:dyDescent="0.25">
      <c r="N1069" s="52">
        <v>31</v>
      </c>
      <c r="T1069" s="33">
        <v>46070</v>
      </c>
      <c r="U1069" s="34">
        <v>2026</v>
      </c>
      <c r="V1069" s="35" t="s">
        <v>749</v>
      </c>
      <c r="W1069" s="35" t="s">
        <v>17</v>
      </c>
      <c r="X1069" s="37" t="s">
        <v>1017</v>
      </c>
      <c r="Y1069" s="36" t="s">
        <v>1018</v>
      </c>
      <c r="Z1069" s="30" t="s">
        <v>484</v>
      </c>
      <c r="AA1069" s="30" t="s">
        <v>3899</v>
      </c>
      <c r="AD1069" s="38">
        <v>5035.92</v>
      </c>
      <c r="AF1069" s="76">
        <f t="shared" si="112"/>
        <v>123189.74999999999</v>
      </c>
    </row>
    <row r="1070" spans="14:32" ht="8.25" customHeight="1" x14ac:dyDescent="0.15">
      <c r="N1070" s="52">
        <v>31</v>
      </c>
      <c r="T1070" s="33">
        <v>46070</v>
      </c>
      <c r="U1070" s="34">
        <v>2026</v>
      </c>
      <c r="V1070" s="35" t="s">
        <v>749</v>
      </c>
      <c r="W1070" s="35" t="s">
        <v>17</v>
      </c>
      <c r="X1070" s="37" t="s">
        <v>1017</v>
      </c>
      <c r="Y1070" s="36" t="s">
        <v>1018</v>
      </c>
      <c r="Z1070" s="30" t="s">
        <v>484</v>
      </c>
      <c r="AA1070" s="134" t="s">
        <v>166</v>
      </c>
      <c r="AD1070" s="38">
        <v>5764.08</v>
      </c>
      <c r="AF1070" s="76">
        <f t="shared" si="112"/>
        <v>128953.82999999999</v>
      </c>
    </row>
    <row r="1071" spans="14:32" ht="8.25" customHeight="1" x14ac:dyDescent="0.25">
      <c r="N1071" s="52">
        <v>32</v>
      </c>
      <c r="T1071" s="33">
        <v>46070</v>
      </c>
      <c r="U1071" s="34">
        <v>2026</v>
      </c>
      <c r="V1071" s="35" t="s">
        <v>749</v>
      </c>
      <c r="W1071" s="35" t="s">
        <v>17</v>
      </c>
      <c r="X1071" s="37" t="s">
        <v>1019</v>
      </c>
      <c r="Y1071" s="36" t="s">
        <v>361</v>
      </c>
      <c r="Z1071" s="30" t="s">
        <v>362</v>
      </c>
      <c r="AA1071" s="30" t="s">
        <v>3899</v>
      </c>
      <c r="AD1071" s="38">
        <v>4550.8900000000003</v>
      </c>
      <c r="AF1071" s="76">
        <f t="shared" si="112"/>
        <v>133504.72</v>
      </c>
    </row>
    <row r="1072" spans="14:32" ht="8.25" customHeight="1" x14ac:dyDescent="0.15">
      <c r="N1072" s="52">
        <v>32</v>
      </c>
      <c r="T1072" s="33">
        <v>46070</v>
      </c>
      <c r="U1072" s="34">
        <v>2026</v>
      </c>
      <c r="V1072" s="35" t="s">
        <v>749</v>
      </c>
      <c r="W1072" s="35" t="s">
        <v>17</v>
      </c>
      <c r="X1072" s="37" t="s">
        <v>1019</v>
      </c>
      <c r="Y1072" s="36" t="s">
        <v>361</v>
      </c>
      <c r="Z1072" s="30" t="s">
        <v>362</v>
      </c>
      <c r="AA1072" s="134" t="s">
        <v>166</v>
      </c>
      <c r="AD1072" s="38">
        <v>7449.11</v>
      </c>
      <c r="AF1072" s="76">
        <f t="shared" si="112"/>
        <v>140953.82999999999</v>
      </c>
    </row>
    <row r="1073" spans="7:32" ht="8.25" customHeight="1" x14ac:dyDescent="0.25">
      <c r="I1073" s="52">
        <v>27</v>
      </c>
      <c r="T1073" s="33">
        <v>46070</v>
      </c>
      <c r="U1073" s="34">
        <v>2026</v>
      </c>
      <c r="V1073" s="35" t="s">
        <v>749</v>
      </c>
      <c r="W1073" s="35" t="s">
        <v>17</v>
      </c>
      <c r="X1073" s="37" t="s">
        <v>1020</v>
      </c>
      <c r="Y1073" s="36" t="s">
        <v>491</v>
      </c>
      <c r="Z1073" s="30" t="s">
        <v>492</v>
      </c>
      <c r="AA1073" s="30" t="s">
        <v>13</v>
      </c>
      <c r="AD1073" s="38">
        <v>200</v>
      </c>
      <c r="AF1073" s="76">
        <f t="shared" si="112"/>
        <v>141153.82999999999</v>
      </c>
    </row>
    <row r="1074" spans="7:32" ht="8.25" customHeight="1" x14ac:dyDescent="0.25">
      <c r="G1074" s="53">
        <v>18</v>
      </c>
      <c r="T1074" s="33">
        <v>46070</v>
      </c>
      <c r="U1074" s="34">
        <v>2026</v>
      </c>
      <c r="V1074" s="35" t="s">
        <v>749</v>
      </c>
      <c r="W1074" s="35" t="s">
        <v>5</v>
      </c>
      <c r="Y1074" s="36" t="s">
        <v>1021</v>
      </c>
      <c r="Z1074" s="30" t="s">
        <v>835</v>
      </c>
      <c r="AA1074" s="30" t="s">
        <v>3945</v>
      </c>
      <c r="AE1074" s="38">
        <v>1550</v>
      </c>
      <c r="AF1074" s="76">
        <f t="shared" si="112"/>
        <v>139603.82999999999</v>
      </c>
    </row>
    <row r="1075" spans="7:32" ht="8.25" customHeight="1" x14ac:dyDescent="0.25">
      <c r="G1075" s="53">
        <v>19</v>
      </c>
      <c r="T1075" s="33">
        <v>46070</v>
      </c>
      <c r="U1075" s="34">
        <v>2026</v>
      </c>
      <c r="V1075" s="35" t="s">
        <v>749</v>
      </c>
      <c r="W1075" s="35" t="s">
        <v>5</v>
      </c>
      <c r="Y1075" s="36" t="s">
        <v>1022</v>
      </c>
      <c r="Z1075" s="30" t="s">
        <v>1023</v>
      </c>
      <c r="AA1075" s="30" t="s">
        <v>3945</v>
      </c>
      <c r="AE1075" s="38">
        <v>3007.25</v>
      </c>
      <c r="AF1075" s="76">
        <f t="shared" si="112"/>
        <v>136596.57999999999</v>
      </c>
    </row>
    <row r="1076" spans="7:32" ht="8.25" customHeight="1" x14ac:dyDescent="0.25">
      <c r="N1076" s="52">
        <v>33</v>
      </c>
      <c r="T1076" s="33">
        <v>46070</v>
      </c>
      <c r="U1076" s="34">
        <v>2026</v>
      </c>
      <c r="V1076" s="35" t="s">
        <v>749</v>
      </c>
      <c r="W1076" s="35" t="s">
        <v>17</v>
      </c>
      <c r="X1076" s="37" t="s">
        <v>1025</v>
      </c>
      <c r="Y1076" s="36" t="s">
        <v>1026</v>
      </c>
      <c r="Z1076" s="30" t="s">
        <v>530</v>
      </c>
      <c r="AA1076" s="30" t="s">
        <v>3708</v>
      </c>
      <c r="AD1076" s="38">
        <v>247.97</v>
      </c>
      <c r="AF1076" s="76">
        <f t="shared" si="112"/>
        <v>136844.54999999999</v>
      </c>
    </row>
    <row r="1077" spans="7:32" ht="8.25" customHeight="1" x14ac:dyDescent="0.15">
      <c r="N1077" s="52">
        <v>33</v>
      </c>
      <c r="T1077" s="33">
        <v>46070</v>
      </c>
      <c r="U1077" s="34">
        <v>2026</v>
      </c>
      <c r="V1077" s="35" t="s">
        <v>749</v>
      </c>
      <c r="W1077" s="35" t="s">
        <v>17</v>
      </c>
      <c r="X1077" s="37" t="s">
        <v>1025</v>
      </c>
      <c r="Y1077" s="36" t="s">
        <v>1026</v>
      </c>
      <c r="Z1077" s="30" t="s">
        <v>530</v>
      </c>
      <c r="AA1077" s="134" t="s">
        <v>183</v>
      </c>
      <c r="AD1077" s="38">
        <v>121.03</v>
      </c>
      <c r="AF1077" s="76">
        <f t="shared" si="112"/>
        <v>136965.57999999999</v>
      </c>
    </row>
    <row r="1078" spans="7:32" ht="8.25" customHeight="1" x14ac:dyDescent="0.25">
      <c r="I1078" s="52">
        <v>28</v>
      </c>
      <c r="T1078" s="33">
        <v>46070</v>
      </c>
      <c r="U1078" s="34">
        <v>2026</v>
      </c>
      <c r="V1078" s="35" t="s">
        <v>749</v>
      </c>
      <c r="W1078" s="35" t="s">
        <v>17</v>
      </c>
      <c r="X1078" s="37" t="s">
        <v>1027</v>
      </c>
      <c r="Y1078" s="36" t="s">
        <v>533</v>
      </c>
      <c r="Z1078" s="30" t="s">
        <v>530</v>
      </c>
      <c r="AA1078" s="30" t="s">
        <v>13</v>
      </c>
      <c r="AD1078" s="38">
        <v>31</v>
      </c>
      <c r="AF1078" s="76">
        <f t="shared" si="112"/>
        <v>136996.57999999999</v>
      </c>
    </row>
    <row r="1079" spans="7:32" ht="8.25" customHeight="1" thickBot="1" x14ac:dyDescent="0.3">
      <c r="AA1079" s="75" t="s">
        <v>257</v>
      </c>
      <c r="AD1079" s="91">
        <f>SUM(AD1061:AD1078)</f>
        <v>70000</v>
      </c>
      <c r="AE1079" s="91">
        <f>SUM(AE1061:AE1078)</f>
        <v>4557.25</v>
      </c>
    </row>
    <row r="1080" spans="7:32" ht="8.25" customHeight="1" thickTop="1" x14ac:dyDescent="0.25">
      <c r="X1080" s="109"/>
      <c r="Y1080" s="67" t="s">
        <v>214</v>
      </c>
      <c r="Z1080" s="68"/>
      <c r="AA1080" s="75"/>
    </row>
    <row r="1081" spans="7:32" ht="8.25" customHeight="1" x14ac:dyDescent="0.25">
      <c r="X1081" s="110" t="s">
        <v>299</v>
      </c>
      <c r="Y1081" s="111">
        <v>200</v>
      </c>
      <c r="Z1081" s="111">
        <f t="shared" ref="Z1081:Z1086" si="113">X1081*Y1081</f>
        <v>800</v>
      </c>
      <c r="AA1081" s="112"/>
    </row>
    <row r="1082" spans="7:32" ht="8.25" customHeight="1" x14ac:dyDescent="0.25">
      <c r="X1082" s="110" t="s">
        <v>1123</v>
      </c>
      <c r="Y1082" s="111">
        <v>100</v>
      </c>
      <c r="Z1082" s="111">
        <f t="shared" si="113"/>
        <v>133000</v>
      </c>
      <c r="AA1082" s="112"/>
    </row>
    <row r="1083" spans="7:32" ht="8.25" customHeight="1" x14ac:dyDescent="0.25">
      <c r="X1083" s="110" t="s">
        <v>963</v>
      </c>
      <c r="Y1083" s="111">
        <v>50</v>
      </c>
      <c r="Z1083" s="111">
        <f t="shared" si="113"/>
        <v>1150</v>
      </c>
      <c r="AA1083" s="76"/>
    </row>
    <row r="1084" spans="7:32" ht="8.25" customHeight="1" x14ac:dyDescent="0.25">
      <c r="X1084" s="110" t="s">
        <v>836</v>
      </c>
      <c r="Y1084" s="111">
        <v>20</v>
      </c>
      <c r="Z1084" s="111">
        <f t="shared" si="113"/>
        <v>660</v>
      </c>
      <c r="AA1084" s="38"/>
    </row>
    <row r="1085" spans="7:32" ht="8.25" customHeight="1" x14ac:dyDescent="0.25">
      <c r="X1085" s="110" t="s">
        <v>223</v>
      </c>
      <c r="Y1085" s="111">
        <v>10</v>
      </c>
      <c r="Z1085" s="111">
        <f t="shared" si="113"/>
        <v>30</v>
      </c>
      <c r="AA1085" s="112"/>
    </row>
    <row r="1086" spans="7:32" ht="8.25" customHeight="1" x14ac:dyDescent="0.25">
      <c r="X1086" s="110" t="s">
        <v>1024</v>
      </c>
      <c r="Y1086" s="111">
        <v>5</v>
      </c>
      <c r="Z1086" s="111">
        <f t="shared" si="113"/>
        <v>785</v>
      </c>
      <c r="AA1086" s="112"/>
    </row>
    <row r="1087" spans="7:32" ht="8.25" customHeight="1" x14ac:dyDescent="0.25">
      <c r="X1087" s="269">
        <v>0</v>
      </c>
      <c r="Y1087" s="270"/>
      <c r="Z1087" s="271"/>
      <c r="AA1087" s="38"/>
    </row>
    <row r="1088" spans="7:32" ht="8.25" customHeight="1" x14ac:dyDescent="0.25">
      <c r="X1088" s="110" t="s">
        <v>472</v>
      </c>
      <c r="Y1088" s="111">
        <v>1</v>
      </c>
      <c r="Z1088" s="111">
        <f t="shared" ref="Z1088:Z1093" si="114">X1088*Y1088</f>
        <v>529</v>
      </c>
      <c r="AA1088" s="76"/>
    </row>
    <row r="1089" spans="7:32" ht="8.25" customHeight="1" x14ac:dyDescent="0.25">
      <c r="X1089" s="110" t="s">
        <v>431</v>
      </c>
      <c r="Y1089" s="111">
        <v>0.5</v>
      </c>
      <c r="Z1089" s="111">
        <f t="shared" si="114"/>
        <v>22.5</v>
      </c>
      <c r="AA1089" s="112"/>
    </row>
    <row r="1090" spans="7:32" ht="8.25" customHeight="1" x14ac:dyDescent="0.25">
      <c r="X1090" s="110" t="s">
        <v>259</v>
      </c>
      <c r="Y1090" s="111">
        <v>0.25</v>
      </c>
      <c r="Z1090" s="111">
        <f t="shared" si="114"/>
        <v>20</v>
      </c>
      <c r="AA1090" s="113"/>
    </row>
    <row r="1091" spans="7:32" ht="8.25" customHeight="1" x14ac:dyDescent="0.25">
      <c r="X1091" s="110"/>
      <c r="Y1091" s="111">
        <v>0.1</v>
      </c>
      <c r="Z1091" s="111">
        <f t="shared" si="114"/>
        <v>0</v>
      </c>
      <c r="AA1091" s="114" t="s">
        <v>219</v>
      </c>
    </row>
    <row r="1092" spans="7:32" ht="8.25" customHeight="1" thickBot="1" x14ac:dyDescent="0.3">
      <c r="X1092" s="110" t="s">
        <v>222</v>
      </c>
      <c r="Y1092" s="111">
        <v>0.05</v>
      </c>
      <c r="Z1092" s="111">
        <f t="shared" si="114"/>
        <v>0.05</v>
      </c>
      <c r="AA1092" s="115">
        <f>SUM(Z1081:Z1086)+Z1088+Z1089+Z1090+Z1091+Z1092+Z1093</f>
        <v>136996.57999999999</v>
      </c>
    </row>
    <row r="1093" spans="7:32" ht="8.25" customHeight="1" thickTop="1" x14ac:dyDescent="0.25">
      <c r="X1093" s="110" t="s">
        <v>223</v>
      </c>
      <c r="Y1093" s="111">
        <v>0.01</v>
      </c>
      <c r="Z1093" s="111">
        <f t="shared" si="114"/>
        <v>0.03</v>
      </c>
    </row>
    <row r="1095" spans="7:32" ht="8.25" customHeight="1" x14ac:dyDescent="0.25">
      <c r="AA1095" s="75" t="s">
        <v>251</v>
      </c>
      <c r="AF1095" s="76">
        <f>AF1078</f>
        <v>136996.57999999999</v>
      </c>
    </row>
    <row r="1096" spans="7:32" ht="8.25" customHeight="1" x14ac:dyDescent="0.25">
      <c r="R1096" s="53">
        <v>20</v>
      </c>
      <c r="T1096" s="33">
        <v>46071</v>
      </c>
      <c r="U1096" s="34">
        <v>2026</v>
      </c>
      <c r="V1096" s="35" t="s">
        <v>749</v>
      </c>
      <c r="W1096" s="35" t="s">
        <v>5</v>
      </c>
      <c r="X1096" s="37" t="s">
        <v>1029</v>
      </c>
      <c r="Y1096" s="36" t="s">
        <v>577</v>
      </c>
      <c r="Z1096" s="30" t="s">
        <v>1030</v>
      </c>
      <c r="AA1096" s="30" t="s">
        <v>92</v>
      </c>
      <c r="AE1096" s="38">
        <v>5000</v>
      </c>
      <c r="AF1096" s="76">
        <f t="shared" ref="AF1096:AF1111" si="115">AF1095+AD1096-AE1096</f>
        <v>131996.57999999999</v>
      </c>
    </row>
    <row r="1097" spans="7:32" ht="8.25" customHeight="1" x14ac:dyDescent="0.25">
      <c r="Q1097" s="52">
        <v>3</v>
      </c>
      <c r="R1097" s="53">
        <v>21</v>
      </c>
      <c r="T1097" s="33">
        <v>46071</v>
      </c>
      <c r="U1097" s="34">
        <v>2026</v>
      </c>
      <c r="V1097" s="35" t="s">
        <v>749</v>
      </c>
      <c r="W1097" s="35" t="s">
        <v>5</v>
      </c>
      <c r="X1097" s="37" t="s">
        <v>1045</v>
      </c>
      <c r="Y1097" s="36" t="s">
        <v>1046</v>
      </c>
      <c r="Z1097" s="30" t="s">
        <v>1047</v>
      </c>
      <c r="AA1097" s="30" t="s">
        <v>1063</v>
      </c>
      <c r="AE1097" s="38">
        <v>39772.730000000003</v>
      </c>
      <c r="AF1097" s="76">
        <f t="shared" si="115"/>
        <v>92223.849999999977</v>
      </c>
    </row>
    <row r="1098" spans="7:32" ht="8.25" customHeight="1" x14ac:dyDescent="0.25">
      <c r="R1098" s="53">
        <v>22</v>
      </c>
      <c r="T1098" s="33">
        <v>46071</v>
      </c>
      <c r="U1098" s="34">
        <v>2026</v>
      </c>
      <c r="V1098" s="35" t="s">
        <v>749</v>
      </c>
      <c r="W1098" s="35" t="s">
        <v>5</v>
      </c>
      <c r="X1098" s="37" t="s">
        <v>1048</v>
      </c>
      <c r="Y1098" s="36" t="s">
        <v>825</v>
      </c>
      <c r="Z1098" s="30" t="s">
        <v>1049</v>
      </c>
      <c r="AA1098" s="30" t="s">
        <v>92</v>
      </c>
      <c r="AE1098" s="38">
        <v>1000</v>
      </c>
      <c r="AF1098" s="76">
        <f t="shared" si="115"/>
        <v>91223.849999999977</v>
      </c>
    </row>
    <row r="1099" spans="7:32" ht="8.25" customHeight="1" x14ac:dyDescent="0.25">
      <c r="Q1099" s="52">
        <v>4</v>
      </c>
      <c r="R1099" s="53">
        <v>23</v>
      </c>
      <c r="T1099" s="33">
        <v>46071</v>
      </c>
      <c r="U1099" s="34">
        <v>2026</v>
      </c>
      <c r="V1099" s="35" t="s">
        <v>749</v>
      </c>
      <c r="W1099" s="35" t="s">
        <v>5</v>
      </c>
      <c r="X1099" s="37" t="s">
        <v>1061</v>
      </c>
      <c r="Y1099" s="36" t="s">
        <v>1062</v>
      </c>
      <c r="Z1099" s="30" t="s">
        <v>1060</v>
      </c>
      <c r="AA1099" s="30" t="s">
        <v>1063</v>
      </c>
      <c r="AE1099" s="38">
        <v>30000</v>
      </c>
      <c r="AF1099" s="76">
        <f t="shared" si="115"/>
        <v>61223.849999999977</v>
      </c>
    </row>
    <row r="1100" spans="7:32" ht="8.25" customHeight="1" x14ac:dyDescent="0.25">
      <c r="G1100" s="53">
        <v>20</v>
      </c>
      <c r="T1100" s="33">
        <v>46071</v>
      </c>
      <c r="U1100" s="34">
        <v>2026</v>
      </c>
      <c r="V1100" s="35" t="s">
        <v>749</v>
      </c>
      <c r="W1100" s="35" t="s">
        <v>5</v>
      </c>
      <c r="Y1100" s="36" t="s">
        <v>1031</v>
      </c>
      <c r="Z1100" s="30" t="s">
        <v>1032</v>
      </c>
      <c r="AA1100" s="30" t="s">
        <v>3945</v>
      </c>
      <c r="AE1100" s="38">
        <v>2210.9</v>
      </c>
      <c r="AF1100" s="76">
        <f t="shared" si="115"/>
        <v>59012.949999999975</v>
      </c>
    </row>
    <row r="1101" spans="7:32" ht="8.25" customHeight="1" x14ac:dyDescent="0.15">
      <c r="K1101" s="52">
        <v>12</v>
      </c>
      <c r="T1101" s="33">
        <v>46071</v>
      </c>
      <c r="U1101" s="34">
        <v>2026</v>
      </c>
      <c r="V1101" s="35" t="s">
        <v>749</v>
      </c>
      <c r="W1101" s="35" t="s">
        <v>17</v>
      </c>
      <c r="X1101" s="37" t="s">
        <v>1051</v>
      </c>
      <c r="Y1101" s="36" t="s">
        <v>1052</v>
      </c>
      <c r="Z1101" s="30" t="s">
        <v>1047</v>
      </c>
      <c r="AA1101" s="136" t="s">
        <v>1788</v>
      </c>
      <c r="AD1101" s="38">
        <v>100</v>
      </c>
      <c r="AF1101" s="76">
        <f t="shared" si="115"/>
        <v>59112.949999999975</v>
      </c>
    </row>
    <row r="1102" spans="7:32" ht="8.25" customHeight="1" x14ac:dyDescent="0.25">
      <c r="L1102" s="52">
        <v>12</v>
      </c>
      <c r="T1102" s="33">
        <v>46071</v>
      </c>
      <c r="U1102" s="34">
        <v>2026</v>
      </c>
      <c r="V1102" s="35" t="s">
        <v>749</v>
      </c>
      <c r="W1102" s="35" t="s">
        <v>17</v>
      </c>
      <c r="X1102" s="37" t="s">
        <v>1053</v>
      </c>
      <c r="Y1102" s="36" t="s">
        <v>120</v>
      </c>
      <c r="Z1102" s="30" t="s">
        <v>1047</v>
      </c>
      <c r="AA1102" s="30" t="s">
        <v>1054</v>
      </c>
      <c r="AD1102" s="38">
        <v>50</v>
      </c>
      <c r="AF1102" s="76">
        <f t="shared" si="115"/>
        <v>59162.949999999975</v>
      </c>
    </row>
    <row r="1103" spans="7:32" ht="8.25" customHeight="1" x14ac:dyDescent="0.15">
      <c r="K1103" s="52">
        <v>13</v>
      </c>
      <c r="T1103" s="33">
        <v>46071</v>
      </c>
      <c r="U1103" s="34">
        <v>2026</v>
      </c>
      <c r="V1103" s="35" t="s">
        <v>749</v>
      </c>
      <c r="W1103" s="35" t="s">
        <v>17</v>
      </c>
      <c r="X1103" s="37" t="s">
        <v>1038</v>
      </c>
      <c r="Y1103" s="36" t="s">
        <v>1039</v>
      </c>
      <c r="Z1103" s="30" t="s">
        <v>1037</v>
      </c>
      <c r="AA1103" s="136" t="s">
        <v>1788</v>
      </c>
      <c r="AD1103" s="38">
        <v>100</v>
      </c>
      <c r="AF1103" s="76">
        <f t="shared" si="115"/>
        <v>59262.949999999975</v>
      </c>
    </row>
    <row r="1104" spans="7:32" ht="8.25" customHeight="1" x14ac:dyDescent="0.25">
      <c r="L1104" s="52">
        <v>13</v>
      </c>
      <c r="T1104" s="33">
        <v>46071</v>
      </c>
      <c r="U1104" s="34">
        <v>2026</v>
      </c>
      <c r="V1104" s="35" t="s">
        <v>749</v>
      </c>
      <c r="W1104" s="35" t="s">
        <v>17</v>
      </c>
      <c r="X1104" s="37" t="s">
        <v>1040</v>
      </c>
      <c r="Y1104" s="36" t="s">
        <v>120</v>
      </c>
      <c r="Z1104" s="30" t="s">
        <v>1037</v>
      </c>
      <c r="AA1104" s="30" t="s">
        <v>1054</v>
      </c>
      <c r="AD1104" s="38">
        <v>50</v>
      </c>
      <c r="AF1104" s="76">
        <f t="shared" si="115"/>
        <v>59312.949999999975</v>
      </c>
    </row>
    <row r="1105" spans="3:32" ht="8.25" customHeight="1" x14ac:dyDescent="0.25">
      <c r="I1105" s="52">
        <v>29</v>
      </c>
      <c r="T1105" s="33">
        <v>46071</v>
      </c>
      <c r="U1105" s="34">
        <v>2026</v>
      </c>
      <c r="V1105" s="35" t="s">
        <v>749</v>
      </c>
      <c r="W1105" s="35" t="s">
        <v>17</v>
      </c>
      <c r="X1105" s="37" t="s">
        <v>1035</v>
      </c>
      <c r="Y1105" s="36" t="s">
        <v>1036</v>
      </c>
      <c r="Z1105" s="30" t="s">
        <v>1037</v>
      </c>
      <c r="AA1105" s="30" t="s">
        <v>13</v>
      </c>
      <c r="AD1105" s="38">
        <v>20000</v>
      </c>
      <c r="AF1105" s="76">
        <f t="shared" si="115"/>
        <v>79312.949999999983</v>
      </c>
    </row>
    <row r="1106" spans="3:32" ht="8.25" customHeight="1" x14ac:dyDescent="0.25">
      <c r="I1106" s="52">
        <v>30</v>
      </c>
      <c r="T1106" s="33">
        <v>46071</v>
      </c>
      <c r="U1106" s="34">
        <v>2026</v>
      </c>
      <c r="V1106" s="35" t="s">
        <v>749</v>
      </c>
      <c r="W1106" s="35" t="s">
        <v>17</v>
      </c>
      <c r="X1106" s="37" t="s">
        <v>1041</v>
      </c>
      <c r="Y1106" s="36" t="s">
        <v>1042</v>
      </c>
      <c r="Z1106" s="30" t="s">
        <v>1043</v>
      </c>
      <c r="AA1106" s="30" t="s">
        <v>1044</v>
      </c>
      <c r="AD1106" s="38">
        <v>200</v>
      </c>
      <c r="AF1106" s="76">
        <f t="shared" si="115"/>
        <v>79512.949999999983</v>
      </c>
    </row>
    <row r="1107" spans="3:32" ht="8.25" customHeight="1" x14ac:dyDescent="0.25">
      <c r="I1107" s="52">
        <v>31</v>
      </c>
      <c r="T1107" s="33">
        <v>46071</v>
      </c>
      <c r="U1107" s="34">
        <v>2026</v>
      </c>
      <c r="V1107" s="35" t="s">
        <v>749</v>
      </c>
      <c r="W1107" s="35" t="s">
        <v>17</v>
      </c>
      <c r="X1107" s="37" t="s">
        <v>1055</v>
      </c>
      <c r="Y1107" s="36" t="s">
        <v>1056</v>
      </c>
      <c r="Z1107" s="30" t="s">
        <v>1047</v>
      </c>
      <c r="AA1107" s="30" t="s">
        <v>1044</v>
      </c>
      <c r="AD1107" s="38">
        <v>3977.27</v>
      </c>
      <c r="AF1107" s="76">
        <f t="shared" si="115"/>
        <v>83490.219999999987</v>
      </c>
    </row>
    <row r="1108" spans="3:32" ht="8.25" customHeight="1" x14ac:dyDescent="0.25">
      <c r="M1108" s="52">
        <v>12</v>
      </c>
      <c r="T1108" s="33">
        <v>46071</v>
      </c>
      <c r="U1108" s="34">
        <v>2026</v>
      </c>
      <c r="V1108" s="35" t="s">
        <v>749</v>
      </c>
      <c r="W1108" s="35" t="s">
        <v>17</v>
      </c>
      <c r="X1108" s="37" t="s">
        <v>1057</v>
      </c>
      <c r="Y1108" s="36" t="s">
        <v>120</v>
      </c>
      <c r="Z1108" s="30" t="s">
        <v>1047</v>
      </c>
      <c r="AA1108" s="30" t="s">
        <v>1058</v>
      </c>
      <c r="AD1108" s="38">
        <v>795.46</v>
      </c>
      <c r="AF1108" s="76">
        <f t="shared" si="115"/>
        <v>84285.68</v>
      </c>
    </row>
    <row r="1109" spans="3:32" ht="8.25" customHeight="1" x14ac:dyDescent="0.25">
      <c r="M1109" s="52">
        <v>13</v>
      </c>
      <c r="T1109" s="33">
        <v>46071</v>
      </c>
      <c r="U1109" s="34">
        <v>2026</v>
      </c>
      <c r="V1109" s="35" t="s">
        <v>749</v>
      </c>
      <c r="W1109" s="35" t="s">
        <v>17</v>
      </c>
      <c r="X1109" s="37" t="s">
        <v>1059</v>
      </c>
      <c r="Y1109" s="36" t="s">
        <v>120</v>
      </c>
      <c r="Z1109" s="30" t="s">
        <v>1060</v>
      </c>
      <c r="AA1109" s="30" t="s">
        <v>1058</v>
      </c>
      <c r="AD1109" s="38">
        <v>600</v>
      </c>
      <c r="AF1109" s="76">
        <f t="shared" si="115"/>
        <v>84885.68</v>
      </c>
    </row>
    <row r="1110" spans="3:32" ht="8.25" customHeight="1" x14ac:dyDescent="0.25">
      <c r="I1110" s="52">
        <v>32</v>
      </c>
      <c r="T1110" s="33">
        <v>46071</v>
      </c>
      <c r="U1110" s="34">
        <v>2026</v>
      </c>
      <c r="V1110" s="35" t="s">
        <v>749</v>
      </c>
      <c r="W1110" s="35" t="s">
        <v>17</v>
      </c>
      <c r="X1110" s="37" t="s">
        <v>1064</v>
      </c>
      <c r="Y1110" s="36" t="s">
        <v>115</v>
      </c>
      <c r="Z1110" s="30" t="s">
        <v>16</v>
      </c>
      <c r="AA1110" s="30" t="s">
        <v>13</v>
      </c>
      <c r="AD1110" s="38">
        <v>700</v>
      </c>
      <c r="AF1110" s="76">
        <f t="shared" si="115"/>
        <v>85585.68</v>
      </c>
    </row>
    <row r="1111" spans="3:32" ht="8.25" customHeight="1" x14ac:dyDescent="0.25">
      <c r="C1111" s="52">
        <v>8</v>
      </c>
      <c r="T1111" s="33">
        <v>46071</v>
      </c>
      <c r="U1111" s="34">
        <v>2026</v>
      </c>
      <c r="V1111" s="35" t="s">
        <v>749</v>
      </c>
      <c r="W1111" s="35" t="s">
        <v>3620</v>
      </c>
      <c r="Y1111" s="36" t="s">
        <v>1033</v>
      </c>
      <c r="Z1111" s="30" t="s">
        <v>1034</v>
      </c>
      <c r="AA1111" s="30" t="s">
        <v>340</v>
      </c>
      <c r="AD1111" s="38">
        <v>42</v>
      </c>
      <c r="AF1111" s="76">
        <f t="shared" si="115"/>
        <v>85627.68</v>
      </c>
    </row>
    <row r="1112" spans="3:32" ht="8.25" customHeight="1" thickBot="1" x14ac:dyDescent="0.3">
      <c r="AA1112" s="75" t="s">
        <v>257</v>
      </c>
      <c r="AD1112" s="91">
        <f>SUM(AD1096:AD1111)</f>
        <v>26614.73</v>
      </c>
      <c r="AE1112" s="91">
        <f>SUM(AE1096:AE1111)</f>
        <v>77983.63</v>
      </c>
      <c r="AF1112" s="76">
        <f>AF1095+AD1112-AE1112</f>
        <v>85627.68</v>
      </c>
    </row>
    <row r="1113" spans="3:32" ht="8.25" customHeight="1" thickTop="1" x14ac:dyDescent="0.25"/>
    <row r="1114" spans="3:32" ht="8.25" customHeight="1" x14ac:dyDescent="0.25">
      <c r="X1114" s="109"/>
      <c r="Y1114" s="67" t="s">
        <v>214</v>
      </c>
      <c r="Z1114" s="68"/>
      <c r="AA1114" s="75"/>
    </row>
    <row r="1115" spans="3:32" ht="8.25" customHeight="1" x14ac:dyDescent="0.25">
      <c r="X1115" s="110" t="s">
        <v>299</v>
      </c>
      <c r="Y1115" s="111">
        <v>200</v>
      </c>
      <c r="Z1115" s="111">
        <f t="shared" ref="Z1115:Z1120" si="116">X1115*Y1115</f>
        <v>800</v>
      </c>
      <c r="AA1115" s="112"/>
    </row>
    <row r="1116" spans="3:32" ht="8.25" customHeight="1" x14ac:dyDescent="0.25">
      <c r="X1116" s="110" t="s">
        <v>1124</v>
      </c>
      <c r="Y1116" s="111">
        <v>100</v>
      </c>
      <c r="Z1116" s="111">
        <f t="shared" si="116"/>
        <v>81800</v>
      </c>
      <c r="AA1116" s="112"/>
    </row>
    <row r="1117" spans="3:32" ht="8.25" customHeight="1" x14ac:dyDescent="0.25">
      <c r="X1117" s="110" t="s">
        <v>669</v>
      </c>
      <c r="Y1117" s="111">
        <v>50</v>
      </c>
      <c r="Z1117" s="111">
        <f t="shared" si="116"/>
        <v>950</v>
      </c>
      <c r="AA1117" s="76"/>
    </row>
    <row r="1118" spans="3:32" ht="8.25" customHeight="1" x14ac:dyDescent="0.25">
      <c r="X1118" s="110" t="s">
        <v>851</v>
      </c>
      <c r="Y1118" s="111">
        <v>20</v>
      </c>
      <c r="Z1118" s="111">
        <f t="shared" si="116"/>
        <v>640</v>
      </c>
      <c r="AA1118" s="38"/>
    </row>
    <row r="1119" spans="3:32" ht="8.25" customHeight="1" x14ac:dyDescent="0.25">
      <c r="X1119" s="110" t="s">
        <v>221</v>
      </c>
      <c r="Y1119" s="111">
        <v>10</v>
      </c>
      <c r="Z1119" s="111">
        <f t="shared" si="116"/>
        <v>70</v>
      </c>
      <c r="AA1119" s="112"/>
    </row>
    <row r="1120" spans="3:32" ht="8.25" customHeight="1" x14ac:dyDescent="0.25">
      <c r="X1120" s="110" t="s">
        <v>1065</v>
      </c>
      <c r="Y1120" s="111">
        <v>5</v>
      </c>
      <c r="Z1120" s="111">
        <f t="shared" si="116"/>
        <v>795</v>
      </c>
      <c r="AA1120" s="112"/>
    </row>
    <row r="1121" spans="3:32" ht="8.25" customHeight="1" x14ac:dyDescent="0.25">
      <c r="X1121" s="269">
        <v>0</v>
      </c>
      <c r="Y1121" s="270"/>
      <c r="Z1121" s="271"/>
      <c r="AA1121" s="38"/>
    </row>
    <row r="1122" spans="3:32" ht="8.25" customHeight="1" x14ac:dyDescent="0.25">
      <c r="X1122" s="110" t="s">
        <v>471</v>
      </c>
      <c r="Y1122" s="111">
        <v>1</v>
      </c>
      <c r="Z1122" s="111">
        <f t="shared" ref="Z1122:Z1127" si="117">X1122*Y1122</f>
        <v>530</v>
      </c>
      <c r="AA1122" s="76"/>
    </row>
    <row r="1123" spans="3:32" ht="8.25" customHeight="1" x14ac:dyDescent="0.25">
      <c r="X1123" s="110" t="s">
        <v>431</v>
      </c>
      <c r="Y1123" s="111">
        <v>0.5</v>
      </c>
      <c r="Z1123" s="111">
        <f t="shared" si="117"/>
        <v>22.5</v>
      </c>
      <c r="AA1123" s="112"/>
    </row>
    <row r="1124" spans="3:32" ht="8.25" customHeight="1" x14ac:dyDescent="0.25">
      <c r="X1124" s="110" t="s">
        <v>259</v>
      </c>
      <c r="Y1124" s="111">
        <v>0.25</v>
      </c>
      <c r="Z1124" s="111">
        <f t="shared" si="117"/>
        <v>20</v>
      </c>
      <c r="AA1124" s="113"/>
    </row>
    <row r="1125" spans="3:32" ht="8.25" customHeight="1" x14ac:dyDescent="0.25">
      <c r="X1125" s="110" t="s">
        <v>222</v>
      </c>
      <c r="Y1125" s="111">
        <v>0.1</v>
      </c>
      <c r="Z1125" s="111">
        <f t="shared" si="117"/>
        <v>0.1</v>
      </c>
      <c r="AA1125" s="114" t="s">
        <v>219</v>
      </c>
    </row>
    <row r="1126" spans="3:32" ht="8.25" customHeight="1" thickBot="1" x14ac:dyDescent="0.3">
      <c r="X1126" s="110" t="s">
        <v>222</v>
      </c>
      <c r="Y1126" s="111">
        <v>0.05</v>
      </c>
      <c r="Z1126" s="111">
        <f t="shared" si="117"/>
        <v>0.05</v>
      </c>
      <c r="AA1126" s="115">
        <f>SUM(Z1115:Z1120)+Z1122+Z1123+Z1124+Z1125+Z1126+Z1127</f>
        <v>85627.680000000008</v>
      </c>
    </row>
    <row r="1127" spans="3:32" ht="8.25" customHeight="1" thickTop="1" x14ac:dyDescent="0.25">
      <c r="X1127" s="110" t="s">
        <v>223</v>
      </c>
      <c r="Y1127" s="111">
        <v>0.01</v>
      </c>
      <c r="Z1127" s="111">
        <f t="shared" si="117"/>
        <v>0.03</v>
      </c>
    </row>
    <row r="1129" spans="3:32" ht="8.25" customHeight="1" x14ac:dyDescent="0.25">
      <c r="E1129" s="52"/>
      <c r="H1129" s="53"/>
      <c r="O1129" s="52"/>
      <c r="AA1129" s="75" t="s">
        <v>251</v>
      </c>
      <c r="AF1129" s="76">
        <f>AF1112</f>
        <v>85627.68</v>
      </c>
    </row>
    <row r="1130" spans="3:32" ht="8.25" customHeight="1" x14ac:dyDescent="0.25">
      <c r="E1130" s="52"/>
      <c r="H1130" s="53"/>
      <c r="N1130" s="52">
        <v>34</v>
      </c>
      <c r="O1130" s="52"/>
      <c r="T1130" s="33">
        <v>46072</v>
      </c>
      <c r="U1130" s="34">
        <v>2026</v>
      </c>
      <c r="V1130" s="35" t="s">
        <v>749</v>
      </c>
      <c r="W1130" s="35" t="s">
        <v>17</v>
      </c>
      <c r="X1130" s="37" t="s">
        <v>1066</v>
      </c>
      <c r="Y1130" s="36" t="s">
        <v>335</v>
      </c>
      <c r="Z1130" s="30" t="s">
        <v>334</v>
      </c>
      <c r="AA1130" s="30" t="s">
        <v>3899</v>
      </c>
      <c r="AD1130" s="38">
        <v>12177.57</v>
      </c>
      <c r="AF1130" s="76">
        <f t="shared" ref="AF1130:AF1134" si="118">AF1129+AD1130-AE1130</f>
        <v>97805.25</v>
      </c>
    </row>
    <row r="1131" spans="3:32" ht="8.25" customHeight="1" x14ac:dyDescent="0.15">
      <c r="N1131" s="52">
        <v>34</v>
      </c>
      <c r="T1131" s="33">
        <v>46072</v>
      </c>
      <c r="U1131" s="34">
        <v>2026</v>
      </c>
      <c r="V1131" s="35" t="s">
        <v>749</v>
      </c>
      <c r="W1131" s="35" t="s">
        <v>17</v>
      </c>
      <c r="X1131" s="37" t="s">
        <v>1066</v>
      </c>
      <c r="Y1131" s="36" t="s">
        <v>335</v>
      </c>
      <c r="Z1131" s="30" t="s">
        <v>334</v>
      </c>
      <c r="AA1131" s="134" t="s">
        <v>166</v>
      </c>
      <c r="AD1131" s="38">
        <v>1822.43</v>
      </c>
      <c r="AF1131" s="76">
        <f t="shared" si="118"/>
        <v>99627.68</v>
      </c>
    </row>
    <row r="1132" spans="3:32" ht="8.25" customHeight="1" x14ac:dyDescent="0.25">
      <c r="I1132" s="52">
        <v>33</v>
      </c>
      <c r="T1132" s="33">
        <v>46072</v>
      </c>
      <c r="U1132" s="34">
        <v>2026</v>
      </c>
      <c r="V1132" s="35" t="s">
        <v>749</v>
      </c>
      <c r="W1132" s="35" t="s">
        <v>17</v>
      </c>
      <c r="X1132" s="37" t="s">
        <v>1067</v>
      </c>
      <c r="Y1132" s="36" t="s">
        <v>367</v>
      </c>
      <c r="Z1132" s="30" t="s">
        <v>1068</v>
      </c>
      <c r="AA1132" s="30" t="s">
        <v>1044</v>
      </c>
      <c r="AD1132" s="38">
        <v>1000</v>
      </c>
      <c r="AF1132" s="76">
        <f t="shared" si="118"/>
        <v>100627.68</v>
      </c>
    </row>
    <row r="1133" spans="3:32" ht="8.25" customHeight="1" x14ac:dyDescent="0.25">
      <c r="G1133" s="53">
        <v>21</v>
      </c>
      <c r="T1133" s="33">
        <v>46072</v>
      </c>
      <c r="U1133" s="34">
        <v>2026</v>
      </c>
      <c r="V1133" s="35" t="s">
        <v>749</v>
      </c>
      <c r="W1133" s="35" t="s">
        <v>3620</v>
      </c>
      <c r="Y1133" s="36" t="s">
        <v>1069</v>
      </c>
      <c r="Z1133" s="30" t="s">
        <v>1070</v>
      </c>
      <c r="AA1133" s="30" t="s">
        <v>340</v>
      </c>
      <c r="AD1133" s="38">
        <v>120</v>
      </c>
      <c r="AF1133" s="76">
        <f t="shared" si="118"/>
        <v>100747.68</v>
      </c>
    </row>
    <row r="1134" spans="3:32" ht="8.25" customHeight="1" x14ac:dyDescent="0.25">
      <c r="C1134" s="52">
        <v>9</v>
      </c>
      <c r="T1134" s="33">
        <v>46072</v>
      </c>
      <c r="U1134" s="34">
        <v>2026</v>
      </c>
      <c r="V1134" s="35" t="s">
        <v>749</v>
      </c>
      <c r="W1134" s="35" t="s">
        <v>5</v>
      </c>
      <c r="Y1134" s="36" t="s">
        <v>1071</v>
      </c>
      <c r="Z1134" s="30" t="s">
        <v>1072</v>
      </c>
      <c r="AA1134" s="30" t="s">
        <v>3945</v>
      </c>
      <c r="AE1134" s="38">
        <v>2979.84</v>
      </c>
      <c r="AF1134" s="76">
        <f t="shared" si="118"/>
        <v>97767.84</v>
      </c>
    </row>
    <row r="1135" spans="3:32" ht="8.25" customHeight="1" thickBot="1" x14ac:dyDescent="0.3">
      <c r="AA1135" s="75" t="s">
        <v>257</v>
      </c>
      <c r="AD1135" s="91">
        <f>SUM(AD1130:AD1134)</f>
        <v>15120</v>
      </c>
      <c r="AE1135" s="91">
        <f>SUM(AE1130:AE1134)</f>
        <v>2979.84</v>
      </c>
      <c r="AF1135" s="76">
        <f>AF1129+AD1135-AE1135</f>
        <v>97767.84</v>
      </c>
    </row>
    <row r="1136" spans="3:32" ht="8.25" customHeight="1" thickTop="1" x14ac:dyDescent="0.25"/>
    <row r="1137" spans="24:32" ht="8.25" customHeight="1" x14ac:dyDescent="0.25">
      <c r="X1137" s="109"/>
      <c r="Y1137" s="67" t="s">
        <v>214</v>
      </c>
      <c r="Z1137" s="68"/>
      <c r="AA1137" s="75"/>
    </row>
    <row r="1138" spans="24:32" ht="8.25" customHeight="1" x14ac:dyDescent="0.25">
      <c r="X1138" s="110" t="s">
        <v>299</v>
      </c>
      <c r="Y1138" s="111">
        <v>200</v>
      </c>
      <c r="Z1138" s="111">
        <f t="shared" ref="Z1138:Z1143" si="119">X1138*Y1138</f>
        <v>800</v>
      </c>
      <c r="AA1138" s="112"/>
    </row>
    <row r="1139" spans="24:32" ht="8.25" customHeight="1" x14ac:dyDescent="0.25">
      <c r="X1139" s="110" t="s">
        <v>1153</v>
      </c>
      <c r="Y1139" s="111">
        <v>100</v>
      </c>
      <c r="Z1139" s="111">
        <f t="shared" si="119"/>
        <v>106000</v>
      </c>
      <c r="AA1139" s="112"/>
    </row>
    <row r="1140" spans="24:32" ht="8.25" customHeight="1" x14ac:dyDescent="0.25">
      <c r="X1140" s="110" t="s">
        <v>1151</v>
      </c>
      <c r="Y1140" s="111">
        <v>50</v>
      </c>
      <c r="Z1140" s="111">
        <f t="shared" si="119"/>
        <v>1200</v>
      </c>
      <c r="AA1140" s="76"/>
    </row>
    <row r="1141" spans="24:32" ht="8.25" customHeight="1" x14ac:dyDescent="0.25">
      <c r="X1141" s="110" t="s">
        <v>1152</v>
      </c>
      <c r="Y1141" s="111">
        <v>20</v>
      </c>
      <c r="Z1141" s="111">
        <f t="shared" si="119"/>
        <v>580</v>
      </c>
      <c r="AA1141" s="38"/>
    </row>
    <row r="1142" spans="24:32" ht="8.25" customHeight="1" x14ac:dyDescent="0.25">
      <c r="X1142" s="110" t="s">
        <v>120</v>
      </c>
      <c r="Y1142" s="111">
        <v>10</v>
      </c>
      <c r="Z1142" s="111">
        <f t="shared" si="119"/>
        <v>0</v>
      </c>
      <c r="AA1142" s="112"/>
    </row>
    <row r="1143" spans="24:32" ht="8.25" customHeight="1" x14ac:dyDescent="0.25">
      <c r="X1143" s="110" t="s">
        <v>1024</v>
      </c>
      <c r="Y1143" s="111">
        <v>5</v>
      </c>
      <c r="Z1143" s="111">
        <f t="shared" si="119"/>
        <v>785</v>
      </c>
      <c r="AA1143" s="112"/>
    </row>
    <row r="1144" spans="24:32" ht="8.25" customHeight="1" x14ac:dyDescent="0.25">
      <c r="X1144" s="269">
        <v>0</v>
      </c>
      <c r="Y1144" s="270"/>
      <c r="Z1144" s="271"/>
      <c r="AA1144" s="38"/>
    </row>
    <row r="1145" spans="24:32" ht="8.25" customHeight="1" x14ac:dyDescent="0.25">
      <c r="X1145" s="110" t="s">
        <v>1150</v>
      </c>
      <c r="Y1145" s="111">
        <v>1</v>
      </c>
      <c r="Z1145" s="111">
        <f t="shared" ref="Z1145:Z1150" si="120">X1145*Y1145</f>
        <v>521</v>
      </c>
      <c r="AA1145" s="76"/>
    </row>
    <row r="1146" spans="24:32" ht="8.25" customHeight="1" x14ac:dyDescent="0.25">
      <c r="X1146" s="110" t="s">
        <v>748</v>
      </c>
      <c r="Y1146" s="111">
        <v>0.5</v>
      </c>
      <c r="Z1146" s="111">
        <f t="shared" si="120"/>
        <v>22</v>
      </c>
      <c r="AA1146" s="112"/>
    </row>
    <row r="1147" spans="24:32" ht="8.25" customHeight="1" x14ac:dyDescent="0.25">
      <c r="X1147" s="110"/>
      <c r="Y1147" s="111">
        <v>0.25</v>
      </c>
      <c r="Z1147" s="111">
        <f t="shared" si="120"/>
        <v>0</v>
      </c>
      <c r="AA1147" s="113"/>
    </row>
    <row r="1148" spans="24:32" ht="8.25" customHeight="1" x14ac:dyDescent="0.25">
      <c r="X1148" s="110"/>
      <c r="Y1148" s="111">
        <v>0.1</v>
      </c>
      <c r="Z1148" s="111">
        <f t="shared" si="120"/>
        <v>0</v>
      </c>
      <c r="AA1148" s="114" t="s">
        <v>219</v>
      </c>
    </row>
    <row r="1149" spans="24:32" ht="8.25" customHeight="1" thickBot="1" x14ac:dyDescent="0.3">
      <c r="X1149" s="110"/>
      <c r="Y1149" s="111">
        <v>0.05</v>
      </c>
      <c r="Z1149" s="111">
        <f t="shared" si="120"/>
        <v>0</v>
      </c>
      <c r="AA1149" s="115">
        <f>SUM(Z1138:Z1143)+Z1145+Z1146+Z1147+Z1148+Z1149+Z1150</f>
        <v>109908</v>
      </c>
    </row>
    <row r="1150" spans="24:32" ht="8.25" customHeight="1" thickTop="1" x14ac:dyDescent="0.25">
      <c r="X1150" s="110"/>
      <c r="Y1150" s="111">
        <v>0.01</v>
      </c>
      <c r="Z1150" s="111">
        <f t="shared" si="120"/>
        <v>0</v>
      </c>
    </row>
    <row r="1152" spans="24:32" ht="8.25" customHeight="1" x14ac:dyDescent="0.25">
      <c r="AA1152" s="75" t="s">
        <v>251</v>
      </c>
      <c r="AF1152" s="76">
        <f>AF1135</f>
        <v>97767.84</v>
      </c>
    </row>
    <row r="1153" spans="4:32" ht="8.25" customHeight="1" x14ac:dyDescent="0.15">
      <c r="K1153" s="52">
        <v>14</v>
      </c>
      <c r="T1153" s="33">
        <v>46073</v>
      </c>
      <c r="U1153" s="34">
        <v>2026</v>
      </c>
      <c r="V1153" s="35" t="s">
        <v>749</v>
      </c>
      <c r="W1153" s="35" t="s">
        <v>17</v>
      </c>
      <c r="X1153" s="37" t="s">
        <v>1073</v>
      </c>
      <c r="Y1153" s="36" t="s">
        <v>1074</v>
      </c>
      <c r="Z1153" s="30" t="s">
        <v>1075</v>
      </c>
      <c r="AA1153" s="136" t="s">
        <v>1788</v>
      </c>
      <c r="AD1153" s="38">
        <v>100</v>
      </c>
      <c r="AF1153" s="76">
        <f t="shared" ref="AF1153:AF1169" si="121">AF1152+AD1153-AE1153</f>
        <v>97867.839999999997</v>
      </c>
    </row>
    <row r="1154" spans="4:32" ht="8.25" customHeight="1" x14ac:dyDescent="0.25">
      <c r="L1154" s="52">
        <v>14</v>
      </c>
      <c r="T1154" s="33">
        <v>46073</v>
      </c>
      <c r="U1154" s="34">
        <v>2026</v>
      </c>
      <c r="V1154" s="35" t="s">
        <v>749</v>
      </c>
      <c r="W1154" s="35" t="s">
        <v>17</v>
      </c>
      <c r="X1154" s="37" t="s">
        <v>1076</v>
      </c>
      <c r="Y1154" s="36" t="s">
        <v>120</v>
      </c>
      <c r="Z1154" s="30" t="s">
        <v>1075</v>
      </c>
      <c r="AA1154" s="30" t="s">
        <v>373</v>
      </c>
      <c r="AD1154" s="38">
        <v>50</v>
      </c>
      <c r="AF1154" s="76">
        <f t="shared" si="121"/>
        <v>97917.84</v>
      </c>
    </row>
    <row r="1155" spans="4:32" ht="8.25" customHeight="1" x14ac:dyDescent="0.25">
      <c r="N1155" s="52">
        <v>35</v>
      </c>
      <c r="T1155" s="33">
        <v>46073</v>
      </c>
      <c r="U1155" s="34">
        <v>2026</v>
      </c>
      <c r="V1155" s="35" t="s">
        <v>749</v>
      </c>
      <c r="W1155" s="35" t="s">
        <v>17</v>
      </c>
      <c r="X1155" s="37" t="s">
        <v>1077</v>
      </c>
      <c r="Y1155" s="36" t="s">
        <v>120</v>
      </c>
      <c r="Z1155" s="30" t="s">
        <v>15</v>
      </c>
      <c r="AA1155" s="30" t="s">
        <v>1078</v>
      </c>
      <c r="AD1155" s="38">
        <v>15</v>
      </c>
      <c r="AF1155" s="76">
        <f t="shared" si="121"/>
        <v>97932.84</v>
      </c>
    </row>
    <row r="1156" spans="4:32" ht="8.25" customHeight="1" x14ac:dyDescent="0.25">
      <c r="N1156" s="52">
        <v>36</v>
      </c>
      <c r="T1156" s="33">
        <v>46073</v>
      </c>
      <c r="U1156" s="34">
        <v>2026</v>
      </c>
      <c r="V1156" s="35" t="s">
        <v>749</v>
      </c>
      <c r="W1156" s="35" t="s">
        <v>17</v>
      </c>
      <c r="X1156" s="37" t="s">
        <v>1079</v>
      </c>
      <c r="Y1156" s="36" t="s">
        <v>1080</v>
      </c>
      <c r="Z1156" s="30" t="s">
        <v>553</v>
      </c>
      <c r="AA1156" s="30" t="s">
        <v>3899</v>
      </c>
      <c r="AD1156" s="38">
        <v>3650.14</v>
      </c>
      <c r="AF1156" s="76">
        <f t="shared" si="121"/>
        <v>101582.98</v>
      </c>
    </row>
    <row r="1157" spans="4:32" ht="8.25" customHeight="1" x14ac:dyDescent="0.15">
      <c r="N1157" s="52">
        <v>36</v>
      </c>
      <c r="T1157" s="33">
        <v>46073</v>
      </c>
      <c r="U1157" s="34">
        <v>2026</v>
      </c>
      <c r="V1157" s="35" t="s">
        <v>749</v>
      </c>
      <c r="W1157" s="35" t="s">
        <v>17</v>
      </c>
      <c r="X1157" s="37" t="s">
        <v>1079</v>
      </c>
      <c r="Y1157" s="36" t="s">
        <v>1080</v>
      </c>
      <c r="Z1157" s="30" t="s">
        <v>553</v>
      </c>
      <c r="AA1157" s="134" t="s">
        <v>166</v>
      </c>
      <c r="AD1157" s="38">
        <v>2649.86</v>
      </c>
      <c r="AF1157" s="76">
        <f t="shared" si="121"/>
        <v>104232.84</v>
      </c>
    </row>
    <row r="1158" spans="4:32" ht="8.25" customHeight="1" x14ac:dyDescent="0.25">
      <c r="N1158" s="52">
        <v>37</v>
      </c>
      <c r="T1158" s="33">
        <v>46073</v>
      </c>
      <c r="U1158" s="34">
        <v>2026</v>
      </c>
      <c r="V1158" s="35" t="s">
        <v>749</v>
      </c>
      <c r="W1158" s="35" t="s">
        <v>17</v>
      </c>
      <c r="X1158" s="37" t="s">
        <v>1081</v>
      </c>
      <c r="Y1158" s="36" t="s">
        <v>504</v>
      </c>
      <c r="Z1158" s="30" t="s">
        <v>505</v>
      </c>
      <c r="AA1158" s="30" t="s">
        <v>3899</v>
      </c>
      <c r="AD1158" s="38">
        <v>6057.39</v>
      </c>
      <c r="AF1158" s="76">
        <f t="shared" si="121"/>
        <v>110290.23</v>
      </c>
    </row>
    <row r="1159" spans="4:32" ht="8.25" customHeight="1" x14ac:dyDescent="0.15">
      <c r="N1159" s="52">
        <v>37</v>
      </c>
      <c r="T1159" s="33">
        <v>46073</v>
      </c>
      <c r="U1159" s="34">
        <v>2026</v>
      </c>
      <c r="V1159" s="35" t="s">
        <v>749</v>
      </c>
      <c r="W1159" s="35" t="s">
        <v>17</v>
      </c>
      <c r="X1159" s="37" t="s">
        <v>1081</v>
      </c>
      <c r="Y1159" s="36" t="s">
        <v>504</v>
      </c>
      <c r="Z1159" s="30" t="s">
        <v>505</v>
      </c>
      <c r="AA1159" s="134" t="s">
        <v>166</v>
      </c>
      <c r="AD1159" s="38">
        <v>4942.6099999999997</v>
      </c>
      <c r="AF1159" s="76">
        <f t="shared" si="121"/>
        <v>115232.84</v>
      </c>
    </row>
    <row r="1160" spans="4:32" ht="8.25" customHeight="1" x14ac:dyDescent="0.25">
      <c r="D1160" s="52">
        <v>5</v>
      </c>
      <c r="T1160" s="33">
        <v>46073</v>
      </c>
      <c r="U1160" s="34">
        <v>2026</v>
      </c>
      <c r="V1160" s="35" t="s">
        <v>749</v>
      </c>
      <c r="W1160" s="35" t="s">
        <v>17</v>
      </c>
      <c r="Y1160" s="36" t="s">
        <v>1082</v>
      </c>
      <c r="Z1160" s="30" t="s">
        <v>499</v>
      </c>
      <c r="AA1160" s="30" t="s">
        <v>256</v>
      </c>
      <c r="AD1160" s="38">
        <v>3000</v>
      </c>
      <c r="AF1160" s="76">
        <f t="shared" si="121"/>
        <v>118232.84</v>
      </c>
    </row>
    <row r="1161" spans="4:32" ht="8.25" customHeight="1" x14ac:dyDescent="0.25">
      <c r="I1161" s="52">
        <v>34</v>
      </c>
      <c r="T1161" s="33">
        <v>46073</v>
      </c>
      <c r="U1161" s="34">
        <v>2026</v>
      </c>
      <c r="V1161" s="35" t="s">
        <v>749</v>
      </c>
      <c r="W1161" s="35" t="s">
        <v>17</v>
      </c>
      <c r="X1161" s="37" t="s">
        <v>1083</v>
      </c>
      <c r="Y1161" s="36" t="s">
        <v>1084</v>
      </c>
      <c r="Z1161" s="30" t="s">
        <v>1085</v>
      </c>
      <c r="AA1161" s="30" t="s">
        <v>1044</v>
      </c>
      <c r="AD1161" s="38">
        <v>22727.27</v>
      </c>
      <c r="AF1161" s="76">
        <f t="shared" si="121"/>
        <v>140960.10999999999</v>
      </c>
    </row>
    <row r="1162" spans="4:32" ht="8.25" customHeight="1" x14ac:dyDescent="0.25">
      <c r="M1162" s="52">
        <v>14</v>
      </c>
      <c r="T1162" s="33">
        <v>46073</v>
      </c>
      <c r="U1162" s="34">
        <v>2026</v>
      </c>
      <c r="V1162" s="35" t="s">
        <v>749</v>
      </c>
      <c r="W1162" s="35" t="s">
        <v>17</v>
      </c>
      <c r="X1162" s="37" t="s">
        <v>1086</v>
      </c>
      <c r="Y1162" s="36" t="s">
        <v>120</v>
      </c>
      <c r="Z1162" s="30" t="s">
        <v>1085</v>
      </c>
      <c r="AA1162" s="30" t="s">
        <v>1058</v>
      </c>
      <c r="AD1162" s="38">
        <v>4545.46</v>
      </c>
      <c r="AF1162" s="76">
        <f t="shared" si="121"/>
        <v>145505.56999999998</v>
      </c>
    </row>
    <row r="1163" spans="4:32" ht="8.25" customHeight="1" x14ac:dyDescent="0.25">
      <c r="I1163" s="52">
        <v>35</v>
      </c>
      <c r="T1163" s="33">
        <v>46073</v>
      </c>
      <c r="U1163" s="34">
        <v>2026</v>
      </c>
      <c r="V1163" s="35" t="s">
        <v>749</v>
      </c>
      <c r="W1163" s="35" t="s">
        <v>17</v>
      </c>
      <c r="X1163" s="37" t="s">
        <v>1087</v>
      </c>
      <c r="Y1163" s="36" t="s">
        <v>849</v>
      </c>
      <c r="Z1163" s="30" t="s">
        <v>1088</v>
      </c>
      <c r="AA1163" s="30" t="s">
        <v>1044</v>
      </c>
      <c r="AD1163" s="38">
        <v>200</v>
      </c>
      <c r="AF1163" s="76">
        <f t="shared" si="121"/>
        <v>145705.56999999998</v>
      </c>
    </row>
    <row r="1164" spans="4:32" ht="8.25" customHeight="1" x14ac:dyDescent="0.15">
      <c r="K1164" s="52">
        <v>15</v>
      </c>
      <c r="T1164" s="33">
        <v>46073</v>
      </c>
      <c r="U1164" s="34">
        <v>2026</v>
      </c>
      <c r="V1164" s="35" t="s">
        <v>749</v>
      </c>
      <c r="W1164" s="35" t="s">
        <v>17</v>
      </c>
      <c r="X1164" s="37" t="s">
        <v>1089</v>
      </c>
      <c r="Y1164" s="36" t="s">
        <v>1090</v>
      </c>
      <c r="Z1164" s="30" t="s">
        <v>1091</v>
      </c>
      <c r="AA1164" s="136" t="s">
        <v>1788</v>
      </c>
      <c r="AD1164" s="38">
        <v>100</v>
      </c>
      <c r="AF1164" s="76">
        <f t="shared" si="121"/>
        <v>145805.56999999998</v>
      </c>
    </row>
    <row r="1165" spans="4:32" ht="8.25" customHeight="1" x14ac:dyDescent="0.25">
      <c r="L1165" s="52">
        <v>15</v>
      </c>
      <c r="T1165" s="33">
        <v>46073</v>
      </c>
      <c r="U1165" s="34">
        <v>2026</v>
      </c>
      <c r="V1165" s="35" t="s">
        <v>749</v>
      </c>
      <c r="W1165" s="35" t="s">
        <v>17</v>
      </c>
      <c r="X1165" s="37" t="s">
        <v>1092</v>
      </c>
      <c r="Y1165" s="36" t="s">
        <v>120</v>
      </c>
      <c r="Z1165" s="30" t="s">
        <v>1091</v>
      </c>
      <c r="AA1165" s="30" t="s">
        <v>373</v>
      </c>
      <c r="AD1165" s="38">
        <v>50</v>
      </c>
      <c r="AF1165" s="76">
        <f t="shared" si="121"/>
        <v>145855.56999999998</v>
      </c>
    </row>
    <row r="1166" spans="4:32" ht="8.25" customHeight="1" x14ac:dyDescent="0.25">
      <c r="I1166" s="52">
        <v>36</v>
      </c>
      <c r="T1166" s="33">
        <v>46073</v>
      </c>
      <c r="U1166" s="34">
        <v>2026</v>
      </c>
      <c r="V1166" s="35" t="s">
        <v>749</v>
      </c>
      <c r="W1166" s="35" t="s">
        <v>17</v>
      </c>
      <c r="X1166" s="37" t="s">
        <v>1093</v>
      </c>
      <c r="Y1166" s="36" t="s">
        <v>1094</v>
      </c>
      <c r="Z1166" s="30" t="s">
        <v>1091</v>
      </c>
      <c r="AA1166" s="30" t="s">
        <v>1044</v>
      </c>
      <c r="AD1166" s="38">
        <v>1159.0899999999999</v>
      </c>
      <c r="AF1166" s="76">
        <f t="shared" si="121"/>
        <v>147014.65999999997</v>
      </c>
    </row>
    <row r="1167" spans="4:32" ht="8.25" customHeight="1" x14ac:dyDescent="0.25">
      <c r="M1167" s="52">
        <v>15</v>
      </c>
      <c r="T1167" s="33">
        <v>46073</v>
      </c>
      <c r="U1167" s="34">
        <v>2026</v>
      </c>
      <c r="V1167" s="35" t="s">
        <v>749</v>
      </c>
      <c r="W1167" s="35" t="s">
        <v>17</v>
      </c>
      <c r="X1167" s="37" t="s">
        <v>1095</v>
      </c>
      <c r="Y1167" s="36" t="s">
        <v>120</v>
      </c>
      <c r="Z1167" s="30" t="s">
        <v>1091</v>
      </c>
      <c r="AA1167" s="30" t="s">
        <v>1058</v>
      </c>
      <c r="AD1167" s="38">
        <v>231.82</v>
      </c>
      <c r="AF1167" s="76">
        <f t="shared" si="121"/>
        <v>147246.47999999998</v>
      </c>
    </row>
    <row r="1168" spans="4:32" ht="8.25" customHeight="1" x14ac:dyDescent="0.25">
      <c r="T1168" s="33">
        <v>46073</v>
      </c>
      <c r="U1168" s="34">
        <v>2026</v>
      </c>
      <c r="V1168" s="35" t="s">
        <v>749</v>
      </c>
      <c r="W1168" s="35" t="s">
        <v>5</v>
      </c>
      <c r="X1168" s="37" t="s">
        <v>1096</v>
      </c>
      <c r="Y1168" s="36" t="s">
        <v>411</v>
      </c>
      <c r="Z1168" s="30" t="s">
        <v>398</v>
      </c>
      <c r="AA1168" s="30" t="s">
        <v>399</v>
      </c>
      <c r="AE1168" s="38">
        <v>27272.73</v>
      </c>
      <c r="AF1168" s="76">
        <f t="shared" si="121"/>
        <v>119973.74999999999</v>
      </c>
    </row>
    <row r="1169" spans="18:32" ht="8.25" customHeight="1" x14ac:dyDescent="0.25">
      <c r="R1169" s="53">
        <v>24</v>
      </c>
      <c r="T1169" s="33">
        <v>46073</v>
      </c>
      <c r="U1169" s="34">
        <v>2026</v>
      </c>
      <c r="V1169" s="35" t="s">
        <v>749</v>
      </c>
      <c r="W1169" s="35" t="s">
        <v>5</v>
      </c>
      <c r="X1169" s="37" t="s">
        <v>1098</v>
      </c>
      <c r="Y1169" s="36" t="s">
        <v>1099</v>
      </c>
      <c r="Z1169" s="30" t="s">
        <v>1091</v>
      </c>
      <c r="AA1169" s="30" t="s">
        <v>395</v>
      </c>
      <c r="AE1169" s="38">
        <v>11590.91</v>
      </c>
      <c r="AF1169" s="76">
        <f t="shared" si="121"/>
        <v>108382.83999999998</v>
      </c>
    </row>
    <row r="1170" spans="18:32" ht="8.25" customHeight="1" thickBot="1" x14ac:dyDescent="0.3">
      <c r="AA1170" s="75" t="s">
        <v>257</v>
      </c>
      <c r="AD1170" s="91">
        <f>SUM(AD1153:AD1169)</f>
        <v>49478.64</v>
      </c>
      <c r="AE1170" s="91">
        <f>SUM(AE1167:AE1169)</f>
        <v>38863.64</v>
      </c>
      <c r="AF1170" s="76">
        <f>AF1152+AD1170-AE1170</f>
        <v>108382.83999999998</v>
      </c>
    </row>
    <row r="1171" spans="18:32" ht="8.25" customHeight="1" thickTop="1" x14ac:dyDescent="0.25">
      <c r="X1171" s="109"/>
      <c r="Y1171" s="67" t="s">
        <v>214</v>
      </c>
      <c r="Z1171" s="68"/>
      <c r="AA1171" s="75"/>
    </row>
    <row r="1172" spans="18:32" ht="8.25" customHeight="1" x14ac:dyDescent="0.25">
      <c r="X1172" s="110" t="s">
        <v>1151</v>
      </c>
      <c r="Y1172" s="111">
        <v>200</v>
      </c>
      <c r="Z1172" s="111">
        <f t="shared" ref="Z1172:Z1177" si="122">X1172*Y1172</f>
        <v>4800</v>
      </c>
      <c r="AA1172" s="112"/>
    </row>
    <row r="1173" spans="18:32" ht="8.25" customHeight="1" x14ac:dyDescent="0.25">
      <c r="X1173" s="110" t="s">
        <v>1155</v>
      </c>
      <c r="Y1173" s="111">
        <v>100</v>
      </c>
      <c r="Z1173" s="111">
        <f t="shared" si="122"/>
        <v>120000</v>
      </c>
      <c r="AA1173" s="112"/>
    </row>
    <row r="1174" spans="18:32" ht="8.25" customHeight="1" x14ac:dyDescent="0.25">
      <c r="X1174" s="110" t="s">
        <v>564</v>
      </c>
      <c r="Y1174" s="111">
        <v>50</v>
      </c>
      <c r="Z1174" s="111">
        <f t="shared" si="122"/>
        <v>700</v>
      </c>
      <c r="AA1174" s="76"/>
    </row>
    <row r="1175" spans="18:32" ht="8.25" customHeight="1" x14ac:dyDescent="0.25">
      <c r="X1175" s="110" t="s">
        <v>1154</v>
      </c>
      <c r="Y1175" s="111">
        <v>20</v>
      </c>
      <c r="Z1175" s="111">
        <f t="shared" si="122"/>
        <v>400</v>
      </c>
      <c r="AA1175" s="38"/>
    </row>
    <row r="1176" spans="18:32" ht="8.25" customHeight="1" x14ac:dyDescent="0.25">
      <c r="X1176" s="110"/>
      <c r="Y1176" s="111">
        <v>10</v>
      </c>
      <c r="Z1176" s="111">
        <f t="shared" si="122"/>
        <v>0</v>
      </c>
      <c r="AA1176" s="112"/>
    </row>
    <row r="1177" spans="18:32" ht="8.25" customHeight="1" x14ac:dyDescent="0.25">
      <c r="X1177" s="110" t="s">
        <v>1097</v>
      </c>
      <c r="Y1177" s="111">
        <v>5</v>
      </c>
      <c r="Z1177" s="111">
        <f t="shared" si="122"/>
        <v>580</v>
      </c>
      <c r="AA1177" s="112"/>
    </row>
    <row r="1178" spans="18:32" ht="8.25" customHeight="1" x14ac:dyDescent="0.25">
      <c r="X1178" s="269">
        <v>0</v>
      </c>
      <c r="Y1178" s="270"/>
      <c r="Z1178" s="271"/>
      <c r="AA1178" s="38"/>
    </row>
    <row r="1179" spans="18:32" ht="8.25" customHeight="1" x14ac:dyDescent="0.25">
      <c r="X1179" s="110" t="s">
        <v>1156</v>
      </c>
      <c r="Y1179" s="111">
        <v>1</v>
      </c>
      <c r="Z1179" s="111">
        <f t="shared" ref="Z1179:Z1184" si="123">X1179*Y1179</f>
        <v>418</v>
      </c>
      <c r="AA1179" s="76"/>
    </row>
    <row r="1180" spans="18:32" ht="8.25" customHeight="1" x14ac:dyDescent="0.25">
      <c r="X1180" s="110" t="s">
        <v>431</v>
      </c>
      <c r="Y1180" s="111">
        <v>0.5</v>
      </c>
      <c r="Z1180" s="111">
        <f t="shared" si="123"/>
        <v>22.5</v>
      </c>
      <c r="AA1180" s="112"/>
    </row>
    <row r="1181" spans="18:32" ht="8.25" customHeight="1" x14ac:dyDescent="0.25">
      <c r="X1181" s="110" t="s">
        <v>259</v>
      </c>
      <c r="Y1181" s="111">
        <v>0.25</v>
      </c>
      <c r="Z1181" s="111">
        <f t="shared" si="123"/>
        <v>20</v>
      </c>
      <c r="AA1181" s="113"/>
    </row>
    <row r="1182" spans="18:32" ht="8.25" customHeight="1" x14ac:dyDescent="0.25">
      <c r="X1182" s="110" t="s">
        <v>224</v>
      </c>
      <c r="Y1182" s="111">
        <v>0.1</v>
      </c>
      <c r="Z1182" s="111">
        <f t="shared" si="123"/>
        <v>0.2</v>
      </c>
      <c r="AA1182" s="114" t="s">
        <v>219</v>
      </c>
    </row>
    <row r="1183" spans="18:32" ht="8.25" customHeight="1" thickBot="1" x14ac:dyDescent="0.3">
      <c r="X1183" s="110" t="s">
        <v>222</v>
      </c>
      <c r="Y1183" s="111">
        <v>0.05</v>
      </c>
      <c r="Z1183" s="111">
        <f t="shared" si="123"/>
        <v>0.05</v>
      </c>
      <c r="AA1183" s="115">
        <f>SUM(Z1172:Z1177)+Z1179+Z1180+Z1181+Z1182+Z1183+Z1184</f>
        <v>126940.79</v>
      </c>
    </row>
    <row r="1184" spans="18:32" ht="8.25" customHeight="1" thickTop="1" x14ac:dyDescent="0.25">
      <c r="X1184" s="110" t="s">
        <v>299</v>
      </c>
      <c r="Y1184" s="111">
        <v>0.01</v>
      </c>
      <c r="Z1184" s="111">
        <f t="shared" si="123"/>
        <v>0.04</v>
      </c>
    </row>
    <row r="1185" spans="7:32" ht="8.25" customHeight="1" x14ac:dyDescent="0.25">
      <c r="Y1185" s="125"/>
      <c r="AA1185" s="75" t="s">
        <v>251</v>
      </c>
      <c r="AC1185" s="126"/>
      <c r="AF1185" s="76">
        <f>AF1170</f>
        <v>108382.83999999998</v>
      </c>
    </row>
    <row r="1186" spans="7:32" ht="8.25" customHeight="1" x14ac:dyDescent="0.25">
      <c r="N1186" s="52">
        <v>38</v>
      </c>
      <c r="T1186" s="33">
        <v>46076</v>
      </c>
      <c r="U1186" s="34">
        <v>2026</v>
      </c>
      <c r="V1186" s="35" t="s">
        <v>749</v>
      </c>
      <c r="W1186" s="35" t="s">
        <v>17</v>
      </c>
      <c r="X1186" s="37" t="s">
        <v>1125</v>
      </c>
      <c r="Y1186" s="125" t="s">
        <v>1126</v>
      </c>
      <c r="Z1186" s="30" t="s">
        <v>1127</v>
      </c>
      <c r="AA1186" s="30" t="s">
        <v>3899</v>
      </c>
      <c r="AC1186" s="126"/>
      <c r="AD1186" s="38">
        <v>4812.5</v>
      </c>
      <c r="AF1186" s="76">
        <f t="shared" ref="AF1186:AF1197" si="124">AF1185+AD1186-AE1186</f>
        <v>113195.33999999998</v>
      </c>
    </row>
    <row r="1187" spans="7:32" ht="8.25" customHeight="1" x14ac:dyDescent="0.15">
      <c r="N1187" s="52">
        <v>38</v>
      </c>
      <c r="T1187" s="33">
        <v>46076</v>
      </c>
      <c r="U1187" s="34">
        <v>2026</v>
      </c>
      <c r="V1187" s="35" t="s">
        <v>749</v>
      </c>
      <c r="W1187" s="35" t="s">
        <v>17</v>
      </c>
      <c r="X1187" s="37" t="s">
        <v>1125</v>
      </c>
      <c r="Y1187" s="125" t="s">
        <v>1126</v>
      </c>
      <c r="Z1187" s="30" t="s">
        <v>1127</v>
      </c>
      <c r="AA1187" s="134" t="s">
        <v>166</v>
      </c>
      <c r="AC1187" s="126"/>
      <c r="AD1187" s="38">
        <v>11727.5</v>
      </c>
      <c r="AF1187" s="76">
        <f t="shared" si="124"/>
        <v>124922.83999999998</v>
      </c>
    </row>
    <row r="1188" spans="7:32" ht="8.25" customHeight="1" x14ac:dyDescent="0.25">
      <c r="I1188" s="52">
        <v>37</v>
      </c>
      <c r="T1188" s="33">
        <v>46076</v>
      </c>
      <c r="U1188" s="34">
        <v>2026</v>
      </c>
      <c r="V1188" s="35" t="s">
        <v>749</v>
      </c>
      <c r="W1188" s="35" t="s">
        <v>17</v>
      </c>
      <c r="X1188" s="37" t="s">
        <v>1128</v>
      </c>
      <c r="Y1188" s="125" t="s">
        <v>713</v>
      </c>
      <c r="Z1188" s="30" t="s">
        <v>1129</v>
      </c>
      <c r="AA1188" s="30" t="s">
        <v>1044</v>
      </c>
      <c r="AC1188" s="126"/>
      <c r="AD1188" s="38">
        <v>2600</v>
      </c>
      <c r="AF1188" s="76">
        <f t="shared" si="124"/>
        <v>127522.83999999998</v>
      </c>
    </row>
    <row r="1189" spans="7:32" ht="8.25" customHeight="1" x14ac:dyDescent="0.25">
      <c r="N1189" s="52">
        <v>39</v>
      </c>
      <c r="T1189" s="33">
        <v>46076</v>
      </c>
      <c r="U1189" s="34">
        <v>2026</v>
      </c>
      <c r="V1189" s="35" t="s">
        <v>749</v>
      </c>
      <c r="W1189" s="35" t="s">
        <v>17</v>
      </c>
      <c r="X1189" s="37" t="s">
        <v>1130</v>
      </c>
      <c r="Y1189" s="125" t="s">
        <v>1131</v>
      </c>
      <c r="Z1189" s="30" t="s">
        <v>1132</v>
      </c>
      <c r="AA1189" s="30" t="s">
        <v>3899</v>
      </c>
      <c r="AC1189" s="126"/>
      <c r="AD1189" s="38">
        <v>3416.92</v>
      </c>
      <c r="AF1189" s="76">
        <f t="shared" si="124"/>
        <v>130939.75999999998</v>
      </c>
    </row>
    <row r="1190" spans="7:32" ht="8.25" customHeight="1" x14ac:dyDescent="0.15">
      <c r="N1190" s="52">
        <v>39</v>
      </c>
      <c r="T1190" s="33">
        <v>46076</v>
      </c>
      <c r="U1190" s="34">
        <v>2026</v>
      </c>
      <c r="V1190" s="35" t="s">
        <v>749</v>
      </c>
      <c r="W1190" s="35" t="s">
        <v>17</v>
      </c>
      <c r="X1190" s="37" t="s">
        <v>1130</v>
      </c>
      <c r="Y1190" s="125" t="s">
        <v>1131</v>
      </c>
      <c r="Z1190" s="30" t="s">
        <v>1132</v>
      </c>
      <c r="AA1190" s="134" t="s">
        <v>166</v>
      </c>
      <c r="AC1190" s="126"/>
      <c r="AD1190" s="38">
        <v>8357.08</v>
      </c>
      <c r="AF1190" s="76">
        <f t="shared" si="124"/>
        <v>139296.83999999997</v>
      </c>
    </row>
    <row r="1191" spans="7:32" ht="8.25" customHeight="1" x14ac:dyDescent="0.25">
      <c r="J1191" s="52">
        <v>2</v>
      </c>
      <c r="T1191" s="33">
        <v>46076</v>
      </c>
      <c r="U1191" s="34">
        <v>2026</v>
      </c>
      <c r="V1191" s="35" t="s">
        <v>749</v>
      </c>
      <c r="W1191" s="35" t="s">
        <v>17</v>
      </c>
      <c r="X1191" s="37" t="s">
        <v>1133</v>
      </c>
      <c r="Y1191" s="125" t="s">
        <v>1134</v>
      </c>
      <c r="Z1191" s="30" t="s">
        <v>1135</v>
      </c>
      <c r="AA1191" s="30" t="s">
        <v>1136</v>
      </c>
      <c r="AC1191" s="126"/>
      <c r="AD1191" s="38">
        <v>24200.38</v>
      </c>
      <c r="AF1191" s="76">
        <f t="shared" si="124"/>
        <v>163497.21999999997</v>
      </c>
    </row>
    <row r="1192" spans="7:32" ht="8.25" customHeight="1" x14ac:dyDescent="0.15">
      <c r="K1192" s="52">
        <v>16</v>
      </c>
      <c r="T1192" s="33">
        <v>46076</v>
      </c>
      <c r="U1192" s="34">
        <v>2026</v>
      </c>
      <c r="V1192" s="35" t="s">
        <v>749</v>
      </c>
      <c r="W1192" s="35" t="s">
        <v>17</v>
      </c>
      <c r="X1192" s="37" t="s">
        <v>1137</v>
      </c>
      <c r="Y1192" s="125" t="s">
        <v>1138</v>
      </c>
      <c r="Z1192" s="30" t="s">
        <v>1139</v>
      </c>
      <c r="AA1192" s="136" t="s">
        <v>1788</v>
      </c>
      <c r="AC1192" s="126"/>
      <c r="AD1192" s="38">
        <v>100</v>
      </c>
      <c r="AF1192" s="76">
        <f t="shared" si="124"/>
        <v>163597.21999999997</v>
      </c>
    </row>
    <row r="1193" spans="7:32" ht="8.25" customHeight="1" x14ac:dyDescent="0.25">
      <c r="L1193" s="52">
        <v>16</v>
      </c>
      <c r="T1193" s="33">
        <v>46076</v>
      </c>
      <c r="U1193" s="34">
        <v>2026</v>
      </c>
      <c r="V1193" s="35" t="s">
        <v>749</v>
      </c>
      <c r="W1193" s="35" t="s">
        <v>17</v>
      </c>
      <c r="X1193" s="37" t="s">
        <v>1140</v>
      </c>
      <c r="Y1193" s="220" t="s">
        <v>120</v>
      </c>
      <c r="Z1193" s="30" t="s">
        <v>1139</v>
      </c>
      <c r="AA1193" s="30" t="s">
        <v>1054</v>
      </c>
      <c r="AC1193" s="126"/>
      <c r="AD1193" s="38">
        <v>50</v>
      </c>
      <c r="AF1193" s="76">
        <f t="shared" si="124"/>
        <v>163647.21999999997</v>
      </c>
    </row>
    <row r="1194" spans="7:32" ht="8.25" customHeight="1" x14ac:dyDescent="0.25">
      <c r="I1194" s="52">
        <v>37</v>
      </c>
      <c r="T1194" s="33">
        <v>46076</v>
      </c>
      <c r="U1194" s="34">
        <v>2026</v>
      </c>
      <c r="V1194" s="35" t="s">
        <v>749</v>
      </c>
      <c r="W1194" s="35" t="s">
        <v>17</v>
      </c>
      <c r="X1194" s="37" t="s">
        <v>1141</v>
      </c>
      <c r="Y1194" s="125" t="s">
        <v>1142</v>
      </c>
      <c r="Z1194" s="30" t="s">
        <v>1139</v>
      </c>
      <c r="AA1194" s="30" t="s">
        <v>1044</v>
      </c>
      <c r="AC1194" s="126"/>
      <c r="AD1194" s="38">
        <v>28000</v>
      </c>
      <c r="AF1194" s="76">
        <f>AF1193+AD1194-AE1194</f>
        <v>191647.21999999997</v>
      </c>
    </row>
    <row r="1195" spans="7:32" ht="8.25" customHeight="1" x14ac:dyDescent="0.25">
      <c r="R1195" s="53">
        <v>25</v>
      </c>
      <c r="T1195" s="33">
        <v>46076</v>
      </c>
      <c r="U1195" s="34">
        <v>2026</v>
      </c>
      <c r="V1195" s="35" t="s">
        <v>749</v>
      </c>
      <c r="W1195" s="35" t="s">
        <v>5</v>
      </c>
      <c r="X1195" s="37" t="s">
        <v>1143</v>
      </c>
      <c r="Y1195" s="125" t="s">
        <v>1144</v>
      </c>
      <c r="Z1195" s="30" t="s">
        <v>1135</v>
      </c>
      <c r="AA1195" s="30" t="s">
        <v>1145</v>
      </c>
      <c r="AC1195" s="126"/>
      <c r="AE1195" s="38">
        <v>20000</v>
      </c>
      <c r="AF1195" s="76">
        <f t="shared" si="124"/>
        <v>171647.21999999997</v>
      </c>
    </row>
    <row r="1196" spans="7:32" ht="8.25" customHeight="1" x14ac:dyDescent="0.25">
      <c r="R1196" s="53">
        <v>25</v>
      </c>
      <c r="T1196" s="33">
        <v>46076</v>
      </c>
      <c r="U1196" s="34">
        <v>2026</v>
      </c>
      <c r="V1196" s="35" t="s">
        <v>749</v>
      </c>
      <c r="W1196" s="35" t="s">
        <v>5</v>
      </c>
      <c r="X1196" s="37" t="s">
        <v>1143</v>
      </c>
      <c r="Y1196" s="125" t="s">
        <v>1144</v>
      </c>
      <c r="Z1196" s="30" t="s">
        <v>1135</v>
      </c>
      <c r="AA1196" s="30" t="s">
        <v>1149</v>
      </c>
      <c r="AC1196" s="126"/>
      <c r="AE1196" s="38">
        <v>2520.38</v>
      </c>
      <c r="AF1196" s="76">
        <f t="shared" si="124"/>
        <v>169126.83999999997</v>
      </c>
    </row>
    <row r="1197" spans="7:32" ht="8.25" customHeight="1" x14ac:dyDescent="0.25">
      <c r="G1197" s="53">
        <v>22</v>
      </c>
      <c r="T1197" s="33">
        <v>46076</v>
      </c>
      <c r="U1197" s="34">
        <v>2026</v>
      </c>
      <c r="V1197" s="35" t="s">
        <v>749</v>
      </c>
      <c r="W1197" s="35" t="s">
        <v>5</v>
      </c>
      <c r="Y1197" s="125" t="s">
        <v>1146</v>
      </c>
      <c r="Z1197" s="30" t="s">
        <v>1147</v>
      </c>
      <c r="AA1197" s="30" t="s">
        <v>3945</v>
      </c>
      <c r="AC1197" s="126"/>
      <c r="AE1197" s="38">
        <v>706.25</v>
      </c>
      <c r="AF1197" s="76">
        <f t="shared" si="124"/>
        <v>168420.58999999997</v>
      </c>
    </row>
    <row r="1198" spans="7:32" ht="8.25" customHeight="1" thickBot="1" x14ac:dyDescent="0.3">
      <c r="Y1198" s="125"/>
      <c r="AA1198" s="75" t="s">
        <v>257</v>
      </c>
      <c r="AC1198" s="126"/>
      <c r="AD1198" s="91">
        <f>SUM(AD1186:AD1197)</f>
        <v>83264.38</v>
      </c>
      <c r="AE1198" s="91">
        <f>SUM(AE1186:AE1197)</f>
        <v>23226.63</v>
      </c>
      <c r="AF1198" s="76">
        <f>AF1185+AD1198-AE1198</f>
        <v>168420.58999999997</v>
      </c>
    </row>
    <row r="1199" spans="7:32" ht="8.25" customHeight="1" thickTop="1" x14ac:dyDescent="0.25">
      <c r="X1199" s="109"/>
      <c r="Y1199" s="67" t="s">
        <v>214</v>
      </c>
      <c r="Z1199" s="68"/>
      <c r="AA1199" s="75"/>
      <c r="AC1199" s="126"/>
    </row>
    <row r="1200" spans="7:32" ht="8.25" customHeight="1" x14ac:dyDescent="0.25">
      <c r="X1200" s="110" t="s">
        <v>402</v>
      </c>
      <c r="Y1200" s="111">
        <v>200</v>
      </c>
      <c r="Z1200" s="111">
        <f t="shared" ref="Z1200:Z1205" si="125">X1200*Y1200</f>
        <v>1000</v>
      </c>
      <c r="AA1200" s="112"/>
      <c r="AC1200" s="126"/>
    </row>
    <row r="1201" spans="11:32" ht="8.25" customHeight="1" x14ac:dyDescent="0.25">
      <c r="X1201" s="110" t="s">
        <v>1183</v>
      </c>
      <c r="Y1201" s="111">
        <v>100</v>
      </c>
      <c r="Z1201" s="111">
        <f t="shared" si="125"/>
        <v>164300</v>
      </c>
      <c r="AA1201" s="112"/>
      <c r="AC1201" s="126"/>
    </row>
    <row r="1202" spans="11:32" ht="8.25" customHeight="1" x14ac:dyDescent="0.25">
      <c r="X1202" s="110" t="s">
        <v>216</v>
      </c>
      <c r="Y1202" s="111">
        <v>50</v>
      </c>
      <c r="Z1202" s="111">
        <f t="shared" si="125"/>
        <v>750</v>
      </c>
      <c r="AA1202" s="76"/>
      <c r="AC1202" s="126"/>
      <c r="AE1202" s="76">
        <v>125359.75</v>
      </c>
      <c r="AF1202" s="76">
        <f>AF1198-AE1202</f>
        <v>43060.839999999967</v>
      </c>
    </row>
    <row r="1203" spans="11:32" ht="8.25" customHeight="1" x14ac:dyDescent="0.25">
      <c r="X1203" s="110" t="s">
        <v>886</v>
      </c>
      <c r="Y1203" s="111">
        <v>20</v>
      </c>
      <c r="Z1203" s="111">
        <f t="shared" si="125"/>
        <v>540</v>
      </c>
      <c r="AA1203" s="38"/>
      <c r="AC1203" s="126"/>
    </row>
    <row r="1204" spans="11:32" ht="8.25" customHeight="1" x14ac:dyDescent="0.25">
      <c r="X1204" s="110"/>
      <c r="Y1204" s="111">
        <v>10</v>
      </c>
      <c r="Z1204" s="111">
        <f t="shared" si="125"/>
        <v>0</v>
      </c>
      <c r="AA1204" s="112"/>
      <c r="AC1204" s="126"/>
    </row>
    <row r="1205" spans="11:32" ht="8.25" customHeight="1" x14ac:dyDescent="0.25">
      <c r="X1205" s="110" t="s">
        <v>1178</v>
      </c>
      <c r="Y1205" s="111">
        <v>5</v>
      </c>
      <c r="Z1205" s="111">
        <f t="shared" si="125"/>
        <v>710</v>
      </c>
      <c r="AA1205" s="112"/>
      <c r="AC1205" s="126"/>
    </row>
    <row r="1206" spans="11:32" ht="8.25" customHeight="1" x14ac:dyDescent="0.25">
      <c r="X1206" s="269">
        <v>0</v>
      </c>
      <c r="Y1206" s="270"/>
      <c r="Z1206" s="271"/>
      <c r="AA1206" s="38"/>
      <c r="AC1206" s="126"/>
    </row>
    <row r="1207" spans="11:32" ht="8.25" customHeight="1" x14ac:dyDescent="0.25">
      <c r="X1207" s="110" t="s">
        <v>1184</v>
      </c>
      <c r="Y1207" s="111">
        <v>1</v>
      </c>
      <c r="Z1207" s="111">
        <f t="shared" ref="Z1207:Z1212" si="126">X1207*Y1207</f>
        <v>1035</v>
      </c>
      <c r="AA1207" s="76"/>
      <c r="AC1207" s="126"/>
    </row>
    <row r="1208" spans="11:32" ht="8.25" customHeight="1" x14ac:dyDescent="0.25">
      <c r="X1208" s="110" t="s">
        <v>625</v>
      </c>
      <c r="Y1208" s="111">
        <v>0.5</v>
      </c>
      <c r="Z1208" s="111">
        <f t="shared" si="126"/>
        <v>42.5</v>
      </c>
      <c r="AA1208" s="112"/>
      <c r="AC1208" s="126"/>
    </row>
    <row r="1209" spans="11:32" ht="8.25" customHeight="1" x14ac:dyDescent="0.25">
      <c r="X1209" s="110" t="s">
        <v>822</v>
      </c>
      <c r="Y1209" s="111">
        <v>0.25</v>
      </c>
      <c r="Z1209" s="111">
        <f t="shared" si="126"/>
        <v>43</v>
      </c>
      <c r="AA1209" s="113"/>
      <c r="AC1209" s="126"/>
    </row>
    <row r="1210" spans="11:32" ht="8.25" customHeight="1" x14ac:dyDescent="0.25">
      <c r="X1210" s="110"/>
      <c r="Y1210" s="111">
        <v>0.1</v>
      </c>
      <c r="Z1210" s="111">
        <f t="shared" si="126"/>
        <v>0</v>
      </c>
      <c r="AA1210" s="114" t="s">
        <v>219</v>
      </c>
      <c r="AC1210" s="126"/>
    </row>
    <row r="1211" spans="11:32" ht="8.25" customHeight="1" thickBot="1" x14ac:dyDescent="0.3">
      <c r="X1211" s="110" t="s">
        <v>222</v>
      </c>
      <c r="Y1211" s="111">
        <v>0.05</v>
      </c>
      <c r="Z1211" s="111">
        <f t="shared" si="126"/>
        <v>0.05</v>
      </c>
      <c r="AA1211" s="115">
        <f>SUM(Z1200:Z1205)+Z1207+Z1208+Z1209+Z1210+Z1211+Z1212</f>
        <v>168420.59</v>
      </c>
      <c r="AC1211" s="126"/>
    </row>
    <row r="1212" spans="11:32" ht="8.25" customHeight="1" thickTop="1" x14ac:dyDescent="0.25">
      <c r="X1212" s="110" t="s">
        <v>299</v>
      </c>
      <c r="Y1212" s="111">
        <v>0.01</v>
      </c>
      <c r="Z1212" s="111">
        <f t="shared" si="126"/>
        <v>0.04</v>
      </c>
      <c r="AC1212" s="126"/>
    </row>
    <row r="1213" spans="11:32" ht="8.25" customHeight="1" x14ac:dyDescent="0.25">
      <c r="AA1213" s="75" t="s">
        <v>251</v>
      </c>
      <c r="AF1213" s="76">
        <f>AF1198</f>
        <v>168420.58999999997</v>
      </c>
    </row>
    <row r="1214" spans="11:32" ht="8.25" customHeight="1" x14ac:dyDescent="0.25">
      <c r="N1214" s="52">
        <v>40</v>
      </c>
      <c r="T1214" s="33">
        <v>46077</v>
      </c>
      <c r="U1214" s="34">
        <v>2026</v>
      </c>
      <c r="V1214" s="35" t="s">
        <v>749</v>
      </c>
      <c r="W1214" s="35" t="s">
        <v>17</v>
      </c>
      <c r="X1214" s="37" t="s">
        <v>1162</v>
      </c>
      <c r="Y1214" s="36" t="s">
        <v>494</v>
      </c>
      <c r="Z1214" s="30" t="s">
        <v>495</v>
      </c>
      <c r="AA1214" s="30" t="s">
        <v>3899</v>
      </c>
      <c r="AD1214" s="38">
        <v>5064.99</v>
      </c>
      <c r="AF1214" s="76">
        <f>AF1213+AD1214-AE1214</f>
        <v>173485.57999999996</v>
      </c>
    </row>
    <row r="1215" spans="11:32" ht="8.25" customHeight="1" x14ac:dyDescent="0.15">
      <c r="N1215" s="52">
        <v>40</v>
      </c>
      <c r="T1215" s="33">
        <v>46077</v>
      </c>
      <c r="U1215" s="34">
        <v>2026</v>
      </c>
      <c r="V1215" s="35" t="s">
        <v>749</v>
      </c>
      <c r="W1215" s="35" t="s">
        <v>17</v>
      </c>
      <c r="X1215" s="37" t="s">
        <v>1162</v>
      </c>
      <c r="Y1215" s="36" t="s">
        <v>494</v>
      </c>
      <c r="Z1215" s="30" t="s">
        <v>495</v>
      </c>
      <c r="AA1215" s="134" t="s">
        <v>166</v>
      </c>
      <c r="AD1215" s="38">
        <v>6435.01</v>
      </c>
      <c r="AF1215" s="76">
        <f t="shared" ref="AF1215:AF1230" si="127">AF1214+AD1215-AE1215</f>
        <v>179920.58999999997</v>
      </c>
    </row>
    <row r="1216" spans="11:32" ht="8.25" customHeight="1" x14ac:dyDescent="0.15">
      <c r="K1216" s="52">
        <v>17</v>
      </c>
      <c r="T1216" s="33">
        <v>46077</v>
      </c>
      <c r="U1216" s="34">
        <v>2026</v>
      </c>
      <c r="V1216" s="35" t="s">
        <v>749</v>
      </c>
      <c r="W1216" s="35" t="s">
        <v>17</v>
      </c>
      <c r="X1216" s="37" t="s">
        <v>1163</v>
      </c>
      <c r="Y1216" s="36" t="s">
        <v>1164</v>
      </c>
      <c r="Z1216" s="30" t="s">
        <v>1165</v>
      </c>
      <c r="AA1216" s="136" t="s">
        <v>1788</v>
      </c>
      <c r="AD1216" s="38">
        <v>100</v>
      </c>
      <c r="AF1216" s="76">
        <f t="shared" si="127"/>
        <v>180020.58999999997</v>
      </c>
    </row>
    <row r="1217" spans="4:32" ht="8.25" customHeight="1" x14ac:dyDescent="0.25">
      <c r="L1217" s="52">
        <v>17</v>
      </c>
      <c r="T1217" s="33">
        <v>46077</v>
      </c>
      <c r="U1217" s="34">
        <v>2026</v>
      </c>
      <c r="V1217" s="35" t="s">
        <v>749</v>
      </c>
      <c r="W1217" s="35" t="s">
        <v>17</v>
      </c>
      <c r="X1217" s="37" t="s">
        <v>1166</v>
      </c>
      <c r="Y1217" s="36" t="s">
        <v>120</v>
      </c>
      <c r="Z1217" s="30" t="s">
        <v>1165</v>
      </c>
      <c r="AA1217" s="30" t="s">
        <v>373</v>
      </c>
      <c r="AD1217" s="38">
        <v>50</v>
      </c>
      <c r="AF1217" s="76">
        <f t="shared" si="127"/>
        <v>180070.58999999997</v>
      </c>
    </row>
    <row r="1218" spans="4:32" ht="8.25" customHeight="1" x14ac:dyDescent="0.25">
      <c r="J1218" s="52">
        <v>3</v>
      </c>
      <c r="T1218" s="33">
        <v>46077</v>
      </c>
      <c r="U1218" s="34">
        <v>2026</v>
      </c>
      <c r="V1218" s="35" t="s">
        <v>749</v>
      </c>
      <c r="W1218" s="35" t="s">
        <v>17</v>
      </c>
      <c r="X1218" s="37" t="s">
        <v>1167</v>
      </c>
      <c r="Y1218" s="36" t="s">
        <v>1168</v>
      </c>
      <c r="Z1218" s="30" t="s">
        <v>1165</v>
      </c>
      <c r="AA1218" s="30" t="s">
        <v>1136</v>
      </c>
      <c r="AD1218" s="38">
        <v>40000</v>
      </c>
      <c r="AF1218" s="76">
        <f t="shared" si="127"/>
        <v>220070.58999999997</v>
      </c>
    </row>
    <row r="1219" spans="4:32" ht="8.25" customHeight="1" x14ac:dyDescent="0.25">
      <c r="D1219" s="52">
        <v>6</v>
      </c>
      <c r="T1219" s="33">
        <v>46077</v>
      </c>
      <c r="U1219" s="34">
        <v>2026</v>
      </c>
      <c r="V1219" s="35" t="s">
        <v>749</v>
      </c>
      <c r="W1219" s="35" t="s">
        <v>17</v>
      </c>
      <c r="Y1219" s="36" t="s">
        <v>1169</v>
      </c>
      <c r="Z1219" s="30" t="s">
        <v>1170</v>
      </c>
      <c r="AA1219" s="30" t="s">
        <v>256</v>
      </c>
      <c r="AD1219" s="38">
        <v>274</v>
      </c>
      <c r="AF1219" s="76">
        <f t="shared" si="127"/>
        <v>220344.58999999997</v>
      </c>
    </row>
    <row r="1220" spans="4:32" ht="8.25" customHeight="1" x14ac:dyDescent="0.15">
      <c r="N1220" s="52">
        <v>41</v>
      </c>
      <c r="T1220" s="33">
        <v>46077</v>
      </c>
      <c r="U1220" s="34">
        <v>2026</v>
      </c>
      <c r="V1220" s="35" t="s">
        <v>749</v>
      </c>
      <c r="W1220" s="35" t="s">
        <v>17</v>
      </c>
      <c r="X1220" s="37" t="s">
        <v>1171</v>
      </c>
      <c r="Y1220" s="36" t="s">
        <v>1172</v>
      </c>
      <c r="Z1220" s="30" t="s">
        <v>1173</v>
      </c>
      <c r="AA1220" s="134" t="s">
        <v>1174</v>
      </c>
      <c r="AD1220" s="38">
        <v>2289.8000000000002</v>
      </c>
      <c r="AF1220" s="76">
        <f t="shared" si="127"/>
        <v>222634.38999999996</v>
      </c>
    </row>
    <row r="1221" spans="4:32" ht="8.25" customHeight="1" x14ac:dyDescent="0.25">
      <c r="N1221" s="52">
        <v>41</v>
      </c>
      <c r="T1221" s="33">
        <v>46077</v>
      </c>
      <c r="U1221" s="34">
        <v>2026</v>
      </c>
      <c r="V1221" s="35" t="s">
        <v>749</v>
      </c>
      <c r="W1221" s="35" t="s">
        <v>17</v>
      </c>
      <c r="X1221" s="37" t="s">
        <v>1171</v>
      </c>
      <c r="Y1221" s="36" t="s">
        <v>1172</v>
      </c>
      <c r="Z1221" s="30" t="s">
        <v>1173</v>
      </c>
      <c r="AA1221" s="30" t="s">
        <v>3306</v>
      </c>
      <c r="AD1221" s="38">
        <v>2710.2</v>
      </c>
      <c r="AF1221" s="76">
        <f t="shared" si="127"/>
        <v>225344.58999999997</v>
      </c>
    </row>
    <row r="1222" spans="4:32" ht="8.25" customHeight="1" x14ac:dyDescent="0.25">
      <c r="N1222" s="52">
        <v>42</v>
      </c>
      <c r="T1222" s="33">
        <v>46077</v>
      </c>
      <c r="U1222" s="34">
        <v>2026</v>
      </c>
      <c r="V1222" s="35" t="s">
        <v>749</v>
      </c>
      <c r="W1222" s="35" t="s">
        <v>17</v>
      </c>
      <c r="X1222" s="37" t="s">
        <v>1179</v>
      </c>
      <c r="Y1222" s="36" t="s">
        <v>1180</v>
      </c>
      <c r="Z1222" s="30" t="s">
        <v>578</v>
      </c>
      <c r="AA1222" s="30" t="s">
        <v>3899</v>
      </c>
      <c r="AD1222" s="38">
        <v>3807.85</v>
      </c>
      <c r="AF1222" s="76">
        <f t="shared" si="127"/>
        <v>229152.43999999997</v>
      </c>
    </row>
    <row r="1223" spans="4:32" ht="8.25" customHeight="1" x14ac:dyDescent="0.15">
      <c r="N1223" s="52">
        <v>42</v>
      </c>
      <c r="T1223" s="33">
        <v>46077</v>
      </c>
      <c r="U1223" s="34">
        <v>2026</v>
      </c>
      <c r="V1223" s="35" t="s">
        <v>749</v>
      </c>
      <c r="W1223" s="35" t="s">
        <v>17</v>
      </c>
      <c r="X1223" s="37" t="s">
        <v>1179</v>
      </c>
      <c r="Y1223" s="36" t="s">
        <v>1180</v>
      </c>
      <c r="Z1223" s="30" t="s">
        <v>578</v>
      </c>
      <c r="AA1223" s="134" t="s">
        <v>166</v>
      </c>
      <c r="AB1223" s="75"/>
      <c r="AC1223" s="228"/>
      <c r="AD1223" s="38">
        <v>2692.15</v>
      </c>
      <c r="AE1223" s="76"/>
      <c r="AF1223" s="76">
        <f t="shared" si="127"/>
        <v>231844.58999999997</v>
      </c>
    </row>
    <row r="1224" spans="4:32" ht="8.25" customHeight="1" x14ac:dyDescent="0.25">
      <c r="T1224" s="33">
        <v>46077</v>
      </c>
      <c r="U1224" s="34">
        <v>2026</v>
      </c>
      <c r="V1224" s="35" t="s">
        <v>749</v>
      </c>
      <c r="W1224" s="35" t="s">
        <v>5</v>
      </c>
      <c r="X1224" s="37" t="s">
        <v>1182</v>
      </c>
      <c r="Y1224" s="36" t="s">
        <v>411</v>
      </c>
      <c r="Z1224" s="30" t="s">
        <v>398</v>
      </c>
      <c r="AA1224" s="30" t="s">
        <v>2719</v>
      </c>
      <c r="AB1224" s="75"/>
      <c r="AC1224" s="228" t="s">
        <v>1185</v>
      </c>
      <c r="AE1224" s="76">
        <v>15000</v>
      </c>
      <c r="AF1224" s="76">
        <f t="shared" si="127"/>
        <v>216844.58999999997</v>
      </c>
    </row>
    <row r="1225" spans="4:32" ht="8.25" customHeight="1" x14ac:dyDescent="0.25">
      <c r="N1225" s="52">
        <v>43</v>
      </c>
      <c r="T1225" s="33">
        <v>46077</v>
      </c>
      <c r="U1225" s="34">
        <v>2026</v>
      </c>
      <c r="V1225" s="35" t="s">
        <v>749</v>
      </c>
      <c r="W1225" s="35" t="s">
        <v>17</v>
      </c>
      <c r="X1225" s="37" t="s">
        <v>1181</v>
      </c>
      <c r="Y1225" s="36" t="s">
        <v>345</v>
      </c>
      <c r="Z1225" s="30" t="s">
        <v>301</v>
      </c>
      <c r="AA1225" s="30" t="s">
        <v>3899</v>
      </c>
      <c r="AB1225" s="75"/>
      <c r="AC1225" s="228"/>
      <c r="AD1225" s="38">
        <v>6119.78</v>
      </c>
      <c r="AE1225" s="76"/>
      <c r="AF1225" s="76">
        <f t="shared" si="127"/>
        <v>222964.36999999997</v>
      </c>
    </row>
    <row r="1226" spans="4:32" ht="8.25" customHeight="1" x14ac:dyDescent="0.15">
      <c r="N1226" s="52">
        <v>43</v>
      </c>
      <c r="T1226" s="33">
        <v>46077</v>
      </c>
      <c r="U1226" s="34">
        <v>2026</v>
      </c>
      <c r="V1226" s="35" t="s">
        <v>749</v>
      </c>
      <c r="W1226" s="35" t="s">
        <v>17</v>
      </c>
      <c r="X1226" s="37" t="s">
        <v>1181</v>
      </c>
      <c r="Y1226" s="36" t="s">
        <v>345</v>
      </c>
      <c r="Z1226" s="30" t="s">
        <v>301</v>
      </c>
      <c r="AA1226" s="134" t="s">
        <v>166</v>
      </c>
      <c r="AB1226" s="75"/>
      <c r="AC1226" s="228"/>
      <c r="AD1226" s="38">
        <v>8770.2199999999993</v>
      </c>
      <c r="AE1226" s="76"/>
      <c r="AF1226" s="76">
        <f t="shared" si="127"/>
        <v>231734.58999999997</v>
      </c>
    </row>
    <row r="1227" spans="4:32" ht="8.25" customHeight="1" x14ac:dyDescent="0.25">
      <c r="N1227" s="52">
        <v>43</v>
      </c>
      <c r="T1227" s="33">
        <v>46077</v>
      </c>
      <c r="U1227" s="34">
        <v>2026</v>
      </c>
      <c r="V1227" s="35" t="s">
        <v>749</v>
      </c>
      <c r="W1227" s="35" t="s">
        <v>17</v>
      </c>
      <c r="X1227" s="37" t="s">
        <v>1181</v>
      </c>
      <c r="Y1227" s="36" t="s">
        <v>345</v>
      </c>
      <c r="Z1227" s="30" t="s">
        <v>301</v>
      </c>
      <c r="AA1227" s="30" t="s">
        <v>3306</v>
      </c>
      <c r="AB1227" s="75"/>
      <c r="AC1227" s="228"/>
      <c r="AD1227" s="38">
        <v>110</v>
      </c>
      <c r="AE1227" s="76"/>
      <c r="AF1227" s="76">
        <f t="shared" si="127"/>
        <v>231844.58999999997</v>
      </c>
    </row>
    <row r="1228" spans="4:32" ht="8.25" customHeight="1" x14ac:dyDescent="0.25">
      <c r="R1228" s="53">
        <v>26</v>
      </c>
      <c r="T1228" s="33">
        <v>46077</v>
      </c>
      <c r="U1228" s="34">
        <v>2026</v>
      </c>
      <c r="V1228" s="35" t="s">
        <v>749</v>
      </c>
      <c r="W1228" s="35" t="s">
        <v>5</v>
      </c>
      <c r="X1228" s="37" t="s">
        <v>1175</v>
      </c>
      <c r="Y1228" s="36" t="s">
        <v>404</v>
      </c>
      <c r="Z1228" s="30" t="s">
        <v>1176</v>
      </c>
      <c r="AA1228" s="30" t="s">
        <v>92</v>
      </c>
      <c r="AE1228" s="38">
        <v>7000</v>
      </c>
      <c r="AF1228" s="76">
        <f t="shared" si="127"/>
        <v>224844.58999999997</v>
      </c>
    </row>
    <row r="1229" spans="4:32" ht="8.25" customHeight="1" x14ac:dyDescent="0.25">
      <c r="T1229" s="229">
        <v>46077</v>
      </c>
      <c r="U1229" s="230">
        <v>2026</v>
      </c>
      <c r="V1229" s="222" t="s">
        <v>749</v>
      </c>
      <c r="W1229" s="35" t="s">
        <v>5</v>
      </c>
      <c r="X1229" s="223" t="s">
        <v>1177</v>
      </c>
      <c r="Y1229" s="224" t="s">
        <v>411</v>
      </c>
      <c r="Z1229" s="225" t="s">
        <v>398</v>
      </c>
      <c r="AA1229" s="225" t="s">
        <v>618</v>
      </c>
      <c r="AB1229" s="225"/>
      <c r="AC1229" s="226"/>
      <c r="AD1229" s="227"/>
      <c r="AE1229" s="227">
        <v>70000</v>
      </c>
      <c r="AF1229" s="227">
        <f t="shared" si="127"/>
        <v>154844.58999999997</v>
      </c>
    </row>
    <row r="1230" spans="4:32" ht="8.25" customHeight="1" x14ac:dyDescent="0.25">
      <c r="T1230" s="33">
        <v>46077</v>
      </c>
      <c r="U1230" s="34">
        <v>2026</v>
      </c>
      <c r="V1230" s="35" t="s">
        <v>749</v>
      </c>
      <c r="X1230" s="37" t="s">
        <v>1192</v>
      </c>
      <c r="Y1230" s="36" t="s">
        <v>1190</v>
      </c>
      <c r="AD1230" s="38">
        <v>0</v>
      </c>
      <c r="AF1230" s="76">
        <f t="shared" si="127"/>
        <v>154844.58999999997</v>
      </c>
    </row>
    <row r="1231" spans="4:32" ht="8.25" customHeight="1" thickBot="1" x14ac:dyDescent="0.3">
      <c r="AA1231" s="75" t="s">
        <v>257</v>
      </c>
      <c r="AD1231" s="91">
        <f>SUM(AD1214:AD1227)</f>
        <v>78424</v>
      </c>
      <c r="AE1231" s="91">
        <f>SUM(AE1214:AE1230)</f>
        <v>92000</v>
      </c>
      <c r="AF1231" s="76">
        <f>AF1213+AD1231-AE1231</f>
        <v>154844.58999999997</v>
      </c>
    </row>
    <row r="1232" spans="4:32" ht="8.25" customHeight="1" thickTop="1" x14ac:dyDescent="0.25">
      <c r="X1232" s="109"/>
      <c r="Y1232" s="67" t="s">
        <v>214</v>
      </c>
      <c r="Z1232" s="68"/>
      <c r="AA1232" s="75"/>
    </row>
    <row r="1233" spans="9:32" ht="8.25" customHeight="1" x14ac:dyDescent="0.25">
      <c r="X1233" s="110" t="s">
        <v>402</v>
      </c>
      <c r="Y1233" s="111">
        <v>200</v>
      </c>
      <c r="Z1233" s="111">
        <f t="shared" ref="Z1233:Z1238" si="128">X1233*Y1233</f>
        <v>1000</v>
      </c>
      <c r="AA1233" s="112"/>
    </row>
    <row r="1234" spans="9:32" ht="8.25" customHeight="1" x14ac:dyDescent="0.25">
      <c r="X1234" s="110" t="s">
        <v>1191</v>
      </c>
      <c r="Y1234" s="111">
        <v>100</v>
      </c>
      <c r="Z1234" s="111">
        <f t="shared" si="128"/>
        <v>150700</v>
      </c>
      <c r="AA1234" s="112"/>
    </row>
    <row r="1235" spans="9:32" ht="8.25" customHeight="1" x14ac:dyDescent="0.25">
      <c r="X1235" s="110" t="s">
        <v>216</v>
      </c>
      <c r="Y1235" s="111">
        <v>50</v>
      </c>
      <c r="Z1235" s="111">
        <f t="shared" si="128"/>
        <v>750</v>
      </c>
      <c r="AA1235" s="76"/>
    </row>
    <row r="1236" spans="9:32" ht="8.25" customHeight="1" x14ac:dyDescent="0.25">
      <c r="X1236" s="110" t="s">
        <v>1117</v>
      </c>
      <c r="Y1236" s="111">
        <v>20</v>
      </c>
      <c r="Z1236" s="111">
        <f t="shared" si="128"/>
        <v>560</v>
      </c>
      <c r="AA1236" s="38"/>
    </row>
    <row r="1237" spans="9:32" ht="8.25" customHeight="1" x14ac:dyDescent="0.25">
      <c r="X1237" s="110"/>
      <c r="Y1237" s="111">
        <v>10</v>
      </c>
      <c r="Z1237" s="111">
        <f t="shared" si="128"/>
        <v>0</v>
      </c>
      <c r="AA1237" s="112"/>
    </row>
    <row r="1238" spans="9:32" ht="8.25" customHeight="1" x14ac:dyDescent="0.25">
      <c r="X1238" s="110" t="s">
        <v>1178</v>
      </c>
      <c r="Y1238" s="111">
        <v>5</v>
      </c>
      <c r="Z1238" s="111">
        <f t="shared" si="128"/>
        <v>710</v>
      </c>
      <c r="AA1238" s="112"/>
    </row>
    <row r="1239" spans="9:32" ht="8.25" customHeight="1" x14ac:dyDescent="0.25">
      <c r="X1239" s="269">
        <v>0</v>
      </c>
      <c r="Y1239" s="270"/>
      <c r="Z1239" s="271"/>
      <c r="AA1239" s="38"/>
    </row>
    <row r="1240" spans="9:32" ht="8.25" customHeight="1" x14ac:dyDescent="0.25">
      <c r="X1240" s="110" t="s">
        <v>1148</v>
      </c>
      <c r="Y1240" s="111">
        <v>1</v>
      </c>
      <c r="Z1240" s="111">
        <f t="shared" ref="Z1240:Z1245" si="129">X1240*Y1240</f>
        <v>1039</v>
      </c>
      <c r="AA1240" s="76"/>
    </row>
    <row r="1241" spans="9:32" ht="8.25" customHeight="1" x14ac:dyDescent="0.25">
      <c r="X1241" s="110" t="s">
        <v>625</v>
      </c>
      <c r="Y1241" s="111">
        <v>0.5</v>
      </c>
      <c r="Z1241" s="111">
        <f t="shared" si="129"/>
        <v>42.5</v>
      </c>
      <c r="AA1241" s="112"/>
    </row>
    <row r="1242" spans="9:32" ht="8.25" customHeight="1" x14ac:dyDescent="0.25">
      <c r="X1242" s="110" t="s">
        <v>822</v>
      </c>
      <c r="Y1242" s="111">
        <v>0.25</v>
      </c>
      <c r="Z1242" s="111">
        <f t="shared" si="129"/>
        <v>43</v>
      </c>
      <c r="AA1242" s="113"/>
    </row>
    <row r="1243" spans="9:32" ht="8.25" customHeight="1" x14ac:dyDescent="0.25">
      <c r="X1243" s="110"/>
      <c r="Y1243" s="111">
        <v>0.1</v>
      </c>
      <c r="Z1243" s="111">
        <f t="shared" si="129"/>
        <v>0</v>
      </c>
      <c r="AA1243" s="114" t="s">
        <v>219</v>
      </c>
    </row>
    <row r="1244" spans="9:32" ht="8.25" customHeight="1" thickBot="1" x14ac:dyDescent="0.3">
      <c r="X1244" s="110" t="s">
        <v>222</v>
      </c>
      <c r="Y1244" s="111">
        <v>0.05</v>
      </c>
      <c r="Z1244" s="111">
        <f t="shared" si="129"/>
        <v>0.05</v>
      </c>
      <c r="AA1244" s="115">
        <f>SUM(Z1233:Z1238)+Z1240+Z1241+Z1242+Z1243+Z1244+Z1245</f>
        <v>154844.59</v>
      </c>
    </row>
    <row r="1245" spans="9:32" ht="8.25" customHeight="1" thickTop="1" x14ac:dyDescent="0.25">
      <c r="X1245" s="110" t="s">
        <v>299</v>
      </c>
      <c r="Y1245" s="111">
        <v>0.01</v>
      </c>
      <c r="Z1245" s="111">
        <f t="shared" si="129"/>
        <v>0.04</v>
      </c>
    </row>
    <row r="1247" spans="9:32" ht="8.25" customHeight="1" x14ac:dyDescent="0.25">
      <c r="AA1247" s="75" t="s">
        <v>251</v>
      </c>
      <c r="AF1247" s="76">
        <f>AF1231</f>
        <v>154844.58999999997</v>
      </c>
    </row>
    <row r="1248" spans="9:32" ht="8.25" customHeight="1" x14ac:dyDescent="0.25">
      <c r="I1248" s="52">
        <v>38</v>
      </c>
      <c r="T1248" s="33">
        <v>46078</v>
      </c>
      <c r="U1248" s="34">
        <v>2026</v>
      </c>
      <c r="V1248" s="35" t="s">
        <v>749</v>
      </c>
      <c r="W1248" s="35" t="s">
        <v>17</v>
      </c>
      <c r="X1248" s="37" t="s">
        <v>1193</v>
      </c>
      <c r="Y1248" s="36" t="s">
        <v>364</v>
      </c>
      <c r="Z1248" s="30" t="s">
        <v>365</v>
      </c>
      <c r="AA1248" s="30" t="s">
        <v>13</v>
      </c>
      <c r="AD1248" s="38">
        <v>200</v>
      </c>
      <c r="AF1248" s="76">
        <f t="shared" ref="AF1248:AF1260" si="130">AF1247+AD1248-AE1248</f>
        <v>155044.58999999997</v>
      </c>
    </row>
    <row r="1249" spans="3:32" ht="8.25" customHeight="1" x14ac:dyDescent="0.25">
      <c r="N1249" s="52">
        <v>44</v>
      </c>
      <c r="T1249" s="33">
        <v>46078</v>
      </c>
      <c r="U1249" s="34">
        <v>2026</v>
      </c>
      <c r="V1249" s="35" t="s">
        <v>749</v>
      </c>
      <c r="W1249" s="35" t="s">
        <v>17</v>
      </c>
      <c r="X1249" s="37" t="s">
        <v>1194</v>
      </c>
      <c r="Y1249" s="36" t="s">
        <v>120</v>
      </c>
      <c r="Z1249" s="30" t="s">
        <v>365</v>
      </c>
      <c r="AA1249" s="30" t="s">
        <v>1195</v>
      </c>
      <c r="AD1249" s="38">
        <v>5</v>
      </c>
      <c r="AF1249" s="76">
        <f t="shared" si="130"/>
        <v>155049.58999999997</v>
      </c>
    </row>
    <row r="1250" spans="3:32" ht="8.25" customHeight="1" x14ac:dyDescent="0.25">
      <c r="N1250" s="52">
        <v>45</v>
      </c>
      <c r="T1250" s="33">
        <v>46078</v>
      </c>
      <c r="U1250" s="34">
        <v>2026</v>
      </c>
      <c r="V1250" s="35" t="s">
        <v>749</v>
      </c>
      <c r="W1250" s="35" t="s">
        <v>17</v>
      </c>
      <c r="X1250" s="37" t="s">
        <v>1197</v>
      </c>
      <c r="Y1250" s="36" t="s">
        <v>120</v>
      </c>
      <c r="Z1250" s="30" t="s">
        <v>1196</v>
      </c>
      <c r="AA1250" s="30" t="s">
        <v>1195</v>
      </c>
      <c r="AD1250" s="38">
        <v>5</v>
      </c>
      <c r="AF1250" s="76">
        <f t="shared" si="130"/>
        <v>155054.58999999997</v>
      </c>
    </row>
    <row r="1251" spans="3:32" ht="8.25" customHeight="1" x14ac:dyDescent="0.25">
      <c r="I1251" s="52">
        <v>39</v>
      </c>
      <c r="T1251" s="33">
        <v>46078</v>
      </c>
      <c r="U1251" s="34">
        <v>2026</v>
      </c>
      <c r="V1251" s="35" t="s">
        <v>749</v>
      </c>
      <c r="W1251" s="35" t="s">
        <v>17</v>
      </c>
      <c r="X1251" s="37" t="s">
        <v>1198</v>
      </c>
      <c r="Y1251" s="36" t="s">
        <v>691</v>
      </c>
      <c r="Z1251" s="30" t="s">
        <v>692</v>
      </c>
      <c r="AA1251" s="30" t="s">
        <v>13</v>
      </c>
      <c r="AD1251" s="38">
        <v>10000</v>
      </c>
      <c r="AF1251" s="76">
        <f t="shared" si="130"/>
        <v>165054.58999999997</v>
      </c>
    </row>
    <row r="1252" spans="3:32" ht="8.25" customHeight="1" x14ac:dyDescent="0.15">
      <c r="K1252" s="52">
        <v>18</v>
      </c>
      <c r="T1252" s="33">
        <v>46078</v>
      </c>
      <c r="U1252" s="34">
        <v>2026</v>
      </c>
      <c r="V1252" s="35" t="s">
        <v>749</v>
      </c>
      <c r="W1252" s="35" t="s">
        <v>17</v>
      </c>
      <c r="X1252" s="37" t="s">
        <v>1199</v>
      </c>
      <c r="Y1252" s="36" t="s">
        <v>1200</v>
      </c>
      <c r="Z1252" s="30" t="s">
        <v>1201</v>
      </c>
      <c r="AA1252" s="136" t="s">
        <v>1788</v>
      </c>
      <c r="AD1252" s="38">
        <v>100</v>
      </c>
      <c r="AF1252" s="76">
        <f t="shared" si="130"/>
        <v>165154.58999999997</v>
      </c>
    </row>
    <row r="1253" spans="3:32" ht="8.25" customHeight="1" x14ac:dyDescent="0.25">
      <c r="L1253" s="52">
        <v>18</v>
      </c>
      <c r="T1253" s="33">
        <v>46078</v>
      </c>
      <c r="U1253" s="34">
        <v>2026</v>
      </c>
      <c r="V1253" s="35" t="s">
        <v>749</v>
      </c>
      <c r="W1253" s="35" t="s">
        <v>17</v>
      </c>
      <c r="X1253" s="37" t="s">
        <v>1202</v>
      </c>
      <c r="Y1253" s="36" t="s">
        <v>120</v>
      </c>
      <c r="Z1253" s="30" t="s">
        <v>1201</v>
      </c>
      <c r="AA1253" s="30" t="s">
        <v>373</v>
      </c>
      <c r="AD1253" s="38">
        <v>50</v>
      </c>
      <c r="AF1253" s="76">
        <f t="shared" si="130"/>
        <v>165204.58999999997</v>
      </c>
    </row>
    <row r="1254" spans="3:32" ht="8.25" customHeight="1" x14ac:dyDescent="0.25">
      <c r="I1254" s="52">
        <v>40</v>
      </c>
      <c r="T1254" s="33">
        <v>46078</v>
      </c>
      <c r="U1254" s="34">
        <v>2026</v>
      </c>
      <c r="V1254" s="35" t="s">
        <v>749</v>
      </c>
      <c r="W1254" s="35" t="s">
        <v>17</v>
      </c>
      <c r="X1254" s="37" t="s">
        <v>1203</v>
      </c>
      <c r="Y1254" s="36" t="s">
        <v>1204</v>
      </c>
      <c r="Z1254" s="30" t="s">
        <v>1201</v>
      </c>
      <c r="AA1254" s="30" t="s">
        <v>13</v>
      </c>
      <c r="AD1254" s="38">
        <v>1022.72</v>
      </c>
      <c r="AF1254" s="76">
        <f t="shared" si="130"/>
        <v>166227.30999999997</v>
      </c>
    </row>
    <row r="1255" spans="3:32" ht="8.25" customHeight="1" x14ac:dyDescent="0.25">
      <c r="M1255" s="52">
        <v>16</v>
      </c>
      <c r="T1255" s="33">
        <v>46078</v>
      </c>
      <c r="U1255" s="34">
        <v>2026</v>
      </c>
      <c r="V1255" s="35" t="s">
        <v>749</v>
      </c>
      <c r="W1255" s="35" t="s">
        <v>17</v>
      </c>
      <c r="X1255" s="37" t="s">
        <v>1205</v>
      </c>
      <c r="Y1255" s="36" t="s">
        <v>120</v>
      </c>
      <c r="Z1255" s="30" t="s">
        <v>1201</v>
      </c>
      <c r="AA1255" s="30" t="s">
        <v>385</v>
      </c>
      <c r="AD1255" s="38">
        <v>204.55</v>
      </c>
      <c r="AF1255" s="76">
        <f t="shared" si="130"/>
        <v>166431.85999999996</v>
      </c>
    </row>
    <row r="1256" spans="3:32" ht="8.25" customHeight="1" x14ac:dyDescent="0.25">
      <c r="I1256" s="52">
        <v>41</v>
      </c>
      <c r="T1256" s="33">
        <v>46078</v>
      </c>
      <c r="U1256" s="34">
        <v>2026</v>
      </c>
      <c r="V1256" s="35" t="s">
        <v>749</v>
      </c>
      <c r="W1256" s="35" t="s">
        <v>17</v>
      </c>
      <c r="X1256" s="37" t="s">
        <v>1206</v>
      </c>
      <c r="Y1256" s="36" t="s">
        <v>1207</v>
      </c>
      <c r="Z1256" s="30" t="s">
        <v>1208</v>
      </c>
      <c r="AA1256" s="30" t="s">
        <v>13</v>
      </c>
      <c r="AD1256" s="38">
        <v>125</v>
      </c>
      <c r="AF1256" s="76">
        <f t="shared" si="130"/>
        <v>166556.85999999996</v>
      </c>
    </row>
    <row r="1257" spans="3:32" ht="8.25" customHeight="1" x14ac:dyDescent="0.25">
      <c r="C1257" s="52">
        <v>10</v>
      </c>
      <c r="T1257" s="33">
        <v>46078</v>
      </c>
      <c r="U1257" s="34">
        <v>2026</v>
      </c>
      <c r="V1257" s="35" t="s">
        <v>749</v>
      </c>
      <c r="W1257" s="35" t="s">
        <v>3620</v>
      </c>
      <c r="Y1257" s="36" t="s">
        <v>1209</v>
      </c>
      <c r="Z1257" s="30" t="s">
        <v>423</v>
      </c>
      <c r="AA1257" s="30" t="s">
        <v>340</v>
      </c>
      <c r="AD1257" s="38">
        <v>58</v>
      </c>
      <c r="AF1257" s="76">
        <f t="shared" si="130"/>
        <v>166614.85999999996</v>
      </c>
    </row>
    <row r="1258" spans="3:32" ht="8.25" customHeight="1" x14ac:dyDescent="0.25">
      <c r="C1258" s="52">
        <v>11</v>
      </c>
      <c r="T1258" s="33">
        <v>46078</v>
      </c>
      <c r="U1258" s="34">
        <v>2026</v>
      </c>
      <c r="V1258" s="35" t="s">
        <v>749</v>
      </c>
      <c r="W1258" s="35" t="s">
        <v>3620</v>
      </c>
      <c r="Y1258" s="36" t="s">
        <v>1210</v>
      </c>
      <c r="Z1258" s="30" t="s">
        <v>1211</v>
      </c>
      <c r="AA1258" s="30" t="s">
        <v>340</v>
      </c>
      <c r="AD1258" s="38">
        <v>60</v>
      </c>
      <c r="AF1258" s="76">
        <f t="shared" si="130"/>
        <v>166674.85999999996</v>
      </c>
    </row>
    <row r="1259" spans="3:32" ht="8.25" customHeight="1" x14ac:dyDescent="0.25">
      <c r="G1259" s="53">
        <v>23</v>
      </c>
      <c r="T1259" s="33">
        <v>46078</v>
      </c>
      <c r="U1259" s="34">
        <v>2026</v>
      </c>
      <c r="V1259" s="35" t="s">
        <v>749</v>
      </c>
      <c r="W1259" s="35" t="s">
        <v>5</v>
      </c>
      <c r="Y1259" s="36" t="s">
        <v>1212</v>
      </c>
      <c r="Z1259" s="30" t="s">
        <v>1213</v>
      </c>
      <c r="AA1259" s="30" t="s">
        <v>3945</v>
      </c>
      <c r="AE1259" s="38">
        <v>1207.33</v>
      </c>
      <c r="AF1259" s="76">
        <f t="shared" si="130"/>
        <v>165467.52999999997</v>
      </c>
    </row>
    <row r="1260" spans="3:32" ht="8.25" customHeight="1" x14ac:dyDescent="0.25">
      <c r="R1260" s="53">
        <v>27</v>
      </c>
      <c r="T1260" s="33">
        <v>46078</v>
      </c>
      <c r="U1260" s="34">
        <v>2026</v>
      </c>
      <c r="V1260" s="35" t="s">
        <v>749</v>
      </c>
      <c r="W1260" s="35" t="s">
        <v>5</v>
      </c>
      <c r="X1260" s="37" t="s">
        <v>1214</v>
      </c>
      <c r="Y1260" s="36" t="s">
        <v>738</v>
      </c>
      <c r="Z1260" s="30" t="s">
        <v>645</v>
      </c>
      <c r="AA1260" s="30" t="s">
        <v>92</v>
      </c>
      <c r="AE1260" s="38">
        <v>1200</v>
      </c>
      <c r="AF1260" s="76">
        <f t="shared" si="130"/>
        <v>164267.52999999997</v>
      </c>
    </row>
    <row r="1261" spans="3:32" ht="8.25" customHeight="1" x14ac:dyDescent="0.25">
      <c r="R1261" s="53">
        <v>28</v>
      </c>
      <c r="T1261" s="33">
        <v>46078</v>
      </c>
      <c r="U1261" s="34">
        <v>2026</v>
      </c>
      <c r="V1261" s="35" t="s">
        <v>749</v>
      </c>
      <c r="W1261" s="35" t="s">
        <v>5</v>
      </c>
      <c r="X1261" s="37" t="s">
        <v>1215</v>
      </c>
      <c r="Y1261" s="36" t="s">
        <v>1216</v>
      </c>
      <c r="Z1261" s="30" t="s">
        <v>1201</v>
      </c>
      <c r="AA1261" s="30" t="s">
        <v>395</v>
      </c>
      <c r="AE1261" s="38">
        <v>10227.27</v>
      </c>
      <c r="AF1261" s="76">
        <f>AF1260+AD1261-AE1261</f>
        <v>154040.25999999998</v>
      </c>
    </row>
    <row r="1262" spans="3:32" ht="8.25" customHeight="1" thickBot="1" x14ac:dyDescent="0.3">
      <c r="AA1262" s="75" t="s">
        <v>257</v>
      </c>
      <c r="AD1262" s="91">
        <f>SUM(AD1248:AD1261)</f>
        <v>11830.269999999999</v>
      </c>
      <c r="AE1262" s="91">
        <f>SUM(AE1248:AE1261)</f>
        <v>12634.6</v>
      </c>
      <c r="AF1262" s="76">
        <f>AF1247+AD1262-AE1262</f>
        <v>154040.25999999995</v>
      </c>
    </row>
    <row r="1263" spans="3:32" ht="8.25" customHeight="1" thickTop="1" x14ac:dyDescent="0.25"/>
    <row r="1264" spans="3:32" ht="8.25" customHeight="1" x14ac:dyDescent="0.25">
      <c r="X1264" s="109"/>
      <c r="Y1264" s="67" t="s">
        <v>214</v>
      </c>
      <c r="Z1264" s="68"/>
      <c r="AA1264" s="75"/>
    </row>
    <row r="1265" spans="14:32" ht="8.25" customHeight="1" x14ac:dyDescent="0.25">
      <c r="X1265" s="110" t="s">
        <v>402</v>
      </c>
      <c r="Y1265" s="111">
        <v>200</v>
      </c>
      <c r="Z1265" s="111">
        <f t="shared" ref="Z1265:Z1270" si="131">X1265*Y1265</f>
        <v>1000</v>
      </c>
      <c r="AA1265" s="112"/>
    </row>
    <row r="1266" spans="14:32" ht="8.25" customHeight="1" x14ac:dyDescent="0.25">
      <c r="X1266" s="110" t="s">
        <v>1217</v>
      </c>
      <c r="Y1266" s="111">
        <v>100</v>
      </c>
      <c r="Z1266" s="111">
        <f t="shared" si="131"/>
        <v>149900</v>
      </c>
      <c r="AA1266" s="112"/>
    </row>
    <row r="1267" spans="14:32" ht="8.25" customHeight="1" x14ac:dyDescent="0.25">
      <c r="X1267" s="110" t="s">
        <v>216</v>
      </c>
      <c r="Y1267" s="111">
        <v>50</v>
      </c>
      <c r="Z1267" s="111">
        <f t="shared" si="131"/>
        <v>750</v>
      </c>
      <c r="AA1267" s="76"/>
    </row>
    <row r="1268" spans="14:32" ht="8.25" customHeight="1" x14ac:dyDescent="0.25">
      <c r="X1268" s="110" t="s">
        <v>1117</v>
      </c>
      <c r="Y1268" s="111">
        <v>20</v>
      </c>
      <c r="Z1268" s="111">
        <f t="shared" si="131"/>
        <v>560</v>
      </c>
      <c r="AA1268" s="38"/>
    </row>
    <row r="1269" spans="14:32" ht="8.25" customHeight="1" x14ac:dyDescent="0.25">
      <c r="X1269" s="110"/>
      <c r="Y1269" s="111">
        <v>10</v>
      </c>
      <c r="Z1269" s="111">
        <f t="shared" si="131"/>
        <v>0</v>
      </c>
      <c r="AA1269" s="112"/>
    </row>
    <row r="1270" spans="14:32" ht="8.25" customHeight="1" x14ac:dyDescent="0.25">
      <c r="X1270" s="110" t="s">
        <v>1178</v>
      </c>
      <c r="Y1270" s="111">
        <v>5</v>
      </c>
      <c r="Z1270" s="111">
        <f t="shared" si="131"/>
        <v>710</v>
      </c>
      <c r="AA1270" s="112"/>
    </row>
    <row r="1271" spans="14:32" ht="8.25" customHeight="1" x14ac:dyDescent="0.25">
      <c r="X1271" s="269">
        <v>0</v>
      </c>
      <c r="Y1271" s="270"/>
      <c r="Z1271" s="271"/>
      <c r="AA1271" s="38"/>
    </row>
    <row r="1272" spans="14:32" ht="8.25" customHeight="1" x14ac:dyDescent="0.25">
      <c r="X1272" s="110" t="s">
        <v>1184</v>
      </c>
      <c r="Y1272" s="111">
        <v>1</v>
      </c>
      <c r="Z1272" s="111">
        <f t="shared" ref="Z1272:Z1277" si="132">X1272*Y1272</f>
        <v>1035</v>
      </c>
      <c r="AA1272" s="76"/>
    </row>
    <row r="1273" spans="14:32" ht="8.25" customHeight="1" x14ac:dyDescent="0.25">
      <c r="X1273" s="110" t="s">
        <v>625</v>
      </c>
      <c r="Y1273" s="111">
        <v>0.5</v>
      </c>
      <c r="Z1273" s="111">
        <f t="shared" si="132"/>
        <v>42.5</v>
      </c>
      <c r="AA1273" s="112"/>
    </row>
    <row r="1274" spans="14:32" ht="8.25" customHeight="1" x14ac:dyDescent="0.25">
      <c r="X1274" s="110" t="s">
        <v>1218</v>
      </c>
      <c r="Y1274" s="111">
        <v>0.25</v>
      </c>
      <c r="Z1274" s="111">
        <f t="shared" si="132"/>
        <v>42.75</v>
      </c>
      <c r="AA1274" s="113"/>
    </row>
    <row r="1275" spans="14:32" ht="8.25" customHeight="1" x14ac:dyDescent="0.25">
      <c r="X1275" s="110"/>
      <c r="Y1275" s="111">
        <v>0.1</v>
      </c>
      <c r="Z1275" s="111">
        <f t="shared" si="132"/>
        <v>0</v>
      </c>
      <c r="AA1275" s="114" t="s">
        <v>219</v>
      </c>
    </row>
    <row r="1276" spans="14:32" ht="8.25" customHeight="1" thickBot="1" x14ac:dyDescent="0.3">
      <c r="X1276" s="110"/>
      <c r="Y1276" s="111">
        <v>0.05</v>
      </c>
      <c r="Z1276" s="111">
        <f t="shared" si="132"/>
        <v>0</v>
      </c>
      <c r="AA1276" s="115">
        <f>SUM(Z1265:Z1270)+Z1272+Z1273+Z1274+Z1275+Z1276+Z1277</f>
        <v>154040.26</v>
      </c>
    </row>
    <row r="1277" spans="14:32" ht="8.25" customHeight="1" thickTop="1" x14ac:dyDescent="0.25">
      <c r="X1277" s="110" t="s">
        <v>222</v>
      </c>
      <c r="Y1277" s="111">
        <v>0.01</v>
      </c>
      <c r="Z1277" s="111">
        <f t="shared" si="132"/>
        <v>0.01</v>
      </c>
    </row>
    <row r="1279" spans="14:32" ht="8.25" customHeight="1" x14ac:dyDescent="0.25">
      <c r="AA1279" s="75" t="s">
        <v>251</v>
      </c>
      <c r="AF1279" s="76">
        <f>AF1261</f>
        <v>154040.25999999998</v>
      </c>
    </row>
    <row r="1280" spans="14:32" ht="8.25" customHeight="1" x14ac:dyDescent="0.25">
      <c r="N1280" s="52">
        <v>46</v>
      </c>
      <c r="T1280" s="33">
        <v>46079</v>
      </c>
      <c r="U1280" s="34">
        <v>2026</v>
      </c>
      <c r="V1280" s="35" t="s">
        <v>749</v>
      </c>
      <c r="W1280" s="35" t="s">
        <v>17</v>
      </c>
      <c r="X1280" s="37" t="s">
        <v>1219</v>
      </c>
      <c r="Y1280" s="36" t="s">
        <v>679</v>
      </c>
      <c r="Z1280" s="30" t="s">
        <v>680</v>
      </c>
      <c r="AA1280" s="30" t="s">
        <v>3899</v>
      </c>
      <c r="AD1280" s="38">
        <v>6789.11</v>
      </c>
      <c r="AF1280" s="76">
        <f t="shared" ref="AF1280:AF1296" si="133">AF1279+AD1280-AE1280</f>
        <v>160829.36999999997</v>
      </c>
    </row>
    <row r="1281" spans="4:32" ht="8.25" customHeight="1" x14ac:dyDescent="0.15">
      <c r="N1281" s="52">
        <v>46</v>
      </c>
      <c r="T1281" s="33">
        <v>46079</v>
      </c>
      <c r="U1281" s="34">
        <v>2026</v>
      </c>
      <c r="V1281" s="35" t="s">
        <v>749</v>
      </c>
      <c r="W1281" s="35" t="s">
        <v>17</v>
      </c>
      <c r="X1281" s="37" t="s">
        <v>1219</v>
      </c>
      <c r="Y1281" s="36" t="s">
        <v>679</v>
      </c>
      <c r="Z1281" s="30" t="s">
        <v>680</v>
      </c>
      <c r="AA1281" s="134" t="s">
        <v>166</v>
      </c>
      <c r="AD1281" s="38">
        <v>4210.8900000000003</v>
      </c>
      <c r="AF1281" s="76">
        <f t="shared" si="133"/>
        <v>165040.25999999998</v>
      </c>
    </row>
    <row r="1282" spans="4:32" ht="8.25" customHeight="1" x14ac:dyDescent="0.25">
      <c r="N1282" s="52">
        <v>47</v>
      </c>
      <c r="T1282" s="33">
        <v>46079</v>
      </c>
      <c r="U1282" s="34">
        <v>2026</v>
      </c>
      <c r="V1282" s="35" t="s">
        <v>749</v>
      </c>
      <c r="W1282" s="35" t="s">
        <v>17</v>
      </c>
      <c r="X1282" s="37" t="s">
        <v>1220</v>
      </c>
      <c r="Y1282" s="36" t="s">
        <v>673</v>
      </c>
      <c r="Z1282" s="30" t="s">
        <v>674</v>
      </c>
      <c r="AA1282" s="30" t="s">
        <v>3899</v>
      </c>
      <c r="AD1282" s="38">
        <v>6019.38</v>
      </c>
      <c r="AF1282" s="76">
        <f t="shared" si="133"/>
        <v>171059.63999999998</v>
      </c>
    </row>
    <row r="1283" spans="4:32" ht="8.25" customHeight="1" x14ac:dyDescent="0.15">
      <c r="N1283" s="52">
        <v>47</v>
      </c>
      <c r="T1283" s="33">
        <v>46079</v>
      </c>
      <c r="U1283" s="34">
        <v>2026</v>
      </c>
      <c r="V1283" s="35" t="s">
        <v>749</v>
      </c>
      <c r="W1283" s="35" t="s">
        <v>17</v>
      </c>
      <c r="X1283" s="37" t="s">
        <v>1220</v>
      </c>
      <c r="Y1283" s="36" t="s">
        <v>673</v>
      </c>
      <c r="Z1283" s="30" t="s">
        <v>674</v>
      </c>
      <c r="AA1283" s="134" t="s">
        <v>166</v>
      </c>
      <c r="AD1283" s="38">
        <v>3980.62</v>
      </c>
      <c r="AF1283" s="76">
        <f t="shared" si="133"/>
        <v>175040.25999999998</v>
      </c>
    </row>
    <row r="1284" spans="4:32" ht="8.25" customHeight="1" x14ac:dyDescent="0.25">
      <c r="N1284" s="52">
        <v>48</v>
      </c>
      <c r="T1284" s="33">
        <v>46079</v>
      </c>
      <c r="U1284" s="34">
        <v>2026</v>
      </c>
      <c r="V1284" s="35" t="s">
        <v>749</v>
      </c>
      <c r="W1284" s="35" t="s">
        <v>17</v>
      </c>
      <c r="X1284" s="37" t="s">
        <v>1221</v>
      </c>
      <c r="Y1284" s="36" t="s">
        <v>676</v>
      </c>
      <c r="Z1284" s="30" t="s">
        <v>677</v>
      </c>
      <c r="AA1284" s="30" t="s">
        <v>3899</v>
      </c>
      <c r="AD1284" s="38">
        <v>7088.57</v>
      </c>
      <c r="AF1284" s="76">
        <f t="shared" si="133"/>
        <v>182128.83</v>
      </c>
    </row>
    <row r="1285" spans="4:32" ht="8.25" customHeight="1" x14ac:dyDescent="0.15">
      <c r="N1285" s="52">
        <v>48</v>
      </c>
      <c r="T1285" s="33">
        <v>46079</v>
      </c>
      <c r="U1285" s="34">
        <v>2026</v>
      </c>
      <c r="V1285" s="35" t="s">
        <v>749</v>
      </c>
      <c r="W1285" s="35" t="s">
        <v>17</v>
      </c>
      <c r="X1285" s="37" t="s">
        <v>1221</v>
      </c>
      <c r="Y1285" s="36" t="s">
        <v>676</v>
      </c>
      <c r="Z1285" s="30" t="s">
        <v>677</v>
      </c>
      <c r="AA1285" s="134" t="s">
        <v>166</v>
      </c>
      <c r="AD1285" s="38">
        <v>5911.43</v>
      </c>
      <c r="AF1285" s="76">
        <f t="shared" si="133"/>
        <v>188040.25999999998</v>
      </c>
    </row>
    <row r="1286" spans="4:32" ht="8.25" customHeight="1" x14ac:dyDescent="0.25">
      <c r="N1286" s="52">
        <v>49</v>
      </c>
      <c r="T1286" s="33">
        <v>46079</v>
      </c>
      <c r="U1286" s="34">
        <v>2026</v>
      </c>
      <c r="V1286" s="35" t="s">
        <v>749</v>
      </c>
      <c r="W1286" s="35" t="s">
        <v>17</v>
      </c>
      <c r="X1286" s="37" t="s">
        <v>1222</v>
      </c>
      <c r="Y1286" s="36" t="s">
        <v>682</v>
      </c>
      <c r="Z1286" s="30" t="s">
        <v>683</v>
      </c>
      <c r="AA1286" s="30" t="s">
        <v>3899</v>
      </c>
      <c r="AD1286" s="38">
        <v>6216.2</v>
      </c>
      <c r="AF1286" s="76">
        <f t="shared" si="133"/>
        <v>194256.46</v>
      </c>
    </row>
    <row r="1287" spans="4:32" ht="8.25" customHeight="1" x14ac:dyDescent="0.15">
      <c r="N1287" s="52">
        <v>49</v>
      </c>
      <c r="T1287" s="33">
        <v>46079</v>
      </c>
      <c r="U1287" s="34">
        <v>2026</v>
      </c>
      <c r="V1287" s="35" t="s">
        <v>749</v>
      </c>
      <c r="W1287" s="35" t="s">
        <v>17</v>
      </c>
      <c r="X1287" s="37" t="s">
        <v>1222</v>
      </c>
      <c r="Y1287" s="36" t="s">
        <v>682</v>
      </c>
      <c r="Z1287" s="30" t="s">
        <v>683</v>
      </c>
      <c r="AA1287" s="134" t="s">
        <v>166</v>
      </c>
      <c r="AD1287" s="38">
        <v>4783.8</v>
      </c>
      <c r="AF1287" s="76">
        <f t="shared" si="133"/>
        <v>199040.25999999998</v>
      </c>
    </row>
    <row r="1288" spans="4:32" ht="8.25" customHeight="1" x14ac:dyDescent="0.25">
      <c r="N1288" s="52">
        <v>50</v>
      </c>
      <c r="T1288" s="33">
        <v>46079</v>
      </c>
      <c r="U1288" s="34">
        <v>2026</v>
      </c>
      <c r="V1288" s="35" t="s">
        <v>749</v>
      </c>
      <c r="W1288" s="35" t="s">
        <v>17</v>
      </c>
      <c r="X1288" s="37" t="s">
        <v>1223</v>
      </c>
      <c r="Y1288" s="36" t="s">
        <v>734</v>
      </c>
      <c r="Z1288" s="30" t="s">
        <v>735</v>
      </c>
      <c r="AA1288" s="30" t="s">
        <v>3899</v>
      </c>
      <c r="AD1288" s="38">
        <v>8284.1</v>
      </c>
      <c r="AF1288" s="76">
        <f t="shared" si="133"/>
        <v>207324.36</v>
      </c>
    </row>
    <row r="1289" spans="4:32" ht="8.25" customHeight="1" x14ac:dyDescent="0.15">
      <c r="N1289" s="52">
        <v>50</v>
      </c>
      <c r="T1289" s="33">
        <v>46079</v>
      </c>
      <c r="U1289" s="34">
        <v>2026</v>
      </c>
      <c r="V1289" s="35" t="s">
        <v>749</v>
      </c>
      <c r="W1289" s="35" t="s">
        <v>17</v>
      </c>
      <c r="X1289" s="37" t="s">
        <v>1223</v>
      </c>
      <c r="Y1289" s="36" t="s">
        <v>734</v>
      </c>
      <c r="Z1289" s="30" t="s">
        <v>735</v>
      </c>
      <c r="AA1289" s="134" t="s">
        <v>166</v>
      </c>
      <c r="AD1289" s="38">
        <v>7715.9</v>
      </c>
      <c r="AF1289" s="76">
        <f t="shared" si="133"/>
        <v>215040.25999999998</v>
      </c>
    </row>
    <row r="1290" spans="4:32" ht="8.25" customHeight="1" x14ac:dyDescent="0.25">
      <c r="N1290" s="52">
        <v>51</v>
      </c>
      <c r="T1290" s="33">
        <v>46079</v>
      </c>
      <c r="U1290" s="34">
        <v>2026</v>
      </c>
      <c r="V1290" s="35" t="s">
        <v>749</v>
      </c>
      <c r="W1290" s="35" t="s">
        <v>17</v>
      </c>
      <c r="X1290" s="37" t="s">
        <v>1224</v>
      </c>
      <c r="Y1290" s="36" t="s">
        <v>685</v>
      </c>
      <c r="Z1290" s="30" t="s">
        <v>686</v>
      </c>
      <c r="AA1290" s="30" t="s">
        <v>3899</v>
      </c>
      <c r="AD1290" s="38">
        <v>11256.28</v>
      </c>
      <c r="AF1290" s="76">
        <f t="shared" si="133"/>
        <v>226296.53999999998</v>
      </c>
    </row>
    <row r="1291" spans="4:32" ht="8.25" customHeight="1" x14ac:dyDescent="0.15">
      <c r="N1291" s="52">
        <v>51</v>
      </c>
      <c r="T1291" s="33">
        <v>46079</v>
      </c>
      <c r="U1291" s="34">
        <v>2026</v>
      </c>
      <c r="V1291" s="35" t="s">
        <v>749</v>
      </c>
      <c r="W1291" s="35" t="s">
        <v>17</v>
      </c>
      <c r="X1291" s="37" t="s">
        <v>1224</v>
      </c>
      <c r="Y1291" s="36" t="s">
        <v>685</v>
      </c>
      <c r="Z1291" s="30" t="s">
        <v>686</v>
      </c>
      <c r="AA1291" s="134" t="s">
        <v>166</v>
      </c>
      <c r="AD1291" s="38">
        <v>3743.72</v>
      </c>
      <c r="AF1291" s="76">
        <f t="shared" si="133"/>
        <v>230040.25999999998</v>
      </c>
    </row>
    <row r="1292" spans="4:32" ht="8.25" customHeight="1" x14ac:dyDescent="0.25">
      <c r="I1292" s="52">
        <v>42</v>
      </c>
      <c r="T1292" s="33">
        <v>46079</v>
      </c>
      <c r="U1292" s="34">
        <v>2026</v>
      </c>
      <c r="V1292" s="35" t="s">
        <v>749</v>
      </c>
      <c r="W1292" s="35" t="s">
        <v>17</v>
      </c>
      <c r="X1292" s="37" t="s">
        <v>1225</v>
      </c>
      <c r="Y1292" s="36" t="s">
        <v>364</v>
      </c>
      <c r="Z1292" s="30" t="s">
        <v>365</v>
      </c>
      <c r="AA1292" s="30" t="s">
        <v>13</v>
      </c>
      <c r="AD1292" s="38">
        <v>20</v>
      </c>
      <c r="AF1292" s="76">
        <f t="shared" si="133"/>
        <v>230060.25999999998</v>
      </c>
    </row>
    <row r="1293" spans="4:32" ht="8.25" customHeight="1" x14ac:dyDescent="0.25">
      <c r="D1293" s="52">
        <v>7</v>
      </c>
      <c r="T1293" s="33">
        <v>46079</v>
      </c>
      <c r="U1293" s="34">
        <v>2026</v>
      </c>
      <c r="V1293" s="35" t="s">
        <v>749</v>
      </c>
      <c r="W1293" s="35" t="s">
        <v>17</v>
      </c>
      <c r="Y1293" s="36" t="s">
        <v>1226</v>
      </c>
      <c r="Z1293" s="30" t="s">
        <v>1227</v>
      </c>
      <c r="AA1293" s="30" t="s">
        <v>256</v>
      </c>
      <c r="AD1293" s="38">
        <v>200</v>
      </c>
      <c r="AF1293" s="76">
        <f t="shared" si="133"/>
        <v>230260.25999999998</v>
      </c>
    </row>
    <row r="1294" spans="4:32" ht="8.25" customHeight="1" x14ac:dyDescent="0.25">
      <c r="G1294" s="53">
        <v>24</v>
      </c>
      <c r="T1294" s="33">
        <v>46079</v>
      </c>
      <c r="U1294" s="34">
        <v>2026</v>
      </c>
      <c r="V1294" s="35" t="s">
        <v>749</v>
      </c>
      <c r="W1294" s="35" t="s">
        <v>5</v>
      </c>
      <c r="Y1294" s="36" t="s">
        <v>1228</v>
      </c>
      <c r="Z1294" s="30" t="s">
        <v>1229</v>
      </c>
      <c r="AA1294" s="30" t="s">
        <v>3945</v>
      </c>
      <c r="AE1294" s="38">
        <v>2310</v>
      </c>
      <c r="AF1294" s="76">
        <f t="shared" si="133"/>
        <v>227950.25999999998</v>
      </c>
    </row>
    <row r="1295" spans="4:32" ht="8.25" customHeight="1" x14ac:dyDescent="0.25">
      <c r="T1295" s="229">
        <v>46079</v>
      </c>
      <c r="U1295" s="230">
        <v>2026</v>
      </c>
      <c r="V1295" s="222" t="s">
        <v>749</v>
      </c>
      <c r="W1295" s="35" t="s">
        <v>5</v>
      </c>
      <c r="X1295" s="223" t="s">
        <v>1230</v>
      </c>
      <c r="Y1295" s="224" t="s">
        <v>411</v>
      </c>
      <c r="Z1295" s="225" t="s">
        <v>412</v>
      </c>
      <c r="AA1295" s="225" t="s">
        <v>618</v>
      </c>
      <c r="AB1295" s="225"/>
      <c r="AC1295" s="226"/>
      <c r="AD1295" s="227"/>
      <c r="AE1295" s="227">
        <v>70000</v>
      </c>
      <c r="AF1295" s="227">
        <f t="shared" si="133"/>
        <v>157950.25999999998</v>
      </c>
    </row>
    <row r="1296" spans="4:32" ht="8.25" customHeight="1" x14ac:dyDescent="0.25">
      <c r="G1296" s="53">
        <v>25</v>
      </c>
      <c r="T1296" s="33">
        <v>46079</v>
      </c>
      <c r="U1296" s="34">
        <v>2026</v>
      </c>
      <c r="V1296" s="35" t="s">
        <v>749</v>
      </c>
      <c r="W1296" s="35" t="s">
        <v>5</v>
      </c>
      <c r="Y1296" s="36" t="s">
        <v>1231</v>
      </c>
      <c r="Z1296" s="30" t="s">
        <v>1232</v>
      </c>
      <c r="AA1296" s="30" t="s">
        <v>3945</v>
      </c>
      <c r="AE1296" s="38">
        <v>3121.68</v>
      </c>
      <c r="AF1296" s="76">
        <f t="shared" si="133"/>
        <v>154828.57999999999</v>
      </c>
    </row>
    <row r="1298" spans="24:32" ht="8.25" customHeight="1" thickBot="1" x14ac:dyDescent="0.3">
      <c r="AA1298" s="75" t="s">
        <v>257</v>
      </c>
      <c r="AD1298" s="91">
        <f>SUM(AD1280:AD1296)</f>
        <v>76220</v>
      </c>
      <c r="AE1298" s="91">
        <f>SUM(AE1280:AE1296)</f>
        <v>75431.679999999993</v>
      </c>
      <c r="AF1298" s="76">
        <f>AF1279+AD1298-AE1298</f>
        <v>154828.57999999999</v>
      </c>
    </row>
    <row r="1299" spans="24:32" ht="8.25" customHeight="1" thickTop="1" x14ac:dyDescent="0.25"/>
    <row r="1300" spans="24:32" ht="8.25" customHeight="1" x14ac:dyDescent="0.25">
      <c r="X1300" s="109"/>
      <c r="Y1300" s="67" t="s">
        <v>214</v>
      </c>
      <c r="Z1300" s="68"/>
      <c r="AA1300" s="75"/>
    </row>
    <row r="1301" spans="24:32" ht="8.25" customHeight="1" x14ac:dyDescent="0.25">
      <c r="X1301" s="110" t="s">
        <v>402</v>
      </c>
      <c r="Y1301" s="111">
        <v>200</v>
      </c>
      <c r="Z1301" s="111">
        <f t="shared" ref="Z1301:Z1306" si="134">X1301*Y1301</f>
        <v>1000</v>
      </c>
      <c r="AA1301" s="112"/>
    </row>
    <row r="1302" spans="24:32" ht="8.25" customHeight="1" x14ac:dyDescent="0.25">
      <c r="X1302" s="110" t="s">
        <v>1191</v>
      </c>
      <c r="Y1302" s="111">
        <v>100</v>
      </c>
      <c r="Z1302" s="111">
        <f t="shared" si="134"/>
        <v>150700</v>
      </c>
      <c r="AA1302" s="112"/>
    </row>
    <row r="1303" spans="24:32" ht="8.25" customHeight="1" x14ac:dyDescent="0.25">
      <c r="X1303" s="110" t="s">
        <v>216</v>
      </c>
      <c r="Y1303" s="111">
        <v>50</v>
      </c>
      <c r="Z1303" s="111">
        <f t="shared" si="134"/>
        <v>750</v>
      </c>
      <c r="AA1303" s="76"/>
    </row>
    <row r="1304" spans="24:32" ht="8.25" customHeight="1" x14ac:dyDescent="0.25">
      <c r="X1304" s="110" t="s">
        <v>886</v>
      </c>
      <c r="Y1304" s="111">
        <v>20</v>
      </c>
      <c r="Z1304" s="111">
        <f t="shared" si="134"/>
        <v>540</v>
      </c>
      <c r="AA1304" s="38"/>
    </row>
    <row r="1305" spans="24:32" ht="8.25" customHeight="1" x14ac:dyDescent="0.25">
      <c r="X1305" s="110"/>
      <c r="Y1305" s="111">
        <v>10</v>
      </c>
      <c r="Z1305" s="111">
        <f t="shared" si="134"/>
        <v>0</v>
      </c>
      <c r="AA1305" s="112"/>
    </row>
    <row r="1306" spans="24:32" ht="8.25" customHeight="1" x14ac:dyDescent="0.25">
      <c r="X1306" s="110" t="s">
        <v>1233</v>
      </c>
      <c r="Y1306" s="111">
        <v>5</v>
      </c>
      <c r="Z1306" s="111">
        <f t="shared" si="134"/>
        <v>715</v>
      </c>
      <c r="AA1306" s="112"/>
    </row>
    <row r="1307" spans="24:32" ht="8.25" customHeight="1" x14ac:dyDescent="0.25">
      <c r="X1307" s="269">
        <v>0</v>
      </c>
      <c r="Y1307" s="270"/>
      <c r="Z1307" s="271"/>
      <c r="AA1307" s="38"/>
    </row>
    <row r="1308" spans="24:32" ht="8.25" customHeight="1" x14ac:dyDescent="0.25">
      <c r="X1308" s="110" t="s">
        <v>1234</v>
      </c>
      <c r="Y1308" s="111">
        <v>1</v>
      </c>
      <c r="Z1308" s="111">
        <f t="shared" ref="Z1308:Z1313" si="135">X1308*Y1308</f>
        <v>1038</v>
      </c>
      <c r="AA1308" s="76"/>
    </row>
    <row r="1309" spans="24:32" ht="8.25" customHeight="1" x14ac:dyDescent="0.25">
      <c r="X1309" s="110" t="s">
        <v>625</v>
      </c>
      <c r="Y1309" s="111">
        <v>0.5</v>
      </c>
      <c r="Z1309" s="111">
        <f t="shared" si="135"/>
        <v>42.5</v>
      </c>
      <c r="AA1309" s="112"/>
    </row>
    <row r="1310" spans="24:32" ht="8.25" customHeight="1" x14ac:dyDescent="0.25">
      <c r="X1310" s="110" t="s">
        <v>822</v>
      </c>
      <c r="Y1310" s="111">
        <v>0.25</v>
      </c>
      <c r="Z1310" s="111">
        <f t="shared" si="135"/>
        <v>43</v>
      </c>
      <c r="AA1310" s="113"/>
    </row>
    <row r="1311" spans="24:32" ht="8.25" customHeight="1" x14ac:dyDescent="0.25">
      <c r="X1311" s="110"/>
      <c r="Y1311" s="111">
        <v>0.1</v>
      </c>
      <c r="Z1311" s="111">
        <f t="shared" si="135"/>
        <v>0</v>
      </c>
      <c r="AA1311" s="114" t="s">
        <v>219</v>
      </c>
    </row>
    <row r="1312" spans="24:32" ht="8.25" customHeight="1" thickBot="1" x14ac:dyDescent="0.3">
      <c r="X1312" s="110" t="s">
        <v>222</v>
      </c>
      <c r="Y1312" s="111">
        <v>0.05</v>
      </c>
      <c r="Z1312" s="111">
        <f t="shared" si="135"/>
        <v>0.05</v>
      </c>
      <c r="AA1312" s="115">
        <f>SUM(Z1301:Z1306)+Z1308+Z1309+Z1310+Z1311+Z1312+Z1313</f>
        <v>154828.57999999999</v>
      </c>
    </row>
    <row r="1313" spans="9:32" ht="8.25" customHeight="1" thickTop="1" x14ac:dyDescent="0.25">
      <c r="X1313" s="110" t="s">
        <v>223</v>
      </c>
      <c r="Y1313" s="111">
        <v>0.01</v>
      </c>
      <c r="Z1313" s="111">
        <f t="shared" si="135"/>
        <v>0.03</v>
      </c>
    </row>
    <row r="1314" spans="9:32" ht="8.25" customHeight="1" x14ac:dyDescent="0.25">
      <c r="Z1314" s="231" t="s">
        <v>1235</v>
      </c>
      <c r="AF1314" s="76">
        <f>AF1296</f>
        <v>154828.57999999999</v>
      </c>
    </row>
    <row r="1315" spans="9:32" ht="8.25" customHeight="1" x14ac:dyDescent="0.25">
      <c r="I1315" s="52">
        <v>43</v>
      </c>
      <c r="T1315" s="33">
        <v>46080</v>
      </c>
      <c r="U1315" s="34">
        <v>2026</v>
      </c>
      <c r="V1315" s="35" t="s">
        <v>749</v>
      </c>
      <c r="W1315" s="35" t="s">
        <v>17</v>
      </c>
      <c r="X1315" s="37" t="s">
        <v>1236</v>
      </c>
      <c r="Y1315" s="36" t="s">
        <v>404</v>
      </c>
      <c r="Z1315" s="30" t="s">
        <v>405</v>
      </c>
      <c r="AA1315" s="30" t="s">
        <v>13</v>
      </c>
      <c r="AD1315" s="38">
        <v>1000</v>
      </c>
      <c r="AF1315" s="76">
        <f t="shared" ref="AF1315:AF1360" si="136">AF1314+AD1315-AE1315</f>
        <v>155828.57999999999</v>
      </c>
    </row>
    <row r="1316" spans="9:32" ht="8.25" customHeight="1" x14ac:dyDescent="0.25">
      <c r="N1316" s="52">
        <v>52</v>
      </c>
      <c r="T1316" s="33">
        <v>46080</v>
      </c>
      <c r="U1316" s="34">
        <v>2026</v>
      </c>
      <c r="V1316" s="35" t="s">
        <v>749</v>
      </c>
      <c r="W1316" s="35" t="s">
        <v>17</v>
      </c>
      <c r="X1316" s="37" t="s">
        <v>1237</v>
      </c>
      <c r="Y1316" s="36" t="s">
        <v>688</v>
      </c>
      <c r="Z1316" s="30" t="s">
        <v>1238</v>
      </c>
      <c r="AA1316" s="30" t="s">
        <v>3899</v>
      </c>
      <c r="AD1316" s="38">
        <v>3512.12</v>
      </c>
      <c r="AF1316" s="76">
        <f t="shared" si="136"/>
        <v>159340.69999999998</v>
      </c>
    </row>
    <row r="1317" spans="9:32" ht="8.25" customHeight="1" x14ac:dyDescent="0.15">
      <c r="N1317" s="52">
        <v>52</v>
      </c>
      <c r="T1317" s="33">
        <v>46080</v>
      </c>
      <c r="U1317" s="34">
        <v>2026</v>
      </c>
      <c r="V1317" s="35" t="s">
        <v>749</v>
      </c>
      <c r="W1317" s="35" t="s">
        <v>17</v>
      </c>
      <c r="X1317" s="37" t="s">
        <v>1237</v>
      </c>
      <c r="Y1317" s="36" t="s">
        <v>688</v>
      </c>
      <c r="Z1317" s="30" t="s">
        <v>1238</v>
      </c>
      <c r="AA1317" s="134" t="s">
        <v>166</v>
      </c>
      <c r="AD1317" s="38">
        <v>987.88</v>
      </c>
      <c r="AF1317" s="76">
        <f t="shared" si="136"/>
        <v>160328.57999999999</v>
      </c>
    </row>
    <row r="1318" spans="9:32" ht="8.25" customHeight="1" x14ac:dyDescent="0.15">
      <c r="K1318" s="52">
        <v>19</v>
      </c>
      <c r="T1318" s="33">
        <v>46080</v>
      </c>
      <c r="U1318" s="34">
        <v>2026</v>
      </c>
      <c r="V1318" s="35" t="s">
        <v>749</v>
      </c>
      <c r="W1318" s="35" t="s">
        <v>17</v>
      </c>
      <c r="X1318" s="37" t="s">
        <v>1239</v>
      </c>
      <c r="Y1318" s="36" t="s">
        <v>1240</v>
      </c>
      <c r="Z1318" s="30" t="s">
        <v>1241</v>
      </c>
      <c r="AA1318" s="136" t="s">
        <v>1788</v>
      </c>
      <c r="AD1318" s="38">
        <v>100</v>
      </c>
      <c r="AF1318" s="76">
        <f t="shared" si="136"/>
        <v>160428.57999999999</v>
      </c>
    </row>
    <row r="1319" spans="9:32" ht="8.25" customHeight="1" x14ac:dyDescent="0.25">
      <c r="L1319" s="52">
        <v>19</v>
      </c>
      <c r="T1319" s="33">
        <v>46080</v>
      </c>
      <c r="U1319" s="34">
        <v>2026</v>
      </c>
      <c r="V1319" s="35" t="s">
        <v>749</v>
      </c>
      <c r="W1319" s="35" t="s">
        <v>17</v>
      </c>
      <c r="X1319" s="37" t="s">
        <v>1242</v>
      </c>
      <c r="Y1319" s="36" t="s">
        <v>120</v>
      </c>
      <c r="Z1319" s="30" t="s">
        <v>1241</v>
      </c>
      <c r="AA1319" s="30" t="s">
        <v>373</v>
      </c>
      <c r="AD1319" s="38">
        <v>50</v>
      </c>
      <c r="AF1319" s="76">
        <f t="shared" si="136"/>
        <v>160478.57999999999</v>
      </c>
    </row>
    <row r="1320" spans="9:32" ht="8.25" customHeight="1" x14ac:dyDescent="0.15">
      <c r="K1320" s="52">
        <v>20</v>
      </c>
      <c r="T1320" s="33">
        <v>46080</v>
      </c>
      <c r="U1320" s="34">
        <v>2026</v>
      </c>
      <c r="V1320" s="35" t="s">
        <v>749</v>
      </c>
      <c r="W1320" s="35" t="s">
        <v>17</v>
      </c>
      <c r="X1320" s="37" t="s">
        <v>1243</v>
      </c>
      <c r="Y1320" s="36" t="s">
        <v>1244</v>
      </c>
      <c r="Z1320" s="30" t="s">
        <v>1245</v>
      </c>
      <c r="AA1320" s="136" t="s">
        <v>1788</v>
      </c>
      <c r="AD1320" s="38">
        <v>100</v>
      </c>
      <c r="AF1320" s="76">
        <f t="shared" si="136"/>
        <v>160578.57999999999</v>
      </c>
    </row>
    <row r="1321" spans="9:32" ht="8.25" customHeight="1" x14ac:dyDescent="0.25">
      <c r="L1321" s="52">
        <v>20</v>
      </c>
      <c r="T1321" s="33">
        <v>46080</v>
      </c>
      <c r="U1321" s="34">
        <v>2026</v>
      </c>
      <c r="V1321" s="35" t="s">
        <v>749</v>
      </c>
      <c r="W1321" s="35" t="s">
        <v>17</v>
      </c>
      <c r="X1321" s="37" t="s">
        <v>1246</v>
      </c>
      <c r="Y1321" s="36" t="s">
        <v>120</v>
      </c>
      <c r="Z1321" s="30" t="s">
        <v>1245</v>
      </c>
      <c r="AA1321" s="30" t="s">
        <v>373</v>
      </c>
      <c r="AD1321" s="38">
        <v>50</v>
      </c>
      <c r="AF1321" s="76">
        <f t="shared" si="136"/>
        <v>160628.57999999999</v>
      </c>
    </row>
    <row r="1322" spans="9:32" ht="8.25" customHeight="1" x14ac:dyDescent="0.15">
      <c r="K1322" s="52">
        <v>21</v>
      </c>
      <c r="T1322" s="33">
        <v>46080</v>
      </c>
      <c r="U1322" s="34">
        <v>2026</v>
      </c>
      <c r="V1322" s="35" t="s">
        <v>749</v>
      </c>
      <c r="W1322" s="35" t="s">
        <v>17</v>
      </c>
      <c r="X1322" s="37" t="s">
        <v>1247</v>
      </c>
      <c r="Z1322" s="30" t="s">
        <v>1248</v>
      </c>
      <c r="AA1322" s="136" t="s">
        <v>1788</v>
      </c>
      <c r="AD1322" s="38">
        <v>100</v>
      </c>
      <c r="AF1322" s="76">
        <f t="shared" si="136"/>
        <v>160728.57999999999</v>
      </c>
    </row>
    <row r="1323" spans="9:32" ht="8.25" customHeight="1" x14ac:dyDescent="0.25">
      <c r="L1323" s="52">
        <v>21</v>
      </c>
      <c r="T1323" s="33">
        <v>46080</v>
      </c>
      <c r="U1323" s="34">
        <v>2026</v>
      </c>
      <c r="V1323" s="35" t="s">
        <v>749</v>
      </c>
      <c r="W1323" s="35" t="s">
        <v>17</v>
      </c>
      <c r="X1323" s="37" t="s">
        <v>1249</v>
      </c>
      <c r="Y1323" s="36" t="s">
        <v>120</v>
      </c>
      <c r="Z1323" s="30" t="s">
        <v>1248</v>
      </c>
      <c r="AA1323" s="30" t="s">
        <v>373</v>
      </c>
      <c r="AD1323" s="38">
        <v>50</v>
      </c>
      <c r="AF1323" s="76">
        <f t="shared" si="136"/>
        <v>160778.57999999999</v>
      </c>
    </row>
    <row r="1324" spans="9:32" ht="8.25" customHeight="1" x14ac:dyDescent="0.25">
      <c r="I1324" s="52">
        <v>44</v>
      </c>
      <c r="T1324" s="33">
        <v>46080</v>
      </c>
      <c r="U1324" s="34">
        <v>2026</v>
      </c>
      <c r="V1324" s="35" t="s">
        <v>749</v>
      </c>
      <c r="W1324" s="35" t="s">
        <v>17</v>
      </c>
      <c r="X1324" s="37" t="s">
        <v>1250</v>
      </c>
      <c r="Y1324" s="36" t="s">
        <v>1251</v>
      </c>
      <c r="Z1324" s="30" t="s">
        <v>1248</v>
      </c>
      <c r="AA1324" s="30" t="s">
        <v>13</v>
      </c>
      <c r="AD1324" s="38">
        <v>100</v>
      </c>
      <c r="AF1324" s="76">
        <f t="shared" si="136"/>
        <v>160878.57999999999</v>
      </c>
    </row>
    <row r="1325" spans="9:32" ht="8.25" customHeight="1" x14ac:dyDescent="0.25">
      <c r="T1325" s="33">
        <v>46080</v>
      </c>
      <c r="U1325" s="34">
        <v>2026</v>
      </c>
      <c r="V1325" s="35" t="s">
        <v>749</v>
      </c>
      <c r="W1325" s="35" t="s">
        <v>17</v>
      </c>
      <c r="X1325" s="37" t="s">
        <v>1254</v>
      </c>
      <c r="Z1325" s="30" t="s">
        <v>1293</v>
      </c>
      <c r="AD1325" s="38">
        <v>0</v>
      </c>
      <c r="AF1325" s="76">
        <f t="shared" si="136"/>
        <v>160878.57999999999</v>
      </c>
    </row>
    <row r="1326" spans="9:32" ht="8.25" customHeight="1" x14ac:dyDescent="0.15">
      <c r="K1326" s="52">
        <v>22</v>
      </c>
      <c r="T1326" s="33">
        <v>46080</v>
      </c>
      <c r="U1326" s="34">
        <v>2026</v>
      </c>
      <c r="V1326" s="35" t="s">
        <v>749</v>
      </c>
      <c r="W1326" s="35" t="s">
        <v>17</v>
      </c>
      <c r="X1326" s="37" t="s">
        <v>1253</v>
      </c>
      <c r="Y1326" s="36" t="s">
        <v>1631</v>
      </c>
      <c r="Z1326" s="30" t="s">
        <v>1252</v>
      </c>
      <c r="AA1326" s="136" t="s">
        <v>1788</v>
      </c>
      <c r="AD1326" s="38">
        <v>100</v>
      </c>
      <c r="AF1326" s="76">
        <f t="shared" si="136"/>
        <v>160978.57999999999</v>
      </c>
    </row>
    <row r="1327" spans="9:32" ht="8.25" customHeight="1" x14ac:dyDescent="0.25">
      <c r="L1327" s="52">
        <v>22</v>
      </c>
      <c r="T1327" s="33">
        <v>46080</v>
      </c>
      <c r="U1327" s="34">
        <v>2026</v>
      </c>
      <c r="V1327" s="35" t="s">
        <v>749</v>
      </c>
      <c r="W1327" s="35" t="s">
        <v>17</v>
      </c>
      <c r="X1327" s="37" t="s">
        <v>1255</v>
      </c>
      <c r="Y1327" s="36" t="s">
        <v>120</v>
      </c>
      <c r="Z1327" s="30" t="s">
        <v>1252</v>
      </c>
      <c r="AA1327" s="30" t="s">
        <v>373</v>
      </c>
      <c r="AD1327" s="38">
        <v>50</v>
      </c>
      <c r="AF1327" s="76">
        <f t="shared" si="136"/>
        <v>161028.57999999999</v>
      </c>
    </row>
    <row r="1328" spans="9:32" ht="8.25" customHeight="1" x14ac:dyDescent="0.15">
      <c r="K1328" s="52">
        <v>23</v>
      </c>
      <c r="T1328" s="33">
        <v>46080</v>
      </c>
      <c r="U1328" s="34">
        <v>2026</v>
      </c>
      <c r="V1328" s="35" t="s">
        <v>749</v>
      </c>
      <c r="W1328" s="35" t="s">
        <v>17</v>
      </c>
      <c r="X1328" s="37" t="s">
        <v>946</v>
      </c>
      <c r="Y1328" s="36" t="s">
        <v>1256</v>
      </c>
      <c r="Z1328" s="30" t="s">
        <v>1258</v>
      </c>
      <c r="AA1328" s="136" t="s">
        <v>1788</v>
      </c>
      <c r="AD1328" s="38">
        <v>100</v>
      </c>
      <c r="AF1328" s="76">
        <f t="shared" si="136"/>
        <v>161128.57999999999</v>
      </c>
    </row>
    <row r="1329" spans="4:32" ht="8.25" customHeight="1" x14ac:dyDescent="0.25">
      <c r="L1329" s="52">
        <v>23</v>
      </c>
      <c r="T1329" s="33">
        <v>46080</v>
      </c>
      <c r="U1329" s="34">
        <v>2026</v>
      </c>
      <c r="V1329" s="35" t="s">
        <v>749</v>
      </c>
      <c r="W1329" s="35" t="s">
        <v>17</v>
      </c>
      <c r="X1329" s="37" t="s">
        <v>1257</v>
      </c>
      <c r="Y1329" s="36" t="s">
        <v>120</v>
      </c>
      <c r="Z1329" s="30" t="s">
        <v>1258</v>
      </c>
      <c r="AA1329" s="30" t="s">
        <v>373</v>
      </c>
      <c r="AD1329" s="38">
        <v>50</v>
      </c>
      <c r="AF1329" s="76">
        <f t="shared" si="136"/>
        <v>161178.57999999999</v>
      </c>
    </row>
    <row r="1330" spans="4:32" ht="8.25" customHeight="1" x14ac:dyDescent="0.15">
      <c r="K1330" s="52">
        <v>24</v>
      </c>
      <c r="T1330" s="33">
        <v>46080</v>
      </c>
      <c r="U1330" s="34">
        <v>2026</v>
      </c>
      <c r="V1330" s="35" t="s">
        <v>749</v>
      </c>
      <c r="W1330" s="35" t="s">
        <v>17</v>
      </c>
      <c r="X1330" s="37" t="s">
        <v>1259</v>
      </c>
      <c r="Y1330" s="36" t="s">
        <v>1260</v>
      </c>
      <c r="Z1330" s="30" t="s">
        <v>1294</v>
      </c>
      <c r="AA1330" s="136" t="s">
        <v>1788</v>
      </c>
      <c r="AD1330" s="38">
        <v>100</v>
      </c>
      <c r="AF1330" s="76">
        <f t="shared" si="136"/>
        <v>161278.57999999999</v>
      </c>
    </row>
    <row r="1331" spans="4:32" ht="8.25" customHeight="1" x14ac:dyDescent="0.25">
      <c r="L1331" s="52">
        <v>24</v>
      </c>
      <c r="T1331" s="33">
        <v>46080</v>
      </c>
      <c r="U1331" s="34">
        <v>2026</v>
      </c>
      <c r="V1331" s="35" t="s">
        <v>749</v>
      </c>
      <c r="W1331" s="35" t="s">
        <v>17</v>
      </c>
      <c r="X1331" s="37" t="s">
        <v>1261</v>
      </c>
      <c r="Y1331" s="36" t="s">
        <v>120</v>
      </c>
      <c r="Z1331" s="30" t="s">
        <v>1294</v>
      </c>
      <c r="AA1331" s="30" t="s">
        <v>373</v>
      </c>
      <c r="AD1331" s="38">
        <v>50</v>
      </c>
      <c r="AF1331" s="76">
        <f t="shared" si="136"/>
        <v>161328.57999999999</v>
      </c>
    </row>
    <row r="1332" spans="4:32" ht="8.25" customHeight="1" x14ac:dyDescent="0.25">
      <c r="K1332" s="52">
        <v>25</v>
      </c>
      <c r="T1332" s="33">
        <v>46080</v>
      </c>
      <c r="U1332" s="34">
        <v>2026</v>
      </c>
      <c r="V1332" s="35" t="s">
        <v>749</v>
      </c>
      <c r="W1332" s="35" t="s">
        <v>17</v>
      </c>
      <c r="X1332" s="37" t="s">
        <v>1262</v>
      </c>
      <c r="Y1332" s="36" t="s">
        <v>1263</v>
      </c>
      <c r="Z1332" s="30" t="s">
        <v>1294</v>
      </c>
      <c r="AA1332" s="30" t="s">
        <v>13</v>
      </c>
      <c r="AD1332" s="38">
        <v>150</v>
      </c>
      <c r="AF1332" s="76">
        <f t="shared" si="136"/>
        <v>161478.57999999999</v>
      </c>
    </row>
    <row r="1333" spans="4:32" ht="8.25" customHeight="1" x14ac:dyDescent="0.25">
      <c r="I1333" s="52">
        <v>45</v>
      </c>
      <c r="L1333" s="52">
        <v>25</v>
      </c>
      <c r="T1333" s="33">
        <v>46080</v>
      </c>
      <c r="U1333" s="34">
        <v>2026</v>
      </c>
      <c r="V1333" s="35" t="s">
        <v>749</v>
      </c>
      <c r="W1333" s="35" t="s">
        <v>17</v>
      </c>
      <c r="X1333" s="37" t="s">
        <v>1264</v>
      </c>
      <c r="Y1333" s="36" t="s">
        <v>275</v>
      </c>
      <c r="Z1333" s="30" t="s">
        <v>1265</v>
      </c>
      <c r="AA1333" s="30" t="s">
        <v>13</v>
      </c>
      <c r="AD1333" s="38">
        <v>15000</v>
      </c>
      <c r="AF1333" s="76">
        <f t="shared" si="136"/>
        <v>176478.58</v>
      </c>
    </row>
    <row r="1334" spans="4:32" ht="8.25" customHeight="1" x14ac:dyDescent="0.25">
      <c r="D1334" s="52">
        <v>8</v>
      </c>
      <c r="T1334" s="33">
        <v>46080</v>
      </c>
      <c r="U1334" s="34">
        <v>2026</v>
      </c>
      <c r="V1334" s="35" t="s">
        <v>749</v>
      </c>
      <c r="W1334" s="35" t="s">
        <v>17</v>
      </c>
      <c r="Y1334" s="36" t="s">
        <v>1266</v>
      </c>
      <c r="Z1334" s="30" t="s">
        <v>1267</v>
      </c>
      <c r="AA1334" s="30" t="s">
        <v>256</v>
      </c>
      <c r="AD1334" s="38">
        <v>5000</v>
      </c>
      <c r="AF1334" s="76">
        <f t="shared" si="136"/>
        <v>181478.58</v>
      </c>
    </row>
    <row r="1335" spans="4:32" ht="8.25" customHeight="1" x14ac:dyDescent="0.15">
      <c r="K1335" s="52">
        <v>26</v>
      </c>
      <c r="T1335" s="33">
        <v>46080</v>
      </c>
      <c r="U1335" s="34">
        <v>2026</v>
      </c>
      <c r="V1335" s="35" t="s">
        <v>749</v>
      </c>
      <c r="W1335" s="35" t="s">
        <v>17</v>
      </c>
      <c r="X1335" s="37" t="s">
        <v>1268</v>
      </c>
      <c r="Y1335" s="36" t="s">
        <v>1269</v>
      </c>
      <c r="Z1335" s="30" t="s">
        <v>1270</v>
      </c>
      <c r="AA1335" s="136" t="s">
        <v>1788</v>
      </c>
      <c r="AD1335" s="38">
        <v>100</v>
      </c>
      <c r="AF1335" s="76">
        <f t="shared" si="136"/>
        <v>181578.58</v>
      </c>
    </row>
    <row r="1336" spans="4:32" ht="8.25" customHeight="1" x14ac:dyDescent="0.25">
      <c r="L1336" s="52">
        <v>26</v>
      </c>
      <c r="T1336" s="33">
        <v>46080</v>
      </c>
      <c r="U1336" s="34">
        <v>2026</v>
      </c>
      <c r="V1336" s="35" t="s">
        <v>749</v>
      </c>
      <c r="W1336" s="35" t="s">
        <v>17</v>
      </c>
      <c r="X1336" s="37" t="s">
        <v>1271</v>
      </c>
      <c r="Y1336" s="36" t="s">
        <v>120</v>
      </c>
      <c r="Z1336" s="30" t="s">
        <v>1270</v>
      </c>
      <c r="AA1336" s="30" t="s">
        <v>373</v>
      </c>
      <c r="AD1336" s="38">
        <v>50</v>
      </c>
      <c r="AF1336" s="76">
        <f t="shared" si="136"/>
        <v>181628.58</v>
      </c>
    </row>
    <row r="1337" spans="4:32" ht="8.25" customHeight="1" x14ac:dyDescent="0.15">
      <c r="K1337" s="52">
        <v>27</v>
      </c>
      <c r="T1337" s="33">
        <v>46080</v>
      </c>
      <c r="U1337" s="34">
        <v>2026</v>
      </c>
      <c r="V1337" s="35" t="s">
        <v>749</v>
      </c>
      <c r="W1337" s="35" t="s">
        <v>17</v>
      </c>
      <c r="X1337" s="37" t="s">
        <v>1275</v>
      </c>
      <c r="Y1337" s="36" t="s">
        <v>1272</v>
      </c>
      <c r="Z1337" s="30" t="s">
        <v>1273</v>
      </c>
      <c r="AA1337" s="136" t="s">
        <v>1788</v>
      </c>
      <c r="AD1337" s="38">
        <v>100</v>
      </c>
      <c r="AF1337" s="76">
        <f t="shared" si="136"/>
        <v>181728.58</v>
      </c>
    </row>
    <row r="1338" spans="4:32" ht="8.25" customHeight="1" x14ac:dyDescent="0.25">
      <c r="L1338" s="52">
        <v>27</v>
      </c>
      <c r="T1338" s="33">
        <v>46080</v>
      </c>
      <c r="U1338" s="34">
        <v>2026</v>
      </c>
      <c r="V1338" s="35" t="s">
        <v>749</v>
      </c>
      <c r="W1338" s="35" t="s">
        <v>17</v>
      </c>
      <c r="X1338" s="37" t="s">
        <v>1274</v>
      </c>
      <c r="Y1338" s="36" t="s">
        <v>120</v>
      </c>
      <c r="Z1338" s="30" t="s">
        <v>1273</v>
      </c>
      <c r="AA1338" s="30" t="s">
        <v>373</v>
      </c>
      <c r="AD1338" s="38">
        <v>50</v>
      </c>
      <c r="AF1338" s="76">
        <f t="shared" si="136"/>
        <v>181778.58</v>
      </c>
    </row>
    <row r="1339" spans="4:32" ht="8.25" customHeight="1" x14ac:dyDescent="0.25">
      <c r="I1339" s="52">
        <v>46</v>
      </c>
      <c r="T1339" s="33">
        <v>46080</v>
      </c>
      <c r="U1339" s="34">
        <v>2026</v>
      </c>
      <c r="V1339" s="35" t="s">
        <v>749</v>
      </c>
      <c r="W1339" s="35" t="s">
        <v>17</v>
      </c>
      <c r="X1339" s="37" t="s">
        <v>1276</v>
      </c>
      <c r="Z1339" s="30" t="s">
        <v>1270</v>
      </c>
      <c r="AA1339" s="30" t="s">
        <v>13</v>
      </c>
      <c r="AD1339" s="38">
        <v>1147.72</v>
      </c>
      <c r="AF1339" s="76">
        <f t="shared" si="136"/>
        <v>182926.3</v>
      </c>
    </row>
    <row r="1340" spans="4:32" ht="8.25" customHeight="1" x14ac:dyDescent="0.25">
      <c r="M1340" s="52">
        <v>17</v>
      </c>
      <c r="T1340" s="33">
        <v>46080</v>
      </c>
      <c r="U1340" s="34">
        <v>2026</v>
      </c>
      <c r="V1340" s="35" t="s">
        <v>749</v>
      </c>
      <c r="W1340" s="35" t="s">
        <v>17</v>
      </c>
      <c r="X1340" s="37" t="s">
        <v>1278</v>
      </c>
      <c r="Y1340" s="36" t="s">
        <v>120</v>
      </c>
      <c r="Z1340" s="30" t="s">
        <v>1270</v>
      </c>
      <c r="AA1340" s="30" t="s">
        <v>385</v>
      </c>
      <c r="AD1340" s="38">
        <v>229.55</v>
      </c>
      <c r="AF1340" s="76">
        <f t="shared" si="136"/>
        <v>183155.84999999998</v>
      </c>
    </row>
    <row r="1341" spans="4:32" ht="8.25" customHeight="1" x14ac:dyDescent="0.25">
      <c r="I1341" s="52">
        <v>47</v>
      </c>
      <c r="T1341" s="33">
        <v>46080</v>
      </c>
      <c r="U1341" s="34">
        <v>2026</v>
      </c>
      <c r="V1341" s="35" t="s">
        <v>749</v>
      </c>
      <c r="W1341" s="35" t="s">
        <v>17</v>
      </c>
      <c r="X1341" s="37" t="s">
        <v>1277</v>
      </c>
      <c r="Y1341" s="36" t="s">
        <v>1279</v>
      </c>
      <c r="Z1341" s="30" t="s">
        <v>1273</v>
      </c>
      <c r="AA1341" s="30" t="s">
        <v>13</v>
      </c>
      <c r="AD1341" s="38">
        <v>1147.72</v>
      </c>
      <c r="AF1341" s="76">
        <f t="shared" si="136"/>
        <v>184303.56999999998</v>
      </c>
    </row>
    <row r="1342" spans="4:32" ht="8.25" customHeight="1" x14ac:dyDescent="0.25">
      <c r="M1342" s="52">
        <v>18</v>
      </c>
      <c r="T1342" s="33">
        <v>46080</v>
      </c>
      <c r="U1342" s="34">
        <v>2026</v>
      </c>
      <c r="V1342" s="35" t="s">
        <v>749</v>
      </c>
      <c r="W1342" s="35" t="s">
        <v>17</v>
      </c>
      <c r="X1342" s="37" t="s">
        <v>1280</v>
      </c>
      <c r="Y1342" s="36" t="s">
        <v>120</v>
      </c>
      <c r="Z1342" s="30" t="s">
        <v>1273</v>
      </c>
      <c r="AA1342" s="30" t="s">
        <v>385</v>
      </c>
      <c r="AD1342" s="38">
        <v>229.55</v>
      </c>
      <c r="AF1342" s="76">
        <f t="shared" si="136"/>
        <v>184533.11999999997</v>
      </c>
    </row>
    <row r="1343" spans="4:32" ht="8.25" customHeight="1" x14ac:dyDescent="0.25">
      <c r="I1343" s="52">
        <v>48</v>
      </c>
      <c r="T1343" s="33">
        <v>46080</v>
      </c>
      <c r="U1343" s="34">
        <v>2026</v>
      </c>
      <c r="V1343" s="35" t="s">
        <v>749</v>
      </c>
      <c r="W1343" s="35" t="s">
        <v>17</v>
      </c>
      <c r="X1343" s="37" t="s">
        <v>1281</v>
      </c>
      <c r="Y1343" s="36" t="s">
        <v>1282</v>
      </c>
      <c r="Z1343" s="30" t="s">
        <v>1283</v>
      </c>
      <c r="AA1343" s="30" t="s">
        <v>13</v>
      </c>
      <c r="AD1343" s="38">
        <v>34090.910000000003</v>
      </c>
      <c r="AF1343" s="76">
        <f t="shared" si="136"/>
        <v>218624.02999999997</v>
      </c>
    </row>
    <row r="1344" spans="4:32" ht="8.25" customHeight="1" x14ac:dyDescent="0.25">
      <c r="M1344" s="52">
        <v>19</v>
      </c>
      <c r="T1344" s="33">
        <v>46080</v>
      </c>
      <c r="U1344" s="34">
        <v>2026</v>
      </c>
      <c r="V1344" s="35" t="s">
        <v>749</v>
      </c>
      <c r="W1344" s="35" t="s">
        <v>17</v>
      </c>
      <c r="X1344" s="37" t="s">
        <v>1284</v>
      </c>
      <c r="Y1344" s="36" t="s">
        <v>120</v>
      </c>
      <c r="Z1344" s="30" t="s">
        <v>1283</v>
      </c>
      <c r="AA1344" s="30" t="s">
        <v>385</v>
      </c>
      <c r="AD1344" s="38">
        <v>6818.18</v>
      </c>
      <c r="AF1344" s="76">
        <f t="shared" si="136"/>
        <v>225442.20999999996</v>
      </c>
    </row>
    <row r="1345" spans="1:32" ht="8.25" customHeight="1" x14ac:dyDescent="0.25">
      <c r="I1345" s="52">
        <v>49</v>
      </c>
      <c r="T1345" s="33">
        <v>46080</v>
      </c>
      <c r="U1345" s="34">
        <v>2026</v>
      </c>
      <c r="V1345" s="35" t="s">
        <v>749</v>
      </c>
      <c r="W1345" s="35" t="s">
        <v>17</v>
      </c>
      <c r="X1345" s="37" t="s">
        <v>1285</v>
      </c>
      <c r="Y1345" s="36" t="s">
        <v>1286</v>
      </c>
      <c r="Z1345" s="30" t="s">
        <v>1287</v>
      </c>
      <c r="AA1345" s="30" t="s">
        <v>13</v>
      </c>
      <c r="AD1345" s="38">
        <v>45454.55</v>
      </c>
      <c r="AF1345" s="76">
        <f t="shared" si="136"/>
        <v>270896.75999999995</v>
      </c>
    </row>
    <row r="1346" spans="1:32" ht="8.25" customHeight="1" x14ac:dyDescent="0.25">
      <c r="M1346" s="52">
        <v>20</v>
      </c>
      <c r="T1346" s="33">
        <v>46080</v>
      </c>
      <c r="U1346" s="34">
        <v>2026</v>
      </c>
      <c r="V1346" s="35" t="s">
        <v>749</v>
      </c>
      <c r="W1346" s="35" t="s">
        <v>17</v>
      </c>
      <c r="X1346" s="37" t="s">
        <v>1288</v>
      </c>
      <c r="Y1346" s="36" t="s">
        <v>120</v>
      </c>
      <c r="Z1346" s="30" t="s">
        <v>1287</v>
      </c>
      <c r="AA1346" s="30" t="s">
        <v>385</v>
      </c>
      <c r="AD1346" s="38">
        <v>9090.9</v>
      </c>
      <c r="AF1346" s="76">
        <f t="shared" si="136"/>
        <v>279987.65999999997</v>
      </c>
    </row>
    <row r="1347" spans="1:32" ht="8.25" customHeight="1" x14ac:dyDescent="0.25">
      <c r="I1347" s="52">
        <v>50</v>
      </c>
      <c r="T1347" s="33">
        <v>46080</v>
      </c>
      <c r="U1347" s="34">
        <v>2026</v>
      </c>
      <c r="V1347" s="35" t="s">
        <v>749</v>
      </c>
      <c r="W1347" s="35" t="s">
        <v>17</v>
      </c>
      <c r="X1347" s="37" t="s">
        <v>1289</v>
      </c>
      <c r="Y1347" s="36" t="s">
        <v>1290</v>
      </c>
      <c r="Z1347" s="30" t="s">
        <v>1252</v>
      </c>
      <c r="AA1347" s="30" t="s">
        <v>13</v>
      </c>
      <c r="AD1347" s="38">
        <v>68181.820000000007</v>
      </c>
      <c r="AF1347" s="76">
        <f t="shared" si="136"/>
        <v>348169.48</v>
      </c>
    </row>
    <row r="1348" spans="1:32" ht="8.25" customHeight="1" x14ac:dyDescent="0.25">
      <c r="T1348" s="33">
        <v>46080</v>
      </c>
      <c r="U1348" s="34">
        <v>2026</v>
      </c>
      <c r="V1348" s="35" t="s">
        <v>749</v>
      </c>
      <c r="W1348" s="35" t="s">
        <v>17</v>
      </c>
      <c r="X1348" s="37" t="s">
        <v>1291</v>
      </c>
      <c r="Z1348" s="30" t="s">
        <v>1293</v>
      </c>
      <c r="AD1348" s="38">
        <v>0</v>
      </c>
      <c r="AF1348" s="76">
        <f t="shared" si="136"/>
        <v>348169.48</v>
      </c>
    </row>
    <row r="1349" spans="1:32" ht="8.25" customHeight="1" x14ac:dyDescent="0.25">
      <c r="T1349" s="33">
        <v>46080</v>
      </c>
      <c r="U1349" s="34">
        <v>2026</v>
      </c>
      <c r="V1349" s="35" t="s">
        <v>749</v>
      </c>
      <c r="W1349" s="35" t="s">
        <v>5</v>
      </c>
      <c r="X1349" s="36" t="s">
        <v>1295</v>
      </c>
      <c r="Y1349" s="36" t="s">
        <v>411</v>
      </c>
      <c r="Z1349" s="30" t="s">
        <v>1296</v>
      </c>
      <c r="AA1349" s="30" t="s">
        <v>399</v>
      </c>
      <c r="AE1349" s="38">
        <v>40909.089999999997</v>
      </c>
      <c r="AF1349" s="76">
        <f>AF1348+AD1349-AE1349</f>
        <v>307260.39</v>
      </c>
    </row>
    <row r="1350" spans="1:32" ht="8.25" customHeight="1" x14ac:dyDescent="0.25">
      <c r="T1350" s="33">
        <v>46080</v>
      </c>
      <c r="U1350" s="34">
        <v>2026</v>
      </c>
      <c r="V1350" s="35" t="s">
        <v>749</v>
      </c>
      <c r="W1350" s="35" t="s">
        <v>5</v>
      </c>
      <c r="X1350" s="37" t="s">
        <v>1297</v>
      </c>
      <c r="Y1350" s="36" t="s">
        <v>411</v>
      </c>
      <c r="Z1350" s="30" t="s">
        <v>1296</v>
      </c>
      <c r="AA1350" s="30" t="s">
        <v>399</v>
      </c>
      <c r="AE1350" s="38">
        <v>54545.45</v>
      </c>
      <c r="AF1350" s="76">
        <f t="shared" si="136"/>
        <v>252714.94</v>
      </c>
    </row>
    <row r="1351" spans="1:32" ht="8.25" customHeight="1" x14ac:dyDescent="0.25">
      <c r="T1351" s="33">
        <v>46080</v>
      </c>
      <c r="U1351" s="34">
        <v>2026</v>
      </c>
      <c r="V1351" s="35" t="s">
        <v>749</v>
      </c>
      <c r="W1351" s="35" t="s">
        <v>5</v>
      </c>
      <c r="X1351" s="37" t="s">
        <v>1298</v>
      </c>
      <c r="Y1351" s="36" t="s">
        <v>411</v>
      </c>
      <c r="Z1351" s="30" t="s">
        <v>1296</v>
      </c>
      <c r="AA1351" s="30" t="s">
        <v>399</v>
      </c>
      <c r="AE1351" s="38">
        <v>81818.179999999993</v>
      </c>
      <c r="AF1351" s="76">
        <f t="shared" si="136"/>
        <v>170896.76</v>
      </c>
    </row>
    <row r="1352" spans="1:32" ht="8.25" customHeight="1" x14ac:dyDescent="0.25">
      <c r="R1352" s="53">
        <v>29</v>
      </c>
      <c r="T1352" s="33">
        <v>46080</v>
      </c>
      <c r="U1352" s="34">
        <v>2026</v>
      </c>
      <c r="V1352" s="35" t="s">
        <v>749</v>
      </c>
      <c r="W1352" s="35" t="s">
        <v>5</v>
      </c>
      <c r="X1352" s="37" t="s">
        <v>1299</v>
      </c>
      <c r="Y1352" s="36" t="s">
        <v>1300</v>
      </c>
      <c r="Z1352" s="30" t="s">
        <v>1301</v>
      </c>
      <c r="AA1352" s="30" t="s">
        <v>92</v>
      </c>
      <c r="AE1352" s="38">
        <v>500</v>
      </c>
      <c r="AF1352" s="76">
        <f t="shared" si="136"/>
        <v>170396.76</v>
      </c>
    </row>
    <row r="1353" spans="1:32" ht="8.25" customHeight="1" x14ac:dyDescent="0.25">
      <c r="R1353" s="53">
        <v>30</v>
      </c>
      <c r="T1353" s="33">
        <v>46080</v>
      </c>
      <c r="U1353" s="34">
        <v>2026</v>
      </c>
      <c r="V1353" s="35" t="s">
        <v>749</v>
      </c>
      <c r="W1353" s="35" t="s">
        <v>5</v>
      </c>
      <c r="X1353" s="37" t="s">
        <v>1302</v>
      </c>
      <c r="Y1353" s="36" t="s">
        <v>349</v>
      </c>
      <c r="Z1353" s="30" t="s">
        <v>740</v>
      </c>
      <c r="AA1353" s="30" t="s">
        <v>92</v>
      </c>
      <c r="AE1353" s="38">
        <v>500</v>
      </c>
      <c r="AF1353" s="76">
        <f t="shared" si="136"/>
        <v>169896.76</v>
      </c>
    </row>
    <row r="1354" spans="1:32" ht="8.25" customHeight="1" x14ac:dyDescent="0.25">
      <c r="R1354" s="53">
        <v>31</v>
      </c>
      <c r="T1354" s="33">
        <v>46080</v>
      </c>
      <c r="U1354" s="34">
        <v>2026</v>
      </c>
      <c r="V1354" s="35" t="s">
        <v>749</v>
      </c>
      <c r="W1354" s="35" t="s">
        <v>5</v>
      </c>
      <c r="X1354" s="37" t="s">
        <v>1303</v>
      </c>
      <c r="Y1354" s="36" t="s">
        <v>1306</v>
      </c>
      <c r="Z1354" s="30" t="s">
        <v>1305</v>
      </c>
      <c r="AA1354" s="30" t="s">
        <v>92</v>
      </c>
      <c r="AE1354" s="38">
        <v>1100.18</v>
      </c>
      <c r="AF1354" s="76">
        <f t="shared" si="136"/>
        <v>168796.58000000002</v>
      </c>
    </row>
    <row r="1355" spans="1:32" ht="8.25" customHeight="1" x14ac:dyDescent="0.25">
      <c r="R1355" s="53">
        <v>32</v>
      </c>
      <c r="T1355" s="33">
        <v>46080</v>
      </c>
      <c r="U1355" s="34">
        <v>2026</v>
      </c>
      <c r="V1355" s="35" t="s">
        <v>749</v>
      </c>
      <c r="W1355" s="35" t="s">
        <v>5</v>
      </c>
      <c r="X1355" s="37" t="s">
        <v>1307</v>
      </c>
      <c r="Y1355" s="36" t="s">
        <v>1304</v>
      </c>
      <c r="Z1355" s="30" t="s">
        <v>1305</v>
      </c>
      <c r="AA1355" s="30" t="s">
        <v>1789</v>
      </c>
      <c r="AE1355" s="38">
        <v>100</v>
      </c>
      <c r="AF1355" s="76">
        <f t="shared" si="136"/>
        <v>168696.58000000002</v>
      </c>
    </row>
    <row r="1356" spans="1:32" ht="8.25" customHeight="1" x14ac:dyDescent="0.25">
      <c r="R1356" s="53">
        <v>33</v>
      </c>
      <c r="T1356" s="33">
        <v>46080</v>
      </c>
      <c r="U1356" s="34">
        <v>2026</v>
      </c>
      <c r="V1356" s="35" t="s">
        <v>749</v>
      </c>
      <c r="W1356" s="35" t="s">
        <v>5</v>
      </c>
      <c r="X1356" s="37" t="s">
        <v>1308</v>
      </c>
      <c r="Y1356" s="36" t="s">
        <v>1309</v>
      </c>
      <c r="Z1356" s="30" t="s">
        <v>1310</v>
      </c>
      <c r="AA1356" s="30" t="s">
        <v>92</v>
      </c>
      <c r="AE1356" s="38">
        <v>344.12</v>
      </c>
      <c r="AF1356" s="76">
        <f t="shared" si="136"/>
        <v>168352.46000000002</v>
      </c>
    </row>
    <row r="1357" spans="1:32" ht="8.25" customHeight="1" x14ac:dyDescent="0.25">
      <c r="R1357" s="53">
        <v>34</v>
      </c>
      <c r="T1357" s="33">
        <v>46080</v>
      </c>
      <c r="U1357" s="34">
        <v>2026</v>
      </c>
      <c r="V1357" s="35" t="s">
        <v>749</v>
      </c>
      <c r="W1357" s="35" t="s">
        <v>5</v>
      </c>
      <c r="X1357" s="37" t="s">
        <v>1311</v>
      </c>
      <c r="Y1357" s="36" t="s">
        <v>1312</v>
      </c>
      <c r="Z1357" s="30" t="s">
        <v>1313</v>
      </c>
      <c r="AA1357" s="30" t="s">
        <v>1789</v>
      </c>
      <c r="AE1357" s="38">
        <v>100</v>
      </c>
      <c r="AF1357" s="76">
        <f t="shared" si="136"/>
        <v>168252.46000000002</v>
      </c>
    </row>
    <row r="1358" spans="1:32" ht="8.25" customHeight="1" x14ac:dyDescent="0.25">
      <c r="R1358" s="53">
        <v>35</v>
      </c>
      <c r="T1358" s="33">
        <v>46080</v>
      </c>
      <c r="U1358" s="34">
        <v>2026</v>
      </c>
      <c r="V1358" s="35" t="s">
        <v>749</v>
      </c>
      <c r="W1358" s="35" t="s">
        <v>5</v>
      </c>
      <c r="X1358" s="37" t="s">
        <v>1315</v>
      </c>
      <c r="Y1358" s="36" t="s">
        <v>1292</v>
      </c>
      <c r="Z1358" s="30" t="s">
        <v>1314</v>
      </c>
      <c r="AA1358" s="30" t="s">
        <v>92</v>
      </c>
      <c r="AE1358" s="38">
        <v>2000</v>
      </c>
      <c r="AF1358" s="76">
        <f t="shared" si="136"/>
        <v>166252.46000000002</v>
      </c>
    </row>
    <row r="1359" spans="1:32" s="243" customFormat="1" ht="8.25" customHeight="1" x14ac:dyDescent="0.25">
      <c r="A1359" s="240"/>
      <c r="B1359" s="241"/>
      <c r="C1359" s="241"/>
      <c r="D1359" s="241"/>
      <c r="E1359" s="241"/>
      <c r="F1359" s="242"/>
      <c r="G1359" s="242"/>
      <c r="H1359" s="242"/>
      <c r="I1359" s="241"/>
      <c r="J1359" s="241"/>
      <c r="K1359" s="241"/>
      <c r="L1359" s="241"/>
      <c r="M1359" s="241"/>
      <c r="N1359" s="241"/>
      <c r="O1359" s="241"/>
      <c r="P1359" s="241"/>
      <c r="Q1359" s="241"/>
      <c r="R1359" s="242">
        <v>36</v>
      </c>
      <c r="T1359" s="244">
        <v>46080</v>
      </c>
      <c r="U1359" s="245">
        <v>2026</v>
      </c>
      <c r="V1359" s="246" t="s">
        <v>749</v>
      </c>
      <c r="W1359" s="35" t="s">
        <v>5</v>
      </c>
      <c r="X1359" s="247" t="s">
        <v>1316</v>
      </c>
      <c r="Y1359" s="248" t="s">
        <v>1317</v>
      </c>
      <c r="Z1359" s="243" t="s">
        <v>1270</v>
      </c>
      <c r="AA1359" s="243" t="s">
        <v>395</v>
      </c>
      <c r="AC1359" s="249"/>
      <c r="AD1359" s="237"/>
      <c r="AE1359" s="237">
        <v>11477.27</v>
      </c>
      <c r="AF1359" s="250">
        <f t="shared" si="136"/>
        <v>154775.19000000003</v>
      </c>
    </row>
    <row r="1360" spans="1:32" ht="8.25" customHeight="1" x14ac:dyDescent="0.25">
      <c r="R1360" s="53">
        <v>37</v>
      </c>
      <c r="T1360" s="33">
        <v>46080</v>
      </c>
      <c r="U1360" s="34">
        <v>2026</v>
      </c>
      <c r="V1360" s="35" t="s">
        <v>749</v>
      </c>
      <c r="W1360" s="35" t="s">
        <v>5</v>
      </c>
      <c r="X1360" s="37" t="s">
        <v>1318</v>
      </c>
      <c r="Y1360" s="36" t="s">
        <v>1319</v>
      </c>
      <c r="Z1360" s="30" t="s">
        <v>1273</v>
      </c>
      <c r="AA1360" s="30" t="s">
        <v>395</v>
      </c>
      <c r="AE1360" s="38">
        <v>11477.27</v>
      </c>
      <c r="AF1360" s="76">
        <f t="shared" si="136"/>
        <v>143297.92000000004</v>
      </c>
    </row>
    <row r="1361" spans="6:32" ht="8.25" customHeight="1" thickBot="1" x14ac:dyDescent="0.3">
      <c r="AA1361" s="75" t="s">
        <v>257</v>
      </c>
      <c r="AD1361" s="91">
        <f>SUM(AD1315:AD1360)</f>
        <v>193340.90000000002</v>
      </c>
      <c r="AE1361" s="91">
        <f>SUM(AE1315:AE1360)</f>
        <v>204871.55999999994</v>
      </c>
      <c r="AF1361" s="76">
        <f>AF1314+AD1361-AE1361</f>
        <v>143297.92000000004</v>
      </c>
    </row>
    <row r="1362" spans="6:32" ht="8.25" customHeight="1" thickTop="1" x14ac:dyDescent="0.25"/>
    <row r="1364" spans="6:32" ht="8.25" customHeight="1" x14ac:dyDescent="0.25">
      <c r="Z1364" s="231" t="s">
        <v>1235</v>
      </c>
      <c r="AF1364" s="76">
        <f>AF1360</f>
        <v>143297.92000000004</v>
      </c>
    </row>
    <row r="1365" spans="6:32" ht="8.25" customHeight="1" x14ac:dyDescent="0.25">
      <c r="M1365" s="52">
        <v>21</v>
      </c>
      <c r="T1365" s="33">
        <v>46081</v>
      </c>
      <c r="U1365" s="34">
        <v>2026</v>
      </c>
      <c r="V1365" s="35" t="s">
        <v>749</v>
      </c>
      <c r="W1365" s="35" t="s">
        <v>17</v>
      </c>
      <c r="X1365" s="37" t="s">
        <v>1324</v>
      </c>
      <c r="Y1365" s="36" t="s">
        <v>120</v>
      </c>
      <c r="Z1365" s="30" t="s">
        <v>1252</v>
      </c>
      <c r="AA1365" s="30" t="s">
        <v>385</v>
      </c>
      <c r="AD1365" s="38">
        <v>13636.36</v>
      </c>
      <c r="AF1365" s="76">
        <f>AF1364+AD1365-AE1365</f>
        <v>156934.28000000003</v>
      </c>
    </row>
    <row r="1366" spans="6:32" ht="8.25" customHeight="1" x14ac:dyDescent="0.25">
      <c r="R1366" s="53">
        <v>38</v>
      </c>
      <c r="T1366" s="33">
        <v>46081</v>
      </c>
      <c r="U1366" s="34">
        <v>2026</v>
      </c>
      <c r="V1366" s="35" t="s">
        <v>749</v>
      </c>
      <c r="W1366" s="35" t="s">
        <v>5</v>
      </c>
      <c r="X1366" s="37" t="s">
        <v>1320</v>
      </c>
      <c r="Y1366" s="36" t="s">
        <v>419</v>
      </c>
      <c r="Z1366" s="30" t="s">
        <v>420</v>
      </c>
      <c r="AA1366" s="30" t="s">
        <v>92</v>
      </c>
      <c r="AE1366" s="38">
        <v>200</v>
      </c>
      <c r="AF1366" s="76">
        <f>AF1365+AD1366-AE1366</f>
        <v>156734.28000000003</v>
      </c>
    </row>
    <row r="1367" spans="6:32" ht="8.25" customHeight="1" x14ac:dyDescent="0.25">
      <c r="R1367" s="53">
        <v>39</v>
      </c>
      <c r="T1367" s="33">
        <v>46081</v>
      </c>
      <c r="U1367" s="34">
        <v>2026</v>
      </c>
      <c r="V1367" s="35" t="s">
        <v>749</v>
      </c>
      <c r="W1367" s="35" t="s">
        <v>5</v>
      </c>
      <c r="X1367" s="37" t="s">
        <v>1321</v>
      </c>
      <c r="Y1367" s="36" t="s">
        <v>114</v>
      </c>
      <c r="Z1367" s="30" t="s">
        <v>14</v>
      </c>
      <c r="AA1367" s="30" t="s">
        <v>92</v>
      </c>
      <c r="AE1367" s="38">
        <v>1000</v>
      </c>
      <c r="AF1367" s="76">
        <f t="shared" ref="AF1367:AF1373" si="137">AF1366+AD1367-AE1367</f>
        <v>155734.28000000003</v>
      </c>
    </row>
    <row r="1368" spans="6:32" ht="8.25" customHeight="1" x14ac:dyDescent="0.25">
      <c r="I1368" s="52">
        <v>51</v>
      </c>
      <c r="T1368" s="33">
        <v>46081</v>
      </c>
      <c r="U1368" s="34">
        <v>2026</v>
      </c>
      <c r="V1368" s="35" t="s">
        <v>749</v>
      </c>
      <c r="W1368" s="35" t="s">
        <v>17</v>
      </c>
      <c r="X1368" s="37" t="s">
        <v>1322</v>
      </c>
      <c r="Y1368" s="36" t="s">
        <v>1323</v>
      </c>
      <c r="Z1368" s="30" t="s">
        <v>1325</v>
      </c>
      <c r="AA1368" s="30" t="s">
        <v>2321</v>
      </c>
      <c r="AD1368" s="38">
        <v>300</v>
      </c>
      <c r="AF1368" s="76">
        <f t="shared" si="137"/>
        <v>156034.28000000003</v>
      </c>
    </row>
    <row r="1369" spans="6:32" ht="8.25" customHeight="1" x14ac:dyDescent="0.25">
      <c r="I1369" s="52">
        <v>52</v>
      </c>
      <c r="T1369" s="33">
        <v>46081</v>
      </c>
      <c r="U1369" s="34">
        <v>2026</v>
      </c>
      <c r="V1369" s="35" t="s">
        <v>749</v>
      </c>
      <c r="W1369" s="35" t="s">
        <v>17</v>
      </c>
      <c r="X1369" s="37" t="s">
        <v>1335</v>
      </c>
      <c r="Y1369" s="36" t="s">
        <v>1292</v>
      </c>
      <c r="Z1369" s="30" t="s">
        <v>1326</v>
      </c>
      <c r="AA1369" s="30" t="s">
        <v>13</v>
      </c>
      <c r="AD1369" s="38">
        <v>4000</v>
      </c>
      <c r="AF1369" s="76">
        <f t="shared" si="137"/>
        <v>160034.28000000003</v>
      </c>
    </row>
    <row r="1370" spans="6:32" ht="8.25" customHeight="1" x14ac:dyDescent="0.25">
      <c r="I1370" s="52">
        <v>53</v>
      </c>
      <c r="T1370" s="33">
        <v>46081</v>
      </c>
      <c r="U1370" s="34">
        <v>2026</v>
      </c>
      <c r="V1370" s="35" t="s">
        <v>749</v>
      </c>
      <c r="W1370" s="35" t="s">
        <v>17</v>
      </c>
      <c r="X1370" s="37" t="s">
        <v>1334</v>
      </c>
      <c r="Y1370" s="36" t="s">
        <v>1336</v>
      </c>
      <c r="Z1370" s="30" t="s">
        <v>1333</v>
      </c>
      <c r="AA1370" s="30" t="s">
        <v>13</v>
      </c>
      <c r="AD1370" s="38">
        <v>2840.91</v>
      </c>
      <c r="AF1370" s="76">
        <f t="shared" si="137"/>
        <v>162875.19000000003</v>
      </c>
    </row>
    <row r="1371" spans="6:32" ht="8.25" customHeight="1" x14ac:dyDescent="0.25">
      <c r="M1371" s="52">
        <v>22</v>
      </c>
      <c r="T1371" s="33">
        <v>46081</v>
      </c>
      <c r="U1371" s="34">
        <v>2026</v>
      </c>
      <c r="V1371" s="35" t="s">
        <v>749</v>
      </c>
      <c r="W1371" s="35" t="s">
        <v>17</v>
      </c>
      <c r="X1371" s="37" t="s">
        <v>1337</v>
      </c>
      <c r="Y1371" s="36" t="s">
        <v>120</v>
      </c>
      <c r="Z1371" s="30" t="s">
        <v>1333</v>
      </c>
      <c r="AA1371" s="30" t="s">
        <v>385</v>
      </c>
      <c r="AD1371" s="38">
        <v>568.17999999999995</v>
      </c>
      <c r="AF1371" s="76">
        <f t="shared" si="137"/>
        <v>163443.37000000002</v>
      </c>
    </row>
    <row r="1372" spans="6:32" ht="8.25" customHeight="1" x14ac:dyDescent="0.25">
      <c r="F1372" s="53">
        <v>2</v>
      </c>
      <c r="T1372" s="33">
        <v>46081</v>
      </c>
      <c r="U1372" s="34">
        <v>2026</v>
      </c>
      <c r="V1372" s="35" t="s">
        <v>749</v>
      </c>
      <c r="W1372" s="35" t="s">
        <v>5</v>
      </c>
      <c r="Y1372" s="36" t="s">
        <v>1327</v>
      </c>
      <c r="Z1372" s="30" t="s">
        <v>1330</v>
      </c>
      <c r="AA1372" s="30" t="s">
        <v>3939</v>
      </c>
      <c r="AE1372" s="38">
        <v>600</v>
      </c>
      <c r="AF1372" s="76">
        <f t="shared" si="137"/>
        <v>162843.37000000002</v>
      </c>
    </row>
    <row r="1373" spans="6:32" ht="8.25" customHeight="1" x14ac:dyDescent="0.25">
      <c r="F1373" s="53">
        <v>3</v>
      </c>
      <c r="T1373" s="33">
        <v>46081</v>
      </c>
      <c r="U1373" s="34">
        <v>2026</v>
      </c>
      <c r="V1373" s="35" t="s">
        <v>749</v>
      </c>
      <c r="W1373" s="35" t="s">
        <v>5</v>
      </c>
      <c r="Y1373" s="36" t="s">
        <v>1328</v>
      </c>
      <c r="Z1373" s="30" t="s">
        <v>1329</v>
      </c>
      <c r="AA1373" s="30" t="s">
        <v>3939</v>
      </c>
      <c r="AE1373" s="38">
        <v>300</v>
      </c>
      <c r="AF1373" s="76">
        <f t="shared" si="137"/>
        <v>162543.37000000002</v>
      </c>
    </row>
    <row r="1374" spans="6:32" ht="8.25" customHeight="1" x14ac:dyDescent="0.25">
      <c r="R1374" s="53">
        <v>41</v>
      </c>
      <c r="T1374" s="33">
        <v>46081</v>
      </c>
      <c r="U1374" s="34">
        <v>2026</v>
      </c>
      <c r="V1374" s="35" t="s">
        <v>749</v>
      </c>
      <c r="W1374" s="35" t="s">
        <v>5</v>
      </c>
      <c r="X1374" s="37" t="s">
        <v>1331</v>
      </c>
      <c r="Y1374" s="36" t="s">
        <v>1332</v>
      </c>
      <c r="Z1374" s="30" t="s">
        <v>1333</v>
      </c>
      <c r="AA1374" s="30" t="s">
        <v>395</v>
      </c>
      <c r="AE1374" s="38">
        <v>28409.09</v>
      </c>
      <c r="AF1374" s="76">
        <f t="shared" ref="AF1374:AF1376" si="138">AF1373+AD1374-AE1374</f>
        <v>134134.28000000003</v>
      </c>
    </row>
    <row r="1375" spans="6:32" ht="8.25" customHeight="1" x14ac:dyDescent="0.15">
      <c r="K1375" s="52">
        <v>28</v>
      </c>
      <c r="T1375" s="33">
        <v>46081</v>
      </c>
      <c r="U1375" s="34">
        <v>2026</v>
      </c>
      <c r="V1375" s="35" t="s">
        <v>749</v>
      </c>
      <c r="W1375" s="35" t="s">
        <v>17</v>
      </c>
      <c r="X1375" s="37" t="s">
        <v>1338</v>
      </c>
      <c r="Y1375" s="36" t="s">
        <v>1339</v>
      </c>
      <c r="Z1375" s="30" t="s">
        <v>1333</v>
      </c>
      <c r="AA1375" s="136" t="s">
        <v>1790</v>
      </c>
      <c r="AD1375" s="38">
        <v>100</v>
      </c>
      <c r="AF1375" s="76">
        <f t="shared" si="138"/>
        <v>134234.28000000003</v>
      </c>
    </row>
    <row r="1376" spans="6:32" ht="8.25" customHeight="1" x14ac:dyDescent="0.25">
      <c r="L1376" s="52">
        <v>28</v>
      </c>
      <c r="T1376" s="33">
        <v>46081</v>
      </c>
      <c r="U1376" s="34">
        <v>2026</v>
      </c>
      <c r="V1376" s="35" t="s">
        <v>749</v>
      </c>
      <c r="W1376" s="35" t="s">
        <v>17</v>
      </c>
      <c r="X1376" s="37" t="s">
        <v>1340</v>
      </c>
      <c r="Y1376" s="36" t="s">
        <v>120</v>
      </c>
      <c r="Z1376" s="30" t="s">
        <v>1333</v>
      </c>
      <c r="AA1376" s="30" t="s">
        <v>373</v>
      </c>
      <c r="AD1376" s="38">
        <v>50</v>
      </c>
      <c r="AF1376" s="76">
        <f t="shared" si="138"/>
        <v>134284.28000000003</v>
      </c>
    </row>
    <row r="1377" spans="24:33" ht="8.25" customHeight="1" x14ac:dyDescent="0.25">
      <c r="AA1377" s="75" t="s">
        <v>257</v>
      </c>
      <c r="AD1377" s="76">
        <f>SUM(AD1365:AD1376)</f>
        <v>21495.45</v>
      </c>
      <c r="AE1377" s="76">
        <f>SUM(AE1366:AE1376)</f>
        <v>30509.09</v>
      </c>
      <c r="AF1377" s="76">
        <f>AF1364+AD1377-AE1377</f>
        <v>134284.28000000006</v>
      </c>
      <c r="AG1377" s="30">
        <v>134284.28</v>
      </c>
    </row>
    <row r="1378" spans="24:33" ht="8.25" customHeight="1" x14ac:dyDescent="0.25">
      <c r="AE1378" s="38">
        <f ca="1">SUM(AE1365:AE1378)</f>
        <v>0</v>
      </c>
    </row>
    <row r="1379" spans="24:33" ht="8.25" customHeight="1" x14ac:dyDescent="0.25">
      <c r="AA1379" s="75" t="s">
        <v>1341</v>
      </c>
      <c r="AD1379" s="76">
        <f>SUM(AD682+AD708+AD742+AD766+AD790+AD819+AD844+AD885+AD914+AD943+AD980+AD1006+AD1044+AD1079+AD1112+AD1135+AD1170+AD1198+AD1231+AD1262+AD1298+AD1361+AD1377)</f>
        <v>1233990.26</v>
      </c>
      <c r="AE1379" s="76">
        <f>SUM(AE682+AE708+AE742+AE766+AE790+AE819+AE844+AE885+AE914+AE943+AE980+AE1006+AE1044+AE1079+AE1112+AE1135+AE1170+AE1198+AE1231+AE1262+AE1298+AE1361+AE1377)</f>
        <v>1308556.2100000002</v>
      </c>
      <c r="AF1379" s="76">
        <f>AF642+AD1379-AE1379</f>
        <v>134284.2799999998</v>
      </c>
    </row>
    <row r="1380" spans="24:33" ht="8.25" customHeight="1" x14ac:dyDescent="0.25">
      <c r="AA1380" s="75"/>
      <c r="AC1380" s="228"/>
      <c r="AD1380" s="76"/>
      <c r="AE1380" s="76"/>
    </row>
    <row r="1382" spans="24:33" ht="8.25" customHeight="1" x14ac:dyDescent="0.25">
      <c r="X1382" s="109"/>
      <c r="Y1382" s="67" t="s">
        <v>214</v>
      </c>
      <c r="Z1382" s="68"/>
      <c r="AA1382" s="75"/>
      <c r="AD1382" s="273"/>
      <c r="AE1382" s="273"/>
    </row>
    <row r="1383" spans="24:33" ht="8.25" customHeight="1" x14ac:dyDescent="0.25">
      <c r="X1383" s="110" t="s">
        <v>402</v>
      </c>
      <c r="Y1383" s="111">
        <v>200</v>
      </c>
      <c r="Z1383" s="111">
        <f t="shared" ref="Z1383:Z1388" si="139">X1383*Y1383</f>
        <v>1000</v>
      </c>
      <c r="AA1383" s="112"/>
    </row>
    <row r="1384" spans="24:33" ht="8.25" customHeight="1" x14ac:dyDescent="0.25">
      <c r="X1384" s="110" t="s">
        <v>1884</v>
      </c>
      <c r="Y1384" s="111">
        <v>100</v>
      </c>
      <c r="Z1384" s="111">
        <f t="shared" si="139"/>
        <v>130100</v>
      </c>
      <c r="AA1384" s="112"/>
    </row>
    <row r="1385" spans="24:33" ht="8.25" customHeight="1" x14ac:dyDescent="0.25">
      <c r="X1385" s="110" t="s">
        <v>670</v>
      </c>
      <c r="Y1385" s="111">
        <v>50</v>
      </c>
      <c r="Z1385" s="111">
        <f t="shared" si="139"/>
        <v>800</v>
      </c>
      <c r="AA1385" s="76"/>
    </row>
    <row r="1386" spans="24:33" ht="8.25" customHeight="1" x14ac:dyDescent="0.25">
      <c r="X1386" s="110" t="s">
        <v>886</v>
      </c>
      <c r="Y1386" s="111">
        <v>20</v>
      </c>
      <c r="Z1386" s="111">
        <f t="shared" si="139"/>
        <v>540</v>
      </c>
      <c r="AA1386" s="38"/>
    </row>
    <row r="1387" spans="24:33" ht="8.25" customHeight="1" x14ac:dyDescent="0.25">
      <c r="X1387" s="110"/>
      <c r="Y1387" s="111">
        <v>10</v>
      </c>
      <c r="Z1387" s="111">
        <f t="shared" si="139"/>
        <v>0</v>
      </c>
      <c r="AA1387" s="112"/>
    </row>
    <row r="1388" spans="24:33" ht="8.25" customHeight="1" x14ac:dyDescent="0.25">
      <c r="X1388" s="110" t="s">
        <v>1885</v>
      </c>
      <c r="Y1388" s="111">
        <v>5</v>
      </c>
      <c r="Z1388" s="111">
        <f t="shared" si="139"/>
        <v>720</v>
      </c>
      <c r="AA1388" s="112"/>
    </row>
    <row r="1389" spans="24:33" ht="8.25" customHeight="1" x14ac:dyDescent="0.25">
      <c r="X1389" s="269">
        <v>0</v>
      </c>
      <c r="Y1389" s="270"/>
      <c r="Z1389" s="271"/>
      <c r="AA1389" s="38"/>
    </row>
    <row r="1390" spans="24:33" ht="8.25" customHeight="1" x14ac:dyDescent="0.25">
      <c r="X1390" s="110" t="s">
        <v>1148</v>
      </c>
      <c r="Y1390" s="111">
        <v>1</v>
      </c>
      <c r="Z1390" s="111">
        <f t="shared" ref="Z1390:Z1395" si="140">X1390*Y1390</f>
        <v>1039</v>
      </c>
      <c r="AA1390" s="76"/>
    </row>
    <row r="1391" spans="24:33" ht="8.25" customHeight="1" x14ac:dyDescent="0.25">
      <c r="X1391" s="110" t="s">
        <v>625</v>
      </c>
      <c r="Y1391" s="111">
        <v>0.5</v>
      </c>
      <c r="Z1391" s="111">
        <f t="shared" si="140"/>
        <v>42.5</v>
      </c>
      <c r="AA1391" s="112"/>
    </row>
    <row r="1392" spans="24:33" ht="8.25" customHeight="1" x14ac:dyDescent="0.25">
      <c r="X1392" s="110" t="s">
        <v>1218</v>
      </c>
      <c r="Y1392" s="111">
        <v>0.25</v>
      </c>
      <c r="Z1392" s="111">
        <f t="shared" si="140"/>
        <v>42.75</v>
      </c>
      <c r="AA1392" s="113"/>
    </row>
    <row r="1393" spans="9:32" ht="8.25" customHeight="1" x14ac:dyDescent="0.25">
      <c r="X1393" s="110"/>
      <c r="Y1393" s="111">
        <v>0.1</v>
      </c>
      <c r="Z1393" s="111">
        <f t="shared" si="140"/>
        <v>0</v>
      </c>
      <c r="AA1393" s="114" t="s">
        <v>219</v>
      </c>
    </row>
    <row r="1394" spans="9:32" ht="8.25" customHeight="1" thickBot="1" x14ac:dyDescent="0.3">
      <c r="X1394" s="110" t="s">
        <v>120</v>
      </c>
      <c r="Y1394" s="111">
        <v>0.05</v>
      </c>
      <c r="Z1394" s="111">
        <f t="shared" si="140"/>
        <v>0</v>
      </c>
      <c r="AA1394" s="115">
        <f>SUM(Z1383:Z1388)+Z1390+Z1391+Z1392+Z1393+Z1394+Z1395</f>
        <v>134284.28</v>
      </c>
    </row>
    <row r="1395" spans="9:32" ht="8.25" customHeight="1" thickTop="1" x14ac:dyDescent="0.25">
      <c r="X1395" s="110" t="s">
        <v>223</v>
      </c>
      <c r="Y1395" s="111">
        <v>0.01</v>
      </c>
      <c r="Z1395" s="111">
        <f t="shared" si="140"/>
        <v>0.03</v>
      </c>
    </row>
    <row r="1396" spans="9:32" ht="11.25" customHeight="1" x14ac:dyDescent="0.25">
      <c r="AF1396" s="75"/>
    </row>
    <row r="1397" spans="9:32" ht="10.5" customHeight="1" x14ac:dyDescent="0.25">
      <c r="Z1397" s="231" t="s">
        <v>1347</v>
      </c>
      <c r="AF1397" s="76">
        <f>AF1379</f>
        <v>134284.2799999998</v>
      </c>
    </row>
    <row r="1398" spans="9:32" ht="8.25" customHeight="1" x14ac:dyDescent="0.25">
      <c r="I1398" s="52">
        <v>1</v>
      </c>
      <c r="T1398" s="33">
        <v>46083</v>
      </c>
      <c r="U1398" s="34">
        <v>2026</v>
      </c>
      <c r="V1398" s="35" t="s">
        <v>1348</v>
      </c>
      <c r="W1398" s="35" t="s">
        <v>17</v>
      </c>
      <c r="X1398" s="37" t="s">
        <v>1351</v>
      </c>
      <c r="Y1398" s="36" t="s">
        <v>1352</v>
      </c>
      <c r="Z1398" s="30" t="s">
        <v>1353</v>
      </c>
      <c r="AA1398" s="30" t="s">
        <v>1044</v>
      </c>
      <c r="AD1398" s="38">
        <v>500</v>
      </c>
      <c r="AF1398" s="76">
        <f>AF1397+AD1398-AE1398</f>
        <v>134784.2799999998</v>
      </c>
    </row>
    <row r="1399" spans="9:32" ht="8.25" customHeight="1" x14ac:dyDescent="0.25">
      <c r="N1399" s="52">
        <v>1</v>
      </c>
      <c r="T1399" s="33">
        <v>46083</v>
      </c>
      <c r="U1399" s="34">
        <v>2026</v>
      </c>
      <c r="V1399" s="35" t="s">
        <v>1348</v>
      </c>
      <c r="W1399" s="35" t="s">
        <v>17</v>
      </c>
      <c r="X1399" s="37" t="s">
        <v>1354</v>
      </c>
      <c r="Y1399" s="36" t="s">
        <v>765</v>
      </c>
      <c r="Z1399" s="30" t="s">
        <v>1355</v>
      </c>
      <c r="AA1399" s="30" t="s">
        <v>3899</v>
      </c>
      <c r="AD1399" s="38">
        <v>1790.18</v>
      </c>
      <c r="AF1399" s="76">
        <f>AF1398+AD1399-AE1399</f>
        <v>136574.45999999979</v>
      </c>
    </row>
    <row r="1400" spans="9:32" ht="8.25" customHeight="1" x14ac:dyDescent="0.15">
      <c r="N1400" s="52">
        <v>1</v>
      </c>
      <c r="T1400" s="33">
        <v>46083</v>
      </c>
      <c r="U1400" s="34">
        <v>2026</v>
      </c>
      <c r="V1400" s="35" t="s">
        <v>1348</v>
      </c>
      <c r="W1400" s="35" t="s">
        <v>17</v>
      </c>
      <c r="X1400" s="37" t="s">
        <v>1354</v>
      </c>
      <c r="Y1400" s="36" t="s">
        <v>765</v>
      </c>
      <c r="Z1400" s="30" t="s">
        <v>1355</v>
      </c>
      <c r="AA1400" s="134" t="s">
        <v>166</v>
      </c>
      <c r="AD1400" s="38">
        <v>1279.82</v>
      </c>
      <c r="AF1400" s="76">
        <f t="shared" ref="AF1400:AF1416" si="141">AF1399+AD1400-AE1400</f>
        <v>137854.2799999998</v>
      </c>
    </row>
    <row r="1401" spans="9:32" ht="8.25" customHeight="1" x14ac:dyDescent="0.25">
      <c r="N1401" s="52">
        <v>1</v>
      </c>
      <c r="T1401" s="33">
        <v>46083</v>
      </c>
      <c r="U1401" s="34">
        <v>2026</v>
      </c>
      <c r="V1401" s="35" t="s">
        <v>1348</v>
      </c>
      <c r="W1401" s="35" t="s">
        <v>17</v>
      </c>
      <c r="X1401" s="37" t="s">
        <v>1354</v>
      </c>
      <c r="Y1401" s="36" t="s">
        <v>765</v>
      </c>
      <c r="Z1401" s="30" t="s">
        <v>1355</v>
      </c>
      <c r="AA1401" s="30" t="s">
        <v>3305</v>
      </c>
      <c r="AD1401" s="38">
        <v>30</v>
      </c>
      <c r="AF1401" s="76">
        <f t="shared" si="141"/>
        <v>137884.2799999998</v>
      </c>
    </row>
    <row r="1402" spans="9:32" ht="8.25" customHeight="1" x14ac:dyDescent="0.25">
      <c r="N1402" s="52">
        <v>2</v>
      </c>
      <c r="T1402" s="33">
        <v>46083</v>
      </c>
      <c r="U1402" s="34">
        <v>2026</v>
      </c>
      <c r="V1402" s="35" t="s">
        <v>1348</v>
      </c>
      <c r="W1402" s="35" t="s">
        <v>17</v>
      </c>
      <c r="X1402" s="37" t="s">
        <v>1360</v>
      </c>
      <c r="Y1402" s="36" t="s">
        <v>623</v>
      </c>
      <c r="Z1402" s="30" t="s">
        <v>1361</v>
      </c>
      <c r="AA1402" s="30" t="s">
        <v>3899</v>
      </c>
      <c r="AD1402" s="38">
        <v>5590.53</v>
      </c>
      <c r="AF1402" s="76">
        <f t="shared" si="141"/>
        <v>143474.80999999979</v>
      </c>
    </row>
    <row r="1403" spans="9:32" ht="8.25" customHeight="1" x14ac:dyDescent="0.15">
      <c r="N1403" s="52">
        <v>2</v>
      </c>
      <c r="T1403" s="33">
        <v>46083</v>
      </c>
      <c r="U1403" s="34">
        <v>2026</v>
      </c>
      <c r="V1403" s="35" t="s">
        <v>1348</v>
      </c>
      <c r="W1403" s="35" t="s">
        <v>17</v>
      </c>
      <c r="X1403" s="37" t="s">
        <v>1360</v>
      </c>
      <c r="Y1403" s="36" t="s">
        <v>623</v>
      </c>
      <c r="Z1403" s="30" t="s">
        <v>1361</v>
      </c>
      <c r="AA1403" s="134" t="s">
        <v>166</v>
      </c>
      <c r="AD1403" s="38">
        <v>2289.58</v>
      </c>
      <c r="AF1403" s="76">
        <f t="shared" si="141"/>
        <v>145764.38999999978</v>
      </c>
    </row>
    <row r="1404" spans="9:32" ht="8.25" customHeight="1" x14ac:dyDescent="0.25">
      <c r="N1404" s="52">
        <v>2</v>
      </c>
      <c r="T1404" s="33">
        <v>46083</v>
      </c>
      <c r="U1404" s="34">
        <v>2026</v>
      </c>
      <c r="V1404" s="35" t="s">
        <v>1348</v>
      </c>
      <c r="W1404" s="35" t="s">
        <v>17</v>
      </c>
      <c r="X1404" s="37" t="s">
        <v>1360</v>
      </c>
      <c r="Y1404" s="36" t="s">
        <v>623</v>
      </c>
      <c r="Z1404" s="30" t="s">
        <v>1361</v>
      </c>
      <c r="AA1404" s="30" t="s">
        <v>3305</v>
      </c>
      <c r="AD1404" s="38">
        <v>119.89</v>
      </c>
      <c r="AF1404" s="76">
        <f t="shared" si="141"/>
        <v>145884.2799999998</v>
      </c>
    </row>
    <row r="1405" spans="9:32" ht="8.25" customHeight="1" x14ac:dyDescent="0.15">
      <c r="I1405" s="52">
        <v>2</v>
      </c>
      <c r="T1405" s="33">
        <v>46083</v>
      </c>
      <c r="U1405" s="34">
        <v>2026</v>
      </c>
      <c r="V1405" s="35" t="s">
        <v>1348</v>
      </c>
      <c r="W1405" s="35" t="s">
        <v>17</v>
      </c>
      <c r="X1405" s="37" t="s">
        <v>1365</v>
      </c>
      <c r="Y1405" s="36" t="s">
        <v>1366</v>
      </c>
      <c r="Z1405" s="30" t="s">
        <v>1367</v>
      </c>
      <c r="AA1405" s="134" t="s">
        <v>1044</v>
      </c>
      <c r="AD1405" s="38">
        <v>45454.55</v>
      </c>
      <c r="AF1405" s="76">
        <f t="shared" si="141"/>
        <v>191338.82999999978</v>
      </c>
    </row>
    <row r="1406" spans="9:32" ht="8.25" customHeight="1" x14ac:dyDescent="0.15">
      <c r="M1406" s="52">
        <v>1</v>
      </c>
      <c r="T1406" s="33">
        <v>46083</v>
      </c>
      <c r="U1406" s="34">
        <v>2026</v>
      </c>
      <c r="V1406" s="35" t="s">
        <v>1348</v>
      </c>
      <c r="W1406" s="35" t="s">
        <v>17</v>
      </c>
      <c r="X1406" s="37" t="s">
        <v>1368</v>
      </c>
      <c r="Y1406" s="36" t="s">
        <v>120</v>
      </c>
      <c r="Z1406" s="30" t="s">
        <v>1367</v>
      </c>
      <c r="AA1406" s="134" t="s">
        <v>1058</v>
      </c>
      <c r="AD1406" s="38">
        <v>9090.9</v>
      </c>
      <c r="AF1406" s="76">
        <f t="shared" si="141"/>
        <v>200429.72999999978</v>
      </c>
    </row>
    <row r="1407" spans="9:32" ht="8.25" customHeight="1" x14ac:dyDescent="0.25">
      <c r="N1407" s="52">
        <v>3</v>
      </c>
      <c r="T1407" s="33">
        <v>46083</v>
      </c>
      <c r="U1407" s="34">
        <v>2026</v>
      </c>
      <c r="V1407" s="35" t="s">
        <v>1348</v>
      </c>
      <c r="W1407" s="35" t="s">
        <v>17</v>
      </c>
      <c r="X1407" s="37" t="s">
        <v>1373</v>
      </c>
      <c r="Y1407" s="36" t="s">
        <v>1374</v>
      </c>
      <c r="Z1407" s="30" t="s">
        <v>699</v>
      </c>
      <c r="AA1407" s="30" t="s">
        <v>3899</v>
      </c>
      <c r="AD1407" s="38">
        <v>3788.12</v>
      </c>
      <c r="AF1407" s="76">
        <f t="shared" si="141"/>
        <v>204217.84999999977</v>
      </c>
    </row>
    <row r="1408" spans="9:32" ht="8.25" customHeight="1" x14ac:dyDescent="0.15">
      <c r="N1408" s="52">
        <v>3</v>
      </c>
      <c r="T1408" s="33">
        <v>46083</v>
      </c>
      <c r="U1408" s="34">
        <v>2026</v>
      </c>
      <c r="V1408" s="35" t="s">
        <v>1348</v>
      </c>
      <c r="W1408" s="35" t="s">
        <v>17</v>
      </c>
      <c r="X1408" s="37" t="s">
        <v>1373</v>
      </c>
      <c r="Y1408" s="36" t="s">
        <v>1374</v>
      </c>
      <c r="Z1408" s="30" t="s">
        <v>699</v>
      </c>
      <c r="AA1408" s="134" t="s">
        <v>166</v>
      </c>
      <c r="AD1408" s="38">
        <v>13897.88</v>
      </c>
      <c r="AF1408" s="76">
        <f t="shared" si="141"/>
        <v>218115.72999999978</v>
      </c>
    </row>
    <row r="1409" spans="7:32" ht="8.25" customHeight="1" x14ac:dyDescent="0.15">
      <c r="I1409" s="52">
        <v>3</v>
      </c>
      <c r="T1409" s="33">
        <v>46083</v>
      </c>
      <c r="U1409" s="34">
        <v>2026</v>
      </c>
      <c r="V1409" s="35" t="s">
        <v>1348</v>
      </c>
      <c r="W1409" s="35" t="s">
        <v>17</v>
      </c>
      <c r="X1409" s="37" t="s">
        <v>1375</v>
      </c>
      <c r="Y1409" s="36" t="s">
        <v>717</v>
      </c>
      <c r="Z1409" s="30" t="s">
        <v>699</v>
      </c>
      <c r="AA1409" s="134" t="s">
        <v>1044</v>
      </c>
      <c r="AD1409" s="38">
        <v>12314</v>
      </c>
      <c r="AF1409" s="76">
        <f t="shared" si="141"/>
        <v>230429.72999999978</v>
      </c>
    </row>
    <row r="1410" spans="7:32" ht="8.25" customHeight="1" x14ac:dyDescent="0.25">
      <c r="N1410" s="52">
        <v>4</v>
      </c>
      <c r="T1410" s="33">
        <v>46083</v>
      </c>
      <c r="U1410" s="34">
        <v>2026</v>
      </c>
      <c r="V1410" s="35" t="s">
        <v>1348</v>
      </c>
      <c r="W1410" s="35" t="s">
        <v>17</v>
      </c>
      <c r="X1410" s="37" t="s">
        <v>1371</v>
      </c>
      <c r="Y1410" s="36" t="s">
        <v>196</v>
      </c>
      <c r="Z1410" s="30" t="s">
        <v>1363</v>
      </c>
      <c r="AA1410" s="30" t="s">
        <v>3708</v>
      </c>
      <c r="AD1410" s="38">
        <v>2993.26</v>
      </c>
      <c r="AF1410" s="76">
        <f t="shared" si="141"/>
        <v>233422.98999999979</v>
      </c>
    </row>
    <row r="1411" spans="7:32" ht="8.25" customHeight="1" x14ac:dyDescent="0.15">
      <c r="N1411" s="52">
        <v>4</v>
      </c>
      <c r="T1411" s="33">
        <v>46083</v>
      </c>
      <c r="U1411" s="34">
        <v>2026</v>
      </c>
      <c r="V1411" s="35" t="s">
        <v>1348</v>
      </c>
      <c r="W1411" s="35" t="s">
        <v>17</v>
      </c>
      <c r="X1411" s="37" t="s">
        <v>1371</v>
      </c>
      <c r="Y1411" s="36" t="s">
        <v>196</v>
      </c>
      <c r="Z1411" s="30" t="s">
        <v>1363</v>
      </c>
      <c r="AA1411" s="134" t="s">
        <v>183</v>
      </c>
      <c r="AD1411" s="38">
        <v>61.01</v>
      </c>
      <c r="AF1411" s="76">
        <f t="shared" si="141"/>
        <v>233483.9999999998</v>
      </c>
    </row>
    <row r="1412" spans="7:32" ht="8.25" customHeight="1" x14ac:dyDescent="0.25">
      <c r="R1412" s="53">
        <v>1</v>
      </c>
      <c r="T1412" s="33">
        <v>46083</v>
      </c>
      <c r="U1412" s="34">
        <v>2026</v>
      </c>
      <c r="V1412" s="35" t="s">
        <v>1348</v>
      </c>
      <c r="W1412" s="35" t="s">
        <v>5</v>
      </c>
      <c r="X1412" s="37" t="s">
        <v>1362</v>
      </c>
      <c r="Z1412" s="30" t="s">
        <v>1363</v>
      </c>
      <c r="AA1412" s="30" t="s">
        <v>1364</v>
      </c>
      <c r="AE1412" s="38">
        <v>1770</v>
      </c>
      <c r="AF1412" s="76">
        <f t="shared" si="141"/>
        <v>231713.9999999998</v>
      </c>
    </row>
    <row r="1413" spans="7:32" ht="8.25" customHeight="1" x14ac:dyDescent="0.25">
      <c r="G1413" s="53">
        <v>1</v>
      </c>
      <c r="T1413" s="33">
        <v>46083</v>
      </c>
      <c r="U1413" s="34">
        <v>2026</v>
      </c>
      <c r="V1413" s="35" t="s">
        <v>1348</v>
      </c>
      <c r="W1413" s="35" t="s">
        <v>5</v>
      </c>
      <c r="Y1413" s="36" t="s">
        <v>1356</v>
      </c>
      <c r="Z1413" s="30" t="s">
        <v>1357</v>
      </c>
      <c r="AA1413" s="30" t="s">
        <v>3945</v>
      </c>
      <c r="AE1413" s="38">
        <v>785</v>
      </c>
      <c r="AF1413" s="76">
        <f t="shared" si="141"/>
        <v>230928.9999999998</v>
      </c>
    </row>
    <row r="1414" spans="7:32" ht="8.25" customHeight="1" x14ac:dyDescent="0.25">
      <c r="G1414" s="53">
        <v>2</v>
      </c>
      <c r="T1414" s="33">
        <v>46083</v>
      </c>
      <c r="U1414" s="34">
        <v>2026</v>
      </c>
      <c r="V1414" s="35" t="s">
        <v>1348</v>
      </c>
      <c r="W1414" s="35" t="s">
        <v>5</v>
      </c>
      <c r="Y1414" s="36" t="s">
        <v>1350</v>
      </c>
      <c r="Z1414" s="30" t="s">
        <v>1349</v>
      </c>
      <c r="AA1414" s="30" t="s">
        <v>3945</v>
      </c>
      <c r="AE1414" s="38">
        <v>757</v>
      </c>
      <c r="AF1414" s="76">
        <f t="shared" si="141"/>
        <v>230171.9999999998</v>
      </c>
    </row>
    <row r="1415" spans="7:32" ht="8.25" customHeight="1" x14ac:dyDescent="0.25">
      <c r="G1415" s="53">
        <v>3</v>
      </c>
      <c r="T1415" s="33">
        <v>46083</v>
      </c>
      <c r="U1415" s="34">
        <v>2026</v>
      </c>
      <c r="V1415" s="35" t="s">
        <v>1348</v>
      </c>
      <c r="W1415" s="35" t="s">
        <v>5</v>
      </c>
      <c r="Y1415" s="36" t="s">
        <v>1358</v>
      </c>
      <c r="Z1415" s="30" t="s">
        <v>1359</v>
      </c>
      <c r="AA1415" s="30" t="s">
        <v>3945</v>
      </c>
      <c r="AE1415" s="38">
        <v>1135.5</v>
      </c>
      <c r="AF1415" s="76">
        <f>AF1414+AD1415-AE1415</f>
        <v>229036.4999999998</v>
      </c>
    </row>
    <row r="1416" spans="7:32" ht="8.25" customHeight="1" x14ac:dyDescent="0.25">
      <c r="T1416" s="33">
        <v>46083</v>
      </c>
      <c r="U1416" s="34">
        <v>2026</v>
      </c>
      <c r="V1416" s="35" t="s">
        <v>1348</v>
      </c>
      <c r="W1416" s="35" t="s">
        <v>5</v>
      </c>
      <c r="X1416" s="37" t="s">
        <v>1369</v>
      </c>
      <c r="Y1416" s="36" t="s">
        <v>411</v>
      </c>
      <c r="Z1416" s="30" t="s">
        <v>1370</v>
      </c>
      <c r="AA1416" s="30" t="s">
        <v>399</v>
      </c>
      <c r="AE1416" s="38">
        <v>54545.45</v>
      </c>
      <c r="AF1416" s="76">
        <f t="shared" si="141"/>
        <v>174491.04999999981</v>
      </c>
    </row>
    <row r="1417" spans="7:32" ht="8.25" customHeight="1" thickBot="1" x14ac:dyDescent="0.3">
      <c r="AA1417" s="75" t="s">
        <v>257</v>
      </c>
      <c r="AD1417" s="233">
        <f>SUM(AD1398:AD1416)</f>
        <v>99199.719999999987</v>
      </c>
      <c r="AE1417" s="233">
        <f>SUM(AE1398:AE1416)</f>
        <v>58992.95</v>
      </c>
      <c r="AF1417" s="233">
        <f>AF1397+AD1417-AE1417</f>
        <v>174491.04999999976</v>
      </c>
    </row>
    <row r="1418" spans="7:32" ht="8.25" customHeight="1" thickTop="1" x14ac:dyDescent="0.25">
      <c r="X1418" s="109"/>
      <c r="Y1418" s="67" t="s">
        <v>214</v>
      </c>
      <c r="Z1418" s="68"/>
      <c r="AA1418" s="75"/>
    </row>
    <row r="1419" spans="7:32" ht="8.25" customHeight="1" x14ac:dyDescent="0.25">
      <c r="X1419" s="110" t="s">
        <v>1886</v>
      </c>
      <c r="Y1419" s="111">
        <v>200</v>
      </c>
      <c r="Z1419" s="111">
        <f t="shared" ref="Z1419:Z1424" si="142">X1419*Y1419</f>
        <v>80000</v>
      </c>
      <c r="AA1419" s="112"/>
    </row>
    <row r="1420" spans="7:32" ht="8.25" customHeight="1" x14ac:dyDescent="0.25">
      <c r="X1420" s="110" t="s">
        <v>1887</v>
      </c>
      <c r="Y1420" s="111">
        <v>100</v>
      </c>
      <c r="Z1420" s="111">
        <f t="shared" si="142"/>
        <v>91800</v>
      </c>
      <c r="AA1420" s="112"/>
    </row>
    <row r="1421" spans="7:32" ht="8.25" customHeight="1" x14ac:dyDescent="0.25">
      <c r="X1421" s="110" t="s">
        <v>1372</v>
      </c>
      <c r="Y1421" s="111">
        <v>50</v>
      </c>
      <c r="Z1421" s="111">
        <f t="shared" si="142"/>
        <v>450</v>
      </c>
      <c r="AA1421" s="76"/>
    </row>
    <row r="1422" spans="7:32" ht="8.25" customHeight="1" x14ac:dyDescent="0.25">
      <c r="X1422" s="110" t="s">
        <v>1151</v>
      </c>
      <c r="Y1422" s="111">
        <v>20</v>
      </c>
      <c r="Z1422" s="111">
        <f t="shared" si="142"/>
        <v>480</v>
      </c>
      <c r="AA1422" s="38"/>
    </row>
    <row r="1423" spans="7:32" ht="8.25" customHeight="1" x14ac:dyDescent="0.25">
      <c r="X1423" s="110" t="s">
        <v>223</v>
      </c>
      <c r="Y1423" s="111">
        <v>10</v>
      </c>
      <c r="Z1423" s="111">
        <f t="shared" si="142"/>
        <v>30</v>
      </c>
      <c r="AA1423" s="112"/>
    </row>
    <row r="1424" spans="7:32" ht="8.25" customHeight="1" x14ac:dyDescent="0.25">
      <c r="X1424" s="110" t="s">
        <v>1383</v>
      </c>
      <c r="Y1424" s="111">
        <v>5</v>
      </c>
      <c r="Z1424" s="111">
        <f t="shared" si="142"/>
        <v>605</v>
      </c>
      <c r="AA1424" s="112"/>
    </row>
    <row r="1425" spans="9:32" ht="8.25" customHeight="1" x14ac:dyDescent="0.25">
      <c r="X1425" s="269">
        <v>0</v>
      </c>
      <c r="Y1425" s="270"/>
      <c r="Z1425" s="271"/>
      <c r="AA1425" s="38"/>
    </row>
    <row r="1426" spans="9:32" ht="8.25" customHeight="1" x14ac:dyDescent="0.25">
      <c r="X1426" s="110" t="s">
        <v>1456</v>
      </c>
      <c r="Y1426" s="111">
        <v>1</v>
      </c>
      <c r="Z1426" s="111">
        <f t="shared" ref="Z1426:Z1431" si="143">X1426*Y1426</f>
        <v>1043</v>
      </c>
      <c r="AA1426" s="76"/>
    </row>
    <row r="1427" spans="9:32" ht="8.25" customHeight="1" x14ac:dyDescent="0.25">
      <c r="X1427" s="110" t="s">
        <v>259</v>
      </c>
      <c r="Y1427" s="111">
        <v>0.5</v>
      </c>
      <c r="Z1427" s="111">
        <f t="shared" si="143"/>
        <v>40</v>
      </c>
      <c r="AA1427" s="112"/>
    </row>
    <row r="1428" spans="9:32" ht="8.25" customHeight="1" x14ac:dyDescent="0.25">
      <c r="X1428" s="110" t="s">
        <v>822</v>
      </c>
      <c r="Y1428" s="111">
        <v>0.25</v>
      </c>
      <c r="Z1428" s="111">
        <f t="shared" si="143"/>
        <v>43</v>
      </c>
      <c r="AA1428" s="113"/>
    </row>
    <row r="1429" spans="9:32" ht="8.25" customHeight="1" x14ac:dyDescent="0.25">
      <c r="X1429" s="110"/>
      <c r="Y1429" s="111">
        <v>0.1</v>
      </c>
      <c r="Z1429" s="111">
        <f t="shared" si="143"/>
        <v>0</v>
      </c>
      <c r="AA1429" s="114" t="s">
        <v>219</v>
      </c>
    </row>
    <row r="1430" spans="9:32" ht="8.25" customHeight="1" thickBot="1" x14ac:dyDescent="0.3">
      <c r="X1430" s="110" t="s">
        <v>222</v>
      </c>
      <c r="Y1430" s="111">
        <v>0.05</v>
      </c>
      <c r="Z1430" s="111">
        <f t="shared" si="143"/>
        <v>0.05</v>
      </c>
      <c r="AA1430" s="115">
        <f>SUM(Z1419:Z1424)+Z1426+Z1427+Z1428+Z1429+Z1430+Z1431</f>
        <v>174491.05</v>
      </c>
    </row>
    <row r="1431" spans="9:32" ht="8.25" customHeight="1" thickTop="1" x14ac:dyDescent="0.25">
      <c r="X1431" s="110" t="s">
        <v>120</v>
      </c>
      <c r="Y1431" s="111">
        <v>0.01</v>
      </c>
      <c r="Z1431" s="111">
        <f t="shared" si="143"/>
        <v>0</v>
      </c>
    </row>
    <row r="1432" spans="9:32" ht="12.75" customHeight="1" x14ac:dyDescent="0.25">
      <c r="Z1432" s="231" t="s">
        <v>1376</v>
      </c>
      <c r="AF1432" s="76">
        <f>AF1417</f>
        <v>174491.04999999976</v>
      </c>
    </row>
    <row r="1433" spans="9:32" ht="8.25" customHeight="1" x14ac:dyDescent="0.25">
      <c r="N1433" s="52">
        <v>5</v>
      </c>
      <c r="T1433" s="33">
        <v>46084</v>
      </c>
      <c r="U1433" s="34">
        <v>2026</v>
      </c>
      <c r="V1433" s="35" t="s">
        <v>1348</v>
      </c>
      <c r="W1433" s="35" t="s">
        <v>17</v>
      </c>
      <c r="X1433" s="37" t="s">
        <v>1377</v>
      </c>
      <c r="Y1433" s="36" t="s">
        <v>252</v>
      </c>
      <c r="Z1433" s="30" t="s">
        <v>1378</v>
      </c>
      <c r="AA1433" s="30" t="s">
        <v>3899</v>
      </c>
      <c r="AD1433" s="38">
        <v>721.03</v>
      </c>
      <c r="AF1433" s="76">
        <f t="shared" ref="AF1433:AF1442" si="144">AF1432+AD1433-AE1433</f>
        <v>175212.07999999975</v>
      </c>
    </row>
    <row r="1434" spans="9:32" ht="8.25" customHeight="1" x14ac:dyDescent="0.15">
      <c r="N1434" s="52">
        <v>5</v>
      </c>
      <c r="T1434" s="33">
        <v>46084</v>
      </c>
      <c r="U1434" s="34">
        <v>2026</v>
      </c>
      <c r="V1434" s="35" t="s">
        <v>1348</v>
      </c>
      <c r="W1434" s="35" t="s">
        <v>17</v>
      </c>
      <c r="X1434" s="37" t="s">
        <v>1377</v>
      </c>
      <c r="Y1434" s="36" t="s">
        <v>252</v>
      </c>
      <c r="Z1434" s="30" t="s">
        <v>1378</v>
      </c>
      <c r="AA1434" s="134" t="s">
        <v>166</v>
      </c>
      <c r="AD1434" s="38">
        <v>78.97</v>
      </c>
      <c r="AF1434" s="76">
        <f t="shared" si="144"/>
        <v>175291.04999999976</v>
      </c>
    </row>
    <row r="1435" spans="9:32" ht="8.25" customHeight="1" x14ac:dyDescent="0.25">
      <c r="N1435" s="52">
        <v>6</v>
      </c>
      <c r="T1435" s="33">
        <v>46084</v>
      </c>
      <c r="U1435" s="34">
        <v>2026</v>
      </c>
      <c r="V1435" s="35" t="s">
        <v>1348</v>
      </c>
      <c r="W1435" s="35" t="s">
        <v>17</v>
      </c>
      <c r="X1435" s="37" t="s">
        <v>1380</v>
      </c>
      <c r="Y1435" s="36" t="s">
        <v>1381</v>
      </c>
      <c r="Z1435" s="30" t="s">
        <v>1382</v>
      </c>
      <c r="AA1435" s="30" t="s">
        <v>3899</v>
      </c>
      <c r="AD1435" s="38">
        <v>12626.26</v>
      </c>
      <c r="AF1435" s="76">
        <f t="shared" si="144"/>
        <v>187917.30999999976</v>
      </c>
    </row>
    <row r="1436" spans="9:32" ht="8.25" customHeight="1" x14ac:dyDescent="0.15">
      <c r="N1436" s="52">
        <v>6</v>
      </c>
      <c r="T1436" s="33">
        <v>46084</v>
      </c>
      <c r="U1436" s="34">
        <v>2026</v>
      </c>
      <c r="V1436" s="35" t="s">
        <v>1348</v>
      </c>
      <c r="W1436" s="35" t="s">
        <v>17</v>
      </c>
      <c r="X1436" s="37" t="s">
        <v>1380</v>
      </c>
      <c r="Y1436" s="36" t="s">
        <v>1381</v>
      </c>
      <c r="Z1436" s="30" t="s">
        <v>1382</v>
      </c>
      <c r="AA1436" s="134" t="s">
        <v>166</v>
      </c>
      <c r="AD1436" s="38">
        <v>44831.88</v>
      </c>
      <c r="AF1436" s="76">
        <f t="shared" si="144"/>
        <v>232749.18999999977</v>
      </c>
    </row>
    <row r="1437" spans="9:32" ht="8.25" customHeight="1" x14ac:dyDescent="0.25">
      <c r="T1437" s="33">
        <v>46084</v>
      </c>
      <c r="U1437" s="34">
        <v>2026</v>
      </c>
      <c r="V1437" s="35" t="s">
        <v>1348</v>
      </c>
      <c r="W1437" s="35" t="s">
        <v>5</v>
      </c>
      <c r="X1437" s="37" t="s">
        <v>1384</v>
      </c>
      <c r="Y1437" s="36" t="s">
        <v>411</v>
      </c>
      <c r="Z1437" s="30" t="s">
        <v>1370</v>
      </c>
      <c r="AA1437" s="155" t="s">
        <v>421</v>
      </c>
      <c r="AE1437" s="38">
        <v>57458.14</v>
      </c>
      <c r="AF1437" s="76">
        <f t="shared" si="144"/>
        <v>175291.04999999976</v>
      </c>
    </row>
    <row r="1438" spans="9:32" ht="8.25" customHeight="1" x14ac:dyDescent="0.25">
      <c r="N1438" s="52">
        <v>7</v>
      </c>
      <c r="T1438" s="33">
        <v>46084</v>
      </c>
      <c r="U1438" s="34">
        <v>2026</v>
      </c>
      <c r="V1438" s="35" t="s">
        <v>1348</v>
      </c>
      <c r="W1438" s="35" t="s">
        <v>17</v>
      </c>
      <c r="X1438" s="37" t="s">
        <v>1386</v>
      </c>
      <c r="Y1438" s="36" t="s">
        <v>1387</v>
      </c>
      <c r="Z1438" s="30" t="s">
        <v>1060</v>
      </c>
      <c r="AA1438" s="30" t="s">
        <v>3708</v>
      </c>
      <c r="AD1438" s="38">
        <v>2843.56</v>
      </c>
      <c r="AF1438" s="76">
        <f t="shared" si="144"/>
        <v>178134.60999999975</v>
      </c>
    </row>
    <row r="1439" spans="9:32" ht="8.25" customHeight="1" x14ac:dyDescent="0.15">
      <c r="N1439" s="52">
        <v>7</v>
      </c>
      <c r="T1439" s="33">
        <v>46084</v>
      </c>
      <c r="U1439" s="34">
        <v>2026</v>
      </c>
      <c r="V1439" s="35" t="s">
        <v>1348</v>
      </c>
      <c r="W1439" s="35" t="s">
        <v>17</v>
      </c>
      <c r="X1439" s="37" t="s">
        <v>1386</v>
      </c>
      <c r="Y1439" s="36" t="s">
        <v>1387</v>
      </c>
      <c r="Z1439" s="30" t="s">
        <v>1060</v>
      </c>
      <c r="AA1439" s="134" t="s">
        <v>183</v>
      </c>
      <c r="AD1439" s="38">
        <v>256.44</v>
      </c>
      <c r="AF1439" s="76">
        <f t="shared" si="144"/>
        <v>178391.04999999976</v>
      </c>
    </row>
    <row r="1440" spans="9:32" ht="8.25" customHeight="1" x14ac:dyDescent="0.25">
      <c r="I1440" s="52">
        <v>4</v>
      </c>
      <c r="T1440" s="33">
        <v>46084</v>
      </c>
      <c r="U1440" s="34">
        <v>2026</v>
      </c>
      <c r="V1440" s="35" t="s">
        <v>1348</v>
      </c>
      <c r="W1440" s="35" t="s">
        <v>17</v>
      </c>
      <c r="X1440" s="37" t="s">
        <v>1388</v>
      </c>
      <c r="Y1440" s="36" t="s">
        <v>1389</v>
      </c>
      <c r="Z1440" s="30" t="s">
        <v>1390</v>
      </c>
      <c r="AA1440" s="30" t="s">
        <v>1044</v>
      </c>
      <c r="AD1440" s="38">
        <v>500</v>
      </c>
      <c r="AF1440" s="76">
        <f t="shared" si="144"/>
        <v>178891.04999999976</v>
      </c>
    </row>
    <row r="1441" spans="6:32" ht="8.25" customHeight="1" x14ac:dyDescent="0.25">
      <c r="I1441" s="52">
        <v>5</v>
      </c>
      <c r="T1441" s="33">
        <v>46084</v>
      </c>
      <c r="U1441" s="34">
        <v>2026</v>
      </c>
      <c r="V1441" s="35" t="s">
        <v>1348</v>
      </c>
      <c r="W1441" s="35" t="s">
        <v>17</v>
      </c>
      <c r="X1441" s="37" t="s">
        <v>1391</v>
      </c>
      <c r="Y1441" s="36" t="s">
        <v>598</v>
      </c>
      <c r="Z1441" s="30" t="s">
        <v>1392</v>
      </c>
      <c r="AA1441" s="30" t="s">
        <v>1044</v>
      </c>
      <c r="AD1441" s="38">
        <v>600</v>
      </c>
      <c r="AF1441" s="76">
        <f t="shared" si="144"/>
        <v>179491.04999999976</v>
      </c>
    </row>
    <row r="1442" spans="6:32" ht="8.25" customHeight="1" x14ac:dyDescent="0.25">
      <c r="F1442" s="53">
        <v>1</v>
      </c>
      <c r="T1442" s="33">
        <v>46084</v>
      </c>
      <c r="U1442" s="34">
        <v>2026</v>
      </c>
      <c r="V1442" s="35" t="s">
        <v>1348</v>
      </c>
      <c r="W1442" s="35" t="s">
        <v>5</v>
      </c>
      <c r="Y1442" s="36" t="s">
        <v>1385</v>
      </c>
      <c r="Z1442" s="30" t="s">
        <v>1393</v>
      </c>
      <c r="AA1442" s="30" t="s">
        <v>1394</v>
      </c>
      <c r="AE1442" s="38">
        <v>1000</v>
      </c>
      <c r="AF1442" s="76">
        <f t="shared" si="144"/>
        <v>178491.04999999976</v>
      </c>
    </row>
    <row r="1443" spans="6:32" ht="8.25" customHeight="1" thickBot="1" x14ac:dyDescent="0.3">
      <c r="AA1443" s="75" t="s">
        <v>257</v>
      </c>
      <c r="AD1443" s="233">
        <f>SUM(AD1433:AD1442)</f>
        <v>62458.14</v>
      </c>
      <c r="AE1443" s="38">
        <v>58458.14</v>
      </c>
      <c r="AF1443" s="76">
        <f>AF1432+AD1443-AE1443</f>
        <v>178491.04999999976</v>
      </c>
    </row>
    <row r="1444" spans="6:32" ht="8.25" customHeight="1" thickTop="1" x14ac:dyDescent="0.25"/>
    <row r="1445" spans="6:32" ht="8.25" customHeight="1" x14ac:dyDescent="0.25">
      <c r="X1445" s="109"/>
      <c r="Y1445" s="67" t="s">
        <v>214</v>
      </c>
      <c r="Z1445" s="68"/>
      <c r="AA1445" s="75"/>
    </row>
    <row r="1446" spans="6:32" ht="8.25" customHeight="1" x14ac:dyDescent="0.25">
      <c r="X1446" s="110" t="s">
        <v>1886</v>
      </c>
      <c r="Y1446" s="111">
        <v>200</v>
      </c>
      <c r="Z1446" s="111">
        <f t="shared" ref="Z1446:Z1451" si="145">X1446*Y1446</f>
        <v>80000</v>
      </c>
      <c r="AA1446" s="112"/>
    </row>
    <row r="1447" spans="6:32" ht="8.25" customHeight="1" x14ac:dyDescent="0.25">
      <c r="X1447" s="110" t="s">
        <v>1888</v>
      </c>
      <c r="Y1447" s="111">
        <v>100</v>
      </c>
      <c r="Z1447" s="111">
        <f t="shared" si="145"/>
        <v>95800</v>
      </c>
      <c r="AA1447" s="112"/>
    </row>
    <row r="1448" spans="6:32" ht="8.25" customHeight="1" x14ac:dyDescent="0.25">
      <c r="X1448" s="110" t="s">
        <v>581</v>
      </c>
      <c r="Y1448" s="111">
        <v>50</v>
      </c>
      <c r="Z1448" s="111">
        <f t="shared" si="145"/>
        <v>500</v>
      </c>
      <c r="AA1448" s="76"/>
    </row>
    <row r="1449" spans="6:32" ht="8.25" customHeight="1" x14ac:dyDescent="0.25">
      <c r="X1449" s="110" t="s">
        <v>1379</v>
      </c>
      <c r="Y1449" s="111">
        <v>20</v>
      </c>
      <c r="Z1449" s="111">
        <f t="shared" si="145"/>
        <v>440</v>
      </c>
      <c r="AA1449" s="38"/>
    </row>
    <row r="1450" spans="6:32" ht="8.25" customHeight="1" x14ac:dyDescent="0.25">
      <c r="X1450" s="110" t="s">
        <v>224</v>
      </c>
      <c r="Y1450" s="111">
        <v>10</v>
      </c>
      <c r="Z1450" s="111">
        <f t="shared" si="145"/>
        <v>20</v>
      </c>
      <c r="AA1450" s="112"/>
    </row>
    <row r="1451" spans="6:32" ht="8.25" customHeight="1" x14ac:dyDescent="0.25">
      <c r="X1451" s="110" t="s">
        <v>1383</v>
      </c>
      <c r="Y1451" s="111">
        <v>5</v>
      </c>
      <c r="Z1451" s="111">
        <f t="shared" si="145"/>
        <v>605</v>
      </c>
      <c r="AA1451" s="112"/>
    </row>
    <row r="1452" spans="6:32" ht="8.25" customHeight="1" x14ac:dyDescent="0.25">
      <c r="X1452" s="269">
        <v>0</v>
      </c>
      <c r="Y1452" s="270"/>
      <c r="Z1452" s="271"/>
      <c r="AA1452" s="38"/>
    </row>
    <row r="1453" spans="6:32" ht="8.25" customHeight="1" x14ac:dyDescent="0.25">
      <c r="X1453" s="110" t="s">
        <v>1456</v>
      </c>
      <c r="Y1453" s="111">
        <v>1</v>
      </c>
      <c r="Z1453" s="111">
        <f t="shared" ref="Z1453:Z1458" si="146">X1453*Y1453</f>
        <v>1043</v>
      </c>
      <c r="AA1453" s="76"/>
    </row>
    <row r="1454" spans="6:32" ht="8.25" customHeight="1" x14ac:dyDescent="0.25">
      <c r="X1454" s="110" t="s">
        <v>259</v>
      </c>
      <c r="Y1454" s="111">
        <v>0.5</v>
      </c>
      <c r="Z1454" s="111">
        <f t="shared" si="146"/>
        <v>40</v>
      </c>
      <c r="AA1454" s="112"/>
    </row>
    <row r="1455" spans="6:32" ht="8.25" customHeight="1" x14ac:dyDescent="0.25">
      <c r="X1455" s="110" t="s">
        <v>822</v>
      </c>
      <c r="Y1455" s="111">
        <v>0.25</v>
      </c>
      <c r="Z1455" s="111">
        <f t="shared" si="146"/>
        <v>43</v>
      </c>
      <c r="AA1455" s="113"/>
    </row>
    <row r="1456" spans="6:32" ht="8.25" customHeight="1" x14ac:dyDescent="0.25">
      <c r="X1456" s="110"/>
      <c r="Y1456" s="111">
        <v>0.1</v>
      </c>
      <c r="Z1456" s="111">
        <f t="shared" si="146"/>
        <v>0</v>
      </c>
      <c r="AA1456" s="114" t="s">
        <v>219</v>
      </c>
    </row>
    <row r="1457" spans="7:32" ht="8.25" customHeight="1" thickBot="1" x14ac:dyDescent="0.3">
      <c r="X1457" s="110" t="s">
        <v>222</v>
      </c>
      <c r="Y1457" s="111">
        <v>0.05</v>
      </c>
      <c r="Z1457" s="111">
        <f t="shared" si="146"/>
        <v>0.05</v>
      </c>
      <c r="AA1457" s="115">
        <f>SUM(Z1446:Z1451)+Z1453+Z1454+Z1455+Z1456+Z1457+Z1458</f>
        <v>178491.05</v>
      </c>
    </row>
    <row r="1458" spans="7:32" ht="8.25" customHeight="1" thickTop="1" x14ac:dyDescent="0.25">
      <c r="X1458" s="110"/>
      <c r="Y1458" s="111">
        <v>0.01</v>
      </c>
      <c r="Z1458" s="111">
        <f t="shared" si="146"/>
        <v>0</v>
      </c>
    </row>
    <row r="1460" spans="7:32" ht="8.25" customHeight="1" x14ac:dyDescent="0.25">
      <c r="Z1460" s="231" t="s">
        <v>1376</v>
      </c>
      <c r="AF1460" s="76">
        <f>AF1443</f>
        <v>178491.04999999976</v>
      </c>
    </row>
    <row r="1461" spans="7:32" ht="8.25" customHeight="1" x14ac:dyDescent="0.25">
      <c r="N1461" s="52">
        <v>8</v>
      </c>
      <c r="T1461" s="33">
        <v>46085</v>
      </c>
      <c r="U1461" s="34">
        <v>2026</v>
      </c>
      <c r="V1461" s="35" t="s">
        <v>1348</v>
      </c>
      <c r="W1461" s="35" t="s">
        <v>17</v>
      </c>
      <c r="X1461" s="37" t="s">
        <v>1395</v>
      </c>
      <c r="Y1461" s="36" t="s">
        <v>1396</v>
      </c>
      <c r="Z1461" s="30" t="s">
        <v>807</v>
      </c>
      <c r="AA1461" s="30" t="s">
        <v>3899</v>
      </c>
      <c r="AD1461" s="38">
        <v>7123.54</v>
      </c>
      <c r="AF1461" s="76">
        <f t="shared" ref="AF1461:AF1468" si="147">AF1460+AD1461-AE1461</f>
        <v>185614.58999999976</v>
      </c>
    </row>
    <row r="1462" spans="7:32" ht="8.25" customHeight="1" x14ac:dyDescent="0.15">
      <c r="N1462" s="52">
        <v>8</v>
      </c>
      <c r="T1462" s="33">
        <v>46085</v>
      </c>
      <c r="U1462" s="34">
        <v>2026</v>
      </c>
      <c r="V1462" s="35" t="s">
        <v>1348</v>
      </c>
      <c r="W1462" s="35" t="s">
        <v>17</v>
      </c>
      <c r="X1462" s="37" t="s">
        <v>1395</v>
      </c>
      <c r="Y1462" s="36" t="s">
        <v>1396</v>
      </c>
      <c r="Z1462" s="30" t="s">
        <v>807</v>
      </c>
      <c r="AA1462" s="134" t="s">
        <v>166</v>
      </c>
      <c r="AD1462" s="38">
        <v>6276.46</v>
      </c>
      <c r="AF1462" s="76">
        <f t="shared" si="147"/>
        <v>191891.04999999976</v>
      </c>
    </row>
    <row r="1463" spans="7:32" ht="8.25" customHeight="1" x14ac:dyDescent="0.15">
      <c r="K1463" s="52">
        <v>1</v>
      </c>
      <c r="T1463" s="33">
        <v>46085</v>
      </c>
      <c r="U1463" s="34">
        <v>2026</v>
      </c>
      <c r="V1463" s="35" t="s">
        <v>1348</v>
      </c>
      <c r="W1463" s="35" t="s">
        <v>17</v>
      </c>
      <c r="X1463" s="37" t="s">
        <v>1399</v>
      </c>
      <c r="Y1463" s="36" t="s">
        <v>1400</v>
      </c>
      <c r="Z1463" s="30" t="s">
        <v>1401</v>
      </c>
      <c r="AA1463" s="136" t="s">
        <v>1788</v>
      </c>
      <c r="AD1463" s="38">
        <v>100</v>
      </c>
      <c r="AF1463" s="76">
        <f t="shared" si="147"/>
        <v>191991.04999999976</v>
      </c>
    </row>
    <row r="1464" spans="7:32" ht="8.25" customHeight="1" x14ac:dyDescent="0.25">
      <c r="L1464" s="52">
        <v>1</v>
      </c>
      <c r="T1464" s="33">
        <v>46085</v>
      </c>
      <c r="U1464" s="34">
        <v>2026</v>
      </c>
      <c r="V1464" s="35" t="s">
        <v>1348</v>
      </c>
      <c r="W1464" s="35" t="s">
        <v>17</v>
      </c>
      <c r="X1464" s="37" t="s">
        <v>1402</v>
      </c>
      <c r="Y1464" s="36" t="s">
        <v>120</v>
      </c>
      <c r="Z1464" s="30" t="s">
        <v>1401</v>
      </c>
      <c r="AA1464" s="30" t="s">
        <v>373</v>
      </c>
      <c r="AD1464" s="38">
        <v>50</v>
      </c>
      <c r="AF1464" s="76">
        <f t="shared" si="147"/>
        <v>192041.04999999976</v>
      </c>
    </row>
    <row r="1465" spans="7:32" ht="8.25" customHeight="1" x14ac:dyDescent="0.25">
      <c r="I1465" s="52">
        <v>6</v>
      </c>
      <c r="T1465" s="33">
        <v>46085</v>
      </c>
      <c r="U1465" s="34">
        <v>2026</v>
      </c>
      <c r="V1465" s="35" t="s">
        <v>1348</v>
      </c>
      <c r="W1465" s="35" t="s">
        <v>17</v>
      </c>
      <c r="X1465" s="37" t="s">
        <v>1405</v>
      </c>
      <c r="Y1465" s="36" t="s">
        <v>115</v>
      </c>
      <c r="Z1465" s="30" t="s">
        <v>1406</v>
      </c>
      <c r="AA1465" s="30" t="s">
        <v>1044</v>
      </c>
      <c r="AD1465" s="38">
        <v>2000</v>
      </c>
      <c r="AF1465" s="76">
        <f t="shared" si="147"/>
        <v>194041.04999999976</v>
      </c>
    </row>
    <row r="1466" spans="7:32" ht="8.25" customHeight="1" x14ac:dyDescent="0.25">
      <c r="G1466" s="53">
        <v>4</v>
      </c>
      <c r="T1466" s="33">
        <v>46085</v>
      </c>
      <c r="U1466" s="34">
        <v>2026</v>
      </c>
      <c r="V1466" s="35" t="s">
        <v>1348</v>
      </c>
      <c r="W1466" s="35" t="s">
        <v>5</v>
      </c>
      <c r="Y1466" s="36" t="s">
        <v>1397</v>
      </c>
      <c r="Z1466" s="30" t="s">
        <v>1398</v>
      </c>
      <c r="AA1466" s="30" t="s">
        <v>3945</v>
      </c>
      <c r="AE1466" s="38">
        <v>1529.1</v>
      </c>
      <c r="AF1466" s="76">
        <f t="shared" si="147"/>
        <v>192511.94999999975</v>
      </c>
    </row>
    <row r="1467" spans="7:32" ht="8.25" customHeight="1" x14ac:dyDescent="0.25">
      <c r="R1467" s="53">
        <v>2</v>
      </c>
      <c r="T1467" s="33">
        <v>46085</v>
      </c>
      <c r="U1467" s="34">
        <v>2026</v>
      </c>
      <c r="V1467" s="35" t="s">
        <v>1348</v>
      </c>
      <c r="W1467" s="35" t="s">
        <v>5</v>
      </c>
      <c r="X1467" s="37" t="s">
        <v>1403</v>
      </c>
      <c r="Y1467" s="36" t="s">
        <v>629</v>
      </c>
      <c r="Z1467" s="30" t="s">
        <v>1404</v>
      </c>
      <c r="AA1467" s="30" t="s">
        <v>1050</v>
      </c>
      <c r="AE1467" s="38">
        <v>200</v>
      </c>
      <c r="AF1467" s="76">
        <f t="shared" si="147"/>
        <v>192311.94999999975</v>
      </c>
    </row>
    <row r="1468" spans="7:32" ht="8.25" customHeight="1" x14ac:dyDescent="0.25">
      <c r="R1468" s="53">
        <v>3</v>
      </c>
      <c r="T1468" s="33">
        <v>46085</v>
      </c>
      <c r="U1468" s="34">
        <v>2026</v>
      </c>
      <c r="V1468" s="35" t="s">
        <v>1348</v>
      </c>
      <c r="W1468" s="35" t="s">
        <v>5</v>
      </c>
      <c r="X1468" s="37" t="s">
        <v>1407</v>
      </c>
      <c r="Y1468" s="36" t="s">
        <v>1408</v>
      </c>
      <c r="Z1468" s="30" t="s">
        <v>1409</v>
      </c>
      <c r="AA1468" s="30" t="s">
        <v>1050</v>
      </c>
      <c r="AE1468" s="38">
        <v>800</v>
      </c>
      <c r="AF1468" s="76">
        <f t="shared" si="147"/>
        <v>191511.94999999975</v>
      </c>
    </row>
    <row r="1469" spans="7:32" ht="8.25" customHeight="1" x14ac:dyDescent="0.25">
      <c r="AA1469" s="75" t="s">
        <v>257</v>
      </c>
      <c r="AD1469" s="235">
        <f>SUM(AD1461:AD1465)</f>
        <v>15550</v>
      </c>
      <c r="AE1469" s="76">
        <f>SUM(AE1466:AE1468)</f>
        <v>2529.1</v>
      </c>
      <c r="AF1469" s="76">
        <f>AF1460+AD1469-AE1469</f>
        <v>191511.94999999975</v>
      </c>
    </row>
    <row r="1474" spans="24:27" ht="8.25" customHeight="1" x14ac:dyDescent="0.25">
      <c r="X1474" s="109"/>
      <c r="Y1474" s="67" t="s">
        <v>214</v>
      </c>
      <c r="Z1474" s="68"/>
      <c r="AA1474" s="75"/>
    </row>
    <row r="1475" spans="24:27" ht="8.25" customHeight="1" x14ac:dyDescent="0.25">
      <c r="X1475" s="110" t="s">
        <v>1886</v>
      </c>
      <c r="Y1475" s="111">
        <v>200</v>
      </c>
      <c r="Z1475" s="111">
        <f t="shared" ref="Z1475:Z1480" si="148">X1475*Y1475</f>
        <v>80000</v>
      </c>
      <c r="AA1475" s="112"/>
    </row>
    <row r="1476" spans="24:27" ht="8.25" customHeight="1" x14ac:dyDescent="0.25">
      <c r="X1476" s="110" t="s">
        <v>1889</v>
      </c>
      <c r="Y1476" s="111">
        <v>100</v>
      </c>
      <c r="Z1476" s="111">
        <f t="shared" si="148"/>
        <v>109100</v>
      </c>
      <c r="AA1476" s="112"/>
    </row>
    <row r="1477" spans="24:27" ht="8.25" customHeight="1" x14ac:dyDescent="0.25">
      <c r="X1477" s="110" t="s">
        <v>221</v>
      </c>
      <c r="Y1477" s="111">
        <v>50</v>
      </c>
      <c r="Z1477" s="111">
        <f t="shared" si="148"/>
        <v>350</v>
      </c>
      <c r="AA1477" s="76"/>
    </row>
    <row r="1478" spans="24:27" ht="8.25" customHeight="1" x14ac:dyDescent="0.25">
      <c r="X1478" s="110" t="s">
        <v>216</v>
      </c>
      <c r="Y1478" s="111">
        <v>20</v>
      </c>
      <c r="Z1478" s="111">
        <f t="shared" si="148"/>
        <v>300</v>
      </c>
      <c r="AA1478" s="38"/>
    </row>
    <row r="1479" spans="24:27" ht="8.25" customHeight="1" x14ac:dyDescent="0.25">
      <c r="X1479" s="110" t="s">
        <v>223</v>
      </c>
      <c r="Y1479" s="111">
        <v>10</v>
      </c>
      <c r="Z1479" s="111">
        <f t="shared" si="148"/>
        <v>30</v>
      </c>
      <c r="AA1479" s="112"/>
    </row>
    <row r="1480" spans="24:27" ht="8.25" customHeight="1" x14ac:dyDescent="0.25">
      <c r="X1480" s="110" t="s">
        <v>1383</v>
      </c>
      <c r="Y1480" s="111">
        <v>5</v>
      </c>
      <c r="Z1480" s="111">
        <f t="shared" si="148"/>
        <v>605</v>
      </c>
      <c r="AA1480" s="112"/>
    </row>
    <row r="1481" spans="24:27" ht="8.25" customHeight="1" x14ac:dyDescent="0.25">
      <c r="X1481" s="269">
        <v>0</v>
      </c>
      <c r="Y1481" s="270"/>
      <c r="Z1481" s="271"/>
      <c r="AA1481" s="38"/>
    </row>
    <row r="1482" spans="24:27" ht="8.25" customHeight="1" x14ac:dyDescent="0.25">
      <c r="X1482" s="110" t="s">
        <v>1456</v>
      </c>
      <c r="Y1482" s="111">
        <v>1</v>
      </c>
      <c r="Z1482" s="111">
        <f t="shared" ref="Z1482:Z1487" si="149">X1482*Y1482</f>
        <v>1043</v>
      </c>
      <c r="AA1482" s="76"/>
    </row>
    <row r="1483" spans="24:27" ht="8.25" customHeight="1" x14ac:dyDescent="0.25">
      <c r="X1483" s="110" t="s">
        <v>1496</v>
      </c>
      <c r="Y1483" s="111">
        <v>0.5</v>
      </c>
      <c r="Z1483" s="111">
        <f t="shared" si="149"/>
        <v>40.5</v>
      </c>
      <c r="AA1483" s="112"/>
    </row>
    <row r="1484" spans="24:27" ht="8.25" customHeight="1" x14ac:dyDescent="0.25">
      <c r="X1484" s="110" t="s">
        <v>1189</v>
      </c>
      <c r="Y1484" s="111">
        <v>0.25</v>
      </c>
      <c r="Z1484" s="111">
        <f t="shared" si="149"/>
        <v>43.25</v>
      </c>
      <c r="AA1484" s="113"/>
    </row>
    <row r="1485" spans="24:27" ht="8.25" customHeight="1" x14ac:dyDescent="0.25">
      <c r="X1485" s="110" t="s">
        <v>224</v>
      </c>
      <c r="Y1485" s="111">
        <v>0.1</v>
      </c>
      <c r="Z1485" s="111">
        <f t="shared" si="149"/>
        <v>0.2</v>
      </c>
      <c r="AA1485" s="114" t="s">
        <v>219</v>
      </c>
    </row>
    <row r="1486" spans="24:27" ht="8.25" customHeight="1" thickBot="1" x14ac:dyDescent="0.3">
      <c r="X1486" s="110"/>
      <c r="Y1486" s="111">
        <v>0.05</v>
      </c>
      <c r="Z1486" s="111">
        <f t="shared" si="149"/>
        <v>0</v>
      </c>
      <c r="AA1486" s="115">
        <f>SUM(Z1475:Z1480)+Z1482+Z1483+Z1484+Z1485+Z1486+Z1487</f>
        <v>191511.95</v>
      </c>
    </row>
    <row r="1487" spans="24:27" ht="8.25" customHeight="1" thickTop="1" x14ac:dyDescent="0.25">
      <c r="X1487" s="110"/>
      <c r="Y1487" s="111">
        <v>0.01</v>
      </c>
      <c r="Z1487" s="111">
        <f t="shared" si="149"/>
        <v>0</v>
      </c>
    </row>
    <row r="1489" spans="9:32" ht="8.25" customHeight="1" x14ac:dyDescent="0.15">
      <c r="Z1489" s="231" t="s">
        <v>1376</v>
      </c>
      <c r="AA1489" s="134"/>
      <c r="AF1489" s="76">
        <f>AF1469</f>
        <v>191511.94999999975</v>
      </c>
    </row>
    <row r="1490" spans="9:32" ht="8.25" customHeight="1" x14ac:dyDescent="0.25">
      <c r="N1490" s="52">
        <v>9</v>
      </c>
      <c r="T1490" s="33">
        <v>46086</v>
      </c>
      <c r="U1490" s="34">
        <v>2026</v>
      </c>
      <c r="V1490" s="35" t="s">
        <v>1348</v>
      </c>
      <c r="W1490" s="35" t="s">
        <v>17</v>
      </c>
      <c r="X1490" s="37" t="s">
        <v>1410</v>
      </c>
      <c r="Y1490" s="36" t="s">
        <v>1411</v>
      </c>
      <c r="Z1490" s="30" t="s">
        <v>1412</v>
      </c>
      <c r="AA1490" s="30" t="s">
        <v>3899</v>
      </c>
      <c r="AD1490" s="38">
        <v>3953.92</v>
      </c>
      <c r="AF1490" s="76">
        <f t="shared" ref="AF1490:AF1504" si="150">AF1489+AD1490-AE1490</f>
        <v>195465.86999999976</v>
      </c>
    </row>
    <row r="1491" spans="9:32" ht="8.25" customHeight="1" x14ac:dyDescent="0.15">
      <c r="N1491" s="52">
        <v>9</v>
      </c>
      <c r="T1491" s="33">
        <v>46086</v>
      </c>
      <c r="U1491" s="34">
        <v>2026</v>
      </c>
      <c r="V1491" s="35" t="s">
        <v>1348</v>
      </c>
      <c r="W1491" s="35" t="s">
        <v>17</v>
      </c>
      <c r="X1491" s="37" t="s">
        <v>1410</v>
      </c>
      <c r="Y1491" s="36" t="s">
        <v>1411</v>
      </c>
      <c r="Z1491" s="30" t="s">
        <v>1412</v>
      </c>
      <c r="AA1491" s="134" t="s">
        <v>166</v>
      </c>
      <c r="AD1491" s="38">
        <v>1046.08</v>
      </c>
      <c r="AF1491" s="76">
        <f t="shared" si="150"/>
        <v>196511.94999999975</v>
      </c>
    </row>
    <row r="1492" spans="9:32" ht="8.25" customHeight="1" x14ac:dyDescent="0.25">
      <c r="T1492" s="33">
        <v>46086</v>
      </c>
      <c r="U1492" s="34">
        <v>2026</v>
      </c>
      <c r="V1492" s="35" t="s">
        <v>1348</v>
      </c>
      <c r="W1492" s="35" t="s">
        <v>17</v>
      </c>
      <c r="X1492" s="37" t="s">
        <v>1413</v>
      </c>
      <c r="Z1492" s="30" t="s">
        <v>1293</v>
      </c>
      <c r="AF1492" s="76">
        <f t="shared" si="150"/>
        <v>196511.94999999975</v>
      </c>
    </row>
    <row r="1493" spans="9:32" ht="8.25" customHeight="1" x14ac:dyDescent="0.25">
      <c r="N1493" s="52">
        <v>10</v>
      </c>
      <c r="T1493" s="33">
        <v>46086</v>
      </c>
      <c r="U1493" s="34">
        <v>2026</v>
      </c>
      <c r="V1493" s="35" t="s">
        <v>1348</v>
      </c>
      <c r="W1493" s="35" t="s">
        <v>17</v>
      </c>
      <c r="X1493" s="37" t="s">
        <v>1414</v>
      </c>
      <c r="Y1493" s="36" t="s">
        <v>931</v>
      </c>
      <c r="Z1493" s="30" t="s">
        <v>1415</v>
      </c>
      <c r="AA1493" s="30" t="s">
        <v>3899</v>
      </c>
      <c r="AD1493" s="38">
        <v>3123.72</v>
      </c>
      <c r="AF1493" s="76">
        <f t="shared" si="150"/>
        <v>199635.66999999975</v>
      </c>
    </row>
    <row r="1494" spans="9:32" ht="8.25" customHeight="1" x14ac:dyDescent="0.15">
      <c r="N1494" s="52">
        <v>10</v>
      </c>
      <c r="T1494" s="33">
        <v>46086</v>
      </c>
      <c r="U1494" s="34">
        <v>2026</v>
      </c>
      <c r="V1494" s="35" t="s">
        <v>1348</v>
      </c>
      <c r="W1494" s="35" t="s">
        <v>17</v>
      </c>
      <c r="X1494" s="37" t="s">
        <v>1414</v>
      </c>
      <c r="Y1494" s="36" t="s">
        <v>931</v>
      </c>
      <c r="Z1494" s="30" t="s">
        <v>1415</v>
      </c>
      <c r="AA1494" s="134" t="s">
        <v>166</v>
      </c>
      <c r="AD1494" s="38">
        <v>949.28</v>
      </c>
      <c r="AF1494" s="76">
        <f t="shared" si="150"/>
        <v>200584.94999999975</v>
      </c>
    </row>
    <row r="1495" spans="9:32" ht="8.25" customHeight="1" x14ac:dyDescent="0.25">
      <c r="I1495" s="52">
        <v>7</v>
      </c>
      <c r="T1495" s="33">
        <v>46086</v>
      </c>
      <c r="U1495" s="34">
        <v>2026</v>
      </c>
      <c r="V1495" s="35" t="s">
        <v>1348</v>
      </c>
      <c r="W1495" s="35" t="s">
        <v>17</v>
      </c>
      <c r="X1495" s="37" t="s">
        <v>1417</v>
      </c>
      <c r="Y1495" s="36" t="s">
        <v>1418</v>
      </c>
      <c r="Z1495" s="30" t="s">
        <v>1401</v>
      </c>
      <c r="AA1495" s="30" t="s">
        <v>1044</v>
      </c>
      <c r="AD1495" s="38">
        <v>1147.72</v>
      </c>
      <c r="AF1495" s="76">
        <f t="shared" si="150"/>
        <v>201732.66999999975</v>
      </c>
    </row>
    <row r="1496" spans="9:32" ht="8.25" customHeight="1" x14ac:dyDescent="0.25">
      <c r="M1496" s="52">
        <v>2</v>
      </c>
      <c r="T1496" s="33">
        <v>46086</v>
      </c>
      <c r="U1496" s="34">
        <v>2026</v>
      </c>
      <c r="V1496" s="35" t="s">
        <v>1348</v>
      </c>
      <c r="W1496" s="35" t="s">
        <v>17</v>
      </c>
      <c r="X1496" s="37" t="s">
        <v>1416</v>
      </c>
      <c r="Y1496" s="36" t="s">
        <v>120</v>
      </c>
      <c r="Z1496" s="30" t="s">
        <v>1401</v>
      </c>
      <c r="AA1496" s="30" t="s">
        <v>385</v>
      </c>
      <c r="AD1496" s="38">
        <v>229.55</v>
      </c>
      <c r="AF1496" s="76">
        <f t="shared" si="150"/>
        <v>201962.21999999974</v>
      </c>
    </row>
    <row r="1497" spans="9:32" ht="8.25" customHeight="1" x14ac:dyDescent="0.15">
      <c r="N1497" s="52">
        <v>11</v>
      </c>
      <c r="T1497" s="33">
        <v>46086</v>
      </c>
      <c r="U1497" s="34">
        <v>2026</v>
      </c>
      <c r="V1497" s="35" t="s">
        <v>1348</v>
      </c>
      <c r="W1497" s="35" t="s">
        <v>17</v>
      </c>
      <c r="X1497" s="37" t="s">
        <v>1420</v>
      </c>
      <c r="Y1497" s="36" t="s">
        <v>1421</v>
      </c>
      <c r="Z1497" s="30" t="s">
        <v>1422</v>
      </c>
      <c r="AA1497" s="134" t="s">
        <v>166</v>
      </c>
      <c r="AD1497" s="38">
        <v>1027.71</v>
      </c>
      <c r="AF1497" s="76">
        <f t="shared" si="150"/>
        <v>202989.92999999973</v>
      </c>
    </row>
    <row r="1498" spans="9:32" ht="8.25" customHeight="1" x14ac:dyDescent="0.25">
      <c r="N1498" s="52">
        <v>11</v>
      </c>
      <c r="T1498" s="33">
        <v>46086</v>
      </c>
      <c r="U1498" s="34">
        <v>2026</v>
      </c>
      <c r="V1498" s="35" t="s">
        <v>1348</v>
      </c>
      <c r="W1498" s="35" t="s">
        <v>17</v>
      </c>
      <c r="X1498" s="37" t="s">
        <v>1420</v>
      </c>
      <c r="Y1498" s="36" t="s">
        <v>1421</v>
      </c>
      <c r="Z1498" s="30" t="s">
        <v>1422</v>
      </c>
      <c r="AA1498" s="30" t="s">
        <v>3306</v>
      </c>
      <c r="AD1498" s="38">
        <v>3972.29</v>
      </c>
      <c r="AF1498" s="76">
        <f t="shared" si="150"/>
        <v>206962.21999999974</v>
      </c>
    </row>
    <row r="1499" spans="9:32" ht="8.25" customHeight="1" x14ac:dyDescent="0.25">
      <c r="N1499" s="52">
        <v>12</v>
      </c>
      <c r="T1499" s="33">
        <v>46086</v>
      </c>
      <c r="U1499" s="34">
        <v>2026</v>
      </c>
      <c r="V1499" s="35" t="s">
        <v>1348</v>
      </c>
      <c r="W1499" s="35" t="s">
        <v>17</v>
      </c>
      <c r="X1499" s="37" t="s">
        <v>1423</v>
      </c>
      <c r="Y1499" s="36" t="s">
        <v>1424</v>
      </c>
      <c r="Z1499" s="30" t="s">
        <v>1425</v>
      </c>
      <c r="AA1499" s="30" t="s">
        <v>3899</v>
      </c>
      <c r="AD1499" s="38">
        <v>1507.72</v>
      </c>
      <c r="AF1499" s="76">
        <f t="shared" si="150"/>
        <v>208469.93999999974</v>
      </c>
    </row>
    <row r="1500" spans="9:32" ht="8.25" customHeight="1" x14ac:dyDescent="0.15">
      <c r="N1500" s="52">
        <v>12</v>
      </c>
      <c r="T1500" s="33">
        <v>46086</v>
      </c>
      <c r="U1500" s="34">
        <v>2026</v>
      </c>
      <c r="V1500" s="35" t="s">
        <v>1348</v>
      </c>
      <c r="W1500" s="35" t="s">
        <v>17</v>
      </c>
      <c r="X1500" s="37" t="s">
        <v>1423</v>
      </c>
      <c r="Y1500" s="36" t="s">
        <v>1424</v>
      </c>
      <c r="Z1500" s="30" t="s">
        <v>1425</v>
      </c>
      <c r="AA1500" s="134" t="s">
        <v>166</v>
      </c>
      <c r="AD1500" s="38">
        <v>392.28</v>
      </c>
      <c r="AF1500" s="76">
        <f t="shared" si="150"/>
        <v>208862.21999999974</v>
      </c>
    </row>
    <row r="1501" spans="9:32" ht="8.25" customHeight="1" x14ac:dyDescent="0.25">
      <c r="Q1501" s="52">
        <v>1</v>
      </c>
      <c r="R1501" s="53">
        <v>4</v>
      </c>
      <c r="T1501" s="33">
        <v>46086</v>
      </c>
      <c r="U1501" s="34">
        <v>2026</v>
      </c>
      <c r="V1501" s="35" t="s">
        <v>1348</v>
      </c>
      <c r="W1501" s="35" t="s">
        <v>5</v>
      </c>
      <c r="X1501" s="37" t="s">
        <v>1427</v>
      </c>
      <c r="Y1501" s="36" t="s">
        <v>1426</v>
      </c>
      <c r="Z1501" s="30" t="s">
        <v>1401</v>
      </c>
      <c r="AA1501" s="30" t="s">
        <v>1063</v>
      </c>
      <c r="AE1501" s="38">
        <v>11477.27</v>
      </c>
      <c r="AF1501" s="76">
        <f t="shared" si="150"/>
        <v>197384.94999999975</v>
      </c>
    </row>
    <row r="1502" spans="9:32" ht="8.25" customHeight="1" x14ac:dyDescent="0.25">
      <c r="R1502" s="53">
        <v>5</v>
      </c>
      <c r="T1502" s="33">
        <v>46086</v>
      </c>
      <c r="U1502" s="34">
        <v>2026</v>
      </c>
      <c r="V1502" s="35" t="s">
        <v>1348</v>
      </c>
      <c r="W1502" s="35" t="s">
        <v>5</v>
      </c>
      <c r="X1502" s="37" t="s">
        <v>1419</v>
      </c>
      <c r="Y1502" s="36" t="s">
        <v>770</v>
      </c>
      <c r="Z1502" s="30" t="s">
        <v>1428</v>
      </c>
      <c r="AA1502" s="30" t="s">
        <v>1050</v>
      </c>
      <c r="AE1502" s="38">
        <v>600</v>
      </c>
      <c r="AF1502" s="76">
        <f t="shared" si="150"/>
        <v>196784.94999999975</v>
      </c>
    </row>
    <row r="1503" spans="9:32" ht="8.25" customHeight="1" x14ac:dyDescent="0.25">
      <c r="T1503" s="33">
        <v>46086</v>
      </c>
      <c r="U1503" s="34">
        <v>2026</v>
      </c>
      <c r="V1503" s="35" t="s">
        <v>1348</v>
      </c>
      <c r="W1503" s="35" t="s">
        <v>5</v>
      </c>
      <c r="X1503" s="37" t="s">
        <v>1451</v>
      </c>
      <c r="Y1503" s="36" t="s">
        <v>411</v>
      </c>
      <c r="Z1503" s="30" t="s">
        <v>1450</v>
      </c>
      <c r="AA1503" s="30" t="s">
        <v>1447</v>
      </c>
      <c r="AE1503" s="38">
        <v>13000</v>
      </c>
      <c r="AF1503" s="76">
        <f t="shared" si="150"/>
        <v>183784.94999999975</v>
      </c>
    </row>
    <row r="1504" spans="9:32" ht="8.25" customHeight="1" x14ac:dyDescent="0.25">
      <c r="T1504" s="33">
        <v>46086</v>
      </c>
      <c r="U1504" s="34">
        <v>2026</v>
      </c>
      <c r="V1504" s="35" t="s">
        <v>1348</v>
      </c>
      <c r="W1504" s="35" t="s">
        <v>5</v>
      </c>
      <c r="X1504" s="37" t="s">
        <v>1448</v>
      </c>
      <c r="Y1504" s="36" t="s">
        <v>1449</v>
      </c>
      <c r="Z1504" s="30" t="s">
        <v>1450</v>
      </c>
      <c r="AA1504" s="30" t="s">
        <v>1447</v>
      </c>
      <c r="AE1504" s="38">
        <v>10000</v>
      </c>
      <c r="AF1504" s="76">
        <f t="shared" si="150"/>
        <v>173784.94999999975</v>
      </c>
    </row>
    <row r="1505" spans="24:32" ht="8.25" customHeight="1" x14ac:dyDescent="0.25">
      <c r="AA1505" s="75" t="s">
        <v>257</v>
      </c>
      <c r="AD1505" s="76">
        <f>SUM(AD1490:AD1502)</f>
        <v>17350.27</v>
      </c>
      <c r="AE1505" s="76">
        <f>SUM(AE1501:AE1504)</f>
        <v>35077.270000000004</v>
      </c>
      <c r="AF1505" s="76">
        <f>AF1489+AD1505-AE1505</f>
        <v>173784.94999999972</v>
      </c>
    </row>
    <row r="1506" spans="24:32" ht="8.25" customHeight="1" x14ac:dyDescent="0.25">
      <c r="X1506" s="109"/>
      <c r="Y1506" s="67" t="s">
        <v>214</v>
      </c>
      <c r="Z1506" s="68"/>
      <c r="AA1506" s="75"/>
    </row>
    <row r="1507" spans="24:32" ht="8.25" customHeight="1" x14ac:dyDescent="0.25">
      <c r="X1507" s="110" t="s">
        <v>1907</v>
      </c>
      <c r="Y1507" s="111">
        <v>200</v>
      </c>
      <c r="Z1507" s="111">
        <f t="shared" ref="Z1507:Z1512" si="151">X1507*Y1507</f>
        <v>58000</v>
      </c>
      <c r="AA1507" s="112"/>
    </row>
    <row r="1508" spans="24:32" ht="8.25" customHeight="1" x14ac:dyDescent="0.25">
      <c r="X1508" s="110" t="s">
        <v>1908</v>
      </c>
      <c r="Y1508" s="111">
        <v>100</v>
      </c>
      <c r="Z1508" s="111">
        <f t="shared" si="151"/>
        <v>113100</v>
      </c>
      <c r="AA1508" s="112"/>
    </row>
    <row r="1509" spans="24:32" ht="8.25" customHeight="1" x14ac:dyDescent="0.25">
      <c r="X1509" s="110" t="s">
        <v>652</v>
      </c>
      <c r="Y1509" s="111">
        <v>50</v>
      </c>
      <c r="Z1509" s="111">
        <f t="shared" si="151"/>
        <v>400</v>
      </c>
      <c r="AA1509" s="76"/>
    </row>
    <row r="1510" spans="24:32" ht="8.25" customHeight="1" x14ac:dyDescent="0.25">
      <c r="X1510" s="110" t="s">
        <v>669</v>
      </c>
      <c r="Y1510" s="111">
        <v>20</v>
      </c>
      <c r="Z1510" s="111">
        <f t="shared" si="151"/>
        <v>380</v>
      </c>
      <c r="AA1510" s="38"/>
    </row>
    <row r="1511" spans="24:32" ht="8.25" customHeight="1" x14ac:dyDescent="0.25">
      <c r="X1511" s="110" t="s">
        <v>670</v>
      </c>
      <c r="Y1511" s="111">
        <v>10</v>
      </c>
      <c r="Z1511" s="111">
        <f t="shared" si="151"/>
        <v>160</v>
      </c>
      <c r="AA1511" s="112"/>
    </row>
    <row r="1512" spans="24:32" ht="8.25" customHeight="1" x14ac:dyDescent="0.25">
      <c r="X1512" s="110" t="s">
        <v>1429</v>
      </c>
      <c r="Y1512" s="111">
        <v>5</v>
      </c>
      <c r="Z1512" s="111">
        <f t="shared" si="151"/>
        <v>615</v>
      </c>
      <c r="AA1512" s="112"/>
    </row>
    <row r="1513" spans="24:32" ht="8.25" customHeight="1" x14ac:dyDescent="0.25">
      <c r="X1513" s="269">
        <v>0</v>
      </c>
      <c r="Y1513" s="270"/>
      <c r="Z1513" s="271"/>
      <c r="AA1513" s="38"/>
    </row>
    <row r="1514" spans="24:32" ht="8.25" customHeight="1" x14ac:dyDescent="0.25">
      <c r="X1514" s="110" t="s">
        <v>1909</v>
      </c>
      <c r="Y1514" s="111">
        <v>1</v>
      </c>
      <c r="Z1514" s="111">
        <f t="shared" ref="Z1514:Z1519" si="152">X1514*Y1514</f>
        <v>1046</v>
      </c>
      <c r="AA1514" s="76"/>
    </row>
    <row r="1515" spans="24:32" ht="8.25" customHeight="1" x14ac:dyDescent="0.25">
      <c r="X1515" s="110" t="s">
        <v>1496</v>
      </c>
      <c r="Y1515" s="111">
        <v>0.5</v>
      </c>
      <c r="Z1515" s="111">
        <f t="shared" si="152"/>
        <v>40.5</v>
      </c>
      <c r="AA1515" s="112"/>
    </row>
    <row r="1516" spans="24:32" ht="8.25" customHeight="1" x14ac:dyDescent="0.25">
      <c r="X1516" s="110" t="s">
        <v>1189</v>
      </c>
      <c r="Y1516" s="111">
        <v>0.25</v>
      </c>
      <c r="Z1516" s="111">
        <f t="shared" si="152"/>
        <v>43.25</v>
      </c>
      <c r="AA1516" s="113"/>
    </row>
    <row r="1517" spans="24:32" ht="8.25" customHeight="1" x14ac:dyDescent="0.25">
      <c r="X1517" s="110" t="s">
        <v>224</v>
      </c>
      <c r="Y1517" s="111">
        <v>0.1</v>
      </c>
      <c r="Z1517" s="111">
        <f t="shared" si="152"/>
        <v>0.2</v>
      </c>
      <c r="AA1517" s="114" t="s">
        <v>219</v>
      </c>
    </row>
    <row r="1518" spans="24:32" ht="8.25" customHeight="1" thickBot="1" x14ac:dyDescent="0.3">
      <c r="X1518" s="110"/>
      <c r="Y1518" s="111">
        <v>0.05</v>
      </c>
      <c r="Z1518" s="111">
        <f t="shared" si="152"/>
        <v>0</v>
      </c>
      <c r="AA1518" s="115">
        <f>SUM(Z1507:Z1512)+Z1514+Z1515+Z1516+Z1517+Z1518+Z1519</f>
        <v>173784.95</v>
      </c>
    </row>
    <row r="1519" spans="24:32" ht="8.25" customHeight="1" thickTop="1" x14ac:dyDescent="0.25">
      <c r="X1519" s="110"/>
      <c r="Y1519" s="111">
        <v>0.01</v>
      </c>
      <c r="Z1519" s="111">
        <f t="shared" si="152"/>
        <v>0</v>
      </c>
    </row>
    <row r="1521" spans="9:32" ht="8.25" customHeight="1" x14ac:dyDescent="0.25">
      <c r="Z1521" s="231" t="s">
        <v>1376</v>
      </c>
      <c r="AF1521" s="76">
        <f>AF1505</f>
        <v>173784.94999999972</v>
      </c>
    </row>
    <row r="1522" spans="9:32" ht="8.25" customHeight="1" x14ac:dyDescent="0.15">
      <c r="K1522" s="52">
        <v>2</v>
      </c>
      <c r="T1522" s="33">
        <v>46087</v>
      </c>
      <c r="U1522" s="34">
        <v>2026</v>
      </c>
      <c r="V1522" s="35" t="s">
        <v>1348</v>
      </c>
      <c r="W1522" s="35" t="s">
        <v>17</v>
      </c>
      <c r="X1522" s="37" t="s">
        <v>1430</v>
      </c>
      <c r="Y1522" s="36" t="s">
        <v>1431</v>
      </c>
      <c r="Z1522" s="30" t="s">
        <v>1432</v>
      </c>
      <c r="AA1522" s="136" t="s">
        <v>1788</v>
      </c>
      <c r="AD1522" s="38">
        <v>100</v>
      </c>
      <c r="AF1522" s="76">
        <f t="shared" ref="AF1522:AF1530" si="153">AF1521+AD1522-AE1522</f>
        <v>173884.94999999972</v>
      </c>
    </row>
    <row r="1523" spans="9:32" ht="8.25" customHeight="1" x14ac:dyDescent="0.25">
      <c r="L1523" s="52">
        <v>2</v>
      </c>
      <c r="T1523" s="33">
        <v>46087</v>
      </c>
      <c r="U1523" s="34">
        <v>2026</v>
      </c>
      <c r="V1523" s="35" t="s">
        <v>1348</v>
      </c>
      <c r="W1523" s="35" t="s">
        <v>17</v>
      </c>
      <c r="X1523" s="37" t="s">
        <v>1433</v>
      </c>
      <c r="Y1523" s="36" t="s">
        <v>120</v>
      </c>
      <c r="Z1523" s="30" t="s">
        <v>1432</v>
      </c>
      <c r="AA1523" s="30" t="s">
        <v>373</v>
      </c>
      <c r="AD1523" s="38">
        <v>50</v>
      </c>
      <c r="AF1523" s="76">
        <f t="shared" si="153"/>
        <v>173934.94999999972</v>
      </c>
    </row>
    <row r="1524" spans="9:32" ht="8.25" customHeight="1" x14ac:dyDescent="0.25">
      <c r="I1524" s="52">
        <v>8</v>
      </c>
      <c r="T1524" s="33">
        <v>46087</v>
      </c>
      <c r="U1524" s="34">
        <v>2026</v>
      </c>
      <c r="V1524" s="35" t="s">
        <v>1348</v>
      </c>
      <c r="W1524" s="35" t="s">
        <v>17</v>
      </c>
      <c r="X1524" s="37" t="s">
        <v>1434</v>
      </c>
      <c r="Y1524" s="36" t="s">
        <v>1435</v>
      </c>
      <c r="Z1524" s="30" t="s">
        <v>845</v>
      </c>
      <c r="AA1524" s="30" t="s">
        <v>13</v>
      </c>
      <c r="AD1524" s="38">
        <v>5000</v>
      </c>
      <c r="AF1524" s="76">
        <f t="shared" si="153"/>
        <v>178934.94999999972</v>
      </c>
    </row>
    <row r="1525" spans="9:32" ht="8.25" customHeight="1" x14ac:dyDescent="0.25">
      <c r="I1525" s="52">
        <v>9</v>
      </c>
      <c r="T1525" s="33">
        <v>46087</v>
      </c>
      <c r="U1525" s="34">
        <v>2026</v>
      </c>
      <c r="V1525" s="35" t="s">
        <v>1348</v>
      </c>
      <c r="W1525" s="35" t="s">
        <v>17</v>
      </c>
      <c r="X1525" s="37" t="s">
        <v>1439</v>
      </c>
      <c r="Y1525" s="36" t="s">
        <v>1440</v>
      </c>
      <c r="Z1525" s="30" t="s">
        <v>1432</v>
      </c>
      <c r="AA1525" s="30" t="s">
        <v>13</v>
      </c>
      <c r="AD1525" s="38">
        <v>34090.910000000003</v>
      </c>
      <c r="AF1525" s="76">
        <f t="shared" si="153"/>
        <v>213025.85999999972</v>
      </c>
    </row>
    <row r="1526" spans="9:32" ht="8.25" customHeight="1" x14ac:dyDescent="0.25">
      <c r="M1526" s="52">
        <v>3</v>
      </c>
      <c r="T1526" s="33">
        <v>46087</v>
      </c>
      <c r="U1526" s="34">
        <v>2026</v>
      </c>
      <c r="V1526" s="35" t="s">
        <v>1348</v>
      </c>
      <c r="W1526" s="35" t="s">
        <v>17</v>
      </c>
      <c r="X1526" s="37" t="s">
        <v>1441</v>
      </c>
      <c r="Y1526" s="36" t="s">
        <v>120</v>
      </c>
      <c r="Z1526" s="30" t="s">
        <v>1432</v>
      </c>
      <c r="AA1526" s="30" t="s">
        <v>1058</v>
      </c>
      <c r="AD1526" s="38">
        <v>6818.18</v>
      </c>
      <c r="AF1526" s="76">
        <f t="shared" si="153"/>
        <v>219844.03999999972</v>
      </c>
    </row>
    <row r="1527" spans="9:32" ht="8.25" customHeight="1" x14ac:dyDescent="0.25">
      <c r="T1527" s="33">
        <v>46087</v>
      </c>
      <c r="U1527" s="34">
        <v>2026</v>
      </c>
      <c r="V1527" s="35" t="s">
        <v>1348</v>
      </c>
      <c r="W1527" s="35" t="s">
        <v>5</v>
      </c>
      <c r="X1527" s="37" t="s">
        <v>1445</v>
      </c>
      <c r="Y1527" s="36" t="s">
        <v>411</v>
      </c>
      <c r="Z1527" s="30" t="s">
        <v>1370</v>
      </c>
      <c r="AA1527" s="30" t="s">
        <v>399</v>
      </c>
      <c r="AE1527" s="38">
        <v>40909.089999999997</v>
      </c>
      <c r="AF1527" s="76">
        <f t="shared" si="153"/>
        <v>178934.94999999972</v>
      </c>
    </row>
    <row r="1528" spans="9:32" ht="8.25" customHeight="1" x14ac:dyDescent="0.25">
      <c r="T1528" s="33">
        <v>46087</v>
      </c>
      <c r="U1528" s="34">
        <v>2026</v>
      </c>
      <c r="V1528" s="35" t="s">
        <v>1348</v>
      </c>
      <c r="W1528" s="35" t="s">
        <v>5</v>
      </c>
      <c r="X1528" s="37" t="s">
        <v>1436</v>
      </c>
      <c r="Y1528" s="36" t="s">
        <v>411</v>
      </c>
      <c r="Z1528" s="30" t="s">
        <v>1370</v>
      </c>
      <c r="AA1528" s="30" t="s">
        <v>1882</v>
      </c>
      <c r="AE1528" s="38">
        <v>5000</v>
      </c>
      <c r="AF1528" s="76">
        <f t="shared" si="153"/>
        <v>173934.94999999972</v>
      </c>
    </row>
    <row r="1529" spans="9:32" ht="8.25" customHeight="1" x14ac:dyDescent="0.25">
      <c r="R1529" s="53">
        <v>6</v>
      </c>
      <c r="T1529" s="33">
        <v>46087</v>
      </c>
      <c r="U1529" s="34">
        <v>2026</v>
      </c>
      <c r="V1529" s="35" t="s">
        <v>1348</v>
      </c>
      <c r="W1529" s="35" t="s">
        <v>5</v>
      </c>
      <c r="X1529" s="37" t="s">
        <v>1437</v>
      </c>
      <c r="Y1529" s="36" t="s">
        <v>364</v>
      </c>
      <c r="Z1529" s="30" t="s">
        <v>1438</v>
      </c>
      <c r="AA1529" s="30" t="s">
        <v>1050</v>
      </c>
      <c r="AE1529" s="38">
        <v>400</v>
      </c>
      <c r="AF1529" s="76">
        <f t="shared" si="153"/>
        <v>173534.94999999972</v>
      </c>
    </row>
    <row r="1530" spans="9:32" ht="8.25" customHeight="1" x14ac:dyDescent="0.25">
      <c r="R1530" s="53">
        <v>7</v>
      </c>
      <c r="T1530" s="33">
        <v>46087</v>
      </c>
      <c r="U1530" s="34">
        <v>2026</v>
      </c>
      <c r="V1530" s="35" t="s">
        <v>1348</v>
      </c>
      <c r="W1530" s="35" t="s">
        <v>5</v>
      </c>
      <c r="X1530" s="37" t="s">
        <v>1442</v>
      </c>
      <c r="Y1530" s="36" t="s">
        <v>1443</v>
      </c>
      <c r="Z1530" s="30" t="s">
        <v>1444</v>
      </c>
      <c r="AA1530" s="30" t="s">
        <v>1050</v>
      </c>
      <c r="AE1530" s="38">
        <v>1000</v>
      </c>
      <c r="AF1530" s="76">
        <f t="shared" si="153"/>
        <v>172534.94999999972</v>
      </c>
    </row>
    <row r="1531" spans="9:32" ht="8.25" customHeight="1" x14ac:dyDescent="0.25">
      <c r="AA1531" s="75" t="s">
        <v>257</v>
      </c>
      <c r="AD1531" s="76">
        <f>SUM(AD1522:AD1526)</f>
        <v>46059.090000000004</v>
      </c>
      <c r="AE1531" s="76">
        <f>SUM(AE1527:AE1530)</f>
        <v>47309.09</v>
      </c>
      <c r="AF1531" s="76">
        <f>AF1521+AD1531-AE1531</f>
        <v>172534.94999999972</v>
      </c>
    </row>
    <row r="1534" spans="9:32" ht="8.25" customHeight="1" x14ac:dyDescent="0.25">
      <c r="X1534" s="109"/>
      <c r="Y1534" s="67" t="s">
        <v>214</v>
      </c>
      <c r="Z1534" s="68"/>
      <c r="AA1534" s="75"/>
    </row>
    <row r="1535" spans="9:32" ht="8.25" customHeight="1" x14ac:dyDescent="0.25">
      <c r="X1535" s="110" t="s">
        <v>1910</v>
      </c>
      <c r="Y1535" s="111">
        <v>200</v>
      </c>
      <c r="Z1535" s="111">
        <f t="shared" ref="Z1535:Z1540" si="154">X1535*Y1535</f>
        <v>57000</v>
      </c>
      <c r="AA1535" s="112"/>
    </row>
    <row r="1536" spans="9:32" ht="8.25" customHeight="1" x14ac:dyDescent="0.25">
      <c r="X1536" s="110" t="s">
        <v>1911</v>
      </c>
      <c r="Y1536" s="111">
        <v>100</v>
      </c>
      <c r="Z1536" s="111">
        <f t="shared" si="154"/>
        <v>113300</v>
      </c>
      <c r="AA1536" s="112"/>
    </row>
    <row r="1537" spans="7:32" ht="8.25" customHeight="1" x14ac:dyDescent="0.25">
      <c r="X1537" s="110" t="s">
        <v>319</v>
      </c>
      <c r="Y1537" s="111">
        <v>50</v>
      </c>
      <c r="Z1537" s="111">
        <f t="shared" si="154"/>
        <v>300</v>
      </c>
      <c r="AA1537" s="76"/>
    </row>
    <row r="1538" spans="7:32" ht="8.25" customHeight="1" x14ac:dyDescent="0.25">
      <c r="X1538" s="110" t="s">
        <v>221</v>
      </c>
      <c r="Y1538" s="111">
        <v>20</v>
      </c>
      <c r="Z1538" s="111">
        <f t="shared" si="154"/>
        <v>140</v>
      </c>
      <c r="AA1538" s="38"/>
    </row>
    <row r="1539" spans="7:32" ht="8.25" customHeight="1" x14ac:dyDescent="0.25">
      <c r="X1539" s="110" t="s">
        <v>216</v>
      </c>
      <c r="Y1539" s="111">
        <v>10</v>
      </c>
      <c r="Z1539" s="111">
        <f t="shared" si="154"/>
        <v>150</v>
      </c>
      <c r="AA1539" s="112"/>
    </row>
    <row r="1540" spans="7:32" ht="8.25" customHeight="1" x14ac:dyDescent="0.25">
      <c r="X1540" s="110" t="s">
        <v>1446</v>
      </c>
      <c r="Y1540" s="111">
        <v>5</v>
      </c>
      <c r="Z1540" s="111">
        <f t="shared" si="154"/>
        <v>515</v>
      </c>
      <c r="AA1540" s="112"/>
    </row>
    <row r="1541" spans="7:32" ht="8.25" customHeight="1" x14ac:dyDescent="0.25">
      <c r="X1541" s="269">
        <v>0</v>
      </c>
      <c r="Y1541" s="270"/>
      <c r="Z1541" s="271"/>
      <c r="AA1541" s="38"/>
    </row>
    <row r="1542" spans="7:32" ht="8.25" customHeight="1" x14ac:dyDescent="0.25">
      <c r="X1542" s="110" t="s">
        <v>1909</v>
      </c>
      <c r="Y1542" s="111">
        <v>1</v>
      </c>
      <c r="Z1542" s="111">
        <f t="shared" ref="Z1542:Z1547" si="155">X1542*Y1542</f>
        <v>1046</v>
      </c>
      <c r="AA1542" s="76"/>
    </row>
    <row r="1543" spans="7:32" ht="8.25" customHeight="1" x14ac:dyDescent="0.25">
      <c r="X1543" s="110" t="s">
        <v>1496</v>
      </c>
      <c r="Y1543" s="111">
        <v>0.5</v>
      </c>
      <c r="Z1543" s="111">
        <f t="shared" si="155"/>
        <v>40.5</v>
      </c>
      <c r="AA1543" s="112"/>
    </row>
    <row r="1544" spans="7:32" ht="8.25" customHeight="1" x14ac:dyDescent="0.25">
      <c r="X1544" s="110" t="s">
        <v>1189</v>
      </c>
      <c r="Y1544" s="111">
        <v>0.25</v>
      </c>
      <c r="Z1544" s="111">
        <f t="shared" si="155"/>
        <v>43.25</v>
      </c>
      <c r="AA1544" s="113"/>
    </row>
    <row r="1545" spans="7:32" ht="8.25" customHeight="1" x14ac:dyDescent="0.25">
      <c r="X1545" s="110" t="s">
        <v>224</v>
      </c>
      <c r="Y1545" s="111">
        <v>0.1</v>
      </c>
      <c r="Z1545" s="111">
        <f t="shared" si="155"/>
        <v>0.2</v>
      </c>
      <c r="AA1545" s="114" t="s">
        <v>219</v>
      </c>
    </row>
    <row r="1546" spans="7:32" ht="8.25" customHeight="1" thickBot="1" x14ac:dyDescent="0.3">
      <c r="X1546" s="110"/>
      <c r="Y1546" s="111">
        <v>0.05</v>
      </c>
      <c r="Z1546" s="111">
        <f t="shared" si="155"/>
        <v>0</v>
      </c>
      <c r="AA1546" s="115">
        <f>SUM(Z1535:Z1540)+Z1542+Z1543+Z1544+Z1545+Z1546+Z1547</f>
        <v>172534.95</v>
      </c>
    </row>
    <row r="1547" spans="7:32" ht="8.25" customHeight="1" thickTop="1" x14ac:dyDescent="0.25">
      <c r="X1547" s="110"/>
      <c r="Y1547" s="111">
        <v>0.01</v>
      </c>
      <c r="Z1547" s="111">
        <f t="shared" si="155"/>
        <v>0</v>
      </c>
    </row>
    <row r="1549" spans="7:32" ht="8.25" customHeight="1" x14ac:dyDescent="0.25">
      <c r="Z1549" s="231" t="s">
        <v>1376</v>
      </c>
      <c r="AF1549" s="76">
        <f>AF1531</f>
        <v>172534.94999999972</v>
      </c>
    </row>
    <row r="1550" spans="7:32" ht="8.25" customHeight="1" x14ac:dyDescent="0.25">
      <c r="R1550" s="53">
        <v>8</v>
      </c>
      <c r="T1550" s="33">
        <v>46088</v>
      </c>
      <c r="U1550" s="34">
        <v>2026</v>
      </c>
      <c r="V1550" s="35" t="s">
        <v>1348</v>
      </c>
      <c r="W1550" s="35" t="s">
        <v>5</v>
      </c>
      <c r="X1550" s="37" t="s">
        <v>1452</v>
      </c>
      <c r="Y1550" s="36" t="s">
        <v>115</v>
      </c>
      <c r="Z1550" s="30" t="s">
        <v>16</v>
      </c>
      <c r="AA1550" s="30" t="s">
        <v>1050</v>
      </c>
      <c r="AE1550" s="38">
        <v>449</v>
      </c>
      <c r="AF1550" s="76">
        <f t="shared" ref="AF1550:AF1553" si="156">AF1549+AD1550-AE1550</f>
        <v>172085.94999999972</v>
      </c>
    </row>
    <row r="1551" spans="7:32" ht="8.25" customHeight="1" x14ac:dyDescent="0.25">
      <c r="T1551" s="33">
        <v>46088</v>
      </c>
      <c r="U1551" s="34">
        <v>2026</v>
      </c>
      <c r="V1551" s="35" t="s">
        <v>1348</v>
      </c>
      <c r="W1551" s="35" t="s">
        <v>5</v>
      </c>
      <c r="X1551" s="37" t="s">
        <v>1453</v>
      </c>
      <c r="Y1551" s="36" t="s">
        <v>411</v>
      </c>
      <c r="Z1551" s="30" t="s">
        <v>1370</v>
      </c>
      <c r="AA1551" s="30" t="s">
        <v>1882</v>
      </c>
      <c r="AE1551" s="38">
        <v>70000</v>
      </c>
      <c r="AF1551" s="76">
        <f t="shared" si="156"/>
        <v>102085.94999999972</v>
      </c>
    </row>
    <row r="1552" spans="7:32" ht="8.25" customHeight="1" x14ac:dyDescent="0.25">
      <c r="G1552" s="53">
        <v>5</v>
      </c>
      <c r="T1552" s="33">
        <v>46088</v>
      </c>
      <c r="U1552" s="34">
        <v>2026</v>
      </c>
      <c r="V1552" s="35" t="s">
        <v>1348</v>
      </c>
      <c r="W1552" s="35" t="s">
        <v>5</v>
      </c>
      <c r="Y1552" s="36" t="s">
        <v>1485</v>
      </c>
      <c r="Z1552" s="30" t="s">
        <v>1454</v>
      </c>
      <c r="AA1552" s="30" t="s">
        <v>3945</v>
      </c>
      <c r="AE1552" s="38">
        <v>1548</v>
      </c>
      <c r="AF1552" s="76">
        <f t="shared" si="156"/>
        <v>100537.94999999972</v>
      </c>
    </row>
    <row r="1553" spans="7:32" ht="8.25" customHeight="1" x14ac:dyDescent="0.25">
      <c r="G1553" s="53">
        <v>6</v>
      </c>
      <c r="T1553" s="33">
        <v>46088</v>
      </c>
      <c r="U1553" s="34">
        <v>2026</v>
      </c>
      <c r="V1553" s="35" t="s">
        <v>1348</v>
      </c>
      <c r="W1553" s="35" t="s">
        <v>5</v>
      </c>
      <c r="Y1553" s="36" t="s">
        <v>1486</v>
      </c>
      <c r="Z1553" s="30" t="s">
        <v>1455</v>
      </c>
      <c r="AA1553" s="30" t="s">
        <v>3945</v>
      </c>
      <c r="AE1553" s="38">
        <v>11520</v>
      </c>
      <c r="AF1553" s="76">
        <f t="shared" si="156"/>
        <v>89017.949999999721</v>
      </c>
    </row>
    <row r="1554" spans="7:32" ht="8.25" customHeight="1" x14ac:dyDescent="0.25">
      <c r="AA1554" s="75" t="s">
        <v>257</v>
      </c>
      <c r="AD1554" s="38">
        <f>SUM(AD1553)</f>
        <v>0</v>
      </c>
      <c r="AE1554" s="38">
        <f>SUM(AE1550:AE1553)</f>
        <v>83517</v>
      </c>
      <c r="AF1554" s="76">
        <f>AF1549+AD1554-AE1554</f>
        <v>89017.949999999721</v>
      </c>
    </row>
    <row r="1555" spans="7:32" ht="8.25" customHeight="1" x14ac:dyDescent="0.25">
      <c r="X1555" s="109"/>
      <c r="Y1555" s="67" t="s">
        <v>214</v>
      </c>
      <c r="Z1555" s="68"/>
      <c r="AA1555" s="75"/>
    </row>
    <row r="1556" spans="7:32" ht="8.25" customHeight="1" x14ac:dyDescent="0.25">
      <c r="X1556" s="110" t="s">
        <v>1910</v>
      </c>
      <c r="Y1556" s="111">
        <v>200</v>
      </c>
      <c r="Z1556" s="111">
        <f t="shared" ref="Z1556:Z1561" si="157">X1556*Y1556</f>
        <v>57000</v>
      </c>
      <c r="AA1556" s="112"/>
    </row>
    <row r="1557" spans="7:32" ht="8.25" customHeight="1" x14ac:dyDescent="0.25">
      <c r="X1557" s="110" t="s">
        <v>550</v>
      </c>
      <c r="Y1557" s="111">
        <v>100</v>
      </c>
      <c r="Z1557" s="111">
        <f t="shared" si="157"/>
        <v>30000</v>
      </c>
      <c r="AA1557" s="112"/>
    </row>
    <row r="1558" spans="7:32" ht="8.25" customHeight="1" x14ac:dyDescent="0.25">
      <c r="X1558" s="110" t="s">
        <v>223</v>
      </c>
      <c r="Y1558" s="111">
        <v>50</v>
      </c>
      <c r="Z1558" s="111">
        <f t="shared" si="157"/>
        <v>150</v>
      </c>
      <c r="AA1558" s="76"/>
    </row>
    <row r="1559" spans="7:32" ht="8.25" customHeight="1" x14ac:dyDescent="0.25">
      <c r="X1559" s="110" t="s">
        <v>402</v>
      </c>
      <c r="Y1559" s="111">
        <v>20</v>
      </c>
      <c r="Z1559" s="111">
        <f t="shared" si="157"/>
        <v>100</v>
      </c>
      <c r="AA1559" s="38"/>
    </row>
    <row r="1560" spans="7:32" ht="8.25" customHeight="1" x14ac:dyDescent="0.25">
      <c r="X1560" s="110" t="s">
        <v>1671</v>
      </c>
      <c r="Y1560" s="111">
        <v>10</v>
      </c>
      <c r="Z1560" s="111">
        <f t="shared" si="157"/>
        <v>130</v>
      </c>
      <c r="AA1560" s="112"/>
    </row>
    <row r="1561" spans="7:32" ht="8.25" customHeight="1" x14ac:dyDescent="0.25">
      <c r="X1561" s="110" t="s">
        <v>488</v>
      </c>
      <c r="Y1561" s="111">
        <v>5</v>
      </c>
      <c r="Z1561" s="111">
        <f t="shared" si="157"/>
        <v>510</v>
      </c>
      <c r="AA1561" s="112"/>
    </row>
    <row r="1562" spans="7:32" ht="8.25" customHeight="1" x14ac:dyDescent="0.25">
      <c r="X1562" s="269">
        <v>0</v>
      </c>
      <c r="Y1562" s="270"/>
      <c r="Z1562" s="271"/>
      <c r="AA1562" s="38"/>
    </row>
    <row r="1563" spans="7:32" ht="8.25" customHeight="1" x14ac:dyDescent="0.25">
      <c r="X1563" s="110" t="s">
        <v>1912</v>
      </c>
      <c r="Y1563" s="111">
        <v>1</v>
      </c>
      <c r="Z1563" s="111">
        <f t="shared" ref="Z1563:Z1568" si="158">X1563*Y1563</f>
        <v>1044</v>
      </c>
      <c r="AA1563" s="76"/>
    </row>
    <row r="1564" spans="7:32" ht="8.25" customHeight="1" x14ac:dyDescent="0.25">
      <c r="X1564" s="110" t="s">
        <v>1496</v>
      </c>
      <c r="Y1564" s="111">
        <v>0.5</v>
      </c>
      <c r="Z1564" s="111">
        <f t="shared" si="158"/>
        <v>40.5</v>
      </c>
      <c r="AA1564" s="112"/>
    </row>
    <row r="1565" spans="7:32" ht="8.25" customHeight="1" x14ac:dyDescent="0.25">
      <c r="X1565" s="110" t="s">
        <v>1189</v>
      </c>
      <c r="Y1565" s="111">
        <v>0.25</v>
      </c>
      <c r="Z1565" s="111">
        <f t="shared" si="158"/>
        <v>43.25</v>
      </c>
      <c r="AA1565" s="113"/>
    </row>
    <row r="1566" spans="7:32" ht="8.25" customHeight="1" x14ac:dyDescent="0.25">
      <c r="X1566" s="110" t="s">
        <v>224</v>
      </c>
      <c r="Y1566" s="111">
        <v>0.1</v>
      </c>
      <c r="Z1566" s="111">
        <f t="shared" si="158"/>
        <v>0.2</v>
      </c>
      <c r="AA1566" s="114" t="s">
        <v>219</v>
      </c>
    </row>
    <row r="1567" spans="7:32" ht="8.25" customHeight="1" thickBot="1" x14ac:dyDescent="0.3">
      <c r="X1567" s="110"/>
      <c r="Y1567" s="111">
        <v>0.05</v>
      </c>
      <c r="Z1567" s="111">
        <f t="shared" si="158"/>
        <v>0</v>
      </c>
      <c r="AA1567" s="115">
        <f>SUM(Z1556:Z1561)+Z1563+Z1564+Z1565+Z1566+Z1567+Z1568</f>
        <v>89017.95</v>
      </c>
    </row>
    <row r="1568" spans="7:32" ht="8.25" customHeight="1" thickTop="1" x14ac:dyDescent="0.25">
      <c r="X1568" s="110"/>
      <c r="Y1568" s="111">
        <v>0.01</v>
      </c>
      <c r="Z1568" s="111">
        <f t="shared" si="158"/>
        <v>0</v>
      </c>
    </row>
    <row r="1570" spans="14:32" ht="8.25" customHeight="1" x14ac:dyDescent="0.25">
      <c r="Z1570" s="231" t="s">
        <v>1376</v>
      </c>
      <c r="AF1570" s="76">
        <f>AF1554</f>
        <v>89017.949999999721</v>
      </c>
    </row>
    <row r="1571" spans="14:32" ht="8.25" customHeight="1" x14ac:dyDescent="0.25">
      <c r="N1571" s="52">
        <v>13</v>
      </c>
      <c r="T1571" s="33">
        <v>46090</v>
      </c>
      <c r="U1571" s="34">
        <v>2026</v>
      </c>
      <c r="V1571" s="35" t="s">
        <v>1348</v>
      </c>
      <c r="W1571" s="35" t="s">
        <v>17</v>
      </c>
      <c r="X1571" s="37" t="s">
        <v>1457</v>
      </c>
      <c r="Y1571" s="36" t="s">
        <v>346</v>
      </c>
      <c r="Z1571" s="30" t="s">
        <v>1483</v>
      </c>
      <c r="AA1571" s="30" t="s">
        <v>3899</v>
      </c>
      <c r="AD1571" s="38">
        <v>8254.74</v>
      </c>
      <c r="AF1571" s="76">
        <f t="shared" ref="AF1571:AF1597" si="159">AF1570+AD1571-AE1571</f>
        <v>97272.689999999726</v>
      </c>
    </row>
    <row r="1572" spans="14:32" ht="8.25" customHeight="1" x14ac:dyDescent="0.15">
      <c r="N1572" s="52">
        <v>13</v>
      </c>
      <c r="T1572" s="33">
        <v>46090</v>
      </c>
      <c r="U1572" s="34">
        <v>2026</v>
      </c>
      <c r="V1572" s="35" t="s">
        <v>1348</v>
      </c>
      <c r="W1572" s="35" t="s">
        <v>17</v>
      </c>
      <c r="X1572" s="37" t="s">
        <v>1457</v>
      </c>
      <c r="Y1572" s="36" t="s">
        <v>346</v>
      </c>
      <c r="Z1572" s="30" t="s">
        <v>1483</v>
      </c>
      <c r="AA1572" s="134" t="s">
        <v>166</v>
      </c>
      <c r="AD1572" s="38">
        <v>5745.26</v>
      </c>
      <c r="AF1572" s="76">
        <f t="shared" si="159"/>
        <v>103017.94999999972</v>
      </c>
    </row>
    <row r="1573" spans="14:32" ht="8.25" customHeight="1" x14ac:dyDescent="0.25">
      <c r="N1573" s="52">
        <v>14</v>
      </c>
      <c r="T1573" s="33">
        <v>46090</v>
      </c>
      <c r="U1573" s="34">
        <v>2026</v>
      </c>
      <c r="V1573" s="35" t="s">
        <v>1348</v>
      </c>
      <c r="W1573" s="35" t="s">
        <v>17</v>
      </c>
      <c r="X1573" s="37" t="s">
        <v>1458</v>
      </c>
      <c r="Y1573" s="36" t="s">
        <v>348</v>
      </c>
      <c r="Z1573" s="30" t="s">
        <v>1459</v>
      </c>
      <c r="AA1573" s="30" t="s">
        <v>3899</v>
      </c>
      <c r="AD1573" s="38">
        <v>6758.56</v>
      </c>
      <c r="AF1573" s="76">
        <f t="shared" si="159"/>
        <v>109776.50999999972</v>
      </c>
    </row>
    <row r="1574" spans="14:32" ht="8.25" customHeight="1" x14ac:dyDescent="0.15">
      <c r="N1574" s="52">
        <v>14</v>
      </c>
      <c r="T1574" s="33">
        <v>46090</v>
      </c>
      <c r="U1574" s="34">
        <v>2026</v>
      </c>
      <c r="V1574" s="35" t="s">
        <v>1348</v>
      </c>
      <c r="W1574" s="35" t="s">
        <v>17</v>
      </c>
      <c r="X1574" s="37" t="s">
        <v>1458</v>
      </c>
      <c r="Y1574" s="36" t="s">
        <v>348</v>
      </c>
      <c r="Z1574" s="30" t="s">
        <v>1459</v>
      </c>
      <c r="AA1574" s="134" t="s">
        <v>166</v>
      </c>
      <c r="AD1574" s="38">
        <v>4241.4399999999996</v>
      </c>
      <c r="AF1574" s="76">
        <f t="shared" si="159"/>
        <v>114017.94999999972</v>
      </c>
    </row>
    <row r="1575" spans="14:32" ht="8.25" customHeight="1" x14ac:dyDescent="0.25">
      <c r="N1575" s="52">
        <v>15</v>
      </c>
      <c r="T1575" s="33">
        <v>46090</v>
      </c>
      <c r="U1575" s="34">
        <v>2026</v>
      </c>
      <c r="V1575" s="35" t="s">
        <v>1348</v>
      </c>
      <c r="W1575" s="35" t="s">
        <v>17</v>
      </c>
      <c r="X1575" s="37" t="s">
        <v>1460</v>
      </c>
      <c r="Y1575" s="36" t="s">
        <v>347</v>
      </c>
      <c r="Z1575" s="30" t="s">
        <v>1461</v>
      </c>
      <c r="AA1575" s="30" t="s">
        <v>3899</v>
      </c>
      <c r="AD1575" s="38">
        <v>6207.17</v>
      </c>
      <c r="AF1575" s="76">
        <f t="shared" si="159"/>
        <v>120225.11999999972</v>
      </c>
    </row>
    <row r="1576" spans="14:32" ht="8.25" customHeight="1" x14ac:dyDescent="0.15">
      <c r="N1576" s="52">
        <v>15</v>
      </c>
      <c r="T1576" s="33">
        <v>46090</v>
      </c>
      <c r="U1576" s="34">
        <v>2026</v>
      </c>
      <c r="V1576" s="35" t="s">
        <v>1348</v>
      </c>
      <c r="W1576" s="35" t="s">
        <v>17</v>
      </c>
      <c r="X1576" s="37" t="s">
        <v>1460</v>
      </c>
      <c r="Y1576" s="36" t="s">
        <v>347</v>
      </c>
      <c r="Z1576" s="30" t="s">
        <v>1461</v>
      </c>
      <c r="AA1576" s="134" t="s">
        <v>166</v>
      </c>
      <c r="AD1576" s="38">
        <v>4792.83</v>
      </c>
      <c r="AF1576" s="76">
        <f t="shared" si="159"/>
        <v>125017.94999999972</v>
      </c>
    </row>
    <row r="1577" spans="14:32" ht="8.25" customHeight="1" x14ac:dyDescent="0.25">
      <c r="N1577" s="52">
        <v>16</v>
      </c>
      <c r="T1577" s="33">
        <v>46090</v>
      </c>
      <c r="U1577" s="34">
        <v>2026</v>
      </c>
      <c r="V1577" s="35" t="s">
        <v>1348</v>
      </c>
      <c r="W1577" s="35" t="s">
        <v>17</v>
      </c>
      <c r="X1577" s="37" t="s">
        <v>1462</v>
      </c>
      <c r="Y1577" s="36" t="s">
        <v>442</v>
      </c>
      <c r="Z1577" s="30" t="s">
        <v>1463</v>
      </c>
      <c r="AA1577" s="30" t="s">
        <v>3899</v>
      </c>
      <c r="AD1577" s="38">
        <v>6144.25</v>
      </c>
      <c r="AF1577" s="76">
        <f t="shared" si="159"/>
        <v>131162.19999999972</v>
      </c>
    </row>
    <row r="1578" spans="14:32" ht="8.25" customHeight="1" x14ac:dyDescent="0.15">
      <c r="N1578" s="52">
        <v>16</v>
      </c>
      <c r="T1578" s="33">
        <v>46090</v>
      </c>
      <c r="U1578" s="34">
        <v>2026</v>
      </c>
      <c r="V1578" s="35" t="s">
        <v>1348</v>
      </c>
      <c r="W1578" s="35" t="s">
        <v>17</v>
      </c>
      <c r="X1578" s="37" t="s">
        <v>1462</v>
      </c>
      <c r="Y1578" s="36" t="s">
        <v>442</v>
      </c>
      <c r="Z1578" s="30" t="s">
        <v>1463</v>
      </c>
      <c r="AA1578" s="134" t="s">
        <v>166</v>
      </c>
      <c r="AD1578" s="38">
        <v>3855.75</v>
      </c>
      <c r="AF1578" s="76">
        <f t="shared" si="159"/>
        <v>135017.94999999972</v>
      </c>
    </row>
    <row r="1579" spans="14:32" ht="8.25" customHeight="1" x14ac:dyDescent="0.25">
      <c r="N1579" s="52">
        <v>17</v>
      </c>
      <c r="T1579" s="33">
        <v>46090</v>
      </c>
      <c r="U1579" s="34">
        <v>2026</v>
      </c>
      <c r="V1579" s="35" t="s">
        <v>1348</v>
      </c>
      <c r="W1579" s="35" t="s">
        <v>17</v>
      </c>
      <c r="X1579" s="37" t="s">
        <v>1464</v>
      </c>
      <c r="Y1579" s="36" t="s">
        <v>439</v>
      </c>
      <c r="Z1579" s="30" t="s">
        <v>1465</v>
      </c>
      <c r="AA1579" s="30" t="s">
        <v>3899</v>
      </c>
      <c r="AD1579" s="38">
        <v>5876.71</v>
      </c>
      <c r="AF1579" s="76">
        <f t="shared" si="159"/>
        <v>140894.65999999971</v>
      </c>
    </row>
    <row r="1580" spans="14:32" ht="8.25" customHeight="1" x14ac:dyDescent="0.15">
      <c r="N1580" s="52">
        <v>17</v>
      </c>
      <c r="T1580" s="33">
        <v>46090</v>
      </c>
      <c r="U1580" s="34">
        <v>2026</v>
      </c>
      <c r="V1580" s="35" t="s">
        <v>1348</v>
      </c>
      <c r="W1580" s="35" t="s">
        <v>17</v>
      </c>
      <c r="X1580" s="37" t="s">
        <v>1464</v>
      </c>
      <c r="Y1580" s="36" t="s">
        <v>439</v>
      </c>
      <c r="Z1580" s="30" t="s">
        <v>1465</v>
      </c>
      <c r="AA1580" s="134" t="s">
        <v>166</v>
      </c>
      <c r="AD1580" s="38">
        <v>4123.29</v>
      </c>
      <c r="AF1580" s="76">
        <f t="shared" si="159"/>
        <v>145017.94999999972</v>
      </c>
    </row>
    <row r="1581" spans="14:32" ht="8.25" customHeight="1" x14ac:dyDescent="0.25">
      <c r="N1581" s="52">
        <v>18</v>
      </c>
      <c r="T1581" s="33">
        <v>46090</v>
      </c>
      <c r="U1581" s="34">
        <v>2026</v>
      </c>
      <c r="V1581" s="35" t="s">
        <v>1348</v>
      </c>
      <c r="W1581" s="35" t="s">
        <v>17</v>
      </c>
      <c r="X1581" s="37" t="s">
        <v>1466</v>
      </c>
      <c r="Y1581" s="36" t="s">
        <v>453</v>
      </c>
      <c r="Z1581" s="30" t="s">
        <v>1467</v>
      </c>
      <c r="AA1581" s="30" t="s">
        <v>3899</v>
      </c>
      <c r="AD1581" s="38">
        <v>3773.32</v>
      </c>
      <c r="AF1581" s="76">
        <f t="shared" si="159"/>
        <v>148791.26999999973</v>
      </c>
    </row>
    <row r="1582" spans="14:32" ht="8.25" customHeight="1" x14ac:dyDescent="0.15">
      <c r="N1582" s="52">
        <v>18</v>
      </c>
      <c r="T1582" s="33">
        <v>46090</v>
      </c>
      <c r="U1582" s="34">
        <v>2026</v>
      </c>
      <c r="V1582" s="35" t="s">
        <v>1348</v>
      </c>
      <c r="W1582" s="35" t="s">
        <v>17</v>
      </c>
      <c r="X1582" s="37" t="s">
        <v>1466</v>
      </c>
      <c r="Y1582" s="36" t="s">
        <v>453</v>
      </c>
      <c r="Z1582" s="30" t="s">
        <v>1467</v>
      </c>
      <c r="AA1582" s="134" t="s">
        <v>166</v>
      </c>
      <c r="AD1582" s="38">
        <v>3226.68</v>
      </c>
      <c r="AF1582" s="76">
        <f t="shared" si="159"/>
        <v>152017.94999999972</v>
      </c>
    </row>
    <row r="1583" spans="14:32" ht="8.25" customHeight="1" x14ac:dyDescent="0.25">
      <c r="N1583" s="52">
        <v>19</v>
      </c>
      <c r="T1583" s="33">
        <v>46090</v>
      </c>
      <c r="U1583" s="34">
        <v>2026</v>
      </c>
      <c r="V1583" s="35" t="s">
        <v>1348</v>
      </c>
      <c r="W1583" s="35" t="s">
        <v>17</v>
      </c>
      <c r="X1583" s="37" t="s">
        <v>1468</v>
      </c>
      <c r="Y1583" s="36" t="s">
        <v>1469</v>
      </c>
      <c r="Z1583" s="30" t="s">
        <v>1470</v>
      </c>
      <c r="AA1583" s="30" t="s">
        <v>3899</v>
      </c>
      <c r="AD1583" s="38">
        <v>4815.6899999999996</v>
      </c>
      <c r="AF1583" s="76">
        <f t="shared" si="159"/>
        <v>156833.63999999972</v>
      </c>
    </row>
    <row r="1584" spans="14:32" ht="8.25" customHeight="1" x14ac:dyDescent="0.15">
      <c r="N1584" s="52">
        <v>19</v>
      </c>
      <c r="T1584" s="33">
        <v>46090</v>
      </c>
      <c r="U1584" s="34">
        <v>2026</v>
      </c>
      <c r="V1584" s="35" t="s">
        <v>1348</v>
      </c>
      <c r="W1584" s="35" t="s">
        <v>17</v>
      </c>
      <c r="X1584" s="37" t="s">
        <v>1468</v>
      </c>
      <c r="Y1584" s="36" t="s">
        <v>1469</v>
      </c>
      <c r="Z1584" s="30" t="s">
        <v>1470</v>
      </c>
      <c r="AA1584" s="134" t="s">
        <v>166</v>
      </c>
      <c r="AD1584" s="38">
        <v>4184.3100000000004</v>
      </c>
      <c r="AF1584" s="76">
        <f t="shared" si="159"/>
        <v>161017.94999999972</v>
      </c>
    </row>
    <row r="1585" spans="7:32" ht="8.25" customHeight="1" x14ac:dyDescent="0.15">
      <c r="K1585" s="52">
        <v>3</v>
      </c>
      <c r="T1585" s="33">
        <v>46090</v>
      </c>
      <c r="U1585" s="34">
        <v>2026</v>
      </c>
      <c r="V1585" s="35" t="s">
        <v>1348</v>
      </c>
      <c r="W1585" s="35" t="s">
        <v>17</v>
      </c>
      <c r="X1585" s="37" t="s">
        <v>1476</v>
      </c>
      <c r="Y1585" s="36" t="s">
        <v>1477</v>
      </c>
      <c r="Z1585" s="30" t="s">
        <v>1478</v>
      </c>
      <c r="AA1585" s="136" t="s">
        <v>1788</v>
      </c>
      <c r="AD1585" s="38">
        <v>100</v>
      </c>
      <c r="AF1585" s="76">
        <f t="shared" si="159"/>
        <v>161117.94999999972</v>
      </c>
    </row>
    <row r="1586" spans="7:32" ht="8.25" customHeight="1" x14ac:dyDescent="0.25">
      <c r="L1586" s="52">
        <v>3</v>
      </c>
      <c r="T1586" s="33">
        <v>46090</v>
      </c>
      <c r="U1586" s="34">
        <v>2026</v>
      </c>
      <c r="V1586" s="35" t="s">
        <v>1348</v>
      </c>
      <c r="W1586" s="35" t="s">
        <v>17</v>
      </c>
      <c r="X1586" s="37" t="s">
        <v>1479</v>
      </c>
      <c r="Y1586" s="36" t="s">
        <v>120</v>
      </c>
      <c r="Z1586" s="30" t="s">
        <v>1478</v>
      </c>
      <c r="AA1586" s="30" t="s">
        <v>373</v>
      </c>
      <c r="AD1586" s="38">
        <v>50</v>
      </c>
      <c r="AF1586" s="76">
        <f t="shared" si="159"/>
        <v>161167.94999999972</v>
      </c>
    </row>
    <row r="1587" spans="7:32" ht="8.25" customHeight="1" x14ac:dyDescent="0.25">
      <c r="I1587" s="52">
        <v>10</v>
      </c>
      <c r="T1587" s="33">
        <v>46090</v>
      </c>
      <c r="U1587" s="34">
        <v>2026</v>
      </c>
      <c r="V1587" s="35" t="s">
        <v>1348</v>
      </c>
      <c r="W1587" s="35" t="s">
        <v>17</v>
      </c>
      <c r="X1587" s="37" t="s">
        <v>1480</v>
      </c>
      <c r="Y1587" s="36" t="s">
        <v>1481</v>
      </c>
      <c r="Z1587" s="30" t="s">
        <v>1478</v>
      </c>
      <c r="AA1587" s="30" t="s">
        <v>13</v>
      </c>
      <c r="AD1587" s="38">
        <v>5000</v>
      </c>
      <c r="AF1587" s="76">
        <f t="shared" si="159"/>
        <v>166167.94999999972</v>
      </c>
    </row>
    <row r="1588" spans="7:32" ht="8.25" customHeight="1" x14ac:dyDescent="0.15">
      <c r="K1588" s="52">
        <v>4</v>
      </c>
      <c r="T1588" s="33">
        <v>46090</v>
      </c>
      <c r="U1588" s="34">
        <v>2026</v>
      </c>
      <c r="V1588" s="35" t="s">
        <v>1348</v>
      </c>
      <c r="W1588" s="35" t="s">
        <v>17</v>
      </c>
      <c r="X1588" s="37" t="s">
        <v>1487</v>
      </c>
      <c r="Y1588" s="36" t="s">
        <v>1488</v>
      </c>
      <c r="Z1588" s="30" t="s">
        <v>1489</v>
      </c>
      <c r="AA1588" s="136" t="s">
        <v>1788</v>
      </c>
      <c r="AD1588" s="38">
        <v>100</v>
      </c>
      <c r="AF1588" s="76">
        <f t="shared" si="159"/>
        <v>166267.94999999972</v>
      </c>
    </row>
    <row r="1589" spans="7:32" ht="8.25" customHeight="1" x14ac:dyDescent="0.25">
      <c r="L1589" s="52">
        <v>4</v>
      </c>
      <c r="T1589" s="33">
        <v>46090</v>
      </c>
      <c r="U1589" s="34">
        <v>2026</v>
      </c>
      <c r="V1589" s="35" t="s">
        <v>1348</v>
      </c>
      <c r="W1589" s="35" t="s">
        <v>17</v>
      </c>
      <c r="X1589" s="37" t="s">
        <v>1490</v>
      </c>
      <c r="Y1589" s="36" t="s">
        <v>120</v>
      </c>
      <c r="Z1589" s="30" t="s">
        <v>1489</v>
      </c>
      <c r="AA1589" s="30" t="s">
        <v>373</v>
      </c>
      <c r="AD1589" s="38">
        <v>50</v>
      </c>
      <c r="AF1589" s="76">
        <f t="shared" si="159"/>
        <v>166317.94999999972</v>
      </c>
    </row>
    <row r="1590" spans="7:32" ht="8.25" customHeight="1" x14ac:dyDescent="0.25">
      <c r="I1590" s="52">
        <v>11</v>
      </c>
      <c r="T1590" s="33">
        <v>46090</v>
      </c>
      <c r="U1590" s="34">
        <v>2026</v>
      </c>
      <c r="V1590" s="35" t="s">
        <v>1348</v>
      </c>
      <c r="W1590" s="35" t="s">
        <v>17</v>
      </c>
      <c r="X1590" s="37" t="s">
        <v>1493</v>
      </c>
      <c r="Y1590" s="36" t="s">
        <v>685</v>
      </c>
      <c r="Z1590" s="30" t="s">
        <v>686</v>
      </c>
      <c r="AA1590" s="30" t="s">
        <v>3899</v>
      </c>
      <c r="AD1590" s="38">
        <v>178529.42</v>
      </c>
      <c r="AF1590" s="76">
        <f>AF1589+AD1590-AE1590</f>
        <v>344847.36999999976</v>
      </c>
    </row>
    <row r="1591" spans="7:32" ht="8.25" customHeight="1" x14ac:dyDescent="0.15">
      <c r="M1591" s="52">
        <v>4</v>
      </c>
      <c r="T1591" s="33">
        <v>46090</v>
      </c>
      <c r="U1591" s="34">
        <v>2026</v>
      </c>
      <c r="V1591" s="35" t="s">
        <v>1348</v>
      </c>
      <c r="W1591" s="35" t="s">
        <v>17</v>
      </c>
      <c r="X1591" s="37" t="s">
        <v>1493</v>
      </c>
      <c r="Y1591" s="36" t="s">
        <v>685</v>
      </c>
      <c r="Z1591" s="30" t="s">
        <v>686</v>
      </c>
      <c r="AA1591" s="134" t="s">
        <v>166</v>
      </c>
      <c r="AD1591" s="38">
        <v>1291.28</v>
      </c>
      <c r="AF1591" s="76">
        <f t="shared" si="159"/>
        <v>346138.64999999979</v>
      </c>
    </row>
    <row r="1592" spans="7:32" ht="8.25" customHeight="1" x14ac:dyDescent="0.15">
      <c r="N1592" s="52">
        <v>20</v>
      </c>
      <c r="T1592" s="33">
        <v>46090</v>
      </c>
      <c r="U1592" s="34">
        <v>2026</v>
      </c>
      <c r="V1592" s="35" t="s">
        <v>1348</v>
      </c>
      <c r="W1592" s="35" t="s">
        <v>17</v>
      </c>
      <c r="X1592" s="37" t="s">
        <v>1491</v>
      </c>
      <c r="Y1592" s="36" t="s">
        <v>889</v>
      </c>
      <c r="Z1592" s="30" t="s">
        <v>686</v>
      </c>
      <c r="AA1592" s="134" t="s">
        <v>13</v>
      </c>
      <c r="AD1592" s="38">
        <v>68181.820000000007</v>
      </c>
      <c r="AF1592" s="76">
        <f t="shared" si="159"/>
        <v>414320.4699999998</v>
      </c>
    </row>
    <row r="1593" spans="7:32" ht="8.25" customHeight="1" x14ac:dyDescent="0.15">
      <c r="N1593" s="52">
        <v>20</v>
      </c>
      <c r="T1593" s="33">
        <v>46090</v>
      </c>
      <c r="U1593" s="34">
        <v>2026</v>
      </c>
      <c r="V1593" s="35" t="s">
        <v>1348</v>
      </c>
      <c r="W1593" s="35" t="s">
        <v>17</v>
      </c>
      <c r="X1593" s="37" t="s">
        <v>1492</v>
      </c>
      <c r="Y1593" s="36" t="s">
        <v>120</v>
      </c>
      <c r="Z1593" s="30" t="s">
        <v>686</v>
      </c>
      <c r="AA1593" s="134" t="s">
        <v>1058</v>
      </c>
      <c r="AD1593" s="38">
        <v>13636.36</v>
      </c>
      <c r="AF1593" s="76">
        <f t="shared" si="159"/>
        <v>427956.82999999978</v>
      </c>
    </row>
    <row r="1594" spans="7:32" ht="8.25" customHeight="1" x14ac:dyDescent="0.25">
      <c r="R1594" s="53">
        <v>9</v>
      </c>
      <c r="T1594" s="33">
        <v>46090</v>
      </c>
      <c r="U1594" s="34">
        <v>2026</v>
      </c>
      <c r="V1594" s="35" t="s">
        <v>1348</v>
      </c>
      <c r="W1594" s="35" t="s">
        <v>5</v>
      </c>
      <c r="X1594" s="37" t="s">
        <v>1471</v>
      </c>
      <c r="Y1594" s="36" t="s">
        <v>1472</v>
      </c>
      <c r="Z1594" s="30" t="s">
        <v>1473</v>
      </c>
      <c r="AA1594" s="30" t="s">
        <v>1050</v>
      </c>
      <c r="AE1594" s="38">
        <v>150</v>
      </c>
      <c r="AF1594" s="76">
        <f t="shared" si="159"/>
        <v>427806.82999999978</v>
      </c>
    </row>
    <row r="1595" spans="7:32" ht="8.25" customHeight="1" x14ac:dyDescent="0.25">
      <c r="G1595" s="53">
        <v>7</v>
      </c>
      <c r="T1595" s="33">
        <v>46090</v>
      </c>
      <c r="U1595" s="34">
        <v>2026</v>
      </c>
      <c r="V1595" s="35" t="s">
        <v>1348</v>
      </c>
      <c r="W1595" s="35" t="s">
        <v>5</v>
      </c>
      <c r="Y1595" s="36" t="s">
        <v>1474</v>
      </c>
      <c r="Z1595" s="30" t="s">
        <v>1475</v>
      </c>
      <c r="AA1595" s="30" t="s">
        <v>3945</v>
      </c>
      <c r="AE1595" s="38">
        <v>11520</v>
      </c>
      <c r="AF1595" s="76">
        <f t="shared" si="159"/>
        <v>416286.82999999978</v>
      </c>
    </row>
    <row r="1596" spans="7:32" ht="8.25" customHeight="1" x14ac:dyDescent="0.25">
      <c r="R1596" s="53">
        <v>10</v>
      </c>
      <c r="T1596" s="33">
        <v>46090</v>
      </c>
      <c r="U1596" s="34">
        <v>2026</v>
      </c>
      <c r="V1596" s="35" t="s">
        <v>1348</v>
      </c>
      <c r="W1596" s="35" t="s">
        <v>5</v>
      </c>
      <c r="Y1596" s="36" t="s">
        <v>1482</v>
      </c>
      <c r="Z1596" s="30" t="s">
        <v>1484</v>
      </c>
      <c r="AA1596" s="30" t="s">
        <v>3945</v>
      </c>
      <c r="AE1596" s="38">
        <v>692.38</v>
      </c>
      <c r="AF1596" s="76">
        <f t="shared" si="159"/>
        <v>415594.44999999978</v>
      </c>
    </row>
    <row r="1597" spans="7:32" ht="8.25" customHeight="1" x14ac:dyDescent="0.25">
      <c r="T1597" s="33">
        <v>46090</v>
      </c>
      <c r="U1597" s="34">
        <v>2026</v>
      </c>
      <c r="V1597" s="35" t="s">
        <v>1348</v>
      </c>
      <c r="W1597" s="35" t="s">
        <v>5</v>
      </c>
      <c r="X1597" s="37" t="s">
        <v>1494</v>
      </c>
      <c r="Y1597" s="36" t="s">
        <v>411</v>
      </c>
      <c r="Z1597" s="30" t="s">
        <v>1495</v>
      </c>
      <c r="AA1597" s="30" t="s">
        <v>2719</v>
      </c>
      <c r="AE1597" s="38">
        <v>179820.7</v>
      </c>
      <c r="AF1597" s="76">
        <f t="shared" si="159"/>
        <v>235773.74999999977</v>
      </c>
    </row>
    <row r="1598" spans="7:32" ht="8.25" customHeight="1" x14ac:dyDescent="0.25">
      <c r="T1598" s="33">
        <v>46090</v>
      </c>
      <c r="U1598" s="34">
        <v>2026</v>
      </c>
      <c r="V1598" s="35" t="s">
        <v>1348</v>
      </c>
      <c r="W1598" s="35" t="s">
        <v>5</v>
      </c>
      <c r="X1598" s="37" t="s">
        <v>2203</v>
      </c>
      <c r="Y1598" s="36" t="s">
        <v>411</v>
      </c>
      <c r="Z1598" s="30" t="s">
        <v>1495</v>
      </c>
      <c r="AA1598" s="30" t="s">
        <v>2719</v>
      </c>
      <c r="AE1598" s="38">
        <v>81818.179999999993</v>
      </c>
      <c r="AF1598" s="76">
        <f>AF1597+AD1598-AE1598</f>
        <v>153955.56999999977</v>
      </c>
    </row>
    <row r="1599" spans="7:32" ht="8.25" customHeight="1" thickBot="1" x14ac:dyDescent="0.3">
      <c r="AA1599" s="75" t="s">
        <v>257</v>
      </c>
      <c r="AD1599" s="233">
        <f>SUM(AD1571:AD1593)</f>
        <v>338938.88</v>
      </c>
      <c r="AE1599" s="233">
        <f>SUM(AE1594:AE1598)</f>
        <v>274001.26</v>
      </c>
      <c r="AF1599" s="233">
        <f>AF1570+AD1599-AE1599</f>
        <v>153955.56999999972</v>
      </c>
    </row>
    <row r="1600" spans="7:32" ht="8.25" customHeight="1" thickTop="1" x14ac:dyDescent="0.25">
      <c r="X1600" s="109"/>
      <c r="Y1600" s="67" t="s">
        <v>214</v>
      </c>
      <c r="Z1600" s="68"/>
      <c r="AA1600" s="75"/>
    </row>
    <row r="1601" spans="14:32" ht="8.25" customHeight="1" x14ac:dyDescent="0.25">
      <c r="X1601" s="110" t="s">
        <v>1910</v>
      </c>
      <c r="Y1601" s="111">
        <v>200</v>
      </c>
      <c r="Z1601" s="111">
        <f t="shared" ref="Z1601:Z1606" si="160">X1601*Y1601</f>
        <v>57000</v>
      </c>
      <c r="AA1601" s="112"/>
    </row>
    <row r="1602" spans="14:32" ht="8.25" customHeight="1" x14ac:dyDescent="0.25">
      <c r="X1602" s="110" t="s">
        <v>1913</v>
      </c>
      <c r="Y1602" s="111">
        <v>100</v>
      </c>
      <c r="Z1602" s="111">
        <f t="shared" si="160"/>
        <v>94900</v>
      </c>
      <c r="AA1602" s="112"/>
    </row>
    <row r="1603" spans="14:32" ht="8.25" customHeight="1" x14ac:dyDescent="0.25">
      <c r="X1603" s="110" t="s">
        <v>402</v>
      </c>
      <c r="Y1603" s="111">
        <v>50</v>
      </c>
      <c r="Z1603" s="111">
        <f t="shared" si="160"/>
        <v>250</v>
      </c>
      <c r="AA1603" s="76"/>
    </row>
    <row r="1604" spans="14:32" ht="8.25" customHeight="1" x14ac:dyDescent="0.25">
      <c r="X1604" s="110" t="s">
        <v>222</v>
      </c>
      <c r="Y1604" s="111">
        <v>20</v>
      </c>
      <c r="Z1604" s="111">
        <f t="shared" si="160"/>
        <v>20</v>
      </c>
      <c r="AA1604" s="38"/>
    </row>
    <row r="1605" spans="14:32" ht="8.25" customHeight="1" x14ac:dyDescent="0.25">
      <c r="X1605" s="110" t="s">
        <v>216</v>
      </c>
      <c r="Y1605" s="111">
        <v>10</v>
      </c>
      <c r="Z1605" s="111">
        <f t="shared" si="160"/>
        <v>150</v>
      </c>
      <c r="AA1605" s="112"/>
    </row>
    <row r="1606" spans="14:32" ht="8.25" customHeight="1" x14ac:dyDescent="0.25">
      <c r="X1606" s="110" t="s">
        <v>488</v>
      </c>
      <c r="Y1606" s="111">
        <v>5</v>
      </c>
      <c r="Z1606" s="111">
        <f t="shared" si="160"/>
        <v>510</v>
      </c>
      <c r="AA1606" s="112"/>
    </row>
    <row r="1607" spans="14:32" ht="8.25" customHeight="1" x14ac:dyDescent="0.25">
      <c r="X1607" s="269">
        <v>0</v>
      </c>
      <c r="Y1607" s="270"/>
      <c r="Z1607" s="271"/>
      <c r="AA1607" s="38"/>
    </row>
    <row r="1608" spans="14:32" ht="8.25" customHeight="1" x14ac:dyDescent="0.25">
      <c r="X1608" s="110" t="s">
        <v>1914</v>
      </c>
      <c r="Y1608" s="111">
        <v>1</v>
      </c>
      <c r="Z1608" s="111">
        <f t="shared" ref="Z1608:Z1613" si="161">X1608*Y1608</f>
        <v>1042</v>
      </c>
      <c r="AA1608" s="76"/>
    </row>
    <row r="1609" spans="14:32" ht="8.25" customHeight="1" x14ac:dyDescent="0.25">
      <c r="X1609" s="110" t="s">
        <v>1496</v>
      </c>
      <c r="Y1609" s="111">
        <v>0.5</v>
      </c>
      <c r="Z1609" s="111">
        <f t="shared" si="161"/>
        <v>40.5</v>
      </c>
      <c r="AA1609" s="112"/>
    </row>
    <row r="1610" spans="14:32" ht="8.25" customHeight="1" x14ac:dyDescent="0.25">
      <c r="X1610" s="110" t="s">
        <v>822</v>
      </c>
      <c r="Y1610" s="111">
        <v>0.25</v>
      </c>
      <c r="Z1610" s="111">
        <f t="shared" si="161"/>
        <v>43</v>
      </c>
      <c r="AA1610" s="113"/>
    </row>
    <row r="1611" spans="14:32" ht="8.25" customHeight="1" x14ac:dyDescent="0.25">
      <c r="X1611" s="110" t="s">
        <v>222</v>
      </c>
      <c r="Y1611" s="111">
        <v>0.1</v>
      </c>
      <c r="Z1611" s="111">
        <f t="shared" si="161"/>
        <v>0.1</v>
      </c>
      <c r="AA1611" s="114" t="s">
        <v>219</v>
      </c>
    </row>
    <row r="1612" spans="14:32" ht="8.25" customHeight="1" thickBot="1" x14ac:dyDescent="0.3">
      <c r="X1612" s="110"/>
      <c r="Y1612" s="111">
        <v>0.05</v>
      </c>
      <c r="Z1612" s="111">
        <f t="shared" si="161"/>
        <v>0</v>
      </c>
      <c r="AA1612" s="115">
        <f>SUM(Z1601:Z1606)+Z1608+Z1609+Z1610+Z1611+Z1612+Z1613</f>
        <v>153955.62</v>
      </c>
    </row>
    <row r="1613" spans="14:32" ht="8.25" customHeight="1" thickTop="1" x14ac:dyDescent="0.25">
      <c r="X1613" s="110" t="s">
        <v>224</v>
      </c>
      <c r="Y1613" s="111">
        <v>0.01</v>
      </c>
      <c r="Z1613" s="111">
        <f t="shared" si="161"/>
        <v>0.02</v>
      </c>
    </row>
    <row r="1615" spans="14:32" ht="8.25" customHeight="1" x14ac:dyDescent="0.25">
      <c r="Z1615" s="231" t="s">
        <v>1376</v>
      </c>
      <c r="AF1615" s="76">
        <f>AF1599</f>
        <v>153955.56999999972</v>
      </c>
    </row>
    <row r="1616" spans="14:32" ht="8.25" customHeight="1" x14ac:dyDescent="0.25">
      <c r="N1616" s="52">
        <v>21</v>
      </c>
      <c r="T1616" s="33">
        <v>46091</v>
      </c>
      <c r="U1616" s="34">
        <v>2026</v>
      </c>
      <c r="V1616" s="35" t="s">
        <v>1348</v>
      </c>
      <c r="W1616" s="35" t="s">
        <v>17</v>
      </c>
      <c r="X1616" s="37" t="s">
        <v>1497</v>
      </c>
      <c r="Y1616" s="36" t="s">
        <v>456</v>
      </c>
      <c r="Z1616" s="30" t="s">
        <v>547</v>
      </c>
      <c r="AA1616" s="30" t="s">
        <v>3899</v>
      </c>
      <c r="AD1616" s="38">
        <v>6552.42</v>
      </c>
      <c r="AF1616" s="76">
        <f t="shared" ref="AF1616:AF1622" si="162">AF1615+AD1616-AE1616</f>
        <v>160507.98999999973</v>
      </c>
    </row>
    <row r="1617" spans="6:32" ht="8.25" customHeight="1" x14ac:dyDescent="0.15">
      <c r="N1617" s="52">
        <v>21</v>
      </c>
      <c r="T1617" s="33">
        <v>46091</v>
      </c>
      <c r="U1617" s="34">
        <v>2026</v>
      </c>
      <c r="V1617" s="35" t="s">
        <v>1348</v>
      </c>
      <c r="W1617" s="35" t="s">
        <v>17</v>
      </c>
      <c r="X1617" s="37" t="s">
        <v>1497</v>
      </c>
      <c r="Y1617" s="36" t="s">
        <v>456</v>
      </c>
      <c r="Z1617" s="30" t="s">
        <v>547</v>
      </c>
      <c r="AA1617" s="134" t="s">
        <v>166</v>
      </c>
      <c r="AD1617" s="38">
        <v>1447.58</v>
      </c>
      <c r="AF1617" s="76">
        <f t="shared" si="162"/>
        <v>161955.56999999972</v>
      </c>
    </row>
    <row r="1618" spans="6:32" ht="8.25" customHeight="1" x14ac:dyDescent="0.25">
      <c r="N1618" s="52">
        <v>22</v>
      </c>
      <c r="T1618" s="33">
        <v>46091</v>
      </c>
      <c r="U1618" s="34">
        <v>2026</v>
      </c>
      <c r="V1618" s="35" t="s">
        <v>1348</v>
      </c>
      <c r="W1618" s="35" t="s">
        <v>17</v>
      </c>
      <c r="X1618" s="37" t="s">
        <v>1498</v>
      </c>
      <c r="Y1618" s="36" t="s">
        <v>331</v>
      </c>
      <c r="Z1618" s="30" t="s">
        <v>1499</v>
      </c>
      <c r="AA1618" s="30" t="s">
        <v>3899</v>
      </c>
      <c r="AD1618" s="38">
        <v>3509.73</v>
      </c>
      <c r="AF1618" s="76">
        <f t="shared" si="162"/>
        <v>165465.29999999973</v>
      </c>
    </row>
    <row r="1619" spans="6:32" ht="8.25" customHeight="1" x14ac:dyDescent="0.15">
      <c r="N1619" s="52">
        <v>22</v>
      </c>
      <c r="T1619" s="33">
        <v>46091</v>
      </c>
      <c r="U1619" s="34">
        <v>2026</v>
      </c>
      <c r="V1619" s="35" t="s">
        <v>1348</v>
      </c>
      <c r="W1619" s="35" t="s">
        <v>17</v>
      </c>
      <c r="X1619" s="37" t="s">
        <v>1498</v>
      </c>
      <c r="Y1619" s="36" t="s">
        <v>331</v>
      </c>
      <c r="Z1619" s="30" t="s">
        <v>1499</v>
      </c>
      <c r="AA1619" s="134" t="s">
        <v>166</v>
      </c>
      <c r="AD1619" s="38">
        <v>2490.27</v>
      </c>
      <c r="AF1619" s="76">
        <f t="shared" si="162"/>
        <v>167955.56999999972</v>
      </c>
    </row>
    <row r="1620" spans="6:32" ht="8.25" customHeight="1" x14ac:dyDescent="0.25">
      <c r="I1620" s="52">
        <v>12</v>
      </c>
      <c r="T1620" s="33">
        <v>46091</v>
      </c>
      <c r="U1620" s="34">
        <v>2026</v>
      </c>
      <c r="V1620" s="35" t="s">
        <v>1348</v>
      </c>
      <c r="W1620" s="35" t="s">
        <v>17</v>
      </c>
      <c r="X1620" s="37" t="s">
        <v>1500</v>
      </c>
      <c r="Y1620" s="36" t="s">
        <v>1501</v>
      </c>
      <c r="Z1620" s="30" t="s">
        <v>1489</v>
      </c>
      <c r="AA1620" s="30" t="s">
        <v>1044</v>
      </c>
      <c r="AD1620" s="38">
        <v>1147.75</v>
      </c>
      <c r="AF1620" s="76">
        <f t="shared" si="162"/>
        <v>169103.31999999972</v>
      </c>
    </row>
    <row r="1621" spans="6:32" ht="8.25" customHeight="1" x14ac:dyDescent="0.25">
      <c r="M1621" s="52">
        <v>5</v>
      </c>
      <c r="T1621" s="33">
        <v>46091</v>
      </c>
      <c r="U1621" s="34">
        <v>2026</v>
      </c>
      <c r="V1621" s="35" t="s">
        <v>1348</v>
      </c>
      <c r="W1621" s="35" t="s">
        <v>17</v>
      </c>
      <c r="X1621" s="37" t="s">
        <v>1502</v>
      </c>
      <c r="Y1621" s="36" t="s">
        <v>120</v>
      </c>
      <c r="Z1621" s="30" t="s">
        <v>1489</v>
      </c>
      <c r="AA1621" s="30" t="s">
        <v>1058</v>
      </c>
      <c r="AD1621" s="38">
        <v>229.54</v>
      </c>
      <c r="AF1621" s="76">
        <f t="shared" si="162"/>
        <v>169332.85999999972</v>
      </c>
    </row>
    <row r="1622" spans="6:32" ht="8.25" customHeight="1" x14ac:dyDescent="0.25">
      <c r="N1622" s="52">
        <v>23</v>
      </c>
      <c r="T1622" s="33">
        <v>46091</v>
      </c>
      <c r="U1622" s="34">
        <v>2026</v>
      </c>
      <c r="V1622" s="35" t="s">
        <v>1348</v>
      </c>
      <c r="W1622" s="35" t="s">
        <v>17</v>
      </c>
      <c r="X1622" s="37" t="s">
        <v>1503</v>
      </c>
      <c r="Y1622" s="36" t="s">
        <v>983</v>
      </c>
      <c r="Z1622" s="30" t="s">
        <v>1504</v>
      </c>
      <c r="AA1622" s="30" t="s">
        <v>3899</v>
      </c>
      <c r="AD1622" s="38">
        <v>3144.74</v>
      </c>
      <c r="AF1622" s="76">
        <f t="shared" si="162"/>
        <v>172477.59999999971</v>
      </c>
    </row>
    <row r="1623" spans="6:32" ht="8.25" customHeight="1" x14ac:dyDescent="0.15">
      <c r="N1623" s="52">
        <v>23</v>
      </c>
      <c r="T1623" s="33">
        <v>46091</v>
      </c>
      <c r="U1623" s="34">
        <v>2026</v>
      </c>
      <c r="V1623" s="35" t="s">
        <v>1348</v>
      </c>
      <c r="W1623" s="35" t="s">
        <v>17</v>
      </c>
      <c r="X1623" s="37" t="s">
        <v>1503</v>
      </c>
      <c r="Y1623" s="36" t="s">
        <v>983</v>
      </c>
      <c r="Z1623" s="30" t="s">
        <v>1504</v>
      </c>
      <c r="AA1623" s="134" t="s">
        <v>166</v>
      </c>
      <c r="AD1623" s="38">
        <v>855.26</v>
      </c>
      <c r="AF1623" s="76">
        <f t="shared" ref="AF1623:AF1628" si="163">AF1622+AD1623-AE1623</f>
        <v>173332.85999999972</v>
      </c>
    </row>
    <row r="1624" spans="6:32" ht="8.25" customHeight="1" x14ac:dyDescent="0.25">
      <c r="T1624" s="33">
        <v>46091</v>
      </c>
      <c r="U1624" s="34">
        <v>2026</v>
      </c>
      <c r="V1624" s="35" t="s">
        <v>1348</v>
      </c>
      <c r="W1624" s="35" t="s">
        <v>5</v>
      </c>
      <c r="X1624" s="37" t="s">
        <v>1505</v>
      </c>
      <c r="Y1624" s="36" t="s">
        <v>1449</v>
      </c>
      <c r="Z1624" s="30" t="s">
        <v>1450</v>
      </c>
      <c r="AA1624" s="30" t="s">
        <v>1882</v>
      </c>
      <c r="AE1624" s="38">
        <v>7111.46</v>
      </c>
      <c r="AF1624" s="76">
        <f t="shared" si="163"/>
        <v>166221.39999999973</v>
      </c>
    </row>
    <row r="1625" spans="6:32" ht="8.25" customHeight="1" x14ac:dyDescent="0.25">
      <c r="Q1625" s="52">
        <v>2</v>
      </c>
      <c r="R1625" s="53">
        <v>11</v>
      </c>
      <c r="T1625" s="33">
        <v>46091</v>
      </c>
      <c r="U1625" s="34">
        <v>2026</v>
      </c>
      <c r="V1625" s="35" t="s">
        <v>1348</v>
      </c>
      <c r="W1625" s="35" t="s">
        <v>5</v>
      </c>
      <c r="X1625" s="37" t="s">
        <v>1506</v>
      </c>
      <c r="Y1625" s="36" t="s">
        <v>1507</v>
      </c>
      <c r="Z1625" s="30" t="s">
        <v>1508</v>
      </c>
      <c r="AA1625" s="30" t="s">
        <v>1509</v>
      </c>
      <c r="AE1625" s="38">
        <v>11477.27</v>
      </c>
      <c r="AF1625" s="76">
        <f t="shared" si="163"/>
        <v>154744.12999999974</v>
      </c>
    </row>
    <row r="1626" spans="6:32" ht="8.25" customHeight="1" x14ac:dyDescent="0.25">
      <c r="G1626" s="53">
        <v>8</v>
      </c>
      <c r="T1626" s="33">
        <v>46091</v>
      </c>
      <c r="U1626" s="34">
        <v>2026</v>
      </c>
      <c r="V1626" s="35" t="s">
        <v>1348</v>
      </c>
      <c r="W1626" s="35" t="s">
        <v>5</v>
      </c>
      <c r="Y1626" s="36" t="s">
        <v>1510</v>
      </c>
      <c r="Z1626" s="30" t="s">
        <v>547</v>
      </c>
      <c r="AA1626" s="30" t="s">
        <v>3945</v>
      </c>
      <c r="AE1626" s="38">
        <v>9282.68</v>
      </c>
      <c r="AF1626" s="76">
        <f t="shared" si="163"/>
        <v>145461.44999999975</v>
      </c>
    </row>
    <row r="1627" spans="6:32" ht="8.25" customHeight="1" x14ac:dyDescent="0.25">
      <c r="F1627" s="53">
        <v>2</v>
      </c>
      <c r="T1627" s="33">
        <v>46091</v>
      </c>
      <c r="U1627" s="34">
        <v>2026</v>
      </c>
      <c r="V1627" s="35" t="s">
        <v>1348</v>
      </c>
      <c r="W1627" s="35" t="s">
        <v>5</v>
      </c>
      <c r="Y1627" s="36" t="s">
        <v>1511</v>
      </c>
      <c r="Z1627" s="30" t="s">
        <v>1393</v>
      </c>
      <c r="AA1627" s="30" t="s">
        <v>3939</v>
      </c>
      <c r="AE1627" s="38">
        <v>200</v>
      </c>
      <c r="AF1627" s="76">
        <f t="shared" si="163"/>
        <v>145261.44999999975</v>
      </c>
    </row>
    <row r="1628" spans="6:32" ht="8.25" customHeight="1" x14ac:dyDescent="0.25">
      <c r="G1628" s="53">
        <v>9</v>
      </c>
      <c r="T1628" s="33">
        <v>46091</v>
      </c>
      <c r="U1628" s="34">
        <v>2026</v>
      </c>
      <c r="V1628" s="35" t="s">
        <v>1348</v>
      </c>
      <c r="W1628" s="35" t="s">
        <v>5</v>
      </c>
      <c r="Y1628" s="36" t="s">
        <v>1513</v>
      </c>
      <c r="Z1628" s="30" t="s">
        <v>1514</v>
      </c>
      <c r="AA1628" s="30" t="s">
        <v>3945</v>
      </c>
      <c r="AE1628" s="38">
        <v>15360</v>
      </c>
      <c r="AF1628" s="76">
        <f t="shared" si="163"/>
        <v>129901.44999999975</v>
      </c>
    </row>
    <row r="1629" spans="6:32" ht="8.25" customHeight="1" x14ac:dyDescent="0.25">
      <c r="AA1629" s="75" t="s">
        <v>257</v>
      </c>
      <c r="AC1629" s="228"/>
      <c r="AD1629" s="76">
        <f>SUM(AD1616:AD1623)</f>
        <v>19377.289999999997</v>
      </c>
      <c r="AE1629" s="76">
        <f>SUM(AE1624:AE1628)</f>
        <v>43431.41</v>
      </c>
      <c r="AF1629" s="76">
        <f>AF1615+AD1629-AE1629</f>
        <v>129901.44999999972</v>
      </c>
    </row>
    <row r="1630" spans="6:32" ht="8.25" customHeight="1" x14ac:dyDescent="0.25">
      <c r="X1630" s="109"/>
      <c r="Y1630" s="67" t="s">
        <v>214</v>
      </c>
      <c r="Z1630" s="68"/>
      <c r="AA1630" s="75"/>
    </row>
    <row r="1631" spans="6:32" ht="8.25" customHeight="1" x14ac:dyDescent="0.25">
      <c r="X1631" s="110" t="s">
        <v>1859</v>
      </c>
      <c r="Y1631" s="111">
        <v>200</v>
      </c>
      <c r="Z1631" s="111">
        <f t="shared" ref="Z1631:Z1636" si="164">X1631*Y1631</f>
        <v>48800</v>
      </c>
      <c r="AA1631" s="112"/>
    </row>
    <row r="1632" spans="6:32" ht="8.25" customHeight="1" x14ac:dyDescent="0.25">
      <c r="X1632" s="110" t="s">
        <v>1958</v>
      </c>
      <c r="Y1632" s="111">
        <v>100</v>
      </c>
      <c r="Z1632" s="111">
        <f t="shared" si="164"/>
        <v>79300</v>
      </c>
      <c r="AA1632" s="112"/>
    </row>
    <row r="1633" spans="20:32" ht="8.25" customHeight="1" x14ac:dyDescent="0.25">
      <c r="X1633" s="110" t="s">
        <v>222</v>
      </c>
      <c r="Y1633" s="111">
        <v>50</v>
      </c>
      <c r="Z1633" s="111">
        <f t="shared" si="164"/>
        <v>50</v>
      </c>
      <c r="AA1633" s="76"/>
    </row>
    <row r="1634" spans="20:32" ht="8.25" customHeight="1" x14ac:dyDescent="0.25">
      <c r="X1634" s="110" t="s">
        <v>222</v>
      </c>
      <c r="Y1634" s="111">
        <v>20</v>
      </c>
      <c r="Z1634" s="111">
        <f t="shared" si="164"/>
        <v>20</v>
      </c>
      <c r="AA1634" s="38"/>
    </row>
    <row r="1635" spans="20:32" ht="8.25" customHeight="1" x14ac:dyDescent="0.25">
      <c r="X1635" s="110" t="s">
        <v>581</v>
      </c>
      <c r="Y1635" s="111">
        <v>10</v>
      </c>
      <c r="Z1635" s="111">
        <f t="shared" si="164"/>
        <v>100</v>
      </c>
      <c r="AA1635" s="112"/>
    </row>
    <row r="1636" spans="20:32" ht="8.25" customHeight="1" x14ac:dyDescent="0.25">
      <c r="X1636" s="110" t="s">
        <v>488</v>
      </c>
      <c r="Y1636" s="111">
        <v>5</v>
      </c>
      <c r="Z1636" s="111">
        <f t="shared" si="164"/>
        <v>510</v>
      </c>
      <c r="AA1636" s="112"/>
    </row>
    <row r="1637" spans="20:32" ht="8.25" customHeight="1" x14ac:dyDescent="0.25">
      <c r="X1637" s="269">
        <v>0</v>
      </c>
      <c r="Y1637" s="270"/>
      <c r="Z1637" s="271"/>
      <c r="AA1637" s="38"/>
    </row>
    <row r="1638" spans="20:32" ht="8.25" customHeight="1" x14ac:dyDescent="0.25">
      <c r="X1638" s="110" t="s">
        <v>1234</v>
      </c>
      <c r="Y1638" s="111">
        <v>1</v>
      </c>
      <c r="Z1638" s="111">
        <f t="shared" ref="Z1638:Z1643" si="165">X1638*Y1638</f>
        <v>1038</v>
      </c>
      <c r="AA1638" s="76"/>
    </row>
    <row r="1639" spans="20:32" ht="8.25" customHeight="1" x14ac:dyDescent="0.25">
      <c r="X1639" s="110" t="s">
        <v>259</v>
      </c>
      <c r="Y1639" s="111">
        <v>0.5</v>
      </c>
      <c r="Z1639" s="111">
        <f t="shared" si="165"/>
        <v>40</v>
      </c>
      <c r="AA1639" s="112"/>
    </row>
    <row r="1640" spans="20:32" ht="8.25" customHeight="1" x14ac:dyDescent="0.25">
      <c r="X1640" s="110" t="s">
        <v>1189</v>
      </c>
      <c r="Y1640" s="111">
        <v>0.25</v>
      </c>
      <c r="Z1640" s="111">
        <f t="shared" si="165"/>
        <v>43.25</v>
      </c>
      <c r="AA1640" s="113"/>
    </row>
    <row r="1641" spans="20:32" ht="8.25" customHeight="1" x14ac:dyDescent="0.25">
      <c r="X1641" s="110" t="s">
        <v>222</v>
      </c>
      <c r="Y1641" s="111">
        <v>0.1</v>
      </c>
      <c r="Z1641" s="111">
        <f t="shared" si="165"/>
        <v>0.1</v>
      </c>
      <c r="AA1641" s="114" t="s">
        <v>219</v>
      </c>
    </row>
    <row r="1642" spans="20:32" ht="8.25" customHeight="1" thickBot="1" x14ac:dyDescent="0.3">
      <c r="X1642" s="110" t="s">
        <v>224</v>
      </c>
      <c r="Y1642" s="111">
        <v>0.05</v>
      </c>
      <c r="Z1642" s="111">
        <f t="shared" si="165"/>
        <v>0.1</v>
      </c>
      <c r="AA1642" s="115">
        <f>SUM(Z1631:Z1636)+Z1638+Z1639+Z1640+Z1641+Z1642+Z1643</f>
        <v>129901.45000000001</v>
      </c>
    </row>
    <row r="1643" spans="20:32" ht="8.25" customHeight="1" thickTop="1" x14ac:dyDescent="0.25">
      <c r="X1643" s="110"/>
      <c r="Y1643" s="111">
        <v>0.01</v>
      </c>
      <c r="Z1643" s="111">
        <f t="shared" si="165"/>
        <v>0</v>
      </c>
    </row>
    <row r="1646" spans="20:32" ht="8.25" customHeight="1" x14ac:dyDescent="0.25">
      <c r="Z1646" s="231" t="s">
        <v>1376</v>
      </c>
      <c r="AF1646" s="76">
        <f>AF1629</f>
        <v>129901.44999999972</v>
      </c>
    </row>
    <row r="1648" spans="20:32" ht="8.25" customHeight="1" x14ac:dyDescent="0.25">
      <c r="T1648" s="33">
        <v>46092</v>
      </c>
      <c r="Z1648" s="30" t="s">
        <v>1515</v>
      </c>
    </row>
    <row r="1649" spans="24:32" ht="8.25" customHeight="1" x14ac:dyDescent="0.25">
      <c r="Z1649" s="75" t="s">
        <v>1516</v>
      </c>
      <c r="AF1649" s="76">
        <f>AF1646</f>
        <v>129901.44999999972</v>
      </c>
    </row>
    <row r="1652" spans="24:32" ht="8.25" customHeight="1" x14ac:dyDescent="0.25">
      <c r="X1652" s="109"/>
      <c r="Y1652" s="67" t="s">
        <v>214</v>
      </c>
      <c r="Z1652" s="68"/>
      <c r="AA1652" s="75"/>
    </row>
    <row r="1653" spans="24:32" ht="8.25" customHeight="1" x14ac:dyDescent="0.25">
      <c r="X1653" s="110" t="s">
        <v>1859</v>
      </c>
      <c r="Y1653" s="111">
        <v>200</v>
      </c>
      <c r="Z1653" s="111">
        <f t="shared" ref="Z1653:Z1658" si="166">X1653*Y1653</f>
        <v>48800</v>
      </c>
      <c r="AA1653" s="112"/>
    </row>
    <row r="1654" spans="24:32" ht="8.25" customHeight="1" x14ac:dyDescent="0.25">
      <c r="X1654" s="110" t="s">
        <v>1958</v>
      </c>
      <c r="Y1654" s="111">
        <v>100</v>
      </c>
      <c r="Z1654" s="111">
        <f t="shared" si="166"/>
        <v>79300</v>
      </c>
      <c r="AA1654" s="112"/>
    </row>
    <row r="1655" spans="24:32" ht="8.25" customHeight="1" x14ac:dyDescent="0.25">
      <c r="X1655" s="110" t="s">
        <v>222</v>
      </c>
      <c r="Y1655" s="111">
        <v>50</v>
      </c>
      <c r="Z1655" s="111">
        <f t="shared" si="166"/>
        <v>50</v>
      </c>
      <c r="AA1655" s="76"/>
    </row>
    <row r="1656" spans="24:32" ht="8.25" customHeight="1" x14ac:dyDescent="0.25">
      <c r="X1656" s="110" t="s">
        <v>222</v>
      </c>
      <c r="Y1656" s="111">
        <v>20</v>
      </c>
      <c r="Z1656" s="111">
        <f t="shared" si="166"/>
        <v>20</v>
      </c>
      <c r="AA1656" s="38"/>
    </row>
    <row r="1657" spans="24:32" ht="8.25" customHeight="1" x14ac:dyDescent="0.25">
      <c r="X1657" s="110" t="s">
        <v>581</v>
      </c>
      <c r="Y1657" s="111">
        <v>10</v>
      </c>
      <c r="Z1657" s="111">
        <f t="shared" si="166"/>
        <v>100</v>
      </c>
      <c r="AA1657" s="112"/>
    </row>
    <row r="1658" spans="24:32" ht="8.25" customHeight="1" x14ac:dyDescent="0.25">
      <c r="X1658" s="110" t="s">
        <v>488</v>
      </c>
      <c r="Y1658" s="111">
        <v>5</v>
      </c>
      <c r="Z1658" s="111">
        <f t="shared" si="166"/>
        <v>510</v>
      </c>
      <c r="AA1658" s="112"/>
    </row>
    <row r="1659" spans="24:32" ht="8.25" customHeight="1" x14ac:dyDescent="0.25">
      <c r="X1659" s="269">
        <v>0</v>
      </c>
      <c r="Y1659" s="270"/>
      <c r="Z1659" s="271"/>
      <c r="AA1659" s="38"/>
    </row>
    <row r="1660" spans="24:32" ht="8.25" customHeight="1" x14ac:dyDescent="0.25">
      <c r="X1660" s="110" t="s">
        <v>1234</v>
      </c>
      <c r="Y1660" s="111">
        <v>1</v>
      </c>
      <c r="Z1660" s="111">
        <f t="shared" ref="Z1660:Z1665" si="167">X1660*Y1660</f>
        <v>1038</v>
      </c>
      <c r="AA1660" s="76"/>
    </row>
    <row r="1661" spans="24:32" ht="8.25" customHeight="1" x14ac:dyDescent="0.25">
      <c r="X1661" s="110" t="s">
        <v>259</v>
      </c>
      <c r="Y1661" s="111">
        <v>0.5</v>
      </c>
      <c r="Z1661" s="111">
        <f t="shared" si="167"/>
        <v>40</v>
      </c>
      <c r="AA1661" s="112"/>
    </row>
    <row r="1662" spans="24:32" ht="8.25" customHeight="1" x14ac:dyDescent="0.25">
      <c r="X1662" s="110" t="s">
        <v>1189</v>
      </c>
      <c r="Y1662" s="111">
        <v>0.25</v>
      </c>
      <c r="Z1662" s="111">
        <f t="shared" si="167"/>
        <v>43.25</v>
      </c>
      <c r="AA1662" s="113"/>
    </row>
    <row r="1663" spans="24:32" ht="8.25" customHeight="1" x14ac:dyDescent="0.25">
      <c r="X1663" s="110" t="s">
        <v>222</v>
      </c>
      <c r="Y1663" s="111">
        <v>0.1</v>
      </c>
      <c r="Z1663" s="111">
        <f t="shared" si="167"/>
        <v>0.1</v>
      </c>
      <c r="AA1663" s="114" t="s">
        <v>219</v>
      </c>
    </row>
    <row r="1664" spans="24:32" ht="8.25" customHeight="1" thickBot="1" x14ac:dyDescent="0.3">
      <c r="X1664" s="110" t="s">
        <v>224</v>
      </c>
      <c r="Y1664" s="111">
        <v>0.05</v>
      </c>
      <c r="Z1664" s="111">
        <f t="shared" si="167"/>
        <v>0.1</v>
      </c>
      <c r="AA1664" s="115">
        <f>SUM(Z1653:Z1658)+Z1660+Z1661+Z1662+Z1663+Z1664+Z1665</f>
        <v>129901.45000000001</v>
      </c>
    </row>
    <row r="1665" spans="9:32" ht="8.25" customHeight="1" thickTop="1" x14ac:dyDescent="0.25">
      <c r="X1665" s="110"/>
      <c r="Y1665" s="111">
        <v>0.01</v>
      </c>
      <c r="Z1665" s="111">
        <f t="shared" si="167"/>
        <v>0</v>
      </c>
    </row>
    <row r="1667" spans="9:32" ht="8.25" customHeight="1" x14ac:dyDescent="0.25">
      <c r="Z1667" s="231" t="s">
        <v>1376</v>
      </c>
      <c r="AF1667" s="76">
        <f>AF1649</f>
        <v>129901.44999999972</v>
      </c>
    </row>
    <row r="1668" spans="9:32" ht="8.25" customHeight="1" x14ac:dyDescent="0.15">
      <c r="N1668" s="52">
        <v>23</v>
      </c>
      <c r="T1668" s="33">
        <v>46093</v>
      </c>
      <c r="U1668" s="34">
        <v>2026</v>
      </c>
      <c r="V1668" s="35" t="s">
        <v>1348</v>
      </c>
      <c r="W1668" s="35" t="s">
        <v>17</v>
      </c>
      <c r="X1668" s="37" t="s">
        <v>1520</v>
      </c>
      <c r="Y1668" s="36" t="s">
        <v>1521</v>
      </c>
      <c r="Z1668" s="30" t="s">
        <v>1522</v>
      </c>
      <c r="AA1668" s="134" t="s">
        <v>166</v>
      </c>
      <c r="AD1668" s="38">
        <v>5360.14</v>
      </c>
      <c r="AF1668" s="76">
        <f>AF1667+AD1668-AE1668</f>
        <v>135261.58999999973</v>
      </c>
    </row>
    <row r="1669" spans="9:32" ht="8.25" customHeight="1" x14ac:dyDescent="0.25">
      <c r="N1669" s="52">
        <v>23</v>
      </c>
      <c r="T1669" s="33">
        <v>46093</v>
      </c>
      <c r="U1669" s="34">
        <v>2026</v>
      </c>
      <c r="V1669" s="35" t="s">
        <v>1348</v>
      </c>
      <c r="W1669" s="35" t="s">
        <v>17</v>
      </c>
      <c r="X1669" s="37" t="s">
        <v>1520</v>
      </c>
      <c r="Y1669" s="36" t="s">
        <v>1521</v>
      </c>
      <c r="Z1669" s="30" t="s">
        <v>1522</v>
      </c>
      <c r="AA1669" s="30" t="s">
        <v>3306</v>
      </c>
      <c r="AD1669" s="38">
        <v>4639.8599999999997</v>
      </c>
      <c r="AF1669" s="76">
        <f t="shared" ref="AF1669:AF1686" si="168">AF1668+AD1669-AE1669</f>
        <v>139901.44999999972</v>
      </c>
    </row>
    <row r="1670" spans="9:32" ht="8.25" customHeight="1" x14ac:dyDescent="0.25">
      <c r="N1670" s="52">
        <v>24</v>
      </c>
      <c r="T1670" s="33">
        <v>46093</v>
      </c>
      <c r="U1670" s="34">
        <v>2026</v>
      </c>
      <c r="V1670" s="35" t="s">
        <v>1348</v>
      </c>
      <c r="W1670" s="35" t="s">
        <v>17</v>
      </c>
      <c r="X1670" s="37" t="s">
        <v>1523</v>
      </c>
      <c r="Y1670" s="36" t="s">
        <v>345</v>
      </c>
      <c r="Z1670" s="30" t="s">
        <v>1524</v>
      </c>
      <c r="AA1670" s="30" t="s">
        <v>3899</v>
      </c>
      <c r="AD1670" s="38">
        <v>12090.98</v>
      </c>
      <c r="AF1670" s="76">
        <f t="shared" si="168"/>
        <v>151992.42999999973</v>
      </c>
    </row>
    <row r="1671" spans="9:32" ht="8.25" customHeight="1" x14ac:dyDescent="0.15">
      <c r="N1671" s="52">
        <v>24</v>
      </c>
      <c r="T1671" s="33">
        <v>46093</v>
      </c>
      <c r="U1671" s="34">
        <v>2026</v>
      </c>
      <c r="V1671" s="35" t="s">
        <v>1348</v>
      </c>
      <c r="W1671" s="35" t="s">
        <v>17</v>
      </c>
      <c r="X1671" s="37" t="s">
        <v>1523</v>
      </c>
      <c r="Y1671" s="36" t="s">
        <v>345</v>
      </c>
      <c r="Z1671" s="30" t="s">
        <v>1524</v>
      </c>
      <c r="AA1671" s="134" t="s">
        <v>166</v>
      </c>
      <c r="AD1671" s="38">
        <v>2859.02</v>
      </c>
      <c r="AF1671" s="76">
        <f t="shared" si="168"/>
        <v>154851.44999999972</v>
      </c>
    </row>
    <row r="1672" spans="9:32" ht="8.25" customHeight="1" x14ac:dyDescent="0.25">
      <c r="N1672" s="52">
        <v>24</v>
      </c>
      <c r="T1672" s="33">
        <v>46093</v>
      </c>
      <c r="U1672" s="34">
        <v>2026</v>
      </c>
      <c r="V1672" s="35" t="s">
        <v>1348</v>
      </c>
      <c r="W1672" s="35" t="s">
        <v>17</v>
      </c>
      <c r="X1672" s="37" t="s">
        <v>1523</v>
      </c>
      <c r="Y1672" s="36" t="s">
        <v>345</v>
      </c>
      <c r="Z1672" s="30" t="s">
        <v>1524</v>
      </c>
      <c r="AA1672" s="30" t="s">
        <v>3306</v>
      </c>
      <c r="AD1672" s="38">
        <v>50</v>
      </c>
      <c r="AF1672" s="76">
        <f t="shared" si="168"/>
        <v>154901.44999999972</v>
      </c>
    </row>
    <row r="1673" spans="9:32" ht="8.25" customHeight="1" x14ac:dyDescent="0.25">
      <c r="N1673" s="52">
        <v>25</v>
      </c>
      <c r="T1673" s="33">
        <v>46093</v>
      </c>
      <c r="U1673" s="34">
        <v>2026</v>
      </c>
      <c r="V1673" s="35" t="s">
        <v>1348</v>
      </c>
      <c r="W1673" s="35" t="s">
        <v>17</v>
      </c>
      <c r="X1673" s="37" t="s">
        <v>1525</v>
      </c>
      <c r="Y1673" s="36" t="s">
        <v>225</v>
      </c>
      <c r="Z1673" s="30" t="s">
        <v>1409</v>
      </c>
      <c r="AA1673" s="30" t="s">
        <v>3899</v>
      </c>
      <c r="AD1673" s="38">
        <v>8518.84</v>
      </c>
      <c r="AF1673" s="76">
        <f t="shared" si="168"/>
        <v>163420.28999999972</v>
      </c>
    </row>
    <row r="1674" spans="9:32" ht="8.25" customHeight="1" x14ac:dyDescent="0.15">
      <c r="N1674" s="52">
        <v>25</v>
      </c>
      <c r="T1674" s="33">
        <v>46093</v>
      </c>
      <c r="U1674" s="34">
        <v>2026</v>
      </c>
      <c r="V1674" s="35" t="s">
        <v>1348</v>
      </c>
      <c r="W1674" s="35" t="s">
        <v>17</v>
      </c>
      <c r="X1674" s="37" t="s">
        <v>1525</v>
      </c>
      <c r="Y1674" s="36" t="s">
        <v>225</v>
      </c>
      <c r="Z1674" s="30" t="s">
        <v>1409</v>
      </c>
      <c r="AA1674" s="134" t="s">
        <v>166</v>
      </c>
      <c r="AD1674" s="38">
        <v>3593.16</v>
      </c>
      <c r="AF1674" s="76">
        <f t="shared" si="168"/>
        <v>167013.44999999972</v>
      </c>
    </row>
    <row r="1675" spans="9:32" ht="8.25" customHeight="1" x14ac:dyDescent="0.25">
      <c r="N1675" s="52">
        <v>25</v>
      </c>
      <c r="T1675" s="33">
        <v>46093</v>
      </c>
      <c r="U1675" s="34">
        <v>2026</v>
      </c>
      <c r="V1675" s="35" t="s">
        <v>1348</v>
      </c>
      <c r="W1675" s="35" t="s">
        <v>17</v>
      </c>
      <c r="X1675" s="37" t="s">
        <v>1525</v>
      </c>
      <c r="Y1675" s="36" t="s">
        <v>225</v>
      </c>
      <c r="Z1675" s="30" t="s">
        <v>1409</v>
      </c>
      <c r="AA1675" s="30" t="s">
        <v>3306</v>
      </c>
      <c r="AD1675" s="38">
        <v>70</v>
      </c>
      <c r="AF1675" s="76">
        <f t="shared" si="168"/>
        <v>167083.44999999972</v>
      </c>
    </row>
    <row r="1676" spans="9:32" ht="8.25" customHeight="1" x14ac:dyDescent="0.25">
      <c r="I1676" s="52">
        <v>13</v>
      </c>
      <c r="T1676" s="33">
        <v>46093</v>
      </c>
      <c r="U1676" s="34">
        <v>2026</v>
      </c>
      <c r="V1676" s="35" t="s">
        <v>1348</v>
      </c>
      <c r="W1676" s="35" t="s">
        <v>17</v>
      </c>
      <c r="X1676" s="37" t="s">
        <v>1526</v>
      </c>
      <c r="Y1676" s="36" t="s">
        <v>691</v>
      </c>
      <c r="Z1676" s="30" t="s">
        <v>1527</v>
      </c>
      <c r="AA1676" s="30" t="s">
        <v>1044</v>
      </c>
      <c r="AD1676" s="38">
        <v>10000</v>
      </c>
      <c r="AF1676" s="76">
        <f t="shared" si="168"/>
        <v>177083.44999999972</v>
      </c>
    </row>
    <row r="1677" spans="9:32" ht="8.25" customHeight="1" x14ac:dyDescent="0.25">
      <c r="T1677" s="33">
        <v>46093</v>
      </c>
      <c r="U1677" s="34">
        <v>2026</v>
      </c>
      <c r="V1677" s="35" t="s">
        <v>1348</v>
      </c>
      <c r="W1677" s="35" t="s">
        <v>17</v>
      </c>
      <c r="X1677" s="37" t="s">
        <v>1533</v>
      </c>
      <c r="Y1677" s="36" t="s">
        <v>1008</v>
      </c>
      <c r="Z1677" s="30" t="s">
        <v>1534</v>
      </c>
      <c r="AA1677" s="30" t="s">
        <v>3899</v>
      </c>
      <c r="AD1677" s="38">
        <v>1630.32</v>
      </c>
      <c r="AF1677" s="76">
        <f t="shared" si="168"/>
        <v>178713.76999999973</v>
      </c>
    </row>
    <row r="1678" spans="9:32" ht="8.25" customHeight="1" x14ac:dyDescent="0.15">
      <c r="R1678" s="53">
        <v>12</v>
      </c>
      <c r="T1678" s="33">
        <v>46093</v>
      </c>
      <c r="U1678" s="34">
        <v>2026</v>
      </c>
      <c r="V1678" s="35" t="s">
        <v>1348</v>
      </c>
      <c r="W1678" s="35" t="s">
        <v>17</v>
      </c>
      <c r="X1678" s="37" t="s">
        <v>1533</v>
      </c>
      <c r="Y1678" s="36" t="s">
        <v>1008</v>
      </c>
      <c r="Z1678" s="30" t="s">
        <v>1534</v>
      </c>
      <c r="AA1678" s="134" t="s">
        <v>166</v>
      </c>
      <c r="AD1678" s="38">
        <v>1079.68</v>
      </c>
      <c r="AF1678" s="76">
        <f t="shared" si="168"/>
        <v>179793.44999999972</v>
      </c>
    </row>
    <row r="1679" spans="9:32" ht="8.25" customHeight="1" x14ac:dyDescent="0.25">
      <c r="T1679" s="33">
        <v>46093</v>
      </c>
      <c r="U1679" s="34">
        <v>2026</v>
      </c>
      <c r="V1679" s="35" t="s">
        <v>1348</v>
      </c>
      <c r="W1679" s="35" t="s">
        <v>3620</v>
      </c>
      <c r="Y1679" s="36" t="s">
        <v>1536</v>
      </c>
      <c r="Z1679" s="30" t="s">
        <v>1535</v>
      </c>
      <c r="AA1679" s="30" t="s">
        <v>340</v>
      </c>
      <c r="AD1679" s="38">
        <v>90</v>
      </c>
      <c r="AF1679" s="76">
        <f t="shared" si="168"/>
        <v>179883.44999999972</v>
      </c>
    </row>
    <row r="1680" spans="9:32" ht="8.25" customHeight="1" x14ac:dyDescent="0.25">
      <c r="T1680" s="33">
        <v>46093</v>
      </c>
      <c r="U1680" s="34">
        <v>2026</v>
      </c>
      <c r="V1680" s="35" t="s">
        <v>1348</v>
      </c>
      <c r="W1680" s="35" t="s">
        <v>5</v>
      </c>
      <c r="X1680" s="37" t="s">
        <v>1591</v>
      </c>
      <c r="Y1680" s="36" t="s">
        <v>411</v>
      </c>
      <c r="Z1680" s="30" t="s">
        <v>1450</v>
      </c>
      <c r="AA1680" s="30" t="s">
        <v>2719</v>
      </c>
      <c r="AE1680" s="38">
        <v>15000</v>
      </c>
      <c r="AF1680" s="76">
        <f t="shared" si="168"/>
        <v>164883.44999999972</v>
      </c>
    </row>
    <row r="1681" spans="7:32" ht="8.25" customHeight="1" x14ac:dyDescent="0.25">
      <c r="R1681" s="53">
        <v>13</v>
      </c>
      <c r="T1681" s="33">
        <v>46093</v>
      </c>
      <c r="U1681" s="34">
        <v>2026</v>
      </c>
      <c r="V1681" s="35" t="s">
        <v>1348</v>
      </c>
      <c r="W1681" s="35" t="s">
        <v>5</v>
      </c>
      <c r="X1681" s="37" t="s">
        <v>1517</v>
      </c>
      <c r="Y1681" s="36" t="s">
        <v>115</v>
      </c>
      <c r="Z1681" s="30" t="s">
        <v>16</v>
      </c>
      <c r="AA1681" s="30" t="s">
        <v>1050</v>
      </c>
      <c r="AE1681" s="38">
        <v>500</v>
      </c>
      <c r="AF1681" s="76">
        <f t="shared" si="168"/>
        <v>164383.44999999972</v>
      </c>
    </row>
    <row r="1682" spans="7:32" ht="8.25" customHeight="1" x14ac:dyDescent="0.25">
      <c r="R1682" s="53">
        <v>14</v>
      </c>
      <c r="T1682" s="33">
        <v>46093</v>
      </c>
      <c r="U1682" s="34">
        <v>2026</v>
      </c>
      <c r="V1682" s="35" t="s">
        <v>1348</v>
      </c>
      <c r="W1682" s="35" t="s">
        <v>5</v>
      </c>
      <c r="X1682" s="37" t="s">
        <v>1518</v>
      </c>
      <c r="Z1682" s="30" t="s">
        <v>16</v>
      </c>
      <c r="AA1682" s="30" t="s">
        <v>167</v>
      </c>
      <c r="AE1682" s="38">
        <v>1634</v>
      </c>
      <c r="AF1682" s="76">
        <f t="shared" si="168"/>
        <v>162749.44999999972</v>
      </c>
    </row>
    <row r="1683" spans="7:32" ht="8.25" customHeight="1" x14ac:dyDescent="0.25">
      <c r="G1683" s="53">
        <v>10</v>
      </c>
      <c r="T1683" s="33">
        <v>46093</v>
      </c>
      <c r="U1683" s="34">
        <v>2026</v>
      </c>
      <c r="V1683" s="35" t="s">
        <v>1348</v>
      </c>
      <c r="W1683" s="35" t="s">
        <v>2655</v>
      </c>
      <c r="Y1683" s="36" t="s">
        <v>1519</v>
      </c>
      <c r="Z1683" s="30" t="s">
        <v>1409</v>
      </c>
      <c r="AA1683" s="30" t="s">
        <v>3945</v>
      </c>
      <c r="AE1683" s="38">
        <v>12182</v>
      </c>
      <c r="AF1683" s="76">
        <f t="shared" si="168"/>
        <v>150567.44999999972</v>
      </c>
    </row>
    <row r="1684" spans="7:32" ht="8.25" customHeight="1" x14ac:dyDescent="0.25">
      <c r="G1684" s="53">
        <v>11</v>
      </c>
      <c r="T1684" s="33">
        <v>46093</v>
      </c>
      <c r="U1684" s="34">
        <v>2026</v>
      </c>
      <c r="V1684" s="35" t="s">
        <v>1348</v>
      </c>
      <c r="W1684" s="35" t="s">
        <v>2655</v>
      </c>
      <c r="Y1684" s="36" t="s">
        <v>1528</v>
      </c>
      <c r="Z1684" s="30" t="s">
        <v>1529</v>
      </c>
      <c r="AA1684" s="30" t="s">
        <v>3945</v>
      </c>
      <c r="AE1684" s="38">
        <v>900</v>
      </c>
      <c r="AF1684" s="76">
        <f t="shared" si="168"/>
        <v>149667.44999999972</v>
      </c>
    </row>
    <row r="1685" spans="7:32" ht="8.25" customHeight="1" x14ac:dyDescent="0.25">
      <c r="G1685" s="53">
        <v>12</v>
      </c>
      <c r="T1685" s="33">
        <v>46093</v>
      </c>
      <c r="U1685" s="34">
        <v>2026</v>
      </c>
      <c r="V1685" s="35" t="s">
        <v>1348</v>
      </c>
      <c r="W1685" s="35" t="s">
        <v>2655</v>
      </c>
      <c r="Y1685" s="36" t="s">
        <v>1530</v>
      </c>
      <c r="Z1685" s="30" t="s">
        <v>1529</v>
      </c>
      <c r="AA1685" s="30" t="s">
        <v>3945</v>
      </c>
      <c r="AE1685" s="38">
        <v>765</v>
      </c>
      <c r="AF1685" s="76">
        <f t="shared" si="168"/>
        <v>148902.44999999972</v>
      </c>
    </row>
    <row r="1686" spans="7:32" ht="8.25" customHeight="1" x14ac:dyDescent="0.25">
      <c r="G1686" s="53">
        <v>13</v>
      </c>
      <c r="T1686" s="33">
        <v>46093</v>
      </c>
      <c r="U1686" s="34">
        <v>2026</v>
      </c>
      <c r="V1686" s="35" t="s">
        <v>1348</v>
      </c>
      <c r="W1686" s="35" t="s">
        <v>2655</v>
      </c>
      <c r="Y1686" s="36" t="s">
        <v>1531</v>
      </c>
      <c r="Z1686" s="30" t="s">
        <v>1532</v>
      </c>
      <c r="AA1686" s="30" t="s">
        <v>3945</v>
      </c>
      <c r="AE1686" s="38">
        <v>707</v>
      </c>
      <c r="AF1686" s="76">
        <f t="shared" si="168"/>
        <v>148195.44999999972</v>
      </c>
    </row>
    <row r="1687" spans="7:32" ht="8.25" customHeight="1" x14ac:dyDescent="0.25">
      <c r="AA1687" s="75" t="s">
        <v>257</v>
      </c>
      <c r="AD1687" s="76">
        <f>SUM(AD1668:AD1679)</f>
        <v>49982</v>
      </c>
      <c r="AE1687" s="76">
        <f>SUM(AE1680:AE1686)</f>
        <v>31688</v>
      </c>
      <c r="AF1687" s="76">
        <f>AF1667+AD1687-AE1687</f>
        <v>148195.44999999972</v>
      </c>
    </row>
    <row r="1688" spans="7:32" ht="8.25" customHeight="1" x14ac:dyDescent="0.25">
      <c r="AF1688" s="30"/>
    </row>
    <row r="1689" spans="7:32" ht="8.25" customHeight="1" x14ac:dyDescent="0.25">
      <c r="X1689" s="109"/>
      <c r="Y1689" s="67" t="s">
        <v>214</v>
      </c>
      <c r="Z1689" s="68"/>
      <c r="AA1689" s="75"/>
    </row>
    <row r="1690" spans="7:32" ht="8.25" customHeight="1" x14ac:dyDescent="0.25">
      <c r="X1690" s="110" t="s">
        <v>1959</v>
      </c>
      <c r="Y1690" s="111">
        <v>200</v>
      </c>
      <c r="Z1690" s="111">
        <f t="shared" ref="Z1690:Z1695" si="169">X1690*Y1690</f>
        <v>45000</v>
      </c>
      <c r="AA1690" s="112"/>
    </row>
    <row r="1691" spans="7:32" ht="8.25" customHeight="1" x14ac:dyDescent="0.25">
      <c r="X1691" s="110" t="s">
        <v>1960</v>
      </c>
      <c r="Y1691" s="111">
        <v>100</v>
      </c>
      <c r="Z1691" s="111">
        <f t="shared" si="169"/>
        <v>101500</v>
      </c>
      <c r="AA1691" s="112"/>
    </row>
    <row r="1692" spans="7:32" ht="8.25" customHeight="1" x14ac:dyDescent="0.25">
      <c r="X1692" s="110"/>
      <c r="Y1692" s="111">
        <v>50</v>
      </c>
      <c r="Z1692" s="111">
        <f t="shared" si="169"/>
        <v>0</v>
      </c>
      <c r="AA1692" s="76"/>
    </row>
    <row r="1693" spans="7:32" ht="8.25" customHeight="1" x14ac:dyDescent="0.25">
      <c r="X1693" s="110" t="s">
        <v>222</v>
      </c>
      <c r="Y1693" s="111">
        <v>20</v>
      </c>
      <c r="Z1693" s="111">
        <f t="shared" si="169"/>
        <v>20</v>
      </c>
      <c r="AA1693" s="38"/>
    </row>
    <row r="1694" spans="7:32" ht="8.25" customHeight="1" x14ac:dyDescent="0.25">
      <c r="X1694" s="110"/>
      <c r="Y1694" s="111">
        <v>10</v>
      </c>
      <c r="Z1694" s="111">
        <f t="shared" si="169"/>
        <v>0</v>
      </c>
      <c r="AA1694" s="112"/>
    </row>
    <row r="1695" spans="7:32" ht="8.25" customHeight="1" x14ac:dyDescent="0.25">
      <c r="X1695" s="110" t="s">
        <v>648</v>
      </c>
      <c r="Y1695" s="111">
        <v>5</v>
      </c>
      <c r="Z1695" s="111">
        <f t="shared" si="169"/>
        <v>455</v>
      </c>
      <c r="AA1695" s="112"/>
    </row>
    <row r="1696" spans="7:32" ht="8.25" customHeight="1" x14ac:dyDescent="0.25">
      <c r="X1696" s="269">
        <v>0</v>
      </c>
      <c r="Y1696" s="270"/>
      <c r="Z1696" s="271"/>
      <c r="AA1696" s="38"/>
    </row>
    <row r="1697" spans="14:32" ht="8.25" customHeight="1" x14ac:dyDescent="0.25">
      <c r="X1697" s="110" t="s">
        <v>1961</v>
      </c>
      <c r="Y1697" s="111">
        <v>1</v>
      </c>
      <c r="Z1697" s="111">
        <f t="shared" ref="Z1697:Z1702" si="170">X1697*Y1697</f>
        <v>1137</v>
      </c>
      <c r="AA1697" s="76"/>
    </row>
    <row r="1698" spans="14:32" ht="8.25" customHeight="1" x14ac:dyDescent="0.25">
      <c r="X1698" s="110" t="s">
        <v>651</v>
      </c>
      <c r="Y1698" s="111">
        <v>0.5</v>
      </c>
      <c r="Z1698" s="111">
        <f t="shared" si="170"/>
        <v>39.5</v>
      </c>
      <c r="AA1698" s="112"/>
    </row>
    <row r="1699" spans="14:32" ht="8.25" customHeight="1" x14ac:dyDescent="0.25">
      <c r="X1699" s="110" t="s">
        <v>1512</v>
      </c>
      <c r="Y1699" s="111">
        <v>0.25</v>
      </c>
      <c r="Z1699" s="111">
        <f t="shared" si="170"/>
        <v>43.75</v>
      </c>
      <c r="AA1699" s="113"/>
    </row>
    <row r="1700" spans="14:32" ht="8.25" customHeight="1" x14ac:dyDescent="0.25">
      <c r="X1700" s="110"/>
      <c r="Y1700" s="111">
        <v>0.1</v>
      </c>
      <c r="Z1700" s="111">
        <f t="shared" si="170"/>
        <v>0</v>
      </c>
      <c r="AA1700" s="114" t="s">
        <v>219</v>
      </c>
    </row>
    <row r="1701" spans="14:32" ht="8.25" customHeight="1" thickBot="1" x14ac:dyDescent="0.3">
      <c r="X1701" s="110" t="s">
        <v>299</v>
      </c>
      <c r="Y1701" s="111">
        <v>0.05</v>
      </c>
      <c r="Z1701" s="111">
        <f t="shared" si="170"/>
        <v>0.2</v>
      </c>
      <c r="AA1701" s="115">
        <f>SUM(Z1690:Z1695)+Z1697+Z1698+Z1699+Z1700+Z1701+Z1702</f>
        <v>148195.45000000001</v>
      </c>
    </row>
    <row r="1702" spans="14:32" ht="8.25" customHeight="1" thickTop="1" x14ac:dyDescent="0.25">
      <c r="X1702" s="110"/>
      <c r="Y1702" s="111">
        <v>0.01</v>
      </c>
      <c r="Z1702" s="111">
        <f t="shared" si="170"/>
        <v>0</v>
      </c>
    </row>
    <row r="1704" spans="14:32" ht="8.25" customHeight="1" x14ac:dyDescent="0.25">
      <c r="Z1704" s="231" t="s">
        <v>1376</v>
      </c>
      <c r="AF1704" s="76">
        <f>AF1687</f>
        <v>148195.44999999972</v>
      </c>
    </row>
    <row r="1705" spans="14:32" ht="8.25" customHeight="1" x14ac:dyDescent="0.15">
      <c r="N1705" s="52">
        <v>26</v>
      </c>
      <c r="T1705" s="33">
        <v>46094</v>
      </c>
      <c r="U1705" s="34">
        <v>2026</v>
      </c>
      <c r="V1705" s="35" t="s">
        <v>1348</v>
      </c>
      <c r="W1705" s="35" t="s">
        <v>17</v>
      </c>
      <c r="X1705" s="37" t="s">
        <v>1537</v>
      </c>
      <c r="Y1705" s="37" t="s">
        <v>433</v>
      </c>
      <c r="Z1705" s="36" t="s">
        <v>1538</v>
      </c>
      <c r="AA1705" s="30" t="s">
        <v>3899</v>
      </c>
      <c r="AB1705" s="134"/>
      <c r="AC1705" s="30"/>
      <c r="AD1705" s="236">
        <v>11023.54</v>
      </c>
      <c r="AF1705" s="76">
        <f>AF1704+AD1705-AE1705</f>
        <v>159218.98999999973</v>
      </c>
    </row>
    <row r="1706" spans="14:32" ht="8.25" customHeight="1" x14ac:dyDescent="0.15">
      <c r="N1706" s="52">
        <v>26</v>
      </c>
      <c r="T1706" s="33">
        <v>46094</v>
      </c>
      <c r="U1706" s="34">
        <v>2026</v>
      </c>
      <c r="V1706" s="35" t="s">
        <v>1348</v>
      </c>
      <c r="W1706" s="35" t="s">
        <v>17</v>
      </c>
      <c r="X1706" s="37" t="s">
        <v>1537</v>
      </c>
      <c r="Y1706" s="37" t="s">
        <v>433</v>
      </c>
      <c r="Z1706" s="36" t="s">
        <v>1538</v>
      </c>
      <c r="AA1706" s="134" t="s">
        <v>166</v>
      </c>
      <c r="AB1706" s="134"/>
      <c r="AC1706" s="30"/>
      <c r="AD1706" s="236">
        <v>3976.46</v>
      </c>
      <c r="AF1706" s="76">
        <f t="shared" ref="AF1706:AF1742" si="171">AF1705+AD1706-AE1706</f>
        <v>163195.44999999972</v>
      </c>
    </row>
    <row r="1707" spans="14:32" ht="8.25" customHeight="1" x14ac:dyDescent="0.25">
      <c r="N1707" s="52">
        <v>27</v>
      </c>
      <c r="T1707" s="33">
        <v>46094</v>
      </c>
      <c r="U1707" s="34">
        <v>2026</v>
      </c>
      <c r="V1707" s="35" t="s">
        <v>1348</v>
      </c>
      <c r="W1707" s="35" t="s">
        <v>17</v>
      </c>
      <c r="X1707" s="37" t="s">
        <v>1539</v>
      </c>
      <c r="Y1707" s="36" t="s">
        <v>942</v>
      </c>
      <c r="Z1707" s="30" t="s">
        <v>1540</v>
      </c>
      <c r="AA1707" s="30" t="s">
        <v>3899</v>
      </c>
      <c r="AD1707" s="38">
        <v>7155.19</v>
      </c>
      <c r="AF1707" s="76">
        <f t="shared" si="171"/>
        <v>170350.63999999972</v>
      </c>
    </row>
    <row r="1708" spans="14:32" ht="8.25" customHeight="1" x14ac:dyDescent="0.15">
      <c r="N1708" s="52">
        <v>27</v>
      </c>
      <c r="T1708" s="33">
        <v>46094</v>
      </c>
      <c r="U1708" s="34">
        <v>2026</v>
      </c>
      <c r="V1708" s="35" t="s">
        <v>1348</v>
      </c>
      <c r="W1708" s="35" t="s">
        <v>17</v>
      </c>
      <c r="X1708" s="37" t="s">
        <v>1539</v>
      </c>
      <c r="Y1708" s="36" t="s">
        <v>942</v>
      </c>
      <c r="Z1708" s="30" t="s">
        <v>1540</v>
      </c>
      <c r="AA1708" s="134" t="s">
        <v>166</v>
      </c>
      <c r="AD1708" s="38">
        <v>6144.81</v>
      </c>
      <c r="AF1708" s="76">
        <f t="shared" si="171"/>
        <v>176495.44999999972</v>
      </c>
    </row>
    <row r="1709" spans="14:32" ht="8.25" customHeight="1" x14ac:dyDescent="0.25">
      <c r="N1709" s="52">
        <v>28</v>
      </c>
      <c r="T1709" s="33">
        <v>46094</v>
      </c>
      <c r="U1709" s="34">
        <v>2026</v>
      </c>
      <c r="V1709" s="35" t="s">
        <v>1348</v>
      </c>
      <c r="W1709" s="35" t="s">
        <v>17</v>
      </c>
      <c r="X1709" s="37" t="s">
        <v>1541</v>
      </c>
      <c r="Y1709" s="36" t="s">
        <v>436</v>
      </c>
      <c r="Z1709" s="30" t="s">
        <v>1542</v>
      </c>
      <c r="AA1709" s="30" t="s">
        <v>3899</v>
      </c>
      <c r="AD1709" s="38">
        <v>7331.54</v>
      </c>
      <c r="AF1709" s="76">
        <f t="shared" si="171"/>
        <v>183826.98999999973</v>
      </c>
    </row>
    <row r="1710" spans="14:32" ht="8.25" customHeight="1" x14ac:dyDescent="0.15">
      <c r="N1710" s="52">
        <v>28</v>
      </c>
      <c r="T1710" s="33">
        <v>46094</v>
      </c>
      <c r="U1710" s="34">
        <v>2026</v>
      </c>
      <c r="V1710" s="35" t="s">
        <v>1348</v>
      </c>
      <c r="W1710" s="35" t="s">
        <v>17</v>
      </c>
      <c r="X1710" s="37" t="s">
        <v>1541</v>
      </c>
      <c r="Y1710" s="36" t="s">
        <v>436</v>
      </c>
      <c r="Z1710" s="30" t="s">
        <v>1542</v>
      </c>
      <c r="AA1710" s="134" t="s">
        <v>166</v>
      </c>
      <c r="AD1710" s="38">
        <v>5668.46</v>
      </c>
      <c r="AF1710" s="76">
        <f t="shared" si="171"/>
        <v>189495.44999999972</v>
      </c>
    </row>
    <row r="1711" spans="14:32" ht="8.25" customHeight="1" x14ac:dyDescent="0.25">
      <c r="N1711" s="52">
        <v>29</v>
      </c>
      <c r="T1711" s="33">
        <v>46094</v>
      </c>
      <c r="U1711" s="34">
        <v>2026</v>
      </c>
      <c r="V1711" s="35" t="s">
        <v>1348</v>
      </c>
      <c r="W1711" s="35" t="s">
        <v>17</v>
      </c>
      <c r="X1711" s="37" t="s">
        <v>1543</v>
      </c>
      <c r="Y1711" s="36" t="s">
        <v>414</v>
      </c>
      <c r="Z1711" s="30" t="s">
        <v>415</v>
      </c>
      <c r="AA1711" s="30" t="s">
        <v>3899</v>
      </c>
      <c r="AD1711" s="38">
        <v>7842.53</v>
      </c>
      <c r="AF1711" s="76">
        <f t="shared" si="171"/>
        <v>197337.97999999972</v>
      </c>
    </row>
    <row r="1712" spans="14:32" ht="8.25" customHeight="1" x14ac:dyDescent="0.15">
      <c r="N1712" s="52">
        <v>29</v>
      </c>
      <c r="T1712" s="33">
        <v>46094</v>
      </c>
      <c r="U1712" s="34">
        <v>2026</v>
      </c>
      <c r="V1712" s="35" t="s">
        <v>1348</v>
      </c>
      <c r="W1712" s="35" t="s">
        <v>17</v>
      </c>
      <c r="X1712" s="37" t="s">
        <v>1543</v>
      </c>
      <c r="Y1712" s="36" t="s">
        <v>414</v>
      </c>
      <c r="Z1712" s="30" t="s">
        <v>415</v>
      </c>
      <c r="AA1712" s="134" t="s">
        <v>166</v>
      </c>
      <c r="AD1712" s="38">
        <v>4157.47</v>
      </c>
      <c r="AF1712" s="76">
        <f t="shared" si="171"/>
        <v>201495.44999999972</v>
      </c>
    </row>
    <row r="1713" spans="9:32" ht="8.25" customHeight="1" x14ac:dyDescent="0.25">
      <c r="N1713" s="52">
        <v>30</v>
      </c>
      <c r="T1713" s="33">
        <v>46094</v>
      </c>
      <c r="U1713" s="34">
        <v>2026</v>
      </c>
      <c r="V1713" s="35" t="s">
        <v>1348</v>
      </c>
      <c r="W1713" s="35" t="s">
        <v>17</v>
      </c>
      <c r="X1713" s="37" t="s">
        <v>1544</v>
      </c>
      <c r="Y1713" s="36" t="s">
        <v>407</v>
      </c>
      <c r="Z1713" s="30" t="s">
        <v>408</v>
      </c>
      <c r="AA1713" s="30" t="s">
        <v>3899</v>
      </c>
      <c r="AD1713" s="38">
        <v>6625.37</v>
      </c>
      <c r="AF1713" s="76">
        <f t="shared" si="171"/>
        <v>208120.81999999972</v>
      </c>
    </row>
    <row r="1714" spans="9:32" ht="8.25" customHeight="1" x14ac:dyDescent="0.15">
      <c r="N1714" s="52">
        <v>30</v>
      </c>
      <c r="T1714" s="33">
        <v>46094</v>
      </c>
      <c r="U1714" s="34">
        <v>2026</v>
      </c>
      <c r="V1714" s="35" t="s">
        <v>1348</v>
      </c>
      <c r="W1714" s="35" t="s">
        <v>17</v>
      </c>
      <c r="X1714" s="37" t="s">
        <v>1544</v>
      </c>
      <c r="Y1714" s="36" t="s">
        <v>407</v>
      </c>
      <c r="Z1714" s="30" t="s">
        <v>408</v>
      </c>
      <c r="AA1714" s="134" t="s">
        <v>166</v>
      </c>
      <c r="AD1714" s="38">
        <v>3374.63</v>
      </c>
      <c r="AF1714" s="76">
        <f t="shared" si="171"/>
        <v>211495.44999999972</v>
      </c>
    </row>
    <row r="1715" spans="9:32" ht="8.25" customHeight="1" x14ac:dyDescent="0.25">
      <c r="N1715" s="52">
        <v>31</v>
      </c>
      <c r="T1715" s="33">
        <v>46094</v>
      </c>
      <c r="U1715" s="34">
        <v>2026</v>
      </c>
      <c r="V1715" s="35" t="s">
        <v>1348</v>
      </c>
      <c r="W1715" s="35" t="s">
        <v>17</v>
      </c>
      <c r="X1715" s="37" t="s">
        <v>1545</v>
      </c>
      <c r="Y1715" s="36" t="s">
        <v>1546</v>
      </c>
      <c r="Z1715" s="30" t="s">
        <v>1547</v>
      </c>
      <c r="AA1715" s="30" t="s">
        <v>3899</v>
      </c>
      <c r="AD1715" s="38">
        <v>7202.78</v>
      </c>
      <c r="AF1715" s="76">
        <f t="shared" si="171"/>
        <v>218698.22999999972</v>
      </c>
    </row>
    <row r="1716" spans="9:32" ht="8.25" customHeight="1" x14ac:dyDescent="0.15">
      <c r="N1716" s="52">
        <v>31</v>
      </c>
      <c r="T1716" s="33">
        <v>46094</v>
      </c>
      <c r="U1716" s="34">
        <v>2026</v>
      </c>
      <c r="V1716" s="35" t="s">
        <v>1348</v>
      </c>
      <c r="W1716" s="35" t="s">
        <v>17</v>
      </c>
      <c r="X1716" s="37" t="s">
        <v>1545</v>
      </c>
      <c r="Y1716" s="36" t="s">
        <v>1546</v>
      </c>
      <c r="Z1716" s="30" t="s">
        <v>1547</v>
      </c>
      <c r="AA1716" s="134" t="s">
        <v>166</v>
      </c>
      <c r="AD1716" s="38">
        <v>8742.2199999999993</v>
      </c>
      <c r="AF1716" s="76">
        <f t="shared" si="171"/>
        <v>227440.44999999972</v>
      </c>
    </row>
    <row r="1717" spans="9:32" ht="8.25" customHeight="1" x14ac:dyDescent="0.25">
      <c r="N1717" s="52">
        <v>31</v>
      </c>
      <c r="T1717" s="33">
        <v>46094</v>
      </c>
      <c r="U1717" s="34">
        <v>2026</v>
      </c>
      <c r="V1717" s="35" t="s">
        <v>1348</v>
      </c>
      <c r="W1717" s="35" t="s">
        <v>17</v>
      </c>
      <c r="X1717" s="37" t="s">
        <v>1545</v>
      </c>
      <c r="Y1717" s="36" t="s">
        <v>1546</v>
      </c>
      <c r="Z1717" s="30" t="s">
        <v>1547</v>
      </c>
      <c r="AA1717" s="30" t="s">
        <v>3305</v>
      </c>
      <c r="AD1717" s="38">
        <v>55</v>
      </c>
      <c r="AF1717" s="76">
        <f t="shared" si="171"/>
        <v>227495.44999999972</v>
      </c>
    </row>
    <row r="1718" spans="9:32" ht="8.25" customHeight="1" x14ac:dyDescent="0.25">
      <c r="N1718" s="52">
        <v>32</v>
      </c>
      <c r="T1718" s="33">
        <v>46094</v>
      </c>
      <c r="U1718" s="34">
        <v>2026</v>
      </c>
      <c r="V1718" s="35" t="s">
        <v>1348</v>
      </c>
      <c r="W1718" s="35" t="s">
        <v>17</v>
      </c>
      <c r="X1718" s="37" t="s">
        <v>1548</v>
      </c>
      <c r="Y1718" s="36" t="s">
        <v>1549</v>
      </c>
      <c r="Z1718" s="30" t="s">
        <v>1550</v>
      </c>
      <c r="AA1718" s="30" t="s">
        <v>3899</v>
      </c>
      <c r="AD1718" s="38">
        <v>7202.78</v>
      </c>
      <c r="AF1718" s="76">
        <f t="shared" si="171"/>
        <v>234698.22999999972</v>
      </c>
    </row>
    <row r="1719" spans="9:32" ht="8.25" customHeight="1" x14ac:dyDescent="0.15">
      <c r="N1719" s="52">
        <v>32</v>
      </c>
      <c r="T1719" s="33">
        <v>46094</v>
      </c>
      <c r="U1719" s="34">
        <v>2026</v>
      </c>
      <c r="V1719" s="35" t="s">
        <v>1348</v>
      </c>
      <c r="W1719" s="35" t="s">
        <v>17</v>
      </c>
      <c r="X1719" s="37" t="s">
        <v>1548</v>
      </c>
      <c r="Y1719" s="36" t="s">
        <v>1549</v>
      </c>
      <c r="Z1719" s="30" t="s">
        <v>1550</v>
      </c>
      <c r="AA1719" s="134" t="s">
        <v>166</v>
      </c>
      <c r="AD1719" s="38">
        <v>8742.2199999999993</v>
      </c>
      <c r="AF1719" s="76">
        <f t="shared" si="171"/>
        <v>243440.44999999972</v>
      </c>
    </row>
    <row r="1720" spans="9:32" ht="8.25" customHeight="1" x14ac:dyDescent="0.25">
      <c r="N1720" s="52">
        <v>32</v>
      </c>
      <c r="T1720" s="33">
        <v>46094</v>
      </c>
      <c r="U1720" s="34">
        <v>2026</v>
      </c>
      <c r="V1720" s="35" t="s">
        <v>1348</v>
      </c>
      <c r="W1720" s="35" t="s">
        <v>17</v>
      </c>
      <c r="X1720" s="37" t="s">
        <v>1548</v>
      </c>
      <c r="Y1720" s="36" t="s">
        <v>1549</v>
      </c>
      <c r="Z1720" s="30" t="s">
        <v>1550</v>
      </c>
      <c r="AA1720" s="30" t="s">
        <v>3305</v>
      </c>
      <c r="AD1720" s="38">
        <v>55</v>
      </c>
      <c r="AF1720" s="76">
        <f t="shared" si="171"/>
        <v>243495.44999999972</v>
      </c>
    </row>
    <row r="1721" spans="9:32" ht="8.25" customHeight="1" x14ac:dyDescent="0.25">
      <c r="N1721" s="52">
        <v>33</v>
      </c>
      <c r="T1721" s="33">
        <v>46094</v>
      </c>
      <c r="U1721" s="34">
        <v>2026</v>
      </c>
      <c r="V1721" s="35" t="s">
        <v>1348</v>
      </c>
      <c r="W1721" s="35" t="s">
        <v>17</v>
      </c>
      <c r="X1721" s="37" t="s">
        <v>1551</v>
      </c>
      <c r="Y1721" s="36" t="s">
        <v>1552</v>
      </c>
      <c r="Z1721" s="30" t="s">
        <v>1553</v>
      </c>
      <c r="AA1721" s="30" t="s">
        <v>3899</v>
      </c>
      <c r="AD1721" s="38">
        <v>4743.54</v>
      </c>
      <c r="AF1721" s="76">
        <f t="shared" si="171"/>
        <v>248238.98999999973</v>
      </c>
    </row>
    <row r="1722" spans="9:32" ht="8.25" customHeight="1" x14ac:dyDescent="0.15">
      <c r="N1722" s="52">
        <v>33</v>
      </c>
      <c r="T1722" s="33">
        <v>46094</v>
      </c>
      <c r="U1722" s="34">
        <v>2026</v>
      </c>
      <c r="V1722" s="35" t="s">
        <v>1348</v>
      </c>
      <c r="W1722" s="35" t="s">
        <v>17</v>
      </c>
      <c r="X1722" s="37" t="s">
        <v>1551</v>
      </c>
      <c r="Y1722" s="36" t="s">
        <v>1552</v>
      </c>
      <c r="Z1722" s="30" t="s">
        <v>1553</v>
      </c>
      <c r="AA1722" s="134" t="s">
        <v>166</v>
      </c>
      <c r="AD1722" s="38">
        <v>6276.46</v>
      </c>
      <c r="AF1722" s="76">
        <f t="shared" si="171"/>
        <v>254515.44999999972</v>
      </c>
    </row>
    <row r="1723" spans="9:32" ht="8.25" customHeight="1" x14ac:dyDescent="0.15">
      <c r="K1723" s="52">
        <v>5</v>
      </c>
      <c r="T1723" s="33">
        <v>46094</v>
      </c>
      <c r="U1723" s="34">
        <v>2026</v>
      </c>
      <c r="V1723" s="35" t="s">
        <v>1348</v>
      </c>
      <c r="W1723" s="35" t="s">
        <v>17</v>
      </c>
      <c r="X1723" s="37" t="s">
        <v>1554</v>
      </c>
      <c r="Y1723" s="36" t="s">
        <v>1555</v>
      </c>
      <c r="Z1723" s="30" t="s">
        <v>1556</v>
      </c>
      <c r="AA1723" s="136" t="s">
        <v>1788</v>
      </c>
      <c r="AD1723" s="38">
        <v>100</v>
      </c>
      <c r="AF1723" s="76">
        <f t="shared" si="171"/>
        <v>254615.44999999972</v>
      </c>
    </row>
    <row r="1724" spans="9:32" ht="8.25" customHeight="1" x14ac:dyDescent="0.25">
      <c r="L1724" s="52">
        <v>5</v>
      </c>
      <c r="T1724" s="33">
        <v>46094</v>
      </c>
      <c r="U1724" s="34">
        <v>2026</v>
      </c>
      <c r="V1724" s="35" t="s">
        <v>1348</v>
      </c>
      <c r="W1724" s="35" t="s">
        <v>17</v>
      </c>
      <c r="X1724" s="37" t="s">
        <v>1557</v>
      </c>
      <c r="Y1724" s="36" t="s">
        <v>120</v>
      </c>
      <c r="Z1724" s="30" t="s">
        <v>1556</v>
      </c>
      <c r="AA1724" s="30" t="s">
        <v>373</v>
      </c>
      <c r="AD1724" s="38">
        <v>50</v>
      </c>
      <c r="AF1724" s="76">
        <f t="shared" si="171"/>
        <v>254665.44999999972</v>
      </c>
    </row>
    <row r="1725" spans="9:32" ht="8.25" customHeight="1" x14ac:dyDescent="0.15">
      <c r="K1725" s="52">
        <v>6</v>
      </c>
      <c r="T1725" s="33">
        <v>46094</v>
      </c>
      <c r="U1725" s="34">
        <v>2026</v>
      </c>
      <c r="V1725" s="35" t="s">
        <v>1348</v>
      </c>
      <c r="W1725" s="35" t="s">
        <v>17</v>
      </c>
      <c r="X1725" s="37" t="s">
        <v>1558</v>
      </c>
      <c r="Y1725" s="36" t="s">
        <v>1559</v>
      </c>
      <c r="Z1725" s="30" t="s">
        <v>1560</v>
      </c>
      <c r="AA1725" s="136" t="s">
        <v>1788</v>
      </c>
      <c r="AD1725" s="38">
        <v>100</v>
      </c>
      <c r="AF1725" s="76">
        <f t="shared" si="171"/>
        <v>254765.44999999972</v>
      </c>
    </row>
    <row r="1726" spans="9:32" ht="8.25" customHeight="1" x14ac:dyDescent="0.25">
      <c r="L1726" s="52">
        <v>6</v>
      </c>
      <c r="T1726" s="33">
        <v>46094</v>
      </c>
      <c r="U1726" s="34">
        <v>2026</v>
      </c>
      <c r="V1726" s="35" t="s">
        <v>1348</v>
      </c>
      <c r="W1726" s="35" t="s">
        <v>17</v>
      </c>
      <c r="X1726" s="37" t="s">
        <v>1561</v>
      </c>
      <c r="Y1726" s="36" t="s">
        <v>120</v>
      </c>
      <c r="Z1726" s="30" t="s">
        <v>1560</v>
      </c>
      <c r="AA1726" s="30" t="s">
        <v>373</v>
      </c>
      <c r="AD1726" s="38">
        <v>50</v>
      </c>
      <c r="AF1726" s="76">
        <f t="shared" si="171"/>
        <v>254815.44999999972</v>
      </c>
    </row>
    <row r="1727" spans="9:32" ht="8.25" customHeight="1" x14ac:dyDescent="0.25">
      <c r="I1727" s="52">
        <v>14</v>
      </c>
      <c r="T1727" s="33">
        <v>46094</v>
      </c>
      <c r="U1727" s="34">
        <v>2026</v>
      </c>
      <c r="V1727" s="35" t="s">
        <v>1348</v>
      </c>
      <c r="W1727" s="35" t="s">
        <v>17</v>
      </c>
      <c r="X1727" s="37" t="s">
        <v>1562</v>
      </c>
      <c r="Y1727" s="36" t="s">
        <v>1563</v>
      </c>
      <c r="Z1727" s="30" t="s">
        <v>1560</v>
      </c>
      <c r="AA1727" s="30" t="s">
        <v>13</v>
      </c>
      <c r="AD1727" s="38">
        <v>350</v>
      </c>
      <c r="AF1727" s="76">
        <f t="shared" si="171"/>
        <v>255165.44999999972</v>
      </c>
    </row>
    <row r="1728" spans="9:32" ht="8.25" customHeight="1" x14ac:dyDescent="0.25">
      <c r="I1728" s="52">
        <v>15</v>
      </c>
      <c r="T1728" s="33">
        <v>46094</v>
      </c>
      <c r="U1728" s="34">
        <v>2026</v>
      </c>
      <c r="V1728" s="35" t="s">
        <v>1348</v>
      </c>
      <c r="W1728" s="35" t="s">
        <v>17</v>
      </c>
      <c r="X1728" s="37" t="s">
        <v>1571</v>
      </c>
      <c r="Y1728" s="36" t="s">
        <v>1572</v>
      </c>
      <c r="Z1728" s="30" t="s">
        <v>1573</v>
      </c>
      <c r="AA1728" s="30" t="s">
        <v>13</v>
      </c>
      <c r="AD1728" s="38">
        <v>20000</v>
      </c>
      <c r="AF1728" s="76">
        <f t="shared" si="171"/>
        <v>275165.44999999972</v>
      </c>
    </row>
    <row r="1729" spans="3:32" ht="8.25" customHeight="1" x14ac:dyDescent="0.25">
      <c r="M1729" s="52">
        <v>6</v>
      </c>
      <c r="T1729" s="33">
        <v>46094</v>
      </c>
      <c r="U1729" s="34">
        <v>2026</v>
      </c>
      <c r="V1729" s="35" t="s">
        <v>1348</v>
      </c>
      <c r="W1729" s="35" t="s">
        <v>17</v>
      </c>
      <c r="X1729" s="37" t="s">
        <v>1574</v>
      </c>
      <c r="Y1729" s="36" t="s">
        <v>120</v>
      </c>
      <c r="Z1729" s="30" t="s">
        <v>1573</v>
      </c>
      <c r="AA1729" s="30" t="s">
        <v>1058</v>
      </c>
      <c r="AD1729" s="38">
        <v>4000</v>
      </c>
      <c r="AF1729" s="76">
        <f t="shared" si="171"/>
        <v>279165.44999999972</v>
      </c>
    </row>
    <row r="1730" spans="3:32" ht="8.25" customHeight="1" x14ac:dyDescent="0.15">
      <c r="K1730" s="52">
        <v>7</v>
      </c>
      <c r="T1730" s="33">
        <v>46094</v>
      </c>
      <c r="U1730" s="34">
        <v>2026</v>
      </c>
      <c r="V1730" s="35" t="s">
        <v>1348</v>
      </c>
      <c r="W1730" s="35" t="s">
        <v>17</v>
      </c>
      <c r="X1730" s="37" t="s">
        <v>1575</v>
      </c>
      <c r="Y1730" s="36" t="s">
        <v>1576</v>
      </c>
      <c r="Z1730" s="30" t="s">
        <v>1573</v>
      </c>
      <c r="AA1730" s="136" t="s">
        <v>1788</v>
      </c>
      <c r="AD1730" s="38">
        <v>100</v>
      </c>
      <c r="AF1730" s="76">
        <f t="shared" si="171"/>
        <v>279265.44999999972</v>
      </c>
    </row>
    <row r="1731" spans="3:32" ht="8.25" customHeight="1" x14ac:dyDescent="0.25">
      <c r="L1731" s="52">
        <v>7</v>
      </c>
      <c r="T1731" s="33">
        <v>46094</v>
      </c>
      <c r="U1731" s="34">
        <v>2026</v>
      </c>
      <c r="V1731" s="35" t="s">
        <v>1348</v>
      </c>
      <c r="W1731" s="35" t="s">
        <v>17</v>
      </c>
      <c r="X1731" s="37" t="s">
        <v>1577</v>
      </c>
      <c r="Y1731" s="36" t="s">
        <v>120</v>
      </c>
      <c r="Z1731" s="30" t="s">
        <v>1573</v>
      </c>
      <c r="AA1731" s="30" t="s">
        <v>373</v>
      </c>
      <c r="AD1731" s="38">
        <v>50</v>
      </c>
      <c r="AF1731" s="76">
        <f t="shared" si="171"/>
        <v>279315.44999999972</v>
      </c>
    </row>
    <row r="1732" spans="3:32" ht="8.25" customHeight="1" x14ac:dyDescent="0.15">
      <c r="K1732" s="52">
        <v>8</v>
      </c>
      <c r="T1732" s="33">
        <v>46094</v>
      </c>
      <c r="U1732" s="34">
        <v>2026</v>
      </c>
      <c r="V1732" s="35" t="s">
        <v>1348</v>
      </c>
      <c r="W1732" s="35" t="s">
        <v>17</v>
      </c>
      <c r="X1732" s="37" t="s">
        <v>1578</v>
      </c>
      <c r="Y1732" s="36" t="s">
        <v>1579</v>
      </c>
      <c r="Z1732" s="30" t="s">
        <v>1580</v>
      </c>
      <c r="AA1732" s="136" t="s">
        <v>1788</v>
      </c>
      <c r="AD1732" s="38">
        <v>100</v>
      </c>
      <c r="AF1732" s="76">
        <f t="shared" si="171"/>
        <v>279415.44999999972</v>
      </c>
    </row>
    <row r="1733" spans="3:32" ht="8.25" customHeight="1" x14ac:dyDescent="0.25">
      <c r="L1733" s="52">
        <v>8</v>
      </c>
      <c r="T1733" s="33">
        <v>46094</v>
      </c>
      <c r="U1733" s="34">
        <v>2026</v>
      </c>
      <c r="V1733" s="35" t="s">
        <v>1348</v>
      </c>
      <c r="W1733" s="35" t="s">
        <v>17</v>
      </c>
      <c r="X1733" s="37" t="s">
        <v>1581</v>
      </c>
      <c r="Y1733" s="36" t="s">
        <v>120</v>
      </c>
      <c r="Z1733" s="30" t="s">
        <v>1580</v>
      </c>
      <c r="AA1733" s="30" t="s">
        <v>373</v>
      </c>
      <c r="AD1733" s="38">
        <v>50</v>
      </c>
      <c r="AF1733" s="76">
        <f t="shared" si="171"/>
        <v>279465.44999999972</v>
      </c>
    </row>
    <row r="1734" spans="3:32" ht="8.25" customHeight="1" x14ac:dyDescent="0.25">
      <c r="N1734" s="52">
        <v>34</v>
      </c>
      <c r="T1734" s="33">
        <v>46094</v>
      </c>
      <c r="U1734" s="34">
        <v>2026</v>
      </c>
      <c r="V1734" s="35" t="s">
        <v>1348</v>
      </c>
      <c r="W1734" s="35" t="s">
        <v>17</v>
      </c>
      <c r="X1734" s="37" t="s">
        <v>1582</v>
      </c>
      <c r="Y1734" s="36" t="s">
        <v>1011</v>
      </c>
      <c r="Z1734" s="30" t="s">
        <v>1583</v>
      </c>
      <c r="AA1734" s="30" t="s">
        <v>3708</v>
      </c>
      <c r="AD1734" s="38">
        <v>490.78</v>
      </c>
      <c r="AF1734" s="76">
        <f t="shared" si="171"/>
        <v>279956.22999999975</v>
      </c>
    </row>
    <row r="1735" spans="3:32" ht="8.25" customHeight="1" x14ac:dyDescent="0.15">
      <c r="N1735" s="52">
        <v>34</v>
      </c>
      <c r="T1735" s="33">
        <v>46094</v>
      </c>
      <c r="U1735" s="34">
        <v>2026</v>
      </c>
      <c r="V1735" s="35" t="s">
        <v>1348</v>
      </c>
      <c r="W1735" s="35" t="s">
        <v>17</v>
      </c>
      <c r="X1735" s="37" t="s">
        <v>1582</v>
      </c>
      <c r="Y1735" s="36" t="s">
        <v>1011</v>
      </c>
      <c r="Z1735" s="30" t="s">
        <v>1583</v>
      </c>
      <c r="AA1735" s="134" t="s">
        <v>183</v>
      </c>
      <c r="AD1735" s="38">
        <v>209.22</v>
      </c>
      <c r="AF1735" s="76">
        <f t="shared" si="171"/>
        <v>280165.44999999972</v>
      </c>
    </row>
    <row r="1736" spans="3:32" ht="8.25" customHeight="1" x14ac:dyDescent="0.25">
      <c r="N1736" s="52">
        <v>35</v>
      </c>
      <c r="T1736" s="33">
        <v>46094</v>
      </c>
      <c r="U1736" s="34">
        <v>2026</v>
      </c>
      <c r="V1736" s="35" t="s">
        <v>1348</v>
      </c>
      <c r="W1736" s="35" t="s">
        <v>17</v>
      </c>
      <c r="X1736" s="37" t="s">
        <v>1584</v>
      </c>
      <c r="Y1736" s="36" t="s">
        <v>1585</v>
      </c>
      <c r="Z1736" s="30" t="s">
        <v>1587</v>
      </c>
      <c r="AA1736" s="30" t="s">
        <v>3708</v>
      </c>
      <c r="AD1736" s="38">
        <v>211.45</v>
      </c>
      <c r="AF1736" s="76">
        <f t="shared" si="171"/>
        <v>280376.89999999973</v>
      </c>
    </row>
    <row r="1737" spans="3:32" ht="8.25" customHeight="1" x14ac:dyDescent="0.15">
      <c r="N1737" s="52">
        <v>35</v>
      </c>
      <c r="T1737" s="33">
        <v>46094</v>
      </c>
      <c r="U1737" s="34">
        <v>2026</v>
      </c>
      <c r="V1737" s="35" t="s">
        <v>1348</v>
      </c>
      <c r="W1737" s="35" t="s">
        <v>17</v>
      </c>
      <c r="X1737" s="37" t="s">
        <v>1584</v>
      </c>
      <c r="Y1737" s="36" t="s">
        <v>1586</v>
      </c>
      <c r="Z1737" s="30" t="s">
        <v>1587</v>
      </c>
      <c r="AA1737" s="134" t="s">
        <v>183</v>
      </c>
      <c r="AD1737" s="38">
        <v>46.55</v>
      </c>
      <c r="AF1737" s="76">
        <f t="shared" si="171"/>
        <v>280423.44999999972</v>
      </c>
    </row>
    <row r="1738" spans="3:32" ht="8.25" customHeight="1" x14ac:dyDescent="0.15">
      <c r="R1738" s="53">
        <v>15</v>
      </c>
      <c r="T1738" s="33">
        <v>46094</v>
      </c>
      <c r="U1738" s="34">
        <v>2026</v>
      </c>
      <c r="V1738" s="35" t="s">
        <v>1588</v>
      </c>
      <c r="W1738" s="35" t="s">
        <v>5</v>
      </c>
      <c r="X1738" s="37" t="s">
        <v>1589</v>
      </c>
      <c r="Y1738" s="36" t="s">
        <v>411</v>
      </c>
      <c r="Z1738" s="30" t="s">
        <v>1450</v>
      </c>
      <c r="AA1738" s="134" t="s">
        <v>399</v>
      </c>
      <c r="AE1738" s="38">
        <v>24000</v>
      </c>
      <c r="AF1738" s="76">
        <f t="shared" si="171"/>
        <v>256423.44999999972</v>
      </c>
    </row>
    <row r="1739" spans="3:32" ht="8.25" customHeight="1" x14ac:dyDescent="0.25">
      <c r="C1739" s="52">
        <v>1</v>
      </c>
      <c r="T1739" s="33">
        <v>46094</v>
      </c>
      <c r="U1739" s="34">
        <v>2026</v>
      </c>
      <c r="V1739" s="35" t="s">
        <v>1348</v>
      </c>
      <c r="W1739" s="35" t="s">
        <v>3620</v>
      </c>
      <c r="Y1739" s="36" t="s">
        <v>1566</v>
      </c>
      <c r="Z1739" s="30" t="s">
        <v>1567</v>
      </c>
      <c r="AA1739" s="30" t="s">
        <v>340</v>
      </c>
      <c r="AD1739" s="38">
        <v>634</v>
      </c>
      <c r="AF1739" s="76">
        <f t="shared" si="171"/>
        <v>257057.44999999972</v>
      </c>
    </row>
    <row r="1740" spans="3:32" ht="8.25" customHeight="1" x14ac:dyDescent="0.25">
      <c r="C1740" s="52">
        <v>2</v>
      </c>
      <c r="T1740" s="33">
        <v>46094</v>
      </c>
      <c r="U1740" s="34">
        <v>2026</v>
      </c>
      <c r="V1740" s="35" t="s">
        <v>1348</v>
      </c>
      <c r="W1740" s="35" t="s">
        <v>3620</v>
      </c>
      <c r="Y1740" s="36" t="s">
        <v>1568</v>
      </c>
      <c r="Z1740" s="30" t="s">
        <v>1569</v>
      </c>
      <c r="AA1740" s="30" t="s">
        <v>340</v>
      </c>
      <c r="AD1740" s="38">
        <v>2512</v>
      </c>
      <c r="AF1740" s="76">
        <f t="shared" si="171"/>
        <v>259569.44999999972</v>
      </c>
    </row>
    <row r="1741" spans="3:32" ht="8.25" customHeight="1" x14ac:dyDescent="0.25">
      <c r="R1741" s="53">
        <v>16</v>
      </c>
      <c r="T1741" s="33">
        <v>46094</v>
      </c>
      <c r="U1741" s="34">
        <v>2026</v>
      </c>
      <c r="V1741" s="35" t="s">
        <v>1348</v>
      </c>
      <c r="W1741" s="35" t="s">
        <v>5</v>
      </c>
      <c r="X1741" s="37" t="s">
        <v>1564</v>
      </c>
      <c r="Y1741" s="36" t="s">
        <v>419</v>
      </c>
      <c r="Z1741" s="30" t="s">
        <v>1565</v>
      </c>
      <c r="AA1741" s="30" t="s">
        <v>1050</v>
      </c>
      <c r="AE1741" s="38">
        <v>200</v>
      </c>
      <c r="AF1741" s="76">
        <f>AF1740+AD1741-AE1741</f>
        <v>259369.44999999972</v>
      </c>
    </row>
    <row r="1742" spans="3:32" ht="8.25" customHeight="1" x14ac:dyDescent="0.25">
      <c r="G1742" s="53">
        <v>14</v>
      </c>
      <c r="T1742" s="33">
        <v>46094</v>
      </c>
      <c r="U1742" s="34">
        <v>2026</v>
      </c>
      <c r="V1742" s="35" t="s">
        <v>1348</v>
      </c>
      <c r="W1742" s="35" t="s">
        <v>2655</v>
      </c>
      <c r="Y1742" s="36" t="s">
        <v>1570</v>
      </c>
      <c r="Z1742" s="30" t="s">
        <v>344</v>
      </c>
      <c r="AA1742" s="30" t="s">
        <v>3945</v>
      </c>
      <c r="AE1742" s="38">
        <v>9984</v>
      </c>
      <c r="AF1742" s="76">
        <f t="shared" si="171"/>
        <v>249385.44999999972</v>
      </c>
    </row>
    <row r="1743" spans="3:32" ht="8.25" customHeight="1" x14ac:dyDescent="0.25">
      <c r="Z1743" s="231"/>
      <c r="AA1743" s="75" t="s">
        <v>257</v>
      </c>
      <c r="AD1743" s="76">
        <f>SUM(AD1705:AD1740)</f>
        <v>135374</v>
      </c>
      <c r="AE1743" s="76">
        <f>SUM(AE1736:AE1742)</f>
        <v>34184</v>
      </c>
      <c r="AF1743" s="76">
        <f>AF1704+AD1743-AE1743</f>
        <v>249385.44999999972</v>
      </c>
    </row>
    <row r="1745" spans="24:32" ht="8.25" customHeight="1" x14ac:dyDescent="0.25">
      <c r="X1745" s="109"/>
      <c r="Y1745" s="67" t="s">
        <v>214</v>
      </c>
      <c r="Z1745" s="68"/>
      <c r="AA1745" s="75"/>
    </row>
    <row r="1746" spans="24:32" ht="8.25" customHeight="1" x14ac:dyDescent="0.25">
      <c r="X1746" s="110" t="s">
        <v>1907</v>
      </c>
      <c r="Y1746" s="111">
        <v>200</v>
      </c>
      <c r="Z1746" s="111">
        <f t="shared" ref="Z1746:Z1751" si="172">X1746*Y1746</f>
        <v>58000</v>
      </c>
      <c r="AA1746" s="112"/>
    </row>
    <row r="1747" spans="24:32" ht="8.25" customHeight="1" x14ac:dyDescent="0.25">
      <c r="X1747" s="110" t="s">
        <v>1962</v>
      </c>
      <c r="Y1747" s="111">
        <v>100</v>
      </c>
      <c r="Z1747" s="111">
        <f t="shared" si="172"/>
        <v>190000</v>
      </c>
      <c r="AA1747" s="112"/>
    </row>
    <row r="1748" spans="24:32" ht="8.25" customHeight="1" x14ac:dyDescent="0.25">
      <c r="X1748" s="110" t="s">
        <v>222</v>
      </c>
      <c r="Y1748" s="111">
        <v>50</v>
      </c>
      <c r="Z1748" s="111">
        <f t="shared" si="172"/>
        <v>50</v>
      </c>
      <c r="AA1748" s="76"/>
    </row>
    <row r="1749" spans="24:32" ht="8.25" customHeight="1" x14ac:dyDescent="0.25">
      <c r="X1749" s="110" t="s">
        <v>222</v>
      </c>
      <c r="Y1749" s="111">
        <v>20</v>
      </c>
      <c r="Z1749" s="111">
        <f t="shared" si="172"/>
        <v>20</v>
      </c>
      <c r="AA1749" s="38"/>
    </row>
    <row r="1750" spans="24:32" ht="8.25" customHeight="1" x14ac:dyDescent="0.25">
      <c r="X1750" s="110" t="s">
        <v>120</v>
      </c>
      <c r="Y1750" s="111">
        <v>10</v>
      </c>
      <c r="Z1750" s="111">
        <f t="shared" si="172"/>
        <v>0</v>
      </c>
      <c r="AA1750" s="112"/>
    </row>
    <row r="1751" spans="24:32" ht="8.25" customHeight="1" x14ac:dyDescent="0.25">
      <c r="X1751" s="110" t="s">
        <v>669</v>
      </c>
      <c r="Y1751" s="111">
        <v>5</v>
      </c>
      <c r="Z1751" s="111">
        <f t="shared" si="172"/>
        <v>95</v>
      </c>
      <c r="AA1751" s="112"/>
    </row>
    <row r="1752" spans="24:32" ht="8.25" customHeight="1" x14ac:dyDescent="0.25">
      <c r="X1752" s="269">
        <v>0</v>
      </c>
      <c r="Y1752" s="270"/>
      <c r="Z1752" s="271"/>
      <c r="AA1752" s="38"/>
    </row>
    <row r="1753" spans="24:32" ht="8.25" customHeight="1" x14ac:dyDescent="0.25">
      <c r="X1753" s="110" t="s">
        <v>1961</v>
      </c>
      <c r="Y1753" s="111">
        <v>1</v>
      </c>
      <c r="Z1753" s="111">
        <f t="shared" ref="Z1753:Z1758" si="173">X1753*Y1753</f>
        <v>1137</v>
      </c>
      <c r="AA1753" s="76"/>
    </row>
    <row r="1754" spans="24:32" ht="8.25" customHeight="1" x14ac:dyDescent="0.25">
      <c r="X1754" s="110" t="s">
        <v>651</v>
      </c>
      <c r="Y1754" s="111">
        <v>0.5</v>
      </c>
      <c r="Z1754" s="111">
        <f t="shared" si="173"/>
        <v>39.5</v>
      </c>
      <c r="AA1754" s="112"/>
    </row>
    <row r="1755" spans="24:32" ht="8.25" customHeight="1" x14ac:dyDescent="0.25">
      <c r="X1755" s="110" t="s">
        <v>1512</v>
      </c>
      <c r="Y1755" s="111">
        <v>0.25</v>
      </c>
      <c r="Z1755" s="111">
        <f t="shared" si="173"/>
        <v>43.75</v>
      </c>
      <c r="AA1755" s="113"/>
    </row>
    <row r="1756" spans="24:32" ht="8.25" customHeight="1" x14ac:dyDescent="0.25">
      <c r="X1756" s="110"/>
      <c r="Y1756" s="111">
        <v>0.1</v>
      </c>
      <c r="Z1756" s="111">
        <f t="shared" si="173"/>
        <v>0</v>
      </c>
      <c r="AA1756" s="114" t="s">
        <v>219</v>
      </c>
    </row>
    <row r="1757" spans="24:32" ht="8.25" customHeight="1" thickBot="1" x14ac:dyDescent="0.3">
      <c r="X1757" s="110" t="s">
        <v>299</v>
      </c>
      <c r="Y1757" s="111">
        <v>0.05</v>
      </c>
      <c r="Z1757" s="111">
        <f t="shared" si="173"/>
        <v>0.2</v>
      </c>
      <c r="AA1757" s="115">
        <f>SUM(Z1746:Z1751)+Z1753+Z1754+Z1755+Z1756+Z1757+Z1758</f>
        <v>249385.45</v>
      </c>
    </row>
    <row r="1758" spans="24:32" ht="8.25" customHeight="1" thickTop="1" x14ac:dyDescent="0.25">
      <c r="X1758" s="110"/>
      <c r="Y1758" s="111">
        <v>0.01</v>
      </c>
      <c r="Z1758" s="111">
        <f t="shared" si="173"/>
        <v>0</v>
      </c>
    </row>
    <row r="1760" spans="24:32" ht="8.25" customHeight="1" x14ac:dyDescent="0.25">
      <c r="Z1760" s="231" t="s">
        <v>1376</v>
      </c>
      <c r="AF1760" s="76">
        <f>AF1743</f>
        <v>249385.44999999972</v>
      </c>
    </row>
    <row r="1761" spans="20:32" ht="8.25" customHeight="1" x14ac:dyDescent="0.25">
      <c r="T1761" s="33">
        <v>46095</v>
      </c>
      <c r="U1761" s="34">
        <v>2026</v>
      </c>
      <c r="V1761" s="35" t="s">
        <v>1348</v>
      </c>
      <c r="W1761" s="35" t="s">
        <v>5</v>
      </c>
      <c r="X1761" s="37" t="s">
        <v>1590</v>
      </c>
      <c r="Y1761" s="36" t="s">
        <v>411</v>
      </c>
      <c r="Z1761" s="30" t="s">
        <v>412</v>
      </c>
      <c r="AA1761" s="30" t="s">
        <v>1882</v>
      </c>
      <c r="AE1761" s="38">
        <v>70000</v>
      </c>
      <c r="AF1761" s="76">
        <f>AF1760-AE1761</f>
        <v>179385.44999999972</v>
      </c>
    </row>
    <row r="1762" spans="20:32" ht="8.25" customHeight="1" x14ac:dyDescent="0.25">
      <c r="Z1762" s="231"/>
      <c r="AA1762" s="75" t="s">
        <v>257</v>
      </c>
      <c r="AD1762" s="76">
        <f>SUM(AD1761)</f>
        <v>0</v>
      </c>
      <c r="AE1762" s="76">
        <f>SUM(AE1761)</f>
        <v>70000</v>
      </c>
      <c r="AF1762" s="76">
        <f>AF1760+AD1762-AE1762</f>
        <v>179385.44999999972</v>
      </c>
    </row>
    <row r="1763" spans="20:32" ht="8.25" customHeight="1" x14ac:dyDescent="0.25">
      <c r="X1763" s="109"/>
      <c r="Y1763" s="67" t="s">
        <v>214</v>
      </c>
      <c r="Z1763" s="68"/>
      <c r="AA1763" s="75"/>
    </row>
    <row r="1764" spans="20:32" ht="8.25" customHeight="1" x14ac:dyDescent="0.25">
      <c r="X1764" s="110" t="s">
        <v>1907</v>
      </c>
      <c r="Y1764" s="111">
        <v>200</v>
      </c>
      <c r="Z1764" s="111">
        <f t="shared" ref="Z1764:Z1769" si="174">X1764*Y1764</f>
        <v>58000</v>
      </c>
      <c r="AA1764" s="112"/>
    </row>
    <row r="1765" spans="20:32" ht="8.25" customHeight="1" x14ac:dyDescent="0.25">
      <c r="X1765" s="110" t="s">
        <v>1155</v>
      </c>
      <c r="Y1765" s="111">
        <v>100</v>
      </c>
      <c r="Z1765" s="111">
        <f t="shared" si="174"/>
        <v>120000</v>
      </c>
      <c r="AA1765" s="112"/>
    </row>
    <row r="1766" spans="20:32" ht="8.25" customHeight="1" x14ac:dyDescent="0.25">
      <c r="X1766" s="110" t="s">
        <v>222</v>
      </c>
      <c r="Y1766" s="111">
        <v>50</v>
      </c>
      <c r="Z1766" s="111">
        <f t="shared" si="174"/>
        <v>50</v>
      </c>
      <c r="AA1766" s="76"/>
    </row>
    <row r="1767" spans="20:32" ht="8.25" customHeight="1" x14ac:dyDescent="0.25">
      <c r="X1767" s="110" t="s">
        <v>222</v>
      </c>
      <c r="Y1767" s="111">
        <v>20</v>
      </c>
      <c r="Z1767" s="111">
        <f t="shared" si="174"/>
        <v>20</v>
      </c>
      <c r="AA1767" s="38"/>
    </row>
    <row r="1768" spans="20:32" ht="8.25" customHeight="1" x14ac:dyDescent="0.25">
      <c r="X1768" s="110" t="s">
        <v>120</v>
      </c>
      <c r="Y1768" s="111">
        <v>10</v>
      </c>
      <c r="Z1768" s="111">
        <f t="shared" si="174"/>
        <v>0</v>
      </c>
      <c r="AA1768" s="112"/>
    </row>
    <row r="1769" spans="20:32" ht="8.25" customHeight="1" x14ac:dyDescent="0.25">
      <c r="X1769" s="110" t="s">
        <v>669</v>
      </c>
      <c r="Y1769" s="111">
        <v>5</v>
      </c>
      <c r="Z1769" s="111">
        <f t="shared" si="174"/>
        <v>95</v>
      </c>
      <c r="AA1769" s="112"/>
    </row>
    <row r="1770" spans="20:32" ht="8.25" customHeight="1" x14ac:dyDescent="0.25">
      <c r="X1770" s="269">
        <v>0</v>
      </c>
      <c r="Y1770" s="270"/>
      <c r="Z1770" s="271"/>
      <c r="AA1770" s="38"/>
    </row>
    <row r="1771" spans="20:32" ht="8.25" customHeight="1" x14ac:dyDescent="0.25">
      <c r="X1771" s="110" t="s">
        <v>1961</v>
      </c>
      <c r="Y1771" s="111">
        <v>1</v>
      </c>
      <c r="Z1771" s="111">
        <f t="shared" ref="Z1771:Z1776" si="175">X1771*Y1771</f>
        <v>1137</v>
      </c>
      <c r="AA1771" s="76"/>
    </row>
    <row r="1772" spans="20:32" ht="8.25" customHeight="1" x14ac:dyDescent="0.25">
      <c r="X1772" s="110" t="s">
        <v>651</v>
      </c>
      <c r="Y1772" s="111">
        <v>0.5</v>
      </c>
      <c r="Z1772" s="111">
        <f t="shared" si="175"/>
        <v>39.5</v>
      </c>
      <c r="AA1772" s="112"/>
    </row>
    <row r="1773" spans="20:32" ht="8.25" customHeight="1" x14ac:dyDescent="0.25">
      <c r="X1773" s="110" t="s">
        <v>1512</v>
      </c>
      <c r="Y1773" s="111">
        <v>0.25</v>
      </c>
      <c r="Z1773" s="111">
        <f t="shared" si="175"/>
        <v>43.75</v>
      </c>
      <c r="AA1773" s="113"/>
    </row>
    <row r="1774" spans="20:32" ht="8.25" customHeight="1" x14ac:dyDescent="0.25">
      <c r="X1774" s="110"/>
      <c r="Y1774" s="111">
        <v>0.1</v>
      </c>
      <c r="Z1774" s="111">
        <f t="shared" si="175"/>
        <v>0</v>
      </c>
      <c r="AA1774" s="114" t="s">
        <v>219</v>
      </c>
    </row>
    <row r="1775" spans="20:32" ht="8.25" customHeight="1" thickBot="1" x14ac:dyDescent="0.3">
      <c r="X1775" s="110" t="s">
        <v>299</v>
      </c>
      <c r="Y1775" s="111">
        <v>0.05</v>
      </c>
      <c r="Z1775" s="111">
        <f t="shared" si="175"/>
        <v>0.2</v>
      </c>
      <c r="AA1775" s="115">
        <f>SUM(Z1764:Z1769)+Z1771+Z1772+Z1773+Z1774+Z1775+Z1776</f>
        <v>179385.45</v>
      </c>
    </row>
    <row r="1776" spans="20:32" ht="8.25" customHeight="1" thickTop="1" x14ac:dyDescent="0.25">
      <c r="X1776" s="110"/>
      <c r="Y1776" s="111">
        <v>0.01</v>
      </c>
      <c r="Z1776" s="111">
        <f t="shared" si="175"/>
        <v>0</v>
      </c>
    </row>
    <row r="1778" spans="7:32" ht="8.25" customHeight="1" x14ac:dyDescent="0.25">
      <c r="Z1778" s="231" t="s">
        <v>1376</v>
      </c>
      <c r="AF1778" s="76">
        <f>AF1762</f>
        <v>179385.44999999972</v>
      </c>
    </row>
    <row r="1779" spans="7:32" ht="8.25" customHeight="1" x14ac:dyDescent="0.25">
      <c r="N1779" s="52">
        <v>36</v>
      </c>
      <c r="T1779" s="33">
        <v>46097</v>
      </c>
      <c r="U1779" s="34">
        <v>2026</v>
      </c>
      <c r="V1779" s="35" t="s">
        <v>1348</v>
      </c>
      <c r="W1779" s="35" t="s">
        <v>17</v>
      </c>
      <c r="X1779" s="37" t="s">
        <v>1592</v>
      </c>
      <c r="Y1779" s="36" t="s">
        <v>361</v>
      </c>
      <c r="Z1779" s="30" t="s">
        <v>1593</v>
      </c>
      <c r="AA1779" s="30" t="s">
        <v>3899</v>
      </c>
      <c r="AD1779" s="38">
        <v>6996.59</v>
      </c>
      <c r="AF1779" s="76">
        <f t="shared" ref="AF1779:AF1785" si="176">AF1778+AD1779</f>
        <v>186382.03999999972</v>
      </c>
    </row>
    <row r="1780" spans="7:32" ht="8.25" customHeight="1" x14ac:dyDescent="0.15">
      <c r="N1780" s="52">
        <v>36</v>
      </c>
      <c r="T1780" s="33">
        <v>46097</v>
      </c>
      <c r="U1780" s="34">
        <v>2026</v>
      </c>
      <c r="V1780" s="35" t="s">
        <v>1348</v>
      </c>
      <c r="W1780" s="35" t="s">
        <v>17</v>
      </c>
      <c r="X1780" s="37" t="s">
        <v>1592</v>
      </c>
      <c r="Y1780" s="36" t="s">
        <v>361</v>
      </c>
      <c r="Z1780" s="30" t="s">
        <v>1593</v>
      </c>
      <c r="AA1780" s="134" t="s">
        <v>166</v>
      </c>
      <c r="AD1780" s="38">
        <v>5003.41</v>
      </c>
      <c r="AF1780" s="76">
        <f t="shared" si="176"/>
        <v>191385.44999999972</v>
      </c>
    </row>
    <row r="1781" spans="7:32" ht="8.25" customHeight="1" x14ac:dyDescent="0.25">
      <c r="N1781" s="52">
        <v>37</v>
      </c>
      <c r="T1781" s="33">
        <v>46097</v>
      </c>
      <c r="U1781" s="34">
        <v>2026</v>
      </c>
      <c r="V1781" s="35" t="s">
        <v>1348</v>
      </c>
      <c r="W1781" s="35" t="s">
        <v>17</v>
      </c>
      <c r="X1781" s="37" t="s">
        <v>1594</v>
      </c>
      <c r="Y1781" s="36" t="s">
        <v>486</v>
      </c>
      <c r="Z1781" s="30" t="s">
        <v>1595</v>
      </c>
      <c r="AA1781" s="30" t="s">
        <v>3899</v>
      </c>
      <c r="AD1781" s="38">
        <v>5008.09</v>
      </c>
      <c r="AF1781" s="76">
        <f t="shared" si="176"/>
        <v>196393.53999999972</v>
      </c>
    </row>
    <row r="1782" spans="7:32" ht="8.25" customHeight="1" x14ac:dyDescent="0.15">
      <c r="N1782" s="52">
        <v>37</v>
      </c>
      <c r="T1782" s="33">
        <v>46097</v>
      </c>
      <c r="U1782" s="34">
        <v>2026</v>
      </c>
      <c r="V1782" s="35" t="s">
        <v>1348</v>
      </c>
      <c r="W1782" s="35" t="s">
        <v>17</v>
      </c>
      <c r="X1782" s="37" t="s">
        <v>1594</v>
      </c>
      <c r="Y1782" s="36" t="s">
        <v>486</v>
      </c>
      <c r="Z1782" s="30" t="s">
        <v>1595</v>
      </c>
      <c r="AA1782" s="134" t="s">
        <v>166</v>
      </c>
      <c r="AD1782" s="38">
        <v>2691.91</v>
      </c>
      <c r="AF1782" s="76">
        <f t="shared" si="176"/>
        <v>199085.44999999972</v>
      </c>
    </row>
    <row r="1783" spans="7:32" ht="8.25" customHeight="1" x14ac:dyDescent="0.25">
      <c r="I1783" s="52">
        <v>16</v>
      </c>
      <c r="T1783" s="33">
        <v>46097</v>
      </c>
      <c r="U1783" s="34">
        <v>2026</v>
      </c>
      <c r="V1783" s="35" t="s">
        <v>1348</v>
      </c>
      <c r="W1783" s="35" t="s">
        <v>17</v>
      </c>
      <c r="X1783" s="37" t="s">
        <v>1596</v>
      </c>
      <c r="Y1783" s="36" t="s">
        <v>116</v>
      </c>
      <c r="Z1783" s="30" t="s">
        <v>1597</v>
      </c>
      <c r="AA1783" s="30" t="s">
        <v>1598</v>
      </c>
      <c r="AD1783" s="38">
        <v>13000</v>
      </c>
      <c r="AF1783" s="76">
        <f t="shared" si="176"/>
        <v>212085.44999999972</v>
      </c>
    </row>
    <row r="1784" spans="7:32" ht="8.25" customHeight="1" x14ac:dyDescent="0.25">
      <c r="I1784" s="52">
        <v>17</v>
      </c>
      <c r="T1784" s="33">
        <v>46097</v>
      </c>
      <c r="U1784" s="34">
        <v>2026</v>
      </c>
      <c r="V1784" s="35" t="s">
        <v>1348</v>
      </c>
      <c r="W1784" s="35" t="s">
        <v>17</v>
      </c>
      <c r="X1784" s="37" t="s">
        <v>2697</v>
      </c>
      <c r="Y1784" s="36" t="s">
        <v>1605</v>
      </c>
      <c r="Z1784" s="30" t="s">
        <v>1556</v>
      </c>
      <c r="AA1784" s="30" t="s">
        <v>1044</v>
      </c>
      <c r="AD1784" s="38">
        <v>15000</v>
      </c>
      <c r="AF1784" s="76">
        <f t="shared" si="176"/>
        <v>227085.44999999972</v>
      </c>
    </row>
    <row r="1785" spans="7:32" ht="8.25" customHeight="1" x14ac:dyDescent="0.25">
      <c r="M1785" s="52">
        <v>7</v>
      </c>
      <c r="T1785" s="33">
        <v>46097</v>
      </c>
      <c r="U1785" s="34">
        <v>2026</v>
      </c>
      <c r="V1785" s="35" t="s">
        <v>1348</v>
      </c>
      <c r="W1785" s="35" t="s">
        <v>17</v>
      </c>
      <c r="X1785" s="37" t="s">
        <v>1606</v>
      </c>
      <c r="Y1785" s="36" t="s">
        <v>120</v>
      </c>
      <c r="Z1785" s="30" t="s">
        <v>1556</v>
      </c>
      <c r="AA1785" s="30" t="s">
        <v>1058</v>
      </c>
      <c r="AD1785" s="38">
        <v>3000</v>
      </c>
      <c r="AF1785" s="76">
        <f t="shared" si="176"/>
        <v>230085.44999999972</v>
      </c>
    </row>
    <row r="1786" spans="7:32" ht="8.25" customHeight="1" x14ac:dyDescent="0.25">
      <c r="R1786" s="53">
        <v>17</v>
      </c>
      <c r="T1786" s="33">
        <v>46097</v>
      </c>
      <c r="U1786" s="34">
        <v>2026</v>
      </c>
      <c r="V1786" s="35" t="s">
        <v>1348</v>
      </c>
      <c r="W1786" s="35" t="s">
        <v>5</v>
      </c>
      <c r="X1786" s="37" t="s">
        <v>1607</v>
      </c>
      <c r="Y1786" s="36" t="s">
        <v>411</v>
      </c>
      <c r="Z1786" s="30" t="s">
        <v>1450</v>
      </c>
      <c r="AA1786" s="30" t="s">
        <v>2719</v>
      </c>
      <c r="AE1786" s="38">
        <v>18000</v>
      </c>
      <c r="AF1786" s="76">
        <f t="shared" ref="AF1786:AF1792" si="177">AF1785+AD1786-AE1786</f>
        <v>212085.44999999972</v>
      </c>
    </row>
    <row r="1787" spans="7:32" ht="8.25" customHeight="1" x14ac:dyDescent="0.25">
      <c r="R1787" s="53">
        <v>18</v>
      </c>
      <c r="T1787" s="33">
        <v>46097</v>
      </c>
      <c r="U1787" s="34">
        <v>2026</v>
      </c>
      <c r="V1787" s="35" t="s">
        <v>1348</v>
      </c>
      <c r="W1787" s="35" t="s">
        <v>5</v>
      </c>
      <c r="X1787" s="37" t="s">
        <v>1599</v>
      </c>
      <c r="Y1787" s="36" t="s">
        <v>262</v>
      </c>
      <c r="Z1787" s="30" t="s">
        <v>1600</v>
      </c>
      <c r="AA1787" s="30" t="s">
        <v>1050</v>
      </c>
      <c r="AE1787" s="38">
        <v>33041</v>
      </c>
      <c r="AF1787" s="76">
        <f t="shared" si="177"/>
        <v>179044.44999999972</v>
      </c>
    </row>
    <row r="1788" spans="7:32" ht="8.25" customHeight="1" x14ac:dyDescent="0.25">
      <c r="G1788" s="53">
        <v>15</v>
      </c>
      <c r="T1788" s="33">
        <v>46097</v>
      </c>
      <c r="U1788" s="34">
        <v>2026</v>
      </c>
      <c r="V1788" s="35" t="s">
        <v>1348</v>
      </c>
      <c r="W1788" s="35" t="s">
        <v>2655</v>
      </c>
      <c r="Y1788" s="36" t="s">
        <v>1601</v>
      </c>
      <c r="Z1788" s="30" t="s">
        <v>1602</v>
      </c>
      <c r="AA1788" s="30" t="s">
        <v>3945</v>
      </c>
      <c r="AE1788" s="38">
        <v>3800</v>
      </c>
      <c r="AF1788" s="76">
        <f t="shared" si="177"/>
        <v>175244.44999999972</v>
      </c>
    </row>
    <row r="1789" spans="7:32" ht="8.25" customHeight="1" x14ac:dyDescent="0.25">
      <c r="G1789" s="53">
        <v>16</v>
      </c>
      <c r="T1789" s="33">
        <v>46097</v>
      </c>
      <c r="U1789" s="34">
        <v>2026</v>
      </c>
      <c r="V1789" s="35" t="s">
        <v>1348</v>
      </c>
      <c r="W1789" s="35" t="s">
        <v>2655</v>
      </c>
      <c r="Y1789" s="36" t="s">
        <v>1603</v>
      </c>
      <c r="Z1789" s="30" t="s">
        <v>1357</v>
      </c>
      <c r="AA1789" s="30" t="s">
        <v>3945</v>
      </c>
      <c r="AE1789" s="38">
        <v>1548</v>
      </c>
      <c r="AF1789" s="76">
        <f t="shared" si="177"/>
        <v>173696.44999999972</v>
      </c>
    </row>
    <row r="1790" spans="7:32" ht="8.25" customHeight="1" x14ac:dyDescent="0.25">
      <c r="G1790" s="53">
        <v>17</v>
      </c>
      <c r="T1790" s="33">
        <v>46097</v>
      </c>
      <c r="U1790" s="34">
        <v>2026</v>
      </c>
      <c r="V1790" s="35" t="s">
        <v>1348</v>
      </c>
      <c r="W1790" s="35" t="s">
        <v>2655</v>
      </c>
      <c r="Y1790" s="36" t="s">
        <v>1608</v>
      </c>
      <c r="Z1790" s="30" t="s">
        <v>1349</v>
      </c>
      <c r="AA1790" s="30" t="s">
        <v>3945</v>
      </c>
      <c r="AE1790" s="38">
        <v>756.03</v>
      </c>
      <c r="AF1790" s="76">
        <f t="shared" si="177"/>
        <v>172940.41999999972</v>
      </c>
    </row>
    <row r="1791" spans="7:32" ht="8.25" customHeight="1" x14ac:dyDescent="0.25">
      <c r="G1791" s="53">
        <v>18</v>
      </c>
      <c r="T1791" s="33">
        <v>46097</v>
      </c>
      <c r="U1791" s="34">
        <v>2026</v>
      </c>
      <c r="V1791" s="35" t="s">
        <v>1348</v>
      </c>
      <c r="W1791" s="35" t="s">
        <v>2655</v>
      </c>
      <c r="Y1791" s="36" t="s">
        <v>1609</v>
      </c>
      <c r="Z1791" s="30" t="s">
        <v>1359</v>
      </c>
      <c r="AA1791" s="30" t="s">
        <v>3945</v>
      </c>
      <c r="AE1791" s="38">
        <v>1512</v>
      </c>
      <c r="AF1791" s="76">
        <f t="shared" si="177"/>
        <v>171428.41999999972</v>
      </c>
    </row>
    <row r="1792" spans="7:32" ht="8.25" customHeight="1" x14ac:dyDescent="0.25">
      <c r="R1792" s="53">
        <v>19</v>
      </c>
      <c r="T1792" s="33">
        <v>46097</v>
      </c>
      <c r="U1792" s="34">
        <v>2026</v>
      </c>
      <c r="V1792" s="35" t="s">
        <v>1348</v>
      </c>
      <c r="W1792" s="35" t="s">
        <v>5</v>
      </c>
      <c r="X1792" s="37" t="s">
        <v>1604</v>
      </c>
      <c r="Y1792" s="36" t="s">
        <v>825</v>
      </c>
      <c r="Z1792" s="30" t="s">
        <v>1049</v>
      </c>
      <c r="AA1792" s="30" t="s">
        <v>1050</v>
      </c>
      <c r="AE1792" s="38">
        <v>39000</v>
      </c>
      <c r="AF1792" s="76">
        <f t="shared" si="177"/>
        <v>132428.41999999972</v>
      </c>
    </row>
    <row r="1793" spans="24:32" ht="8.25" customHeight="1" x14ac:dyDescent="0.25">
      <c r="Z1793" s="231"/>
      <c r="AA1793" s="75" t="s">
        <v>257</v>
      </c>
      <c r="AD1793" s="76">
        <f>SUM(AD1779:AD1792)</f>
        <v>50700</v>
      </c>
      <c r="AE1793" s="76">
        <f>SUM(AE1786:AE1792:AE1792)</f>
        <v>97657.03</v>
      </c>
      <c r="AF1793" s="76">
        <f>SUM(AF1778+AD1793-AE1793)</f>
        <v>132428.41999999972</v>
      </c>
    </row>
    <row r="1795" spans="24:32" ht="8.25" customHeight="1" x14ac:dyDescent="0.25">
      <c r="X1795" s="109"/>
      <c r="Y1795" s="67" t="s">
        <v>214</v>
      </c>
      <c r="Z1795" s="68"/>
      <c r="AA1795" s="75"/>
    </row>
    <row r="1796" spans="24:32" ht="8.25" customHeight="1" x14ac:dyDescent="0.25">
      <c r="X1796" s="110" t="s">
        <v>1965</v>
      </c>
      <c r="Y1796" s="111">
        <v>200</v>
      </c>
      <c r="Z1796" s="111">
        <f t="shared" ref="Z1796:Z1801" si="178">X1796*Y1796</f>
        <v>71000</v>
      </c>
      <c r="AA1796" s="112"/>
    </row>
    <row r="1797" spans="24:32" ht="8.25" customHeight="1" x14ac:dyDescent="0.25">
      <c r="X1797" s="110" t="s">
        <v>1964</v>
      </c>
      <c r="Y1797" s="111">
        <v>100</v>
      </c>
      <c r="Z1797" s="111">
        <f t="shared" si="178"/>
        <v>59900</v>
      </c>
      <c r="AA1797" s="112"/>
    </row>
    <row r="1798" spans="24:32" ht="8.25" customHeight="1" x14ac:dyDescent="0.25">
      <c r="X1798" s="110" t="s">
        <v>299</v>
      </c>
      <c r="Y1798" s="111">
        <v>50</v>
      </c>
      <c r="Z1798" s="111">
        <f t="shared" si="178"/>
        <v>200</v>
      </c>
      <c r="AA1798" s="76"/>
    </row>
    <row r="1799" spans="24:32" ht="8.25" customHeight="1" x14ac:dyDescent="0.25">
      <c r="X1799" s="110" t="s">
        <v>120</v>
      </c>
      <c r="Y1799" s="111">
        <v>20</v>
      </c>
      <c r="Z1799" s="111">
        <f t="shared" si="178"/>
        <v>0</v>
      </c>
      <c r="AA1799" s="38"/>
    </row>
    <row r="1800" spans="24:32" ht="8.25" customHeight="1" x14ac:dyDescent="0.25">
      <c r="X1800" s="110" t="s">
        <v>222</v>
      </c>
      <c r="Y1800" s="111">
        <v>10</v>
      </c>
      <c r="Z1800" s="111">
        <f t="shared" si="178"/>
        <v>10</v>
      </c>
      <c r="AA1800" s="112"/>
    </row>
    <row r="1801" spans="24:32" ht="8.25" customHeight="1" x14ac:dyDescent="0.25">
      <c r="X1801" s="110" t="s">
        <v>669</v>
      </c>
      <c r="Y1801" s="111">
        <v>5</v>
      </c>
      <c r="Z1801" s="111">
        <f t="shared" si="178"/>
        <v>95</v>
      </c>
      <c r="AA1801" s="112"/>
    </row>
    <row r="1802" spans="24:32" ht="8.25" customHeight="1" x14ac:dyDescent="0.25">
      <c r="X1802" s="269">
        <v>0</v>
      </c>
      <c r="Y1802" s="270"/>
      <c r="Z1802" s="271"/>
      <c r="AA1802" s="38"/>
    </row>
    <row r="1803" spans="24:32" ht="8.25" customHeight="1" x14ac:dyDescent="0.25">
      <c r="X1803" s="110" t="s">
        <v>1963</v>
      </c>
      <c r="Y1803" s="111">
        <v>1</v>
      </c>
      <c r="Z1803" s="111">
        <f t="shared" ref="Z1803:Z1808" si="179">X1803*Y1803</f>
        <v>1140</v>
      </c>
      <c r="AA1803" s="76"/>
    </row>
    <row r="1804" spans="24:32" ht="8.25" customHeight="1" x14ac:dyDescent="0.25">
      <c r="X1804" s="110" t="s">
        <v>651</v>
      </c>
      <c r="Y1804" s="111">
        <v>0.5</v>
      </c>
      <c r="Z1804" s="111">
        <f t="shared" si="179"/>
        <v>39.5</v>
      </c>
      <c r="AA1804" s="112"/>
    </row>
    <row r="1805" spans="24:32" ht="8.25" customHeight="1" x14ac:dyDescent="0.25">
      <c r="X1805" s="110" t="s">
        <v>1512</v>
      </c>
      <c r="Y1805" s="111">
        <v>0.25</v>
      </c>
      <c r="Z1805" s="111">
        <f t="shared" si="179"/>
        <v>43.75</v>
      </c>
      <c r="AA1805" s="113"/>
    </row>
    <row r="1806" spans="24:32" ht="8.25" customHeight="1" x14ac:dyDescent="0.25">
      <c r="X1806" s="110" t="s">
        <v>222</v>
      </c>
      <c r="Y1806" s="111">
        <v>0.1</v>
      </c>
      <c r="Z1806" s="111">
        <f t="shared" si="179"/>
        <v>0.1</v>
      </c>
      <c r="AA1806" s="114" t="s">
        <v>219</v>
      </c>
    </row>
    <row r="1807" spans="24:32" ht="8.25" customHeight="1" thickBot="1" x14ac:dyDescent="0.3">
      <c r="X1807" s="110" t="s">
        <v>222</v>
      </c>
      <c r="Y1807" s="111">
        <v>0.05</v>
      </c>
      <c r="Z1807" s="111">
        <f t="shared" si="179"/>
        <v>0.05</v>
      </c>
      <c r="AA1807" s="115">
        <f>SUM(Z1796:Z1801)+Z1803+Z1804+Z1805+Z1806+Z1807+Z1808</f>
        <v>132428.41999999998</v>
      </c>
    </row>
    <row r="1808" spans="24:32" ht="8.25" customHeight="1" thickTop="1" x14ac:dyDescent="0.25">
      <c r="X1808" s="110" t="s">
        <v>224</v>
      </c>
      <c r="Y1808" s="111">
        <v>0.01</v>
      </c>
      <c r="Z1808" s="111">
        <f t="shared" si="179"/>
        <v>0.02</v>
      </c>
    </row>
    <row r="1810" spans="3:32" ht="8.25" customHeight="1" x14ac:dyDescent="0.25">
      <c r="Z1810" s="231" t="s">
        <v>1376</v>
      </c>
      <c r="AF1810" s="76">
        <f>SUM(AF1793)</f>
        <v>132428.41999999972</v>
      </c>
    </row>
    <row r="1811" spans="3:32" ht="8.25" customHeight="1" x14ac:dyDescent="0.25">
      <c r="N1811" s="52">
        <v>38</v>
      </c>
      <c r="T1811" s="33">
        <v>46098</v>
      </c>
      <c r="U1811" s="34">
        <v>2026</v>
      </c>
      <c r="V1811" s="35" t="s">
        <v>1348</v>
      </c>
      <c r="W1811" s="35" t="s">
        <v>17</v>
      </c>
      <c r="X1811" s="37" t="s">
        <v>1612</v>
      </c>
      <c r="Y1811" s="36" t="s">
        <v>585</v>
      </c>
      <c r="Z1811" s="30" t="s">
        <v>1613</v>
      </c>
      <c r="AA1811" s="30" t="s">
        <v>3899</v>
      </c>
      <c r="AD1811" s="38">
        <v>5889.46</v>
      </c>
      <c r="AF1811" s="76">
        <f>AF1810+AD1811-AE1811</f>
        <v>138317.87999999971</v>
      </c>
    </row>
    <row r="1812" spans="3:32" ht="8.25" customHeight="1" x14ac:dyDescent="0.15">
      <c r="N1812" s="52">
        <v>38</v>
      </c>
      <c r="T1812" s="33">
        <v>46098</v>
      </c>
      <c r="U1812" s="34">
        <v>2026</v>
      </c>
      <c r="V1812" s="35" t="s">
        <v>1348</v>
      </c>
      <c r="W1812" s="35" t="s">
        <v>17</v>
      </c>
      <c r="X1812" s="37" t="s">
        <v>1612</v>
      </c>
      <c r="Y1812" s="36" t="s">
        <v>585</v>
      </c>
      <c r="Z1812" s="30" t="s">
        <v>1613</v>
      </c>
      <c r="AA1812" s="134" t="s">
        <v>166</v>
      </c>
      <c r="AD1812" s="38">
        <v>5010.54</v>
      </c>
      <c r="AF1812" s="76">
        <f t="shared" ref="AF1812:AF1823" si="180">AF1811+AD1812-AE1812</f>
        <v>143328.41999999972</v>
      </c>
    </row>
    <row r="1813" spans="3:32" ht="8.25" customHeight="1" x14ac:dyDescent="0.25">
      <c r="N1813" s="52">
        <v>39</v>
      </c>
      <c r="T1813" s="33">
        <v>46098</v>
      </c>
      <c r="U1813" s="34">
        <v>2026</v>
      </c>
      <c r="V1813" s="35" t="s">
        <v>1348</v>
      </c>
      <c r="W1813" s="35" t="s">
        <v>17</v>
      </c>
      <c r="X1813" s="37" t="s">
        <v>1614</v>
      </c>
      <c r="Y1813" s="36" t="s">
        <v>450</v>
      </c>
      <c r="Z1813" s="30" t="s">
        <v>1615</v>
      </c>
      <c r="AA1813" s="30" t="s">
        <v>3899</v>
      </c>
      <c r="AD1813" s="38">
        <v>8818.92</v>
      </c>
      <c r="AF1813" s="76">
        <f t="shared" si="180"/>
        <v>152147.33999999973</v>
      </c>
    </row>
    <row r="1814" spans="3:32" ht="8.25" customHeight="1" x14ac:dyDescent="0.15">
      <c r="N1814" s="52">
        <v>39</v>
      </c>
      <c r="T1814" s="33">
        <v>46098</v>
      </c>
      <c r="U1814" s="34">
        <v>2026</v>
      </c>
      <c r="V1814" s="35" t="s">
        <v>1348</v>
      </c>
      <c r="W1814" s="35" t="s">
        <v>17</v>
      </c>
      <c r="X1814" s="37" t="s">
        <v>1614</v>
      </c>
      <c r="Y1814" s="36" t="s">
        <v>450</v>
      </c>
      <c r="Z1814" s="30" t="s">
        <v>1615</v>
      </c>
      <c r="AA1814" s="134" t="s">
        <v>166</v>
      </c>
      <c r="AD1814" s="38">
        <v>5181.08</v>
      </c>
      <c r="AF1814" s="76">
        <f t="shared" si="180"/>
        <v>157328.41999999972</v>
      </c>
    </row>
    <row r="1815" spans="3:32" ht="8.25" customHeight="1" x14ac:dyDescent="0.25">
      <c r="N1815" s="52">
        <v>40</v>
      </c>
      <c r="T1815" s="33">
        <v>46098</v>
      </c>
      <c r="U1815" s="34">
        <v>2026</v>
      </c>
      <c r="V1815" s="35" t="s">
        <v>1348</v>
      </c>
      <c r="W1815" s="35" t="s">
        <v>17</v>
      </c>
      <c r="X1815" s="37" t="s">
        <v>1616</v>
      </c>
      <c r="Y1815" s="36" t="s">
        <v>1018</v>
      </c>
      <c r="Z1815" s="30" t="s">
        <v>1617</v>
      </c>
      <c r="AA1815" s="30" t="s">
        <v>3899</v>
      </c>
      <c r="AD1815" s="38">
        <v>6858.82</v>
      </c>
      <c r="AF1815" s="76">
        <f t="shared" si="180"/>
        <v>164187.23999999973</v>
      </c>
    </row>
    <row r="1816" spans="3:32" ht="8.25" customHeight="1" x14ac:dyDescent="0.15">
      <c r="N1816" s="52">
        <v>40</v>
      </c>
      <c r="T1816" s="33">
        <v>46098</v>
      </c>
      <c r="U1816" s="34">
        <v>2026</v>
      </c>
      <c r="V1816" s="35" t="s">
        <v>1348</v>
      </c>
      <c r="W1816" s="35" t="s">
        <v>17</v>
      </c>
      <c r="X1816" s="37" t="s">
        <v>1616</v>
      </c>
      <c r="Y1816" s="36" t="s">
        <v>1018</v>
      </c>
      <c r="Z1816" s="30" t="s">
        <v>1617</v>
      </c>
      <c r="AA1816" s="134" t="s">
        <v>166</v>
      </c>
      <c r="AD1816" s="38">
        <v>5296.18</v>
      </c>
      <c r="AF1816" s="76">
        <f t="shared" si="180"/>
        <v>169483.41999999972</v>
      </c>
    </row>
    <row r="1817" spans="3:32" ht="8.25" customHeight="1" x14ac:dyDescent="0.25">
      <c r="N1817" s="52">
        <v>40</v>
      </c>
      <c r="T1817" s="33">
        <v>46098</v>
      </c>
      <c r="U1817" s="34">
        <v>2026</v>
      </c>
      <c r="V1817" s="35" t="s">
        <v>1348</v>
      </c>
      <c r="W1817" s="35" t="s">
        <v>17</v>
      </c>
      <c r="X1817" s="37" t="s">
        <v>1616</v>
      </c>
      <c r="Y1817" s="36" t="s">
        <v>1618</v>
      </c>
      <c r="Z1817" s="30" t="s">
        <v>1617</v>
      </c>
      <c r="AA1817" s="30" t="s">
        <v>3306</v>
      </c>
      <c r="AD1817" s="38">
        <v>145</v>
      </c>
      <c r="AF1817" s="76">
        <f t="shared" si="180"/>
        <v>169628.41999999972</v>
      </c>
    </row>
    <row r="1818" spans="3:32" ht="8.25" customHeight="1" x14ac:dyDescent="0.25">
      <c r="I1818" s="52">
        <v>18</v>
      </c>
      <c r="T1818" s="33">
        <v>46098</v>
      </c>
      <c r="U1818" s="34">
        <v>2026</v>
      </c>
      <c r="V1818" s="35" t="s">
        <v>1348</v>
      </c>
      <c r="W1818" s="35" t="s">
        <v>17</v>
      </c>
      <c r="X1818" s="37" t="s">
        <v>1621</v>
      </c>
      <c r="Y1818" s="36" t="s">
        <v>1623</v>
      </c>
      <c r="Z1818" s="30" t="s">
        <v>1624</v>
      </c>
      <c r="AA1818" s="30" t="s">
        <v>1044</v>
      </c>
      <c r="AD1818" s="38">
        <v>9090.91</v>
      </c>
      <c r="AF1818" s="76">
        <f t="shared" si="180"/>
        <v>178719.32999999973</v>
      </c>
    </row>
    <row r="1819" spans="3:32" ht="8.25" customHeight="1" x14ac:dyDescent="0.25">
      <c r="M1819" s="52">
        <v>8</v>
      </c>
      <c r="T1819" s="33">
        <v>46098</v>
      </c>
      <c r="U1819" s="34">
        <v>2026</v>
      </c>
      <c r="V1819" s="35" t="s">
        <v>1348</v>
      </c>
      <c r="W1819" s="35" t="s">
        <v>17</v>
      </c>
      <c r="X1819" s="37" t="s">
        <v>1622</v>
      </c>
      <c r="Y1819" s="36" t="s">
        <v>120</v>
      </c>
      <c r="Z1819" s="30" t="s">
        <v>1624</v>
      </c>
      <c r="AA1819" s="30" t="s">
        <v>1058</v>
      </c>
      <c r="AD1819" s="38">
        <v>1818.18</v>
      </c>
      <c r="AF1819" s="76">
        <f t="shared" si="180"/>
        <v>180537.50999999972</v>
      </c>
    </row>
    <row r="1820" spans="3:32" ht="8.25" customHeight="1" x14ac:dyDescent="0.25">
      <c r="R1820" s="53">
        <v>20</v>
      </c>
      <c r="T1820" s="33">
        <v>46098</v>
      </c>
      <c r="U1820" s="34">
        <v>2026</v>
      </c>
      <c r="V1820" s="35" t="s">
        <v>1348</v>
      </c>
      <c r="W1820" s="35" t="s">
        <v>5</v>
      </c>
      <c r="X1820" s="37" t="s">
        <v>1625</v>
      </c>
      <c r="Y1820" s="36" t="s">
        <v>411</v>
      </c>
      <c r="Z1820" s="30" t="s">
        <v>1450</v>
      </c>
      <c r="AA1820" s="30" t="s">
        <v>2719</v>
      </c>
      <c r="AE1820" s="38">
        <v>10909.09</v>
      </c>
      <c r="AF1820" s="76">
        <f>AF1819+AD1820-AE1820</f>
        <v>169628.41999999972</v>
      </c>
    </row>
    <row r="1821" spans="3:32" ht="8.25" customHeight="1" x14ac:dyDescent="0.25">
      <c r="G1821" s="53">
        <v>19</v>
      </c>
      <c r="T1821" s="33">
        <v>46098</v>
      </c>
      <c r="U1821" s="34">
        <v>2026</v>
      </c>
      <c r="V1821" s="35" t="s">
        <v>1348</v>
      </c>
      <c r="W1821" s="35" t="s">
        <v>2655</v>
      </c>
      <c r="Y1821" s="36" t="s">
        <v>1620</v>
      </c>
      <c r="Z1821" s="30" t="s">
        <v>1619</v>
      </c>
      <c r="AA1821" s="30" t="s">
        <v>3945</v>
      </c>
      <c r="AE1821" s="38">
        <v>7531.94</v>
      </c>
      <c r="AF1821" s="76">
        <f>AF1820+AD1821-AE1821</f>
        <v>162096.47999999972</v>
      </c>
    </row>
    <row r="1822" spans="3:32" ht="8.25" customHeight="1" x14ac:dyDescent="0.25">
      <c r="G1822" s="53">
        <v>20</v>
      </c>
      <c r="T1822" s="33">
        <v>46098</v>
      </c>
      <c r="U1822" s="34">
        <v>2026</v>
      </c>
      <c r="V1822" s="35" t="s">
        <v>1348</v>
      </c>
      <c r="W1822" s="35" t="s">
        <v>2655</v>
      </c>
      <c r="Y1822" s="36" t="s">
        <v>1627</v>
      </c>
      <c r="Z1822" s="30" t="s">
        <v>1626</v>
      </c>
      <c r="AA1822" s="30" t="s">
        <v>3945</v>
      </c>
      <c r="AE1822" s="38">
        <v>15340</v>
      </c>
      <c r="AF1822" s="76">
        <f t="shared" si="180"/>
        <v>146756.47999999972</v>
      </c>
    </row>
    <row r="1823" spans="3:32" ht="8.25" customHeight="1" x14ac:dyDescent="0.25">
      <c r="C1823" s="52">
        <v>3</v>
      </c>
      <c r="T1823" s="33">
        <v>46098</v>
      </c>
      <c r="U1823" s="34">
        <v>2026</v>
      </c>
      <c r="V1823" s="35" t="s">
        <v>1348</v>
      </c>
      <c r="W1823" s="35" t="s">
        <v>3620</v>
      </c>
      <c r="Y1823" s="36" t="s">
        <v>1628</v>
      </c>
      <c r="Z1823" s="30" t="s">
        <v>1629</v>
      </c>
      <c r="AA1823" s="30" t="s">
        <v>340</v>
      </c>
      <c r="AD1823" s="38">
        <v>80</v>
      </c>
      <c r="AF1823" s="76">
        <f t="shared" si="180"/>
        <v>146836.47999999972</v>
      </c>
    </row>
    <row r="1824" spans="3:32" ht="8.25" customHeight="1" x14ac:dyDescent="0.25">
      <c r="AA1824" s="75" t="s">
        <v>257</v>
      </c>
      <c r="AD1824" s="76">
        <f>SUM(AD1811:AD1823)</f>
        <v>48189.090000000004</v>
      </c>
      <c r="AE1824" s="76">
        <f>SUM(AE1811:AE1823)</f>
        <v>33781.03</v>
      </c>
      <c r="AF1824" s="76">
        <f>AF1810+AD1824-AE1824</f>
        <v>146836.47999999972</v>
      </c>
    </row>
    <row r="1825" spans="21:32" ht="8.25" customHeight="1" x14ac:dyDescent="0.25">
      <c r="X1825" s="109"/>
      <c r="Y1825" s="67" t="s">
        <v>214</v>
      </c>
      <c r="Z1825" s="68"/>
      <c r="AA1825" s="75"/>
    </row>
    <row r="1826" spans="21:32" ht="8.25" customHeight="1" x14ac:dyDescent="0.25">
      <c r="U1826" s="238"/>
      <c r="X1826" s="110" t="s">
        <v>1779</v>
      </c>
      <c r="Y1826" s="111">
        <v>200</v>
      </c>
      <c r="Z1826" s="111">
        <f>X1826*Y1826</f>
        <v>50000</v>
      </c>
      <c r="AA1826" s="112"/>
    </row>
    <row r="1827" spans="21:32" ht="8.25" customHeight="1" x14ac:dyDescent="0.25">
      <c r="U1827" s="238"/>
      <c r="X1827" s="110" t="s">
        <v>1887</v>
      </c>
      <c r="Y1827" s="111">
        <v>100</v>
      </c>
      <c r="Z1827" s="111">
        <f>X1827*Y1827</f>
        <v>91800</v>
      </c>
      <c r="AA1827" s="112"/>
    </row>
    <row r="1828" spans="21:32" ht="8.25" customHeight="1" x14ac:dyDescent="0.25">
      <c r="X1828" s="110" t="s">
        <v>120</v>
      </c>
      <c r="Y1828" s="111">
        <v>50</v>
      </c>
      <c r="Z1828" s="111">
        <f>X1828*Y1828</f>
        <v>0</v>
      </c>
      <c r="AA1828" s="76"/>
    </row>
    <row r="1829" spans="21:32" ht="8.25" customHeight="1" x14ac:dyDescent="0.25">
      <c r="X1829" s="110" t="s">
        <v>120</v>
      </c>
      <c r="Y1829" s="111">
        <v>20</v>
      </c>
      <c r="Z1829" s="111"/>
      <c r="AA1829" s="38"/>
    </row>
    <row r="1830" spans="21:32" ht="8.25" customHeight="1" x14ac:dyDescent="0.25">
      <c r="X1830" s="110" t="s">
        <v>1966</v>
      </c>
      <c r="Y1830" s="111">
        <v>10</v>
      </c>
      <c r="Z1830" s="111">
        <f>X1830*Y1830</f>
        <v>2860</v>
      </c>
      <c r="AA1830" s="112"/>
    </row>
    <row r="1831" spans="21:32" ht="8.25" customHeight="1" x14ac:dyDescent="0.25">
      <c r="X1831" s="110" t="s">
        <v>1610</v>
      </c>
      <c r="Y1831" s="111">
        <v>5</v>
      </c>
      <c r="Z1831" s="111">
        <f>X1831*Y1831</f>
        <v>1970</v>
      </c>
      <c r="AA1831" s="112"/>
    </row>
    <row r="1832" spans="21:32" ht="8.25" customHeight="1" x14ac:dyDescent="0.25">
      <c r="X1832" s="269">
        <v>0</v>
      </c>
      <c r="Y1832" s="270"/>
      <c r="Z1832" s="271"/>
      <c r="AA1832" s="38"/>
    </row>
    <row r="1833" spans="21:32" ht="8.25" customHeight="1" x14ac:dyDescent="0.25">
      <c r="X1833" s="110" t="s">
        <v>1706</v>
      </c>
      <c r="Y1833" s="111">
        <v>1</v>
      </c>
      <c r="Z1833" s="111">
        <f t="shared" ref="Z1833:Z1838" si="181">X1833*Y1833</f>
        <v>1123</v>
      </c>
      <c r="AA1833" s="76"/>
    </row>
    <row r="1834" spans="21:32" ht="8.25" customHeight="1" x14ac:dyDescent="0.25">
      <c r="X1834" s="110" t="s">
        <v>651</v>
      </c>
      <c r="Y1834" s="111">
        <v>0.5</v>
      </c>
      <c r="Z1834" s="111">
        <f t="shared" si="181"/>
        <v>39.5</v>
      </c>
      <c r="AA1834" s="112"/>
    </row>
    <row r="1835" spans="21:32" ht="8.25" customHeight="1" x14ac:dyDescent="0.25">
      <c r="X1835" s="110" t="s">
        <v>1512</v>
      </c>
      <c r="Y1835" s="111">
        <v>0.25</v>
      </c>
      <c r="Z1835" s="111">
        <f t="shared" si="181"/>
        <v>43.75</v>
      </c>
      <c r="AA1835" s="113"/>
    </row>
    <row r="1836" spans="21:32" ht="8.25" customHeight="1" x14ac:dyDescent="0.25">
      <c r="X1836" s="110" t="s">
        <v>222</v>
      </c>
      <c r="Y1836" s="111">
        <v>0.1</v>
      </c>
      <c r="Z1836" s="111">
        <f t="shared" si="181"/>
        <v>0.1</v>
      </c>
      <c r="AA1836" s="114" t="s">
        <v>219</v>
      </c>
    </row>
    <row r="1837" spans="21:32" ht="8.25" customHeight="1" thickBot="1" x14ac:dyDescent="0.3">
      <c r="X1837" s="110" t="s">
        <v>224</v>
      </c>
      <c r="Y1837" s="111">
        <v>0.05</v>
      </c>
      <c r="Z1837" s="111">
        <f t="shared" si="181"/>
        <v>0.1</v>
      </c>
      <c r="AA1837" s="115">
        <f>SUM(Z1826:Z1831)+Z1833+Z1834+Z1835+Z1836+Z1837+Z1838</f>
        <v>147836.48000000001</v>
      </c>
    </row>
    <row r="1838" spans="21:32" ht="8.25" customHeight="1" thickTop="1" x14ac:dyDescent="0.25">
      <c r="X1838" s="110" t="s">
        <v>223</v>
      </c>
      <c r="Y1838" s="111">
        <v>0.01</v>
      </c>
      <c r="Z1838" s="111">
        <f t="shared" si="181"/>
        <v>0.03</v>
      </c>
    </row>
    <row r="1840" spans="21:32" ht="8.25" customHeight="1" x14ac:dyDescent="0.25">
      <c r="Z1840" s="231" t="s">
        <v>1376</v>
      </c>
      <c r="AF1840" s="76">
        <f>SUM(AF1824)</f>
        <v>146836.47999999972</v>
      </c>
    </row>
    <row r="1841" spans="9:32" ht="8.25" customHeight="1" x14ac:dyDescent="0.25">
      <c r="N1841" s="52">
        <v>41</v>
      </c>
      <c r="T1841" s="33">
        <v>46099</v>
      </c>
      <c r="U1841" s="34">
        <v>2026</v>
      </c>
      <c r="V1841" s="35" t="s">
        <v>1348</v>
      </c>
      <c r="W1841" s="35" t="s">
        <v>17</v>
      </c>
      <c r="X1841" s="37" t="s">
        <v>1634</v>
      </c>
      <c r="Y1841" s="36" t="s">
        <v>507</v>
      </c>
      <c r="Z1841" s="30" t="s">
        <v>1632</v>
      </c>
      <c r="AA1841" s="30" t="s">
        <v>3899</v>
      </c>
      <c r="AD1841" s="38">
        <v>9168.16</v>
      </c>
      <c r="AF1841" s="76">
        <f>AF1840+AD1841-AE1841</f>
        <v>156004.63999999972</v>
      </c>
    </row>
    <row r="1842" spans="9:32" ht="8.25" customHeight="1" x14ac:dyDescent="0.15">
      <c r="N1842" s="52">
        <v>41</v>
      </c>
      <c r="T1842" s="33">
        <v>46099</v>
      </c>
      <c r="U1842" s="34">
        <v>2026</v>
      </c>
      <c r="V1842" s="35" t="s">
        <v>1348</v>
      </c>
      <c r="W1842" s="35" t="s">
        <v>17</v>
      </c>
      <c r="X1842" s="37" t="s">
        <v>1634</v>
      </c>
      <c r="Y1842" s="36" t="s">
        <v>507</v>
      </c>
      <c r="Z1842" s="30" t="s">
        <v>1632</v>
      </c>
      <c r="AA1842" s="134" t="s">
        <v>166</v>
      </c>
      <c r="AD1842" s="38">
        <v>5831.84</v>
      </c>
      <c r="AF1842" s="76">
        <f t="shared" ref="AF1842:AF1851" si="182">AF1841+AD1842-AE1842</f>
        <v>161836.47999999972</v>
      </c>
    </row>
    <row r="1843" spans="9:32" ht="8.25" customHeight="1" x14ac:dyDescent="0.25">
      <c r="N1843" s="52">
        <v>42</v>
      </c>
      <c r="T1843" s="33">
        <v>46099</v>
      </c>
      <c r="U1843" s="34">
        <v>2026</v>
      </c>
      <c r="V1843" s="35" t="s">
        <v>1348</v>
      </c>
      <c r="W1843" s="35" t="s">
        <v>17</v>
      </c>
      <c r="X1843" s="37" t="s">
        <v>1635</v>
      </c>
      <c r="Y1843" s="36" t="s">
        <v>494</v>
      </c>
      <c r="Z1843" s="30" t="s">
        <v>495</v>
      </c>
      <c r="AA1843" s="30" t="s">
        <v>3899</v>
      </c>
      <c r="AD1843" s="38">
        <v>6489.51</v>
      </c>
      <c r="AF1843" s="76">
        <f t="shared" si="182"/>
        <v>168325.98999999973</v>
      </c>
    </row>
    <row r="1844" spans="9:32" ht="8.25" customHeight="1" x14ac:dyDescent="0.15">
      <c r="N1844" s="52">
        <v>42</v>
      </c>
      <c r="T1844" s="33">
        <v>46099</v>
      </c>
      <c r="U1844" s="34">
        <v>2026</v>
      </c>
      <c r="V1844" s="35" t="s">
        <v>1348</v>
      </c>
      <c r="W1844" s="35" t="s">
        <v>17</v>
      </c>
      <c r="X1844" s="37" t="s">
        <v>1635</v>
      </c>
      <c r="Y1844" s="36" t="s">
        <v>494</v>
      </c>
      <c r="Z1844" s="30" t="s">
        <v>495</v>
      </c>
      <c r="AA1844" s="134" t="s">
        <v>166</v>
      </c>
      <c r="AD1844" s="38">
        <v>4385.49</v>
      </c>
      <c r="AF1844" s="76">
        <f t="shared" si="182"/>
        <v>172711.47999999972</v>
      </c>
    </row>
    <row r="1845" spans="9:32" ht="8.25" customHeight="1" x14ac:dyDescent="0.25">
      <c r="N1845" s="52">
        <v>42</v>
      </c>
      <c r="T1845" s="33">
        <v>46099</v>
      </c>
      <c r="U1845" s="34">
        <v>2026</v>
      </c>
      <c r="V1845" s="35" t="s">
        <v>1348</v>
      </c>
      <c r="W1845" s="35" t="s">
        <v>17</v>
      </c>
      <c r="X1845" s="37" t="s">
        <v>1635</v>
      </c>
      <c r="Y1845" s="36" t="s">
        <v>494</v>
      </c>
      <c r="Z1845" s="30" t="s">
        <v>495</v>
      </c>
      <c r="AA1845" s="30" t="s">
        <v>3305</v>
      </c>
      <c r="AD1845" s="38">
        <v>125</v>
      </c>
      <c r="AF1845" s="76">
        <f t="shared" si="182"/>
        <v>172836.47999999972</v>
      </c>
    </row>
    <row r="1846" spans="9:32" ht="8.25" customHeight="1" x14ac:dyDescent="0.25">
      <c r="N1846" s="52">
        <v>43</v>
      </c>
      <c r="T1846" s="33">
        <v>46099</v>
      </c>
      <c r="U1846" s="34">
        <v>2026</v>
      </c>
      <c r="V1846" s="35" t="s">
        <v>1348</v>
      </c>
      <c r="W1846" s="35" t="s">
        <v>17</v>
      </c>
      <c r="X1846" s="37" t="s">
        <v>1636</v>
      </c>
      <c r="Y1846" s="36" t="s">
        <v>1633</v>
      </c>
      <c r="Z1846" s="30" t="s">
        <v>1361</v>
      </c>
      <c r="AA1846" s="30" t="s">
        <v>3899</v>
      </c>
      <c r="AD1846" s="38">
        <v>9026.56</v>
      </c>
      <c r="AF1846" s="76">
        <f t="shared" si="182"/>
        <v>181863.03999999972</v>
      </c>
    </row>
    <row r="1847" spans="9:32" ht="8.25" customHeight="1" x14ac:dyDescent="0.15">
      <c r="N1847" s="52">
        <v>43</v>
      </c>
      <c r="T1847" s="33">
        <v>46099</v>
      </c>
      <c r="U1847" s="34">
        <v>2026</v>
      </c>
      <c r="V1847" s="35" t="s">
        <v>1348</v>
      </c>
      <c r="W1847" s="35" t="s">
        <v>17</v>
      </c>
      <c r="X1847" s="37" t="s">
        <v>1636</v>
      </c>
      <c r="Y1847" s="36" t="s">
        <v>1633</v>
      </c>
      <c r="Z1847" s="30" t="s">
        <v>1361</v>
      </c>
      <c r="AA1847" s="134" t="s">
        <v>166</v>
      </c>
      <c r="AD1847" s="38">
        <v>931.27</v>
      </c>
      <c r="AF1847" s="76">
        <f t="shared" si="182"/>
        <v>182794.30999999971</v>
      </c>
    </row>
    <row r="1848" spans="9:32" ht="8.25" customHeight="1" x14ac:dyDescent="0.25">
      <c r="N1848" s="52">
        <v>43</v>
      </c>
      <c r="T1848" s="33">
        <v>46099</v>
      </c>
      <c r="U1848" s="34">
        <v>2026</v>
      </c>
      <c r="V1848" s="35" t="s">
        <v>1348</v>
      </c>
      <c r="W1848" s="35" t="s">
        <v>17</v>
      </c>
      <c r="X1848" s="37" t="s">
        <v>1636</v>
      </c>
      <c r="Y1848" s="36" t="s">
        <v>1633</v>
      </c>
      <c r="Z1848" s="30" t="s">
        <v>1361</v>
      </c>
      <c r="AA1848" s="30" t="s">
        <v>3305</v>
      </c>
      <c r="AD1848" s="38">
        <v>42.17</v>
      </c>
      <c r="AF1848" s="76">
        <f t="shared" si="182"/>
        <v>182836.47999999972</v>
      </c>
    </row>
    <row r="1849" spans="9:32" ht="8.25" customHeight="1" x14ac:dyDescent="0.15">
      <c r="K1849" s="52">
        <v>9</v>
      </c>
      <c r="T1849" s="33">
        <v>46099</v>
      </c>
      <c r="U1849" s="34">
        <v>2026</v>
      </c>
      <c r="V1849" s="35" t="s">
        <v>1348</v>
      </c>
      <c r="W1849" s="35" t="s">
        <v>17</v>
      </c>
      <c r="X1849" s="37" t="s">
        <v>1637</v>
      </c>
      <c r="Y1849" s="36" t="s">
        <v>1640</v>
      </c>
      <c r="Z1849" s="30" t="s">
        <v>1641</v>
      </c>
      <c r="AA1849" s="136" t="s">
        <v>1788</v>
      </c>
      <c r="AD1849" s="38">
        <v>100</v>
      </c>
      <c r="AF1849" s="76">
        <f t="shared" si="182"/>
        <v>182936.47999999972</v>
      </c>
    </row>
    <row r="1850" spans="9:32" ht="8.25" customHeight="1" x14ac:dyDescent="0.25">
      <c r="L1850" s="52">
        <v>9</v>
      </c>
      <c r="T1850" s="33">
        <v>46099</v>
      </c>
      <c r="U1850" s="34">
        <v>2026</v>
      </c>
      <c r="V1850" s="35" t="s">
        <v>1348</v>
      </c>
      <c r="W1850" s="35" t="s">
        <v>17</v>
      </c>
      <c r="X1850" s="37" t="s">
        <v>1638</v>
      </c>
      <c r="Y1850" s="36" t="s">
        <v>120</v>
      </c>
      <c r="Z1850" s="30" t="s">
        <v>1641</v>
      </c>
      <c r="AA1850" s="30" t="s">
        <v>373</v>
      </c>
      <c r="AD1850" s="38">
        <v>50</v>
      </c>
      <c r="AF1850" s="76">
        <f t="shared" si="182"/>
        <v>182986.47999999972</v>
      </c>
    </row>
    <row r="1851" spans="9:32" ht="8.25" customHeight="1" x14ac:dyDescent="0.25">
      <c r="I1851" s="52">
        <v>19</v>
      </c>
      <c r="T1851" s="33">
        <v>46099</v>
      </c>
      <c r="U1851" s="34">
        <v>2026</v>
      </c>
      <c r="V1851" s="35" t="s">
        <v>1348</v>
      </c>
      <c r="W1851" s="35" t="s">
        <v>17</v>
      </c>
      <c r="X1851" s="37" t="s">
        <v>1639</v>
      </c>
      <c r="Y1851" s="36" t="s">
        <v>115</v>
      </c>
      <c r="Z1851" s="30" t="s">
        <v>1363</v>
      </c>
      <c r="AA1851" s="30" t="s">
        <v>1044</v>
      </c>
      <c r="AD1851" s="38">
        <v>500</v>
      </c>
      <c r="AF1851" s="76">
        <f t="shared" si="182"/>
        <v>183486.47999999972</v>
      </c>
    </row>
    <row r="1852" spans="9:32" ht="8.25" customHeight="1" x14ac:dyDescent="0.25">
      <c r="I1852" s="52">
        <v>20</v>
      </c>
      <c r="T1852" s="33">
        <v>46099</v>
      </c>
      <c r="U1852" s="34">
        <v>2026</v>
      </c>
      <c r="V1852" s="35" t="s">
        <v>1348</v>
      </c>
      <c r="W1852" s="35" t="s">
        <v>17</v>
      </c>
      <c r="X1852" s="37" t="s">
        <v>1642</v>
      </c>
      <c r="Y1852" s="36" t="s">
        <v>1643</v>
      </c>
      <c r="Z1852" s="30" t="s">
        <v>1644</v>
      </c>
      <c r="AA1852" s="30" t="s">
        <v>1044</v>
      </c>
      <c r="AD1852" s="38">
        <v>500</v>
      </c>
      <c r="AF1852" s="76">
        <f t="shared" ref="AF1852:AF1857" si="183">AF1851+AD1852-AE1852</f>
        <v>183986.47999999972</v>
      </c>
    </row>
    <row r="1853" spans="9:32" ht="8.25" customHeight="1" x14ac:dyDescent="0.25">
      <c r="N1853" s="52">
        <v>44</v>
      </c>
      <c r="T1853" s="33">
        <v>46099</v>
      </c>
      <c r="U1853" s="34">
        <v>2026</v>
      </c>
      <c r="V1853" s="35" t="s">
        <v>1348</v>
      </c>
      <c r="W1853" s="35" t="s">
        <v>17</v>
      </c>
      <c r="X1853" s="37" t="s">
        <v>1645</v>
      </c>
      <c r="Y1853" s="36" t="s">
        <v>1026</v>
      </c>
      <c r="Z1853" s="30" t="s">
        <v>1646</v>
      </c>
      <c r="AA1853" s="30" t="s">
        <v>3708</v>
      </c>
      <c r="AD1853" s="38">
        <v>295.25</v>
      </c>
      <c r="AF1853" s="76">
        <f t="shared" si="183"/>
        <v>184281.72999999972</v>
      </c>
    </row>
    <row r="1854" spans="9:32" ht="8.25" customHeight="1" x14ac:dyDescent="0.15">
      <c r="N1854" s="52">
        <v>44</v>
      </c>
      <c r="T1854" s="33">
        <v>46099</v>
      </c>
      <c r="U1854" s="34">
        <v>2026</v>
      </c>
      <c r="V1854" s="35" t="s">
        <v>1348</v>
      </c>
      <c r="W1854" s="35" t="s">
        <v>17</v>
      </c>
      <c r="X1854" s="37" t="s">
        <v>1645</v>
      </c>
      <c r="Y1854" s="36" t="s">
        <v>1026</v>
      </c>
      <c r="Z1854" s="30" t="s">
        <v>1646</v>
      </c>
      <c r="AA1854" s="134" t="s">
        <v>183</v>
      </c>
      <c r="AD1854" s="38">
        <v>104.75</v>
      </c>
      <c r="AF1854" s="76">
        <f t="shared" si="183"/>
        <v>184386.47999999972</v>
      </c>
    </row>
    <row r="1855" spans="9:32" ht="8.25" customHeight="1" x14ac:dyDescent="0.25">
      <c r="N1855" s="52">
        <v>45</v>
      </c>
      <c r="T1855" s="33">
        <v>46099</v>
      </c>
      <c r="U1855" s="34">
        <v>2026</v>
      </c>
      <c r="V1855" s="35" t="s">
        <v>1348</v>
      </c>
      <c r="W1855" s="35" t="s">
        <v>17</v>
      </c>
      <c r="X1855" s="37" t="s">
        <v>1649</v>
      </c>
      <c r="Y1855" s="36" t="s">
        <v>335</v>
      </c>
      <c r="Z1855" s="30" t="s">
        <v>334</v>
      </c>
      <c r="AA1855" s="30" t="s">
        <v>3899</v>
      </c>
      <c r="AD1855" s="38">
        <v>10044.629999999999</v>
      </c>
      <c r="AF1855" s="76">
        <f t="shared" si="183"/>
        <v>194431.10999999972</v>
      </c>
    </row>
    <row r="1856" spans="9:32" ht="8.25" customHeight="1" x14ac:dyDescent="0.15">
      <c r="N1856" s="52">
        <v>45</v>
      </c>
      <c r="T1856" s="33">
        <v>46099</v>
      </c>
      <c r="U1856" s="34">
        <v>2026</v>
      </c>
      <c r="V1856" s="35" t="s">
        <v>1348</v>
      </c>
      <c r="W1856" s="35" t="s">
        <v>17</v>
      </c>
      <c r="X1856" s="37" t="s">
        <v>1649</v>
      </c>
      <c r="Y1856" s="36" t="s">
        <v>335</v>
      </c>
      <c r="Z1856" s="30" t="s">
        <v>334</v>
      </c>
      <c r="AA1856" s="134" t="s">
        <v>166</v>
      </c>
      <c r="AD1856" s="38">
        <v>955.37</v>
      </c>
      <c r="AF1856" s="76">
        <f t="shared" si="183"/>
        <v>195386.47999999972</v>
      </c>
    </row>
    <row r="1857" spans="14:32" ht="8.25" customHeight="1" x14ac:dyDescent="0.25">
      <c r="R1857" s="53">
        <v>21</v>
      </c>
      <c r="T1857" s="33">
        <v>46099</v>
      </c>
      <c r="U1857" s="34">
        <v>2026</v>
      </c>
      <c r="V1857" s="35" t="s">
        <v>1348</v>
      </c>
      <c r="W1857" s="35" t="s">
        <v>5</v>
      </c>
      <c r="X1857" s="37" t="s">
        <v>1647</v>
      </c>
      <c r="Y1857" s="36" t="s">
        <v>1036</v>
      </c>
      <c r="Z1857" s="30" t="s">
        <v>1648</v>
      </c>
      <c r="AA1857" s="30" t="s">
        <v>1050</v>
      </c>
      <c r="AE1857" s="38">
        <v>10000</v>
      </c>
      <c r="AF1857" s="76">
        <f t="shared" si="183"/>
        <v>185386.47999999972</v>
      </c>
    </row>
    <row r="1858" spans="14:32" ht="8.25" customHeight="1" x14ac:dyDescent="0.25">
      <c r="T1858" s="33">
        <v>46099</v>
      </c>
      <c r="U1858" s="34">
        <v>2026</v>
      </c>
      <c r="V1858" s="35" t="s">
        <v>1348</v>
      </c>
      <c r="W1858" s="35" t="s">
        <v>5</v>
      </c>
      <c r="X1858" s="37" t="s">
        <v>1650</v>
      </c>
      <c r="Y1858" s="36" t="s">
        <v>411</v>
      </c>
      <c r="Z1858" s="30" t="s">
        <v>412</v>
      </c>
      <c r="AA1858" s="30" t="s">
        <v>2719</v>
      </c>
      <c r="AE1858" s="38">
        <v>47727.27</v>
      </c>
      <c r="AF1858" s="76">
        <f t="shared" ref="AF1858" si="184">AF1857+AD1858-AE1858</f>
        <v>137659.20999999973</v>
      </c>
    </row>
    <row r="1859" spans="14:32" ht="8.25" customHeight="1" x14ac:dyDescent="0.25">
      <c r="T1859" s="33">
        <v>46099</v>
      </c>
      <c r="U1859" s="34">
        <v>2026</v>
      </c>
      <c r="V1859" s="35" t="s">
        <v>1348</v>
      </c>
      <c r="W1859" s="35" t="s">
        <v>5</v>
      </c>
      <c r="X1859" s="37" t="s">
        <v>1674</v>
      </c>
      <c r="Y1859" s="36" t="s">
        <v>411</v>
      </c>
      <c r="Z1859" s="30" t="s">
        <v>412</v>
      </c>
      <c r="AA1859" s="30" t="s">
        <v>1675</v>
      </c>
      <c r="AE1859" s="38">
        <v>1500</v>
      </c>
      <c r="AF1859" s="76">
        <f>AF1858+AD1859-AE1859</f>
        <v>136159.20999999973</v>
      </c>
    </row>
    <row r="1860" spans="14:32" ht="8.25" customHeight="1" x14ac:dyDescent="0.25">
      <c r="T1860" s="33">
        <v>46099</v>
      </c>
      <c r="U1860" s="34">
        <v>2026</v>
      </c>
      <c r="V1860" s="35" t="s">
        <v>1348</v>
      </c>
      <c r="W1860" s="35" t="s">
        <v>17</v>
      </c>
      <c r="X1860" s="37" t="s">
        <v>1651</v>
      </c>
      <c r="Y1860" s="36" t="s">
        <v>1652</v>
      </c>
      <c r="Z1860" s="30" t="s">
        <v>1653</v>
      </c>
      <c r="AA1860" s="30" t="s">
        <v>1044</v>
      </c>
      <c r="AD1860" s="38">
        <v>39772.730000000003</v>
      </c>
      <c r="AF1860" s="76">
        <f t="shared" ref="AF1860:AF1864" si="185">AF1859+AD1860-AE1860</f>
        <v>175931.93999999974</v>
      </c>
    </row>
    <row r="1861" spans="14:32" ht="8.25" customHeight="1" x14ac:dyDescent="0.25">
      <c r="T1861" s="33">
        <v>46099</v>
      </c>
      <c r="U1861" s="34">
        <v>2026</v>
      </c>
      <c r="V1861" s="35" t="s">
        <v>1348</v>
      </c>
      <c r="W1861" s="35" t="s">
        <v>17</v>
      </c>
      <c r="X1861" s="37" t="s">
        <v>1654</v>
      </c>
      <c r="Y1861" s="36" t="s">
        <v>120</v>
      </c>
      <c r="Z1861" s="30" t="s">
        <v>1653</v>
      </c>
      <c r="AA1861" s="30" t="s">
        <v>1058</v>
      </c>
      <c r="AD1861" s="38">
        <v>7954.54</v>
      </c>
      <c r="AF1861" s="76">
        <f t="shared" si="185"/>
        <v>183886.47999999975</v>
      </c>
    </row>
    <row r="1862" spans="14:32" ht="8.25" customHeight="1" x14ac:dyDescent="0.25">
      <c r="N1862" s="52">
        <v>46</v>
      </c>
      <c r="T1862" s="33">
        <v>46099</v>
      </c>
      <c r="U1862" s="34">
        <v>2026</v>
      </c>
      <c r="V1862" s="35" t="s">
        <v>1348</v>
      </c>
      <c r="W1862" s="35" t="s">
        <v>17</v>
      </c>
      <c r="X1862" s="37" t="s">
        <v>1655</v>
      </c>
      <c r="Y1862" s="36" t="s">
        <v>394</v>
      </c>
      <c r="Z1862" s="30" t="s">
        <v>380</v>
      </c>
      <c r="AA1862" s="30" t="s">
        <v>3899</v>
      </c>
      <c r="AD1862" s="38">
        <v>15981.41</v>
      </c>
      <c r="AF1862" s="76">
        <f t="shared" si="185"/>
        <v>199867.88999999975</v>
      </c>
    </row>
    <row r="1863" spans="14:32" ht="8.25" customHeight="1" x14ac:dyDescent="0.15">
      <c r="N1863" s="52">
        <v>46</v>
      </c>
      <c r="T1863" s="33">
        <v>46099</v>
      </c>
      <c r="U1863" s="34">
        <v>2026</v>
      </c>
      <c r="V1863" s="35" t="s">
        <v>1348</v>
      </c>
      <c r="W1863" s="35" t="s">
        <v>17</v>
      </c>
      <c r="X1863" s="37" t="s">
        <v>1655</v>
      </c>
      <c r="Y1863" s="36" t="s">
        <v>394</v>
      </c>
      <c r="Z1863" s="30" t="s">
        <v>380</v>
      </c>
      <c r="AA1863" s="134" t="s">
        <v>166</v>
      </c>
      <c r="AD1863" s="38">
        <v>3973.59</v>
      </c>
      <c r="AF1863" s="76">
        <f t="shared" si="185"/>
        <v>203841.47999999975</v>
      </c>
    </row>
    <row r="1864" spans="14:32" ht="8.25" customHeight="1" x14ac:dyDescent="0.25">
      <c r="N1864" s="52">
        <v>46</v>
      </c>
      <c r="T1864" s="33">
        <v>46099</v>
      </c>
      <c r="U1864" s="34">
        <v>2026</v>
      </c>
      <c r="V1864" s="35" t="s">
        <v>1348</v>
      </c>
      <c r="W1864" s="35" t="s">
        <v>17</v>
      </c>
      <c r="X1864" s="37" t="s">
        <v>1655</v>
      </c>
      <c r="Y1864" s="36" t="s">
        <v>394</v>
      </c>
      <c r="Z1864" s="30" t="s">
        <v>380</v>
      </c>
      <c r="AA1864" s="30" t="s">
        <v>3305</v>
      </c>
      <c r="AC1864" s="30"/>
      <c r="AD1864" s="26">
        <v>45</v>
      </c>
      <c r="AF1864" s="76">
        <f t="shared" si="185"/>
        <v>203886.47999999975</v>
      </c>
    </row>
    <row r="1865" spans="14:32" ht="8.25" customHeight="1" x14ac:dyDescent="0.25">
      <c r="U1865" s="33"/>
      <c r="V1865" s="34"/>
      <c r="X1865" s="35"/>
      <c r="Y1865" s="37"/>
      <c r="Z1865" s="36"/>
      <c r="AA1865" s="75" t="s">
        <v>257</v>
      </c>
      <c r="AC1865" s="30"/>
      <c r="AD1865" s="228">
        <f>SUM(AD1841:AD1864)</f>
        <v>116277.26999999999</v>
      </c>
      <c r="AE1865" s="76">
        <f>SUM(AE1841:AE1864)</f>
        <v>59227.27</v>
      </c>
      <c r="AF1865" s="76">
        <f>AF1840+AD1865-AE1865</f>
        <v>203886.47999999972</v>
      </c>
    </row>
    <row r="1866" spans="14:32" ht="8.25" customHeight="1" x14ac:dyDescent="0.25">
      <c r="T1866" s="30"/>
      <c r="X1866" s="109"/>
      <c r="Y1866" s="67" t="s">
        <v>214</v>
      </c>
      <c r="Z1866" s="68"/>
      <c r="AA1866" s="75"/>
    </row>
    <row r="1867" spans="14:32" ht="8.25" customHeight="1" x14ac:dyDescent="0.25">
      <c r="X1867" s="110" t="s">
        <v>1778</v>
      </c>
      <c r="Y1867" s="111">
        <v>200</v>
      </c>
      <c r="Z1867" s="111">
        <f t="shared" ref="Z1867:Z1872" si="186">X1867*Y1867</f>
        <v>77400</v>
      </c>
      <c r="AA1867" s="112"/>
    </row>
    <row r="1868" spans="14:32" ht="8.25" customHeight="1" x14ac:dyDescent="0.25">
      <c r="X1868" s="110" t="s">
        <v>1967</v>
      </c>
      <c r="Y1868" s="111">
        <v>100</v>
      </c>
      <c r="Z1868" s="111">
        <f t="shared" si="186"/>
        <v>120700</v>
      </c>
      <c r="AA1868" s="112"/>
    </row>
    <row r="1869" spans="14:32" ht="8.25" customHeight="1" x14ac:dyDescent="0.25">
      <c r="X1869" s="110"/>
      <c r="Y1869" s="111">
        <v>50</v>
      </c>
      <c r="Z1869" s="111">
        <f t="shared" si="186"/>
        <v>0</v>
      </c>
      <c r="AA1869" s="76"/>
    </row>
    <row r="1870" spans="14:32" ht="8.25" customHeight="1" x14ac:dyDescent="0.25">
      <c r="X1870" s="110" t="s">
        <v>222</v>
      </c>
      <c r="Y1870" s="111">
        <v>20</v>
      </c>
      <c r="Z1870" s="111">
        <f t="shared" si="186"/>
        <v>20</v>
      </c>
      <c r="AA1870" s="38"/>
    </row>
    <row r="1871" spans="14:32" ht="8.25" customHeight="1" x14ac:dyDescent="0.25">
      <c r="X1871" s="110" t="s">
        <v>1657</v>
      </c>
      <c r="Y1871" s="111">
        <v>10</v>
      </c>
      <c r="Z1871" s="111">
        <f t="shared" si="186"/>
        <v>2610</v>
      </c>
      <c r="AA1871" s="112"/>
    </row>
    <row r="1872" spans="14:32" ht="8.25" customHeight="1" x14ac:dyDescent="0.25">
      <c r="X1872" s="110" t="s">
        <v>1656</v>
      </c>
      <c r="Y1872" s="111">
        <v>5</v>
      </c>
      <c r="Z1872" s="111">
        <f t="shared" si="186"/>
        <v>1950</v>
      </c>
      <c r="AA1872" s="112"/>
    </row>
    <row r="1873" spans="4:32" ht="8.25" customHeight="1" x14ac:dyDescent="0.25">
      <c r="X1873" s="269"/>
      <c r="Y1873" s="270"/>
      <c r="Z1873" s="271"/>
      <c r="AA1873" s="38"/>
    </row>
    <row r="1874" spans="4:32" ht="8.25" customHeight="1" x14ac:dyDescent="0.25">
      <c r="X1874" s="110" t="s">
        <v>1706</v>
      </c>
      <c r="Y1874" s="111">
        <v>1</v>
      </c>
      <c r="Z1874" s="111">
        <f t="shared" ref="Z1874:Z1879" si="187">X1874*Y1874</f>
        <v>1123</v>
      </c>
      <c r="AA1874" s="76"/>
    </row>
    <row r="1875" spans="4:32" ht="8.25" customHeight="1" x14ac:dyDescent="0.25">
      <c r="X1875" s="110" t="s">
        <v>651</v>
      </c>
      <c r="Y1875" s="111">
        <v>0.5</v>
      </c>
      <c r="Z1875" s="111">
        <f t="shared" si="187"/>
        <v>39.5</v>
      </c>
      <c r="AA1875" s="112"/>
    </row>
    <row r="1876" spans="4:32" ht="8.25" customHeight="1" x14ac:dyDescent="0.25">
      <c r="X1876" s="110" t="s">
        <v>1512</v>
      </c>
      <c r="Y1876" s="111">
        <v>0.25</v>
      </c>
      <c r="Z1876" s="111">
        <f t="shared" si="187"/>
        <v>43.75</v>
      </c>
      <c r="AA1876" s="113"/>
    </row>
    <row r="1877" spans="4:32" ht="8.25" customHeight="1" x14ac:dyDescent="0.25">
      <c r="X1877" s="110" t="s">
        <v>224</v>
      </c>
      <c r="Y1877" s="111">
        <v>0.1</v>
      </c>
      <c r="Z1877" s="111">
        <f t="shared" si="187"/>
        <v>0.2</v>
      </c>
      <c r="AA1877" s="114" t="s">
        <v>219</v>
      </c>
    </row>
    <row r="1878" spans="4:32" ht="8.25" customHeight="1" thickBot="1" x14ac:dyDescent="0.3">
      <c r="X1878" s="110"/>
      <c r="Y1878" s="111">
        <v>0.05</v>
      </c>
      <c r="Z1878" s="111">
        <f t="shared" si="187"/>
        <v>0</v>
      </c>
      <c r="AA1878" s="115">
        <f>SUM(Z1867:Z1872)+Z1874+Z1875+Z1876+Z1877+Z1878+Z1879</f>
        <v>203886.48</v>
      </c>
    </row>
    <row r="1879" spans="4:32" ht="8.25" customHeight="1" thickTop="1" x14ac:dyDescent="0.25">
      <c r="X1879" s="110" t="s">
        <v>223</v>
      </c>
      <c r="Y1879" s="111">
        <v>0.01</v>
      </c>
      <c r="Z1879" s="111">
        <f t="shared" si="187"/>
        <v>0.03</v>
      </c>
    </row>
    <row r="1880" spans="4:32" ht="8.25" customHeight="1" x14ac:dyDescent="0.25">
      <c r="X1880" s="170"/>
      <c r="Y1880" s="171"/>
      <c r="Z1880" s="171"/>
    </row>
    <row r="1881" spans="4:32" ht="8.25" customHeight="1" x14ac:dyDescent="0.25">
      <c r="Z1881" s="231" t="s">
        <v>1376</v>
      </c>
      <c r="AF1881" s="76">
        <f>SUM(AF1865)</f>
        <v>203886.47999999972</v>
      </c>
    </row>
    <row r="1882" spans="4:32" ht="8.25" customHeight="1" x14ac:dyDescent="0.25">
      <c r="I1882" s="52">
        <v>21</v>
      </c>
      <c r="T1882" s="33">
        <v>46100</v>
      </c>
      <c r="U1882" s="34">
        <v>2026</v>
      </c>
      <c r="V1882" s="35" t="s">
        <v>1348</v>
      </c>
      <c r="W1882" s="35" t="s">
        <v>17</v>
      </c>
      <c r="X1882" s="37" t="s">
        <v>1658</v>
      </c>
      <c r="Y1882" s="36" t="s">
        <v>1142</v>
      </c>
      <c r="Z1882" s="30" t="s">
        <v>1139</v>
      </c>
      <c r="AA1882" s="30" t="s">
        <v>1044</v>
      </c>
      <c r="AD1882" s="38">
        <v>11500</v>
      </c>
      <c r="AF1882" s="76">
        <f t="shared" ref="AF1882:AF1889" si="188">AF1881+AD1882-AE1882</f>
        <v>215386.47999999972</v>
      </c>
    </row>
    <row r="1883" spans="4:32" ht="8.25" customHeight="1" x14ac:dyDescent="0.25">
      <c r="N1883" s="52">
        <v>47</v>
      </c>
      <c r="T1883" s="33">
        <v>46100</v>
      </c>
      <c r="U1883" s="34">
        <v>2026</v>
      </c>
      <c r="V1883" s="35" t="s">
        <v>1348</v>
      </c>
      <c r="W1883" s="35" t="s">
        <v>17</v>
      </c>
      <c r="X1883" s="37" t="s">
        <v>1662</v>
      </c>
      <c r="Y1883" s="36" t="s">
        <v>1663</v>
      </c>
      <c r="Z1883" s="30" t="s">
        <v>1661</v>
      </c>
      <c r="AA1883" s="30" t="s">
        <v>3899</v>
      </c>
      <c r="AD1883" s="38">
        <v>3389.05</v>
      </c>
      <c r="AF1883" s="76">
        <f t="shared" si="188"/>
        <v>218775.52999999971</v>
      </c>
    </row>
    <row r="1884" spans="4:32" ht="8.25" customHeight="1" x14ac:dyDescent="0.15">
      <c r="N1884" s="52">
        <v>47</v>
      </c>
      <c r="T1884" s="33">
        <v>46100</v>
      </c>
      <c r="U1884" s="34">
        <v>2026</v>
      </c>
      <c r="V1884" s="35" t="s">
        <v>1348</v>
      </c>
      <c r="W1884" s="35" t="s">
        <v>17</v>
      </c>
      <c r="X1884" s="37" t="s">
        <v>1662</v>
      </c>
      <c r="Y1884" s="36" t="s">
        <v>1663</v>
      </c>
      <c r="Z1884" s="30" t="s">
        <v>1661</v>
      </c>
      <c r="AA1884" s="134" t="s">
        <v>166</v>
      </c>
      <c r="AD1884" s="38">
        <v>5080.95</v>
      </c>
      <c r="AF1884" s="76">
        <f t="shared" si="188"/>
        <v>223856.47999999972</v>
      </c>
    </row>
    <row r="1885" spans="4:32" ht="8.25" customHeight="1" x14ac:dyDescent="0.25">
      <c r="N1885" s="52">
        <v>47</v>
      </c>
      <c r="T1885" s="33">
        <v>46100</v>
      </c>
      <c r="U1885" s="34">
        <v>2026</v>
      </c>
      <c r="V1885" s="35" t="s">
        <v>1348</v>
      </c>
      <c r="W1885" s="35" t="s">
        <v>17</v>
      </c>
      <c r="X1885" s="37" t="s">
        <v>1662</v>
      </c>
      <c r="Y1885" s="36" t="s">
        <v>1663</v>
      </c>
      <c r="Z1885" s="30" t="s">
        <v>1661</v>
      </c>
      <c r="AA1885" s="30" t="s">
        <v>3306</v>
      </c>
      <c r="AD1885" s="38">
        <v>30</v>
      </c>
      <c r="AF1885" s="76">
        <f t="shared" si="188"/>
        <v>223886.47999999972</v>
      </c>
    </row>
    <row r="1886" spans="4:32" ht="8.25" customHeight="1" x14ac:dyDescent="0.25">
      <c r="I1886" s="52">
        <v>22</v>
      </c>
      <c r="T1886" s="33">
        <v>46100</v>
      </c>
      <c r="U1886" s="34">
        <v>2026</v>
      </c>
      <c r="V1886" s="35" t="s">
        <v>1348</v>
      </c>
      <c r="W1886" s="35" t="s">
        <v>17</v>
      </c>
      <c r="X1886" s="37" t="s">
        <v>1660</v>
      </c>
      <c r="Y1886" s="36" t="s">
        <v>1659</v>
      </c>
      <c r="Z1886" s="30" t="s">
        <v>1664</v>
      </c>
      <c r="AA1886" s="30" t="s">
        <v>1044</v>
      </c>
      <c r="AD1886" s="38">
        <v>2000</v>
      </c>
      <c r="AF1886" s="76">
        <f t="shared" si="188"/>
        <v>225886.47999999972</v>
      </c>
    </row>
    <row r="1887" spans="4:32" ht="8.25" customHeight="1" x14ac:dyDescent="0.25">
      <c r="I1887" s="52">
        <v>23</v>
      </c>
      <c r="T1887" s="33">
        <v>46100</v>
      </c>
      <c r="U1887" s="34">
        <v>2026</v>
      </c>
      <c r="V1887" s="35" t="s">
        <v>1348</v>
      </c>
      <c r="W1887" s="35" t="s">
        <v>17</v>
      </c>
      <c r="X1887" s="37" t="s">
        <v>1670</v>
      </c>
      <c r="Y1887" s="36" t="s">
        <v>1435</v>
      </c>
      <c r="Z1887" s="30" t="s">
        <v>1669</v>
      </c>
      <c r="AA1887" s="30" t="s">
        <v>1044</v>
      </c>
      <c r="AD1887" s="38">
        <v>7000</v>
      </c>
      <c r="AF1887" s="76">
        <f t="shared" si="188"/>
        <v>232886.47999999972</v>
      </c>
    </row>
    <row r="1888" spans="4:32" ht="8.25" customHeight="1" x14ac:dyDescent="0.25">
      <c r="D1888" s="52">
        <v>1</v>
      </c>
      <c r="T1888" s="33">
        <v>46100</v>
      </c>
      <c r="U1888" s="34">
        <v>2026</v>
      </c>
      <c r="V1888" s="35" t="s">
        <v>1348</v>
      </c>
      <c r="W1888" s="35" t="s">
        <v>2405</v>
      </c>
      <c r="Y1888" s="36" t="s">
        <v>1667</v>
      </c>
      <c r="Z1888" s="30" t="s">
        <v>1668</v>
      </c>
      <c r="AA1888" s="30" t="s">
        <v>256</v>
      </c>
      <c r="AD1888" s="38">
        <v>870</v>
      </c>
      <c r="AF1888" s="76">
        <f t="shared" si="188"/>
        <v>233756.47999999972</v>
      </c>
    </row>
    <row r="1889" spans="3:32" ht="8.25" customHeight="1" x14ac:dyDescent="0.25">
      <c r="C1889" s="52">
        <v>4</v>
      </c>
      <c r="T1889" s="33">
        <v>46100</v>
      </c>
      <c r="U1889" s="34">
        <v>2026</v>
      </c>
      <c r="V1889" s="35" t="s">
        <v>1348</v>
      </c>
      <c r="W1889" s="35" t="s">
        <v>3620</v>
      </c>
      <c r="Y1889" s="36" t="s">
        <v>1665</v>
      </c>
      <c r="Z1889" s="30" t="s">
        <v>1666</v>
      </c>
      <c r="AA1889" s="30" t="s">
        <v>340</v>
      </c>
      <c r="AD1889" s="38">
        <v>35</v>
      </c>
      <c r="AF1889" s="76">
        <f t="shared" si="188"/>
        <v>233791.47999999972</v>
      </c>
    </row>
    <row r="1890" spans="3:32" ht="8.25" customHeight="1" x14ac:dyDescent="0.25">
      <c r="AA1890" s="75" t="s">
        <v>257</v>
      </c>
      <c r="AD1890" s="76">
        <f>SUM(AD1882:AD1889)</f>
        <v>29905</v>
      </c>
      <c r="AE1890" s="76"/>
      <c r="AF1890" s="76">
        <f>AF1881+AD1890-AE1890</f>
        <v>233791.47999999972</v>
      </c>
    </row>
    <row r="1891" spans="3:32" ht="8.25" customHeight="1" x14ac:dyDescent="0.25">
      <c r="X1891" s="109"/>
      <c r="Y1891" s="67" t="s">
        <v>214</v>
      </c>
      <c r="Z1891" s="68"/>
      <c r="AA1891" s="75"/>
    </row>
    <row r="1892" spans="3:32" ht="8.25" customHeight="1" x14ac:dyDescent="0.25">
      <c r="X1892" s="110" t="s">
        <v>1656</v>
      </c>
      <c r="Y1892" s="111">
        <v>200</v>
      </c>
      <c r="Z1892" s="111">
        <f t="shared" ref="Z1892:Z1897" si="189">X1892*Y1892</f>
        <v>78000</v>
      </c>
      <c r="AA1892" s="112"/>
    </row>
    <row r="1893" spans="3:32" ht="8.25" customHeight="1" x14ac:dyDescent="0.25">
      <c r="X1893" s="110" t="s">
        <v>664</v>
      </c>
      <c r="Y1893" s="111">
        <v>100</v>
      </c>
      <c r="Z1893" s="111">
        <f t="shared" si="189"/>
        <v>149600</v>
      </c>
      <c r="AA1893" s="112"/>
    </row>
    <row r="1894" spans="3:32" ht="8.25" customHeight="1" x14ac:dyDescent="0.25">
      <c r="X1894" s="110" t="s">
        <v>222</v>
      </c>
      <c r="Y1894" s="111">
        <v>50</v>
      </c>
      <c r="Z1894" s="111">
        <f t="shared" si="189"/>
        <v>50</v>
      </c>
      <c r="AA1894" s="76"/>
    </row>
    <row r="1895" spans="3:32" ht="8.25" customHeight="1" x14ac:dyDescent="0.25">
      <c r="X1895" s="110" t="s">
        <v>564</v>
      </c>
      <c r="Y1895" s="111">
        <v>20</v>
      </c>
      <c r="Z1895" s="111">
        <f t="shared" si="189"/>
        <v>280</v>
      </c>
      <c r="AA1895" s="38"/>
    </row>
    <row r="1896" spans="3:32" ht="8.25" customHeight="1" x14ac:dyDescent="0.25">
      <c r="X1896" s="110" t="s">
        <v>1673</v>
      </c>
      <c r="Y1896" s="111">
        <v>10</v>
      </c>
      <c r="Z1896" s="111">
        <f t="shared" si="189"/>
        <v>2700</v>
      </c>
      <c r="AA1896" s="112"/>
    </row>
    <row r="1897" spans="3:32" ht="8.25" customHeight="1" x14ac:dyDescent="0.25">
      <c r="X1897" s="110" t="s">
        <v>1672</v>
      </c>
      <c r="Y1897" s="111">
        <v>5</v>
      </c>
      <c r="Z1897" s="111">
        <f t="shared" si="189"/>
        <v>1955</v>
      </c>
      <c r="AA1897" s="112"/>
    </row>
    <row r="1898" spans="3:32" ht="8.25" customHeight="1" x14ac:dyDescent="0.25">
      <c r="X1898" s="269"/>
      <c r="Y1898" s="270"/>
      <c r="Z1898" s="271"/>
      <c r="AA1898" s="38"/>
    </row>
    <row r="1899" spans="3:32" ht="8.25" customHeight="1" x14ac:dyDescent="0.25">
      <c r="X1899" s="110" t="s">
        <v>1706</v>
      </c>
      <c r="Y1899" s="111">
        <v>1</v>
      </c>
      <c r="Z1899" s="111">
        <f t="shared" ref="Z1899:Z1904" si="190">X1899*Y1899</f>
        <v>1123</v>
      </c>
      <c r="AA1899" s="76"/>
    </row>
    <row r="1900" spans="3:32" ht="8.25" customHeight="1" x14ac:dyDescent="0.25">
      <c r="X1900" s="110" t="s">
        <v>651</v>
      </c>
      <c r="Y1900" s="111">
        <v>0.5</v>
      </c>
      <c r="Z1900" s="111">
        <f t="shared" si="190"/>
        <v>39.5</v>
      </c>
      <c r="AA1900" s="112"/>
    </row>
    <row r="1901" spans="3:32" ht="8.25" customHeight="1" x14ac:dyDescent="0.25">
      <c r="X1901" s="110" t="s">
        <v>1512</v>
      </c>
      <c r="Y1901" s="111">
        <v>0.25</v>
      </c>
      <c r="Z1901" s="111">
        <f t="shared" si="190"/>
        <v>43.75</v>
      </c>
      <c r="AA1901" s="113"/>
    </row>
    <row r="1902" spans="3:32" ht="8.25" customHeight="1" x14ac:dyDescent="0.25">
      <c r="X1902" s="110" t="s">
        <v>224</v>
      </c>
      <c r="Y1902" s="111">
        <v>0.1</v>
      </c>
      <c r="Z1902" s="111">
        <f t="shared" si="190"/>
        <v>0.2</v>
      </c>
      <c r="AA1902" s="114" t="s">
        <v>219</v>
      </c>
    </row>
    <row r="1903" spans="3:32" ht="8.25" customHeight="1" thickBot="1" x14ac:dyDescent="0.3">
      <c r="X1903" s="110"/>
      <c r="Y1903" s="111">
        <v>0.05</v>
      </c>
      <c r="Z1903" s="111">
        <f t="shared" si="190"/>
        <v>0</v>
      </c>
      <c r="AA1903" s="115">
        <f>SUM(Z1892:Z1897)+Z1899+Z1900+Z1901+Z1902+Z1903+Z1904</f>
        <v>233791.48</v>
      </c>
    </row>
    <row r="1904" spans="3:32" ht="8.25" customHeight="1" thickTop="1" x14ac:dyDescent="0.25">
      <c r="X1904" s="110" t="s">
        <v>223</v>
      </c>
      <c r="Y1904" s="111">
        <v>0.01</v>
      </c>
      <c r="Z1904" s="111">
        <f t="shared" si="190"/>
        <v>0.03</v>
      </c>
    </row>
    <row r="1906" spans="3:32" ht="8.25" customHeight="1" x14ac:dyDescent="0.25">
      <c r="Z1906" s="231" t="s">
        <v>1376</v>
      </c>
      <c r="AF1906" s="76">
        <f>SUM(AF1889)</f>
        <v>233791.47999999972</v>
      </c>
    </row>
    <row r="1907" spans="3:32" ht="8.25" customHeight="1" x14ac:dyDescent="0.25">
      <c r="N1907" s="52">
        <v>48</v>
      </c>
      <c r="T1907" s="33">
        <v>46101</v>
      </c>
      <c r="U1907" s="34">
        <v>2026</v>
      </c>
      <c r="V1907" s="35" t="s">
        <v>1348</v>
      </c>
      <c r="W1907" s="35" t="s">
        <v>17</v>
      </c>
      <c r="X1907" s="37" t="s">
        <v>1676</v>
      </c>
      <c r="Y1907" s="36" t="s">
        <v>1677</v>
      </c>
      <c r="Z1907" s="30" t="s">
        <v>1678</v>
      </c>
      <c r="AA1907" s="30" t="s">
        <v>3899</v>
      </c>
      <c r="AD1907" s="38">
        <v>7199.72</v>
      </c>
      <c r="AF1907" s="76">
        <f t="shared" ref="AF1907:AF1924" si="191">AF1906+AD1907-AE1907</f>
        <v>240991.19999999972</v>
      </c>
    </row>
    <row r="1908" spans="3:32" ht="8.25" customHeight="1" x14ac:dyDescent="0.15">
      <c r="N1908" s="52">
        <v>48</v>
      </c>
      <c r="T1908" s="33">
        <v>46101</v>
      </c>
      <c r="U1908" s="34">
        <v>2026</v>
      </c>
      <c r="V1908" s="35" t="s">
        <v>1348</v>
      </c>
      <c r="W1908" s="35" t="s">
        <v>17</v>
      </c>
      <c r="X1908" s="37" t="s">
        <v>1676</v>
      </c>
      <c r="Y1908" s="36" t="s">
        <v>1677</v>
      </c>
      <c r="Z1908" s="30" t="s">
        <v>1678</v>
      </c>
      <c r="AA1908" s="134" t="s">
        <v>166</v>
      </c>
      <c r="AD1908" s="38">
        <v>2100.2800000000002</v>
      </c>
      <c r="AF1908" s="76">
        <f t="shared" si="191"/>
        <v>243091.47999999972</v>
      </c>
    </row>
    <row r="1909" spans="3:32" ht="8.25" customHeight="1" x14ac:dyDescent="0.25">
      <c r="I1909" s="52">
        <v>24</v>
      </c>
      <c r="T1909" s="33">
        <v>46101</v>
      </c>
      <c r="U1909" s="34">
        <v>2026</v>
      </c>
      <c r="V1909" s="35" t="s">
        <v>1348</v>
      </c>
      <c r="W1909" s="35" t="s">
        <v>17</v>
      </c>
      <c r="X1909" s="37" t="s">
        <v>1679</v>
      </c>
      <c r="Y1909" s="36" t="s">
        <v>1680</v>
      </c>
      <c r="Z1909" s="30" t="s">
        <v>1681</v>
      </c>
      <c r="AA1909" s="30" t="s">
        <v>1044</v>
      </c>
      <c r="AD1909" s="38">
        <v>1000</v>
      </c>
      <c r="AF1909" s="76">
        <f t="shared" si="191"/>
        <v>244091.47999999972</v>
      </c>
    </row>
    <row r="1910" spans="3:32" ht="8.25" customHeight="1" x14ac:dyDescent="0.25">
      <c r="I1910" s="52">
        <v>25</v>
      </c>
      <c r="T1910" s="33">
        <v>46101</v>
      </c>
      <c r="U1910" s="34">
        <v>2026</v>
      </c>
      <c r="V1910" s="35" t="s">
        <v>1348</v>
      </c>
      <c r="W1910" s="35" t="s">
        <v>17</v>
      </c>
      <c r="X1910" s="37" t="s">
        <v>1685</v>
      </c>
      <c r="Y1910" s="36" t="s">
        <v>1686</v>
      </c>
      <c r="Z1910" s="30" t="s">
        <v>1687</v>
      </c>
      <c r="AA1910" s="30" t="s">
        <v>1044</v>
      </c>
      <c r="AD1910" s="38">
        <v>1136.3599999999999</v>
      </c>
      <c r="AF1910" s="76">
        <f t="shared" si="191"/>
        <v>245227.83999999971</v>
      </c>
    </row>
    <row r="1911" spans="3:32" ht="8.25" customHeight="1" x14ac:dyDescent="0.25">
      <c r="M1911" s="52">
        <v>9</v>
      </c>
      <c r="T1911" s="33">
        <v>46101</v>
      </c>
      <c r="U1911" s="34">
        <v>2026</v>
      </c>
      <c r="V1911" s="35" t="s">
        <v>1348</v>
      </c>
      <c r="W1911" s="35" t="s">
        <v>17</v>
      </c>
      <c r="X1911" s="37" t="s">
        <v>1688</v>
      </c>
      <c r="Y1911" s="36" t="s">
        <v>120</v>
      </c>
      <c r="Z1911" s="30" t="s">
        <v>1687</v>
      </c>
      <c r="AA1911" s="30" t="s">
        <v>1058</v>
      </c>
      <c r="AD1911" s="38">
        <v>227.28</v>
      </c>
      <c r="AF1911" s="76">
        <f t="shared" si="191"/>
        <v>245455.1199999997</v>
      </c>
    </row>
    <row r="1912" spans="3:32" ht="8.25" customHeight="1" x14ac:dyDescent="0.25">
      <c r="N1912" s="52">
        <v>49</v>
      </c>
      <c r="T1912" s="33">
        <v>46101</v>
      </c>
      <c r="U1912" s="34">
        <v>2026</v>
      </c>
      <c r="V1912" s="35" t="s">
        <v>1348</v>
      </c>
      <c r="W1912" s="35" t="s">
        <v>17</v>
      </c>
      <c r="X1912" s="37" t="s">
        <v>1689</v>
      </c>
      <c r="Y1912" s="36" t="s">
        <v>1691</v>
      </c>
      <c r="Z1912" s="30" t="s">
        <v>1690</v>
      </c>
      <c r="AA1912" s="30" t="s">
        <v>3708</v>
      </c>
      <c r="AD1912" s="38">
        <v>10186.6</v>
      </c>
      <c r="AF1912" s="76">
        <f t="shared" si="191"/>
        <v>255641.71999999971</v>
      </c>
    </row>
    <row r="1913" spans="3:32" ht="8.25" customHeight="1" x14ac:dyDescent="0.15">
      <c r="N1913" s="52">
        <v>49</v>
      </c>
      <c r="T1913" s="33">
        <v>46101</v>
      </c>
      <c r="U1913" s="34">
        <v>2026</v>
      </c>
      <c r="V1913" s="35" t="s">
        <v>1348</v>
      </c>
      <c r="W1913" s="35" t="s">
        <v>17</v>
      </c>
      <c r="X1913" s="37" t="s">
        <v>1689</v>
      </c>
      <c r="Y1913" s="36" t="s">
        <v>1691</v>
      </c>
      <c r="Z1913" s="30" t="s">
        <v>1690</v>
      </c>
      <c r="AA1913" s="134" t="s">
        <v>183</v>
      </c>
      <c r="AD1913" s="38">
        <v>213.4</v>
      </c>
      <c r="AF1913" s="76">
        <f t="shared" si="191"/>
        <v>255855.1199999997</v>
      </c>
    </row>
    <row r="1914" spans="3:32" ht="8.25" customHeight="1" x14ac:dyDescent="0.25">
      <c r="N1914" s="52">
        <v>49</v>
      </c>
      <c r="T1914" s="33">
        <v>46101</v>
      </c>
      <c r="U1914" s="34">
        <v>2026</v>
      </c>
      <c r="V1914" s="35" t="s">
        <v>1348</v>
      </c>
      <c r="W1914" s="35" t="s">
        <v>17</v>
      </c>
      <c r="X1914" s="35" t="s">
        <v>1692</v>
      </c>
      <c r="Y1914" s="36" t="s">
        <v>1691</v>
      </c>
      <c r="Z1914" s="30" t="s">
        <v>1690</v>
      </c>
      <c r="AA1914" s="30" t="s">
        <v>3708</v>
      </c>
      <c r="AC1914" s="30"/>
      <c r="AD1914" s="26">
        <v>1000</v>
      </c>
      <c r="AF1914" s="76">
        <f t="shared" si="191"/>
        <v>256855.1199999997</v>
      </c>
    </row>
    <row r="1915" spans="3:32" ht="8.25" customHeight="1" x14ac:dyDescent="0.25">
      <c r="I1915" s="52">
        <v>26</v>
      </c>
      <c r="T1915" s="33">
        <v>46101</v>
      </c>
      <c r="U1915" s="34">
        <v>2026</v>
      </c>
      <c r="V1915" s="35" t="s">
        <v>1348</v>
      </c>
      <c r="W1915" s="35" t="s">
        <v>17</v>
      </c>
      <c r="X1915" s="35" t="s">
        <v>1693</v>
      </c>
      <c r="Y1915" s="36" t="s">
        <v>491</v>
      </c>
      <c r="Z1915" s="30" t="s">
        <v>1694</v>
      </c>
      <c r="AA1915" s="30" t="s">
        <v>1044</v>
      </c>
      <c r="AC1915" s="30"/>
      <c r="AD1915" s="26">
        <v>250</v>
      </c>
      <c r="AF1915" s="76">
        <f t="shared" si="191"/>
        <v>257105.1199999997</v>
      </c>
    </row>
    <row r="1916" spans="3:32" ht="8.25" customHeight="1" x14ac:dyDescent="0.25">
      <c r="N1916" s="52">
        <v>50</v>
      </c>
      <c r="T1916" s="33">
        <v>46101</v>
      </c>
      <c r="U1916" s="34">
        <v>2026</v>
      </c>
      <c r="V1916" s="35" t="s">
        <v>1348</v>
      </c>
      <c r="W1916" s="35" t="s">
        <v>17</v>
      </c>
      <c r="X1916" s="35" t="s">
        <v>1695</v>
      </c>
      <c r="Y1916" s="36" t="s">
        <v>1663</v>
      </c>
      <c r="Z1916" s="30" t="s">
        <v>1661</v>
      </c>
      <c r="AA1916" s="30" t="s">
        <v>3899</v>
      </c>
      <c r="AC1916" s="30"/>
      <c r="AD1916" s="26">
        <v>400</v>
      </c>
      <c r="AF1916" s="76">
        <f t="shared" si="191"/>
        <v>257505.1199999997</v>
      </c>
    </row>
    <row r="1917" spans="3:32" ht="8.25" customHeight="1" x14ac:dyDescent="0.25">
      <c r="I1917" s="52">
        <v>27</v>
      </c>
      <c r="T1917" s="33">
        <v>46101</v>
      </c>
      <c r="U1917" s="34">
        <v>2026</v>
      </c>
      <c r="V1917" s="35" t="s">
        <v>1348</v>
      </c>
      <c r="W1917" s="35" t="s">
        <v>17</v>
      </c>
      <c r="X1917" s="35" t="s">
        <v>1696</v>
      </c>
      <c r="Y1917" s="36" t="s">
        <v>1698</v>
      </c>
      <c r="Z1917" s="30" t="s">
        <v>1697</v>
      </c>
      <c r="AA1917" s="30" t="s">
        <v>1044</v>
      </c>
      <c r="AC1917" s="30"/>
      <c r="AD1917" s="26">
        <v>200</v>
      </c>
      <c r="AF1917" s="76">
        <f t="shared" si="191"/>
        <v>257705.1199999997</v>
      </c>
    </row>
    <row r="1918" spans="3:32" ht="8.25" customHeight="1" x14ac:dyDescent="0.25">
      <c r="C1918" s="52">
        <v>5</v>
      </c>
      <c r="T1918" s="33">
        <v>46101</v>
      </c>
      <c r="U1918" s="34">
        <v>2026</v>
      </c>
      <c r="V1918" s="35" t="s">
        <v>1348</v>
      </c>
      <c r="W1918" s="35" t="s">
        <v>3620</v>
      </c>
      <c r="X1918" s="35"/>
      <c r="Y1918" s="36" t="s">
        <v>1699</v>
      </c>
      <c r="Z1918" s="30" t="s">
        <v>1687</v>
      </c>
      <c r="AA1918" s="30" t="s">
        <v>340</v>
      </c>
      <c r="AC1918" s="30"/>
      <c r="AD1918" s="26">
        <v>88</v>
      </c>
      <c r="AF1918" s="76">
        <f t="shared" si="191"/>
        <v>257793.1199999997</v>
      </c>
    </row>
    <row r="1919" spans="3:32" ht="8.25" customHeight="1" x14ac:dyDescent="0.25">
      <c r="C1919" s="52">
        <v>6</v>
      </c>
      <c r="T1919" s="33">
        <v>46101</v>
      </c>
      <c r="U1919" s="34">
        <v>2026</v>
      </c>
      <c r="V1919" s="35" t="s">
        <v>1348</v>
      </c>
      <c r="W1919" s="35" t="s">
        <v>3620</v>
      </c>
      <c r="X1919" s="35"/>
      <c r="Y1919" s="36" t="s">
        <v>1700</v>
      </c>
      <c r="Z1919" s="30" t="s">
        <v>1353</v>
      </c>
      <c r="AA1919" s="30" t="s">
        <v>340</v>
      </c>
      <c r="AC1919" s="30"/>
      <c r="AD1919" s="26">
        <v>67</v>
      </c>
      <c r="AF1919" s="76">
        <f t="shared" si="191"/>
        <v>257860.1199999997</v>
      </c>
    </row>
    <row r="1920" spans="3:32" ht="8.25" customHeight="1" x14ac:dyDescent="0.25">
      <c r="C1920" s="52">
        <v>7</v>
      </c>
      <c r="T1920" s="33">
        <v>46101</v>
      </c>
      <c r="U1920" s="34">
        <v>2026</v>
      </c>
      <c r="V1920" s="35" t="s">
        <v>1348</v>
      </c>
      <c r="W1920" s="35" t="s">
        <v>3620</v>
      </c>
      <c r="X1920" s="35"/>
      <c r="Y1920" s="36" t="s">
        <v>1701</v>
      </c>
      <c r="Z1920" s="30" t="s">
        <v>1702</v>
      </c>
      <c r="AA1920" s="30" t="s">
        <v>340</v>
      </c>
      <c r="AC1920" s="30"/>
      <c r="AD1920" s="26">
        <v>171</v>
      </c>
      <c r="AF1920" s="76">
        <f t="shared" si="191"/>
        <v>258031.1199999997</v>
      </c>
    </row>
    <row r="1921" spans="6:32" ht="8.25" customHeight="1" x14ac:dyDescent="0.25">
      <c r="R1921" s="53">
        <v>22</v>
      </c>
      <c r="T1921" s="33">
        <v>46101</v>
      </c>
      <c r="U1921" s="34">
        <v>2026</v>
      </c>
      <c r="V1921" s="35" t="s">
        <v>1348</v>
      </c>
      <c r="W1921" s="35" t="s">
        <v>5</v>
      </c>
      <c r="X1921" s="35" t="s">
        <v>1703</v>
      </c>
      <c r="Y1921" s="36" t="s">
        <v>1704</v>
      </c>
      <c r="Z1921" s="30" t="s">
        <v>1687</v>
      </c>
      <c r="AA1921" s="30" t="s">
        <v>1509</v>
      </c>
      <c r="AC1921" s="30"/>
      <c r="AD1921" s="26"/>
      <c r="AE1921" s="38">
        <v>11363.64</v>
      </c>
      <c r="AF1921" s="76">
        <f t="shared" si="191"/>
        <v>246667.47999999969</v>
      </c>
    </row>
    <row r="1922" spans="6:32" ht="8.25" customHeight="1" x14ac:dyDescent="0.25">
      <c r="R1922" s="53">
        <v>23</v>
      </c>
      <c r="T1922" s="33">
        <v>46101</v>
      </c>
      <c r="U1922" s="34">
        <v>2026</v>
      </c>
      <c r="V1922" s="35" t="s">
        <v>1348</v>
      </c>
      <c r="W1922" s="35" t="s">
        <v>5</v>
      </c>
      <c r="X1922" s="35" t="s">
        <v>1705</v>
      </c>
      <c r="Y1922" s="36" t="s">
        <v>1094</v>
      </c>
      <c r="Z1922" s="30" t="s">
        <v>1091</v>
      </c>
      <c r="AA1922" s="30" t="s">
        <v>1050</v>
      </c>
      <c r="AC1922" s="30"/>
      <c r="AD1922" s="26"/>
      <c r="AE1922" s="38">
        <v>1000</v>
      </c>
      <c r="AF1922" s="76">
        <f t="shared" si="191"/>
        <v>245667.47999999969</v>
      </c>
    </row>
    <row r="1923" spans="6:32" ht="8.25" customHeight="1" x14ac:dyDescent="0.25">
      <c r="T1923" s="33">
        <v>46101</v>
      </c>
      <c r="U1923" s="34">
        <v>2026</v>
      </c>
      <c r="V1923" s="35" t="s">
        <v>1348</v>
      </c>
      <c r="W1923" s="35" t="s">
        <v>5</v>
      </c>
      <c r="X1923" s="37" t="s">
        <v>1684</v>
      </c>
      <c r="Y1923" s="36" t="s">
        <v>411</v>
      </c>
      <c r="Z1923" s="30" t="s">
        <v>412</v>
      </c>
      <c r="AA1923" s="30" t="s">
        <v>1882</v>
      </c>
      <c r="AE1923" s="38">
        <v>70000</v>
      </c>
      <c r="AF1923" s="76">
        <f t="shared" si="191"/>
        <v>175667.47999999969</v>
      </c>
    </row>
    <row r="1924" spans="6:32" ht="8.25" customHeight="1" x14ac:dyDescent="0.25">
      <c r="F1924" s="53">
        <v>3</v>
      </c>
      <c r="T1924" s="33">
        <v>46101</v>
      </c>
      <c r="U1924" s="34">
        <v>2026</v>
      </c>
      <c r="V1924" s="35" t="s">
        <v>1348</v>
      </c>
      <c r="W1924" s="35" t="s">
        <v>2655</v>
      </c>
      <c r="Y1924" s="36" t="s">
        <v>1682</v>
      </c>
      <c r="Z1924" s="30" t="s">
        <v>1683</v>
      </c>
      <c r="AA1924" s="30" t="s">
        <v>3939</v>
      </c>
      <c r="AE1924" s="38">
        <v>200</v>
      </c>
      <c r="AF1924" s="76">
        <f t="shared" si="191"/>
        <v>175467.47999999969</v>
      </c>
    </row>
    <row r="1925" spans="6:32" ht="8.25" customHeight="1" x14ac:dyDescent="0.25">
      <c r="AA1925" s="75" t="s">
        <v>257</v>
      </c>
      <c r="AD1925" s="76">
        <f>SUM(AD1907:AD1924)</f>
        <v>24239.640000000003</v>
      </c>
      <c r="AE1925" s="76">
        <f>SUM(AE1921:AE1924)</f>
        <v>82563.64</v>
      </c>
      <c r="AF1925" s="76">
        <f>AF1906+AD1925-AE1925</f>
        <v>175467.47999999975</v>
      </c>
    </row>
    <row r="1926" spans="6:32" ht="8.25" customHeight="1" x14ac:dyDescent="0.25">
      <c r="X1926" s="109"/>
      <c r="Y1926" s="67" t="s">
        <v>214</v>
      </c>
      <c r="Z1926" s="68"/>
      <c r="AA1926" s="75"/>
    </row>
    <row r="1927" spans="6:32" ht="8.25" customHeight="1" x14ac:dyDescent="0.25">
      <c r="X1927" s="110" t="s">
        <v>1968</v>
      </c>
      <c r="Y1927" s="111">
        <v>200</v>
      </c>
      <c r="Z1927" s="111">
        <f t="shared" ref="Z1927:Z1932" si="192">X1927*Y1927</f>
        <v>77000</v>
      </c>
      <c r="AA1927" s="112"/>
    </row>
    <row r="1928" spans="6:32" ht="8.25" customHeight="1" x14ac:dyDescent="0.25">
      <c r="X1928" s="110" t="s">
        <v>1969</v>
      </c>
      <c r="Y1928" s="111">
        <v>100</v>
      </c>
      <c r="Z1928" s="111">
        <f t="shared" si="192"/>
        <v>92200</v>
      </c>
      <c r="AA1928" s="112"/>
    </row>
    <row r="1929" spans="6:32" ht="8.25" customHeight="1" x14ac:dyDescent="0.25">
      <c r="X1929" s="110"/>
      <c r="Y1929" s="111">
        <v>50</v>
      </c>
      <c r="Z1929" s="111">
        <f t="shared" si="192"/>
        <v>0</v>
      </c>
      <c r="AA1929" s="76"/>
    </row>
    <row r="1930" spans="6:32" ht="8.25" customHeight="1" x14ac:dyDescent="0.25">
      <c r="X1930" s="110" t="s">
        <v>216</v>
      </c>
      <c r="Y1930" s="111">
        <v>20</v>
      </c>
      <c r="Z1930" s="111">
        <f t="shared" si="192"/>
        <v>300</v>
      </c>
      <c r="AA1930" s="38"/>
    </row>
    <row r="1931" spans="6:32" ht="8.25" customHeight="1" x14ac:dyDescent="0.25">
      <c r="X1931" s="110" t="s">
        <v>1707</v>
      </c>
      <c r="Y1931" s="111">
        <v>10</v>
      </c>
      <c r="Z1931" s="111">
        <f t="shared" si="192"/>
        <v>2790</v>
      </c>
      <c r="AA1931" s="112"/>
    </row>
    <row r="1932" spans="6:32" ht="8.25" customHeight="1" x14ac:dyDescent="0.25">
      <c r="X1932" s="110" t="s">
        <v>1610</v>
      </c>
      <c r="Y1932" s="111">
        <v>5</v>
      </c>
      <c r="Z1932" s="111">
        <f t="shared" si="192"/>
        <v>1970</v>
      </c>
      <c r="AA1932" s="112"/>
    </row>
    <row r="1933" spans="6:32" ht="8.25" customHeight="1" x14ac:dyDescent="0.25">
      <c r="X1933" s="269"/>
      <c r="Y1933" s="270"/>
      <c r="Z1933" s="271"/>
      <c r="AA1933" s="38"/>
    </row>
    <row r="1934" spans="6:32" ht="8.25" customHeight="1" x14ac:dyDescent="0.25">
      <c r="X1934" s="110" t="s">
        <v>1611</v>
      </c>
      <c r="Y1934" s="111">
        <v>1</v>
      </c>
      <c r="Z1934" s="111">
        <f t="shared" ref="Z1934:Z1939" si="193">X1934*Y1934</f>
        <v>1124</v>
      </c>
      <c r="AA1934" s="76"/>
    </row>
    <row r="1935" spans="6:32" ht="8.25" customHeight="1" x14ac:dyDescent="0.25">
      <c r="X1935" s="110" t="s">
        <v>651</v>
      </c>
      <c r="Y1935" s="111">
        <v>0.5</v>
      </c>
      <c r="Z1935" s="111">
        <f t="shared" si="193"/>
        <v>39.5</v>
      </c>
      <c r="AA1935" s="112"/>
    </row>
    <row r="1936" spans="6:32" ht="8.25" customHeight="1" x14ac:dyDescent="0.25">
      <c r="X1936" s="110" t="s">
        <v>1512</v>
      </c>
      <c r="Y1936" s="111">
        <v>0.25</v>
      </c>
      <c r="Z1936" s="111">
        <f t="shared" si="193"/>
        <v>43.75</v>
      </c>
      <c r="AA1936" s="113"/>
    </row>
    <row r="1937" spans="3:32" ht="8.25" customHeight="1" x14ac:dyDescent="0.25">
      <c r="X1937" s="110" t="s">
        <v>224</v>
      </c>
      <c r="Y1937" s="111">
        <v>0.1</v>
      </c>
      <c r="Z1937" s="111">
        <f t="shared" si="193"/>
        <v>0.2</v>
      </c>
      <c r="AA1937" s="114" t="s">
        <v>219</v>
      </c>
    </row>
    <row r="1938" spans="3:32" ht="8.25" customHeight="1" thickBot="1" x14ac:dyDescent="0.3">
      <c r="X1938" s="110"/>
      <c r="Y1938" s="111">
        <v>0.05</v>
      </c>
      <c r="Z1938" s="111">
        <f t="shared" si="193"/>
        <v>0</v>
      </c>
      <c r="AA1938" s="115">
        <f>SUM(Z1927:Z1932)+Z1934+Z1935+Z1936+Z1937+Z1938+Z1939</f>
        <v>175467.48</v>
      </c>
    </row>
    <row r="1939" spans="3:32" ht="8.25" customHeight="1" thickTop="1" x14ac:dyDescent="0.25">
      <c r="X1939" s="110" t="s">
        <v>223</v>
      </c>
      <c r="Y1939" s="111">
        <v>0.01</v>
      </c>
      <c r="Z1939" s="111">
        <f t="shared" si="193"/>
        <v>0.03</v>
      </c>
    </row>
    <row r="1941" spans="3:32" ht="8.25" customHeight="1" x14ac:dyDescent="0.25">
      <c r="Z1941" s="231" t="s">
        <v>1376</v>
      </c>
      <c r="AF1941" s="76">
        <f>SUM(AF1924)</f>
        <v>175467.47999999969</v>
      </c>
    </row>
    <row r="1942" spans="3:32" ht="8.25" customHeight="1" x14ac:dyDescent="0.25">
      <c r="I1942" s="52">
        <v>28</v>
      </c>
      <c r="T1942" s="33">
        <v>46102</v>
      </c>
      <c r="U1942" s="34">
        <v>2026</v>
      </c>
      <c r="V1942" s="35" t="s">
        <v>1348</v>
      </c>
      <c r="W1942" s="35" t="s">
        <v>17</v>
      </c>
      <c r="X1942" s="37" t="s">
        <v>1708</v>
      </c>
      <c r="Y1942" s="36" t="s">
        <v>328</v>
      </c>
      <c r="Z1942" s="30" t="s">
        <v>1709</v>
      </c>
      <c r="AA1942" s="30" t="s">
        <v>1044</v>
      </c>
      <c r="AD1942" s="38">
        <v>200</v>
      </c>
      <c r="AF1942" s="76">
        <f>AF1941+AD1942-AE1942</f>
        <v>175667.47999999969</v>
      </c>
    </row>
    <row r="1943" spans="3:32" ht="8.25" customHeight="1" x14ac:dyDescent="0.25">
      <c r="C1943" s="52">
        <v>8</v>
      </c>
      <c r="T1943" s="33">
        <v>46102</v>
      </c>
      <c r="U1943" s="34">
        <v>2026</v>
      </c>
      <c r="V1943" s="35" t="s">
        <v>1348</v>
      </c>
      <c r="W1943" s="35" t="s">
        <v>3620</v>
      </c>
      <c r="Y1943" s="36" t="s">
        <v>1710</v>
      </c>
      <c r="Z1943" s="30" t="s">
        <v>1711</v>
      </c>
      <c r="AA1943" s="30" t="s">
        <v>340</v>
      </c>
      <c r="AD1943" s="38">
        <v>93</v>
      </c>
      <c r="AF1943" s="76">
        <f>AF1942+AD1943-AE1943</f>
        <v>175760.47999999969</v>
      </c>
    </row>
    <row r="1944" spans="3:32" ht="8.25" customHeight="1" x14ac:dyDescent="0.25">
      <c r="R1944" s="53">
        <v>24</v>
      </c>
      <c r="T1944" s="33">
        <v>46102</v>
      </c>
      <c r="U1944" s="34">
        <v>2026</v>
      </c>
      <c r="V1944" s="35" t="s">
        <v>1348</v>
      </c>
      <c r="W1944" s="35" t="s">
        <v>5</v>
      </c>
      <c r="X1944" s="37" t="s">
        <v>1712</v>
      </c>
      <c r="Y1944" s="36" t="s">
        <v>738</v>
      </c>
      <c r="Z1944" s="30" t="s">
        <v>1060</v>
      </c>
      <c r="AA1944" s="30" t="s">
        <v>1050</v>
      </c>
      <c r="AE1944" s="38">
        <v>2000</v>
      </c>
      <c r="AF1944" s="76">
        <f>AF1943+AD1944-AE1944</f>
        <v>173760.47999999969</v>
      </c>
    </row>
    <row r="1945" spans="3:32" ht="8.25" customHeight="1" x14ac:dyDescent="0.25">
      <c r="AA1945" s="75" t="s">
        <v>257</v>
      </c>
      <c r="AF1945" s="76">
        <f>AF1944+AD1945-AE1945</f>
        <v>173760.47999999969</v>
      </c>
    </row>
    <row r="1946" spans="3:32" ht="8.25" customHeight="1" x14ac:dyDescent="0.25">
      <c r="X1946" s="109"/>
      <c r="Y1946" s="67" t="s">
        <v>214</v>
      </c>
      <c r="Z1946" s="68"/>
      <c r="AA1946" s="75"/>
      <c r="AD1946" s="76">
        <f>SUM(AD1942:AD1943)</f>
        <v>293</v>
      </c>
      <c r="AE1946" s="76">
        <f>SUM(AE1944)</f>
        <v>2000</v>
      </c>
      <c r="AF1946" s="76">
        <f>AF1941+AD1946-AE1946</f>
        <v>173760.47999999969</v>
      </c>
    </row>
    <row r="1947" spans="3:32" ht="8.25" customHeight="1" x14ac:dyDescent="0.25">
      <c r="X1947" s="110" t="s">
        <v>1968</v>
      </c>
      <c r="Y1947" s="111">
        <v>200</v>
      </c>
      <c r="Z1947" s="111">
        <f t="shared" ref="Z1947:Z1952" si="194">X1947*Y1947</f>
        <v>77000</v>
      </c>
      <c r="AA1947" s="112"/>
    </row>
    <row r="1948" spans="3:32" ht="8.25" customHeight="1" x14ac:dyDescent="0.25">
      <c r="X1948" s="110" t="s">
        <v>1970</v>
      </c>
      <c r="Y1948" s="111">
        <v>100</v>
      </c>
      <c r="Z1948" s="111">
        <f t="shared" si="194"/>
        <v>90500</v>
      </c>
      <c r="AA1948" s="112"/>
    </row>
    <row r="1949" spans="3:32" ht="8.25" customHeight="1" x14ac:dyDescent="0.25">
      <c r="X1949" s="110"/>
      <c r="Y1949" s="111">
        <v>50</v>
      </c>
      <c r="Z1949" s="111">
        <f t="shared" si="194"/>
        <v>0</v>
      </c>
      <c r="AA1949" s="76"/>
    </row>
    <row r="1950" spans="3:32" ht="8.25" customHeight="1" x14ac:dyDescent="0.25">
      <c r="X1950" s="110" t="s">
        <v>216</v>
      </c>
      <c r="Y1950" s="111">
        <v>20</v>
      </c>
      <c r="Z1950" s="111">
        <f t="shared" si="194"/>
        <v>300</v>
      </c>
      <c r="AA1950" s="38"/>
    </row>
    <row r="1951" spans="3:32" ht="8.25" customHeight="1" x14ac:dyDescent="0.25">
      <c r="X1951" s="110" t="s">
        <v>1707</v>
      </c>
      <c r="Y1951" s="111">
        <v>10</v>
      </c>
      <c r="Z1951" s="111">
        <f t="shared" si="194"/>
        <v>2790</v>
      </c>
      <c r="AA1951" s="112"/>
    </row>
    <row r="1952" spans="3:32" ht="8.25" customHeight="1" x14ac:dyDescent="0.25">
      <c r="X1952" s="110" t="s">
        <v>1971</v>
      </c>
      <c r="Y1952" s="111">
        <v>5</v>
      </c>
      <c r="Z1952" s="111">
        <f t="shared" si="194"/>
        <v>1965</v>
      </c>
      <c r="AA1952" s="112"/>
    </row>
    <row r="1953" spans="14:32" ht="8.25" customHeight="1" x14ac:dyDescent="0.25">
      <c r="X1953" s="269"/>
      <c r="Y1953" s="270"/>
      <c r="Z1953" s="271"/>
      <c r="AA1953" s="38"/>
    </row>
    <row r="1954" spans="14:32" ht="8.25" customHeight="1" x14ac:dyDescent="0.25">
      <c r="X1954" s="110" t="s">
        <v>1630</v>
      </c>
      <c r="Y1954" s="111">
        <v>1</v>
      </c>
      <c r="Z1954" s="111">
        <f t="shared" ref="Z1954:Z1959" si="195">X1954*Y1954</f>
        <v>1122</v>
      </c>
      <c r="AA1954" s="76"/>
    </row>
    <row r="1955" spans="14:32" ht="8.25" customHeight="1" x14ac:dyDescent="0.25">
      <c r="X1955" s="110" t="s">
        <v>651</v>
      </c>
      <c r="Y1955" s="111">
        <v>0.5</v>
      </c>
      <c r="Z1955" s="111">
        <f t="shared" si="195"/>
        <v>39.5</v>
      </c>
      <c r="AA1955" s="112"/>
    </row>
    <row r="1956" spans="14:32" ht="8.25" customHeight="1" x14ac:dyDescent="0.25">
      <c r="X1956" s="110" t="s">
        <v>1512</v>
      </c>
      <c r="Y1956" s="111">
        <v>0.25</v>
      </c>
      <c r="Z1956" s="111">
        <f t="shared" si="195"/>
        <v>43.75</v>
      </c>
      <c r="AA1956" s="113"/>
    </row>
    <row r="1957" spans="14:32" ht="8.25" customHeight="1" x14ac:dyDescent="0.25">
      <c r="X1957" s="110" t="s">
        <v>224</v>
      </c>
      <c r="Y1957" s="111">
        <v>0.1</v>
      </c>
      <c r="Z1957" s="111">
        <f t="shared" si="195"/>
        <v>0.2</v>
      </c>
      <c r="AA1957" s="114" t="s">
        <v>219</v>
      </c>
    </row>
    <row r="1958" spans="14:32" ht="8.25" customHeight="1" thickBot="1" x14ac:dyDescent="0.3">
      <c r="X1958" s="110"/>
      <c r="Y1958" s="111">
        <v>0.05</v>
      </c>
      <c r="Z1958" s="111">
        <f t="shared" si="195"/>
        <v>0</v>
      </c>
      <c r="AA1958" s="115">
        <f>SUM(Z1947:Z1952)+Z1954+Z1955+Z1956+Z1957+Z1958+Z1959</f>
        <v>173760.48</v>
      </c>
    </row>
    <row r="1959" spans="14:32" ht="8.25" customHeight="1" thickTop="1" x14ac:dyDescent="0.25">
      <c r="X1959" s="110" t="s">
        <v>223</v>
      </c>
      <c r="Y1959" s="111">
        <v>0.01</v>
      </c>
      <c r="Z1959" s="111">
        <f t="shared" si="195"/>
        <v>0.03</v>
      </c>
    </row>
    <row r="1962" spans="14:32" ht="8.25" customHeight="1" x14ac:dyDescent="0.25">
      <c r="Z1962" s="231" t="s">
        <v>1376</v>
      </c>
      <c r="AF1962" s="76">
        <f>SUM(AF1945)</f>
        <v>173760.47999999969</v>
      </c>
    </row>
    <row r="1963" spans="14:32" ht="8.25" customHeight="1" x14ac:dyDescent="0.25">
      <c r="N1963" s="52">
        <v>51</v>
      </c>
      <c r="T1963" s="33">
        <v>46104</v>
      </c>
      <c r="U1963" s="34">
        <v>2026</v>
      </c>
      <c r="V1963" s="35" t="s">
        <v>1348</v>
      </c>
      <c r="W1963" s="35" t="s">
        <v>17</v>
      </c>
      <c r="X1963" s="37" t="s">
        <v>1714</v>
      </c>
      <c r="Y1963" s="36" t="s">
        <v>1126</v>
      </c>
      <c r="Z1963" s="30" t="s">
        <v>1127</v>
      </c>
      <c r="AA1963" s="30" t="s">
        <v>3899</v>
      </c>
      <c r="AD1963" s="38">
        <v>4796.0200000000004</v>
      </c>
      <c r="AF1963" s="76">
        <f>AF1962+AD1963-AE1963</f>
        <v>178556.49999999968</v>
      </c>
    </row>
    <row r="1964" spans="14:32" ht="8.25" customHeight="1" x14ac:dyDescent="0.15">
      <c r="N1964" s="52">
        <v>51</v>
      </c>
      <c r="T1964" s="33">
        <v>46104</v>
      </c>
      <c r="U1964" s="34">
        <v>2026</v>
      </c>
      <c r="V1964" s="35" t="s">
        <v>1348</v>
      </c>
      <c r="W1964" s="35" t="s">
        <v>17</v>
      </c>
      <c r="X1964" s="37" t="s">
        <v>1714</v>
      </c>
      <c r="Y1964" s="36" t="s">
        <v>1126</v>
      </c>
      <c r="Z1964" s="30" t="s">
        <v>1127</v>
      </c>
      <c r="AA1964" s="134" t="s">
        <v>166</v>
      </c>
      <c r="AD1964" s="38">
        <v>10503.98</v>
      </c>
      <c r="AF1964" s="76">
        <f t="shared" ref="AF1964:AF1979" si="196">AF1963+AD1964-AE1964</f>
        <v>189060.47999999969</v>
      </c>
    </row>
    <row r="1965" spans="14:32" ht="8.25" customHeight="1" x14ac:dyDescent="0.25">
      <c r="N1965" s="52">
        <v>52</v>
      </c>
      <c r="T1965" s="33">
        <v>46104</v>
      </c>
      <c r="U1965" s="34">
        <v>2026</v>
      </c>
      <c r="V1965" s="35" t="s">
        <v>1348</v>
      </c>
      <c r="W1965" s="35" t="s">
        <v>17</v>
      </c>
      <c r="X1965" s="37" t="s">
        <v>1713</v>
      </c>
      <c r="Y1965" s="36" t="s">
        <v>348</v>
      </c>
      <c r="Z1965" s="30" t="s">
        <v>1459</v>
      </c>
      <c r="AA1965" s="30" t="s">
        <v>3899</v>
      </c>
      <c r="AD1965" s="38">
        <v>47647.43</v>
      </c>
      <c r="AF1965" s="76">
        <f t="shared" si="196"/>
        <v>236707.90999999968</v>
      </c>
    </row>
    <row r="1966" spans="14:32" ht="8.25" customHeight="1" x14ac:dyDescent="0.15">
      <c r="N1966" s="52">
        <v>52</v>
      </c>
      <c r="T1966" s="33">
        <v>46104</v>
      </c>
      <c r="U1966" s="34">
        <v>2026</v>
      </c>
      <c r="V1966" s="35" t="s">
        <v>1348</v>
      </c>
      <c r="W1966" s="35" t="s">
        <v>17</v>
      </c>
      <c r="X1966" s="37" t="s">
        <v>1713</v>
      </c>
      <c r="Y1966" s="36" t="s">
        <v>348</v>
      </c>
      <c r="Z1966" s="30" t="s">
        <v>1459</v>
      </c>
      <c r="AA1966" s="134" t="s">
        <v>166</v>
      </c>
      <c r="AD1966" s="38">
        <v>2352.5700000000002</v>
      </c>
      <c r="AF1966" s="76">
        <f t="shared" si="196"/>
        <v>239060.47999999969</v>
      </c>
    </row>
    <row r="1967" spans="14:32" ht="8.25" customHeight="1" x14ac:dyDescent="0.25">
      <c r="N1967" s="52">
        <v>53</v>
      </c>
      <c r="T1967" s="33">
        <v>46104</v>
      </c>
      <c r="U1967" s="34">
        <v>2026</v>
      </c>
      <c r="V1967" s="35" t="s">
        <v>1348</v>
      </c>
      <c r="W1967" s="35" t="s">
        <v>17</v>
      </c>
      <c r="X1967" s="37" t="s">
        <v>1724</v>
      </c>
      <c r="Y1967" s="36" t="s">
        <v>1725</v>
      </c>
      <c r="Z1967" s="30" t="s">
        <v>1132</v>
      </c>
      <c r="AA1967" s="30" t="s">
        <v>3899</v>
      </c>
      <c r="AD1967" s="38">
        <v>3416.58</v>
      </c>
      <c r="AF1967" s="76">
        <f t="shared" si="196"/>
        <v>242477.05999999968</v>
      </c>
    </row>
    <row r="1968" spans="14:32" ht="8.25" customHeight="1" x14ac:dyDescent="0.15">
      <c r="N1968" s="52">
        <v>53</v>
      </c>
      <c r="T1968" s="33">
        <v>46104</v>
      </c>
      <c r="U1968" s="34">
        <v>2026</v>
      </c>
      <c r="V1968" s="35" t="s">
        <v>1348</v>
      </c>
      <c r="W1968" s="35" t="s">
        <v>17</v>
      </c>
      <c r="X1968" s="37" t="s">
        <v>1724</v>
      </c>
      <c r="Y1968" s="36" t="s">
        <v>1725</v>
      </c>
      <c r="Z1968" s="30" t="s">
        <v>1132</v>
      </c>
      <c r="AA1968" s="134" t="s">
        <v>166</v>
      </c>
      <c r="AD1968" s="38">
        <v>7485.42</v>
      </c>
      <c r="AF1968" s="76">
        <f t="shared" si="196"/>
        <v>249962.47999999969</v>
      </c>
    </row>
    <row r="1969" spans="3:32" ht="8.25" customHeight="1" x14ac:dyDescent="0.25">
      <c r="N1969" s="52">
        <v>54</v>
      </c>
      <c r="T1969" s="33">
        <v>46104</v>
      </c>
      <c r="U1969" s="34">
        <v>2026</v>
      </c>
      <c r="V1969" s="35" t="s">
        <v>1348</v>
      </c>
      <c r="W1969" s="35" t="s">
        <v>17</v>
      </c>
      <c r="X1969" s="37" t="s">
        <v>1726</v>
      </c>
      <c r="Y1969" s="36" t="s">
        <v>903</v>
      </c>
      <c r="Z1969" s="30" t="s">
        <v>1727</v>
      </c>
      <c r="AA1969" s="30" t="s">
        <v>3899</v>
      </c>
      <c r="AD1969" s="38">
        <v>5172.99</v>
      </c>
      <c r="AF1969" s="76">
        <f t="shared" si="196"/>
        <v>255135.46999999968</v>
      </c>
    </row>
    <row r="1970" spans="3:32" ht="8.25" customHeight="1" x14ac:dyDescent="0.15">
      <c r="N1970" s="52">
        <v>54</v>
      </c>
      <c r="T1970" s="33">
        <v>46104</v>
      </c>
      <c r="U1970" s="34">
        <v>2026</v>
      </c>
      <c r="V1970" s="35" t="s">
        <v>1348</v>
      </c>
      <c r="W1970" s="35" t="s">
        <v>17</v>
      </c>
      <c r="X1970" s="37" t="s">
        <v>1726</v>
      </c>
      <c r="Y1970" s="36" t="s">
        <v>903</v>
      </c>
      <c r="Z1970" s="30" t="s">
        <v>1727</v>
      </c>
      <c r="AA1970" s="134" t="s">
        <v>166</v>
      </c>
      <c r="AD1970" s="38">
        <v>3307.01</v>
      </c>
      <c r="AF1970" s="76">
        <f t="shared" si="196"/>
        <v>258442.47999999969</v>
      </c>
    </row>
    <row r="1971" spans="3:32" ht="8.25" customHeight="1" x14ac:dyDescent="0.25">
      <c r="N1971" s="52">
        <v>54</v>
      </c>
      <c r="T1971" s="33">
        <v>46104</v>
      </c>
      <c r="U1971" s="34">
        <v>2026</v>
      </c>
      <c r="V1971" s="35" t="s">
        <v>1348</v>
      </c>
      <c r="W1971" s="35" t="s">
        <v>17</v>
      </c>
      <c r="X1971" s="37" t="s">
        <v>1726</v>
      </c>
      <c r="Y1971" s="36" t="s">
        <v>903</v>
      </c>
      <c r="Z1971" s="30" t="s">
        <v>1727</v>
      </c>
      <c r="AA1971" s="30" t="s">
        <v>3306</v>
      </c>
      <c r="AD1971" s="38">
        <v>70</v>
      </c>
      <c r="AF1971" s="76">
        <f t="shared" si="196"/>
        <v>258512.47999999969</v>
      </c>
    </row>
    <row r="1972" spans="3:32" ht="8.25" customHeight="1" x14ac:dyDescent="0.25">
      <c r="C1972" s="52">
        <v>9</v>
      </c>
      <c r="T1972" s="33">
        <v>46104</v>
      </c>
      <c r="U1972" s="34">
        <v>2026</v>
      </c>
      <c r="V1972" s="35" t="s">
        <v>1348</v>
      </c>
      <c r="W1972" s="35" t="s">
        <v>3620</v>
      </c>
      <c r="Y1972" s="36" t="s">
        <v>1721</v>
      </c>
      <c r="Z1972" s="30" t="s">
        <v>1722</v>
      </c>
      <c r="AA1972" s="30" t="s">
        <v>340</v>
      </c>
      <c r="AD1972" s="38">
        <v>60</v>
      </c>
      <c r="AF1972" s="76">
        <f t="shared" si="196"/>
        <v>258572.47999999969</v>
      </c>
    </row>
    <row r="1973" spans="3:32" ht="8.25" customHeight="1" x14ac:dyDescent="0.25">
      <c r="C1973" s="52">
        <v>10</v>
      </c>
      <c r="T1973" s="33">
        <v>46104</v>
      </c>
      <c r="U1973" s="34">
        <v>2026</v>
      </c>
      <c r="V1973" s="35" t="s">
        <v>1348</v>
      </c>
      <c r="W1973" s="35" t="s">
        <v>3620</v>
      </c>
      <c r="Y1973" s="36" t="s">
        <v>1728</v>
      </c>
      <c r="Z1973" s="30" t="s">
        <v>1729</v>
      </c>
      <c r="AA1973" s="30" t="s">
        <v>340</v>
      </c>
      <c r="AD1973" s="38">
        <v>458</v>
      </c>
      <c r="AF1973" s="76">
        <f t="shared" si="196"/>
        <v>259030.47999999969</v>
      </c>
    </row>
    <row r="1974" spans="3:32" ht="8.25" customHeight="1" x14ac:dyDescent="0.25">
      <c r="R1974" s="53">
        <v>25</v>
      </c>
      <c r="T1974" s="33">
        <v>46104</v>
      </c>
      <c r="U1974" s="34">
        <v>2026</v>
      </c>
      <c r="V1974" s="35" t="s">
        <v>1348</v>
      </c>
      <c r="W1974" s="35" t="s">
        <v>5</v>
      </c>
      <c r="X1974" s="37" t="s">
        <v>1715</v>
      </c>
      <c r="Z1974" s="30" t="s">
        <v>16</v>
      </c>
      <c r="AA1974" s="30" t="s">
        <v>167</v>
      </c>
      <c r="AE1974" s="38">
        <v>1914</v>
      </c>
      <c r="AF1974" s="76">
        <f t="shared" si="196"/>
        <v>257116.47999999969</v>
      </c>
    </row>
    <row r="1975" spans="3:32" ht="8.25" customHeight="1" x14ac:dyDescent="0.25">
      <c r="G1975" s="53">
        <v>21</v>
      </c>
      <c r="T1975" s="33">
        <v>46104</v>
      </c>
      <c r="U1975" s="34">
        <v>2026</v>
      </c>
      <c r="V1975" s="35" t="s">
        <v>1348</v>
      </c>
      <c r="W1975" s="35" t="s">
        <v>2655</v>
      </c>
      <c r="Y1975" s="36" t="s">
        <v>1716</v>
      </c>
      <c r="Z1975" s="30" t="s">
        <v>1438</v>
      </c>
      <c r="AA1975" s="30" t="s">
        <v>3945</v>
      </c>
      <c r="AE1975" s="38">
        <v>303.33999999999997</v>
      </c>
      <c r="AF1975" s="76">
        <f t="shared" si="196"/>
        <v>256813.13999999969</v>
      </c>
    </row>
    <row r="1976" spans="3:32" ht="8.25" customHeight="1" x14ac:dyDescent="0.25">
      <c r="G1976" s="53">
        <v>22</v>
      </c>
      <c r="T1976" s="33">
        <v>46104</v>
      </c>
      <c r="U1976" s="34">
        <v>2026</v>
      </c>
      <c r="V1976" s="35" t="s">
        <v>1348</v>
      </c>
      <c r="W1976" s="35" t="s">
        <v>2655</v>
      </c>
      <c r="Y1976" s="36" t="s">
        <v>1717</v>
      </c>
      <c r="Z1976" s="30" t="s">
        <v>1718</v>
      </c>
      <c r="AA1976" s="30" t="s">
        <v>3945</v>
      </c>
      <c r="AE1976" s="38">
        <v>1546</v>
      </c>
      <c r="AF1976" s="76">
        <f t="shared" si="196"/>
        <v>255267.13999999969</v>
      </c>
    </row>
    <row r="1977" spans="3:32" ht="8.25" customHeight="1" x14ac:dyDescent="0.25">
      <c r="G1977" s="53">
        <v>23</v>
      </c>
      <c r="T1977" s="33">
        <v>46104</v>
      </c>
      <c r="U1977" s="34">
        <v>2026</v>
      </c>
      <c r="V1977" s="35" t="s">
        <v>1348</v>
      </c>
      <c r="W1977" s="35" t="s">
        <v>2655</v>
      </c>
      <c r="Y1977" s="36" t="s">
        <v>1719</v>
      </c>
      <c r="Z1977" s="30" t="s">
        <v>1357</v>
      </c>
      <c r="AA1977" s="30" t="s">
        <v>3945</v>
      </c>
      <c r="AE1977" s="38">
        <v>12352</v>
      </c>
      <c r="AF1977" s="76">
        <f t="shared" si="196"/>
        <v>242915.13999999969</v>
      </c>
    </row>
    <row r="1978" spans="3:32" ht="8.25" customHeight="1" x14ac:dyDescent="0.25">
      <c r="G1978" s="53">
        <v>24</v>
      </c>
      <c r="T1978" s="33">
        <v>46104</v>
      </c>
      <c r="U1978" s="34">
        <v>2026</v>
      </c>
      <c r="V1978" s="35" t="s">
        <v>1348</v>
      </c>
      <c r="W1978" s="35" t="s">
        <v>2655</v>
      </c>
      <c r="Y1978" s="36" t="s">
        <v>1720</v>
      </c>
      <c r="Z1978" s="30" t="s">
        <v>1357</v>
      </c>
      <c r="AA1978" s="30" t="s">
        <v>3945</v>
      </c>
      <c r="AE1978" s="38">
        <v>16564.68</v>
      </c>
      <c r="AF1978" s="76">
        <f t="shared" si="196"/>
        <v>226350.4599999997</v>
      </c>
    </row>
    <row r="1979" spans="3:32" ht="8.25" customHeight="1" x14ac:dyDescent="0.25">
      <c r="G1979" s="53">
        <v>25</v>
      </c>
      <c r="T1979" s="33">
        <v>46104</v>
      </c>
      <c r="U1979" s="34">
        <v>2026</v>
      </c>
      <c r="V1979" s="35" t="s">
        <v>1348</v>
      </c>
      <c r="W1979" s="35" t="s">
        <v>2655</v>
      </c>
      <c r="Y1979" s="36" t="s">
        <v>1730</v>
      </c>
      <c r="Z1979" s="30" t="s">
        <v>1723</v>
      </c>
      <c r="AA1979" s="30" t="s">
        <v>3945</v>
      </c>
      <c r="AE1979" s="38">
        <v>2298</v>
      </c>
      <c r="AF1979" s="76">
        <f t="shared" si="196"/>
        <v>224052.4599999997</v>
      </c>
    </row>
    <row r="1980" spans="3:32" ht="8.25" customHeight="1" x14ac:dyDescent="0.25">
      <c r="AA1980" s="75" t="s">
        <v>257</v>
      </c>
      <c r="AD1980" s="76">
        <f>SUM(AD1963:AD1973)</f>
        <v>85270</v>
      </c>
      <c r="AE1980" s="76">
        <f>SUM(AE1974:AE1979)</f>
        <v>34978.020000000004</v>
      </c>
      <c r="AF1980" s="76">
        <f>AF1962+AD1980-AE1980</f>
        <v>224052.45999999967</v>
      </c>
    </row>
    <row r="1982" spans="3:32" ht="8.25" customHeight="1" x14ac:dyDescent="0.25">
      <c r="X1982" s="109"/>
      <c r="Y1982" s="67" t="s">
        <v>214</v>
      </c>
      <c r="Z1982" s="68"/>
      <c r="AA1982" s="75"/>
    </row>
    <row r="1983" spans="3:32" ht="8.25" customHeight="1" x14ac:dyDescent="0.25">
      <c r="X1983" s="110" t="s">
        <v>1973</v>
      </c>
      <c r="Y1983" s="111">
        <v>200</v>
      </c>
      <c r="Z1983" s="111">
        <f t="shared" ref="Z1983:Z1988" si="197">X1983*Y1983</f>
        <v>78400</v>
      </c>
      <c r="AA1983" s="112"/>
    </row>
    <row r="1984" spans="3:32" ht="8.25" customHeight="1" x14ac:dyDescent="0.25">
      <c r="X1984" s="110" t="s">
        <v>1734</v>
      </c>
      <c r="Y1984" s="111">
        <v>100</v>
      </c>
      <c r="Z1984" s="111">
        <f t="shared" si="197"/>
        <v>139700</v>
      </c>
      <c r="AA1984" s="112"/>
    </row>
    <row r="1985" spans="14:32" ht="8.25" customHeight="1" x14ac:dyDescent="0.25">
      <c r="X1985" s="110" t="s">
        <v>224</v>
      </c>
      <c r="Y1985" s="111">
        <v>50</v>
      </c>
      <c r="Z1985" s="111">
        <f t="shared" si="197"/>
        <v>100</v>
      </c>
      <c r="AA1985" s="76"/>
    </row>
    <row r="1986" spans="14:32" ht="8.25" customHeight="1" x14ac:dyDescent="0.25">
      <c r="X1986" s="110" t="s">
        <v>319</v>
      </c>
      <c r="Y1986" s="111">
        <v>20</v>
      </c>
      <c r="Z1986" s="111">
        <f t="shared" si="197"/>
        <v>120</v>
      </c>
      <c r="AA1986" s="38"/>
    </row>
    <row r="1987" spans="14:32" ht="8.25" customHeight="1" x14ac:dyDescent="0.25">
      <c r="X1987" s="110" t="s">
        <v>1731</v>
      </c>
      <c r="Y1987" s="111">
        <v>10</v>
      </c>
      <c r="Z1987" s="111">
        <f t="shared" si="197"/>
        <v>2590</v>
      </c>
      <c r="AA1987" s="112"/>
    </row>
    <row r="1988" spans="14:32" ht="8.25" customHeight="1" x14ac:dyDescent="0.25">
      <c r="X1988" s="110" t="s">
        <v>1732</v>
      </c>
      <c r="Y1988" s="111">
        <v>5</v>
      </c>
      <c r="Z1988" s="111">
        <f t="shared" si="197"/>
        <v>1945</v>
      </c>
      <c r="AA1988" s="112"/>
    </row>
    <row r="1989" spans="14:32" ht="8.25" customHeight="1" x14ac:dyDescent="0.25">
      <c r="X1989" s="269"/>
      <c r="Y1989" s="270"/>
      <c r="Z1989" s="271"/>
      <c r="AA1989" s="38"/>
    </row>
    <row r="1990" spans="14:32" ht="8.25" customHeight="1" x14ac:dyDescent="0.25">
      <c r="X1990" s="110" t="s">
        <v>1974</v>
      </c>
      <c r="Y1990" s="111">
        <v>1</v>
      </c>
      <c r="Z1990" s="111">
        <f t="shared" ref="Z1990:Z1995" si="198">X1990*Y1990</f>
        <v>1112</v>
      </c>
      <c r="AA1990" s="76"/>
    </row>
    <row r="1991" spans="14:32" ht="8.25" customHeight="1" x14ac:dyDescent="0.25">
      <c r="X1991" s="110" t="s">
        <v>259</v>
      </c>
      <c r="Y1991" s="111">
        <v>0.5</v>
      </c>
      <c r="Z1991" s="111">
        <f t="shared" si="198"/>
        <v>40</v>
      </c>
      <c r="AA1991" s="112"/>
    </row>
    <row r="1992" spans="14:32" ht="8.25" customHeight="1" x14ac:dyDescent="0.25">
      <c r="X1992" s="110" t="s">
        <v>1733</v>
      </c>
      <c r="Y1992" s="111">
        <v>0.25</v>
      </c>
      <c r="Z1992" s="111">
        <f t="shared" si="198"/>
        <v>45.25</v>
      </c>
      <c r="AA1992" s="113"/>
    </row>
    <row r="1993" spans="14:32" ht="8.25" customHeight="1" x14ac:dyDescent="0.25">
      <c r="X1993" s="110" t="s">
        <v>224</v>
      </c>
      <c r="Y1993" s="111">
        <v>0.1</v>
      </c>
      <c r="Z1993" s="111">
        <f t="shared" si="198"/>
        <v>0.2</v>
      </c>
      <c r="AA1993" s="114" t="s">
        <v>219</v>
      </c>
    </row>
    <row r="1994" spans="14:32" ht="8.25" customHeight="1" thickBot="1" x14ac:dyDescent="0.3">
      <c r="X1994" s="110"/>
      <c r="Y1994" s="111">
        <v>0.05</v>
      </c>
      <c r="Z1994" s="111">
        <f t="shared" si="198"/>
        <v>0</v>
      </c>
      <c r="AA1994" s="115">
        <f>SUM(Z1983:Z1988)+Z1990+Z1991+Z1992+Z1993+Z1994+Z1995</f>
        <v>224052.46000000002</v>
      </c>
    </row>
    <row r="1995" spans="14:32" ht="8.25" customHeight="1" thickTop="1" x14ac:dyDescent="0.25">
      <c r="X1995" s="110" t="s">
        <v>222</v>
      </c>
      <c r="Y1995" s="111">
        <v>0.01</v>
      </c>
      <c r="Z1995" s="111">
        <f t="shared" si="198"/>
        <v>0.01</v>
      </c>
    </row>
    <row r="1998" spans="14:32" ht="8.25" customHeight="1" x14ac:dyDescent="0.25">
      <c r="Z1998" s="231" t="s">
        <v>1376</v>
      </c>
      <c r="AF1998" s="76">
        <f>AF1980</f>
        <v>224052.45999999967</v>
      </c>
    </row>
    <row r="1999" spans="14:32" ht="8.25" customHeight="1" x14ac:dyDescent="0.25">
      <c r="N1999" s="52">
        <v>55</v>
      </c>
      <c r="T1999" s="33">
        <v>46105</v>
      </c>
      <c r="U1999" s="34">
        <v>2026</v>
      </c>
      <c r="V1999" s="35" t="s">
        <v>1348</v>
      </c>
      <c r="W1999" s="35" t="s">
        <v>17</v>
      </c>
      <c r="X1999" s="37" t="s">
        <v>1735</v>
      </c>
      <c r="Y1999" s="36" t="s">
        <v>585</v>
      </c>
      <c r="Z1999" s="30" t="s">
        <v>1613</v>
      </c>
      <c r="AA1999" s="30" t="s">
        <v>3899</v>
      </c>
      <c r="AD1999" s="38">
        <v>9824.92</v>
      </c>
      <c r="AF1999" s="76">
        <f>AF1998+AD1999-AE1999</f>
        <v>233877.37999999968</v>
      </c>
    </row>
    <row r="2000" spans="14:32" ht="8.25" customHeight="1" x14ac:dyDescent="0.15">
      <c r="N2000" s="52">
        <v>55</v>
      </c>
      <c r="T2000" s="33">
        <v>46105</v>
      </c>
      <c r="U2000" s="34">
        <v>2026</v>
      </c>
      <c r="V2000" s="35" t="s">
        <v>1348</v>
      </c>
      <c r="W2000" s="35" t="s">
        <v>17</v>
      </c>
      <c r="X2000" s="37" t="s">
        <v>1735</v>
      </c>
      <c r="Y2000" s="36" t="s">
        <v>585</v>
      </c>
      <c r="Z2000" s="30" t="s">
        <v>1613</v>
      </c>
      <c r="AA2000" s="134" t="s">
        <v>166</v>
      </c>
      <c r="AD2000" s="38">
        <v>175.08</v>
      </c>
      <c r="AF2000" s="76">
        <f t="shared" ref="AF2000:AF2037" si="199">AF1999+AD2000-AE2000</f>
        <v>234052.45999999967</v>
      </c>
    </row>
    <row r="2001" spans="9:32" ht="8.25" customHeight="1" x14ac:dyDescent="0.25">
      <c r="N2001" s="52">
        <v>56</v>
      </c>
      <c r="T2001" s="33">
        <v>46105</v>
      </c>
      <c r="U2001" s="34">
        <v>2026</v>
      </c>
      <c r="V2001" s="35" t="s">
        <v>1348</v>
      </c>
      <c r="W2001" s="35" t="s">
        <v>17</v>
      </c>
      <c r="X2001" s="37" t="s">
        <v>1736</v>
      </c>
      <c r="Y2001" s="36" t="s">
        <v>1737</v>
      </c>
      <c r="Z2001" s="30" t="s">
        <v>1085</v>
      </c>
      <c r="AA2001" s="30" t="s">
        <v>3899</v>
      </c>
      <c r="AD2001" s="38">
        <v>6815.69</v>
      </c>
      <c r="AF2001" s="76">
        <f t="shared" si="199"/>
        <v>240868.14999999967</v>
      </c>
    </row>
    <row r="2002" spans="9:32" ht="8.25" customHeight="1" x14ac:dyDescent="0.15">
      <c r="N2002" s="52">
        <v>56</v>
      </c>
      <c r="T2002" s="33">
        <v>46105</v>
      </c>
      <c r="U2002" s="34">
        <v>2026</v>
      </c>
      <c r="V2002" s="35" t="s">
        <v>1348</v>
      </c>
      <c r="W2002" s="35" t="s">
        <v>17</v>
      </c>
      <c r="X2002" s="37" t="s">
        <v>1736</v>
      </c>
      <c r="Y2002" s="36" t="s">
        <v>1737</v>
      </c>
      <c r="Z2002" s="30" t="s">
        <v>1085</v>
      </c>
      <c r="AA2002" s="134" t="s">
        <v>166</v>
      </c>
      <c r="AD2002" s="38">
        <v>4184.3100000000004</v>
      </c>
      <c r="AF2002" s="76">
        <f t="shared" si="199"/>
        <v>245052.45999999967</v>
      </c>
    </row>
    <row r="2003" spans="9:32" ht="8.25" customHeight="1" x14ac:dyDescent="0.25">
      <c r="N2003" s="52">
        <v>57</v>
      </c>
      <c r="T2003" s="33">
        <v>46105</v>
      </c>
      <c r="U2003" s="34">
        <v>2026</v>
      </c>
      <c r="V2003" s="35" t="s">
        <v>1348</v>
      </c>
      <c r="W2003" s="35" t="s">
        <v>17</v>
      </c>
      <c r="X2003" s="37" t="s">
        <v>1738</v>
      </c>
      <c r="Y2003" s="36" t="s">
        <v>450</v>
      </c>
      <c r="Z2003" s="30" t="s">
        <v>451</v>
      </c>
      <c r="AA2003" s="30" t="s">
        <v>3899</v>
      </c>
      <c r="AD2003" s="38">
        <v>13745.32</v>
      </c>
      <c r="AF2003" s="76">
        <f t="shared" si="199"/>
        <v>258797.77999999968</v>
      </c>
    </row>
    <row r="2004" spans="9:32" ht="8.25" customHeight="1" x14ac:dyDescent="0.15">
      <c r="N2004" s="52">
        <v>57</v>
      </c>
      <c r="T2004" s="33">
        <v>46105</v>
      </c>
      <c r="U2004" s="34">
        <v>2026</v>
      </c>
      <c r="V2004" s="35" t="s">
        <v>1348</v>
      </c>
      <c r="W2004" s="35" t="s">
        <v>17</v>
      </c>
      <c r="X2004" s="37" t="s">
        <v>1738</v>
      </c>
      <c r="Y2004" s="36" t="s">
        <v>450</v>
      </c>
      <c r="Z2004" s="30" t="s">
        <v>451</v>
      </c>
      <c r="AA2004" s="134" t="s">
        <v>166</v>
      </c>
      <c r="AD2004" s="38">
        <v>1254.68</v>
      </c>
      <c r="AF2004" s="76">
        <f t="shared" si="199"/>
        <v>260052.45999999967</v>
      </c>
    </row>
    <row r="2005" spans="9:32" ht="8.25" customHeight="1" x14ac:dyDescent="0.25">
      <c r="N2005" s="52">
        <v>58</v>
      </c>
      <c r="T2005" s="33">
        <v>46105</v>
      </c>
      <c r="U2005" s="34">
        <v>2026</v>
      </c>
      <c r="V2005" s="35" t="s">
        <v>1348</v>
      </c>
      <c r="W2005" s="35" t="s">
        <v>17</v>
      </c>
      <c r="X2005" s="37" t="s">
        <v>1739</v>
      </c>
      <c r="Y2005" s="36" t="s">
        <v>322</v>
      </c>
      <c r="Z2005" s="30" t="s">
        <v>1740</v>
      </c>
      <c r="AA2005" s="30" t="s">
        <v>3899</v>
      </c>
      <c r="AD2005" s="38">
        <v>10567.04</v>
      </c>
      <c r="AF2005" s="76">
        <f t="shared" si="199"/>
        <v>270619.49999999965</v>
      </c>
    </row>
    <row r="2006" spans="9:32" ht="8.25" customHeight="1" x14ac:dyDescent="0.15">
      <c r="N2006" s="52">
        <v>58</v>
      </c>
      <c r="T2006" s="33">
        <v>46105</v>
      </c>
      <c r="U2006" s="34">
        <v>2026</v>
      </c>
      <c r="V2006" s="35" t="s">
        <v>1348</v>
      </c>
      <c r="W2006" s="35" t="s">
        <v>17</v>
      </c>
      <c r="X2006" s="37" t="s">
        <v>1739</v>
      </c>
      <c r="Y2006" s="36" t="s">
        <v>322</v>
      </c>
      <c r="Z2006" s="30" t="s">
        <v>1740</v>
      </c>
      <c r="AA2006" s="134" t="s">
        <v>166</v>
      </c>
      <c r="AD2006" s="38">
        <v>13197.96</v>
      </c>
      <c r="AF2006" s="76">
        <f t="shared" si="199"/>
        <v>283817.45999999967</v>
      </c>
    </row>
    <row r="2007" spans="9:32" ht="8.25" customHeight="1" x14ac:dyDescent="0.25">
      <c r="N2007" s="52">
        <v>58</v>
      </c>
      <c r="T2007" s="33">
        <v>46105</v>
      </c>
      <c r="U2007" s="34">
        <v>2026</v>
      </c>
      <c r="V2007" s="35" t="s">
        <v>1348</v>
      </c>
      <c r="W2007" s="35" t="s">
        <v>17</v>
      </c>
      <c r="X2007" s="37" t="s">
        <v>1739</v>
      </c>
      <c r="Y2007" s="36" t="s">
        <v>322</v>
      </c>
      <c r="Z2007" s="30" t="s">
        <v>1740</v>
      </c>
      <c r="AA2007" s="30" t="s">
        <v>3306</v>
      </c>
      <c r="AD2007" s="38">
        <v>235</v>
      </c>
      <c r="AF2007" s="76">
        <f t="shared" si="199"/>
        <v>284052.45999999967</v>
      </c>
    </row>
    <row r="2008" spans="9:32" ht="8.25" customHeight="1" x14ac:dyDescent="0.25">
      <c r="I2008" s="52">
        <v>29</v>
      </c>
      <c r="T2008" s="33">
        <v>46105</v>
      </c>
      <c r="U2008" s="34">
        <v>2026</v>
      </c>
      <c r="V2008" s="35" t="s">
        <v>1348</v>
      </c>
      <c r="W2008" s="35" t="s">
        <v>17</v>
      </c>
      <c r="X2008" s="37" t="s">
        <v>1741</v>
      </c>
      <c r="Y2008" s="36" t="s">
        <v>577</v>
      </c>
      <c r="Z2008" s="30" t="s">
        <v>1742</v>
      </c>
      <c r="AA2008" s="30" t="s">
        <v>1044</v>
      </c>
      <c r="AD2008" s="38">
        <v>20000</v>
      </c>
      <c r="AF2008" s="76">
        <f t="shared" si="199"/>
        <v>304052.45999999967</v>
      </c>
    </row>
    <row r="2009" spans="9:32" ht="8.25" customHeight="1" x14ac:dyDescent="0.25">
      <c r="N2009" s="52">
        <v>59</v>
      </c>
      <c r="T2009" s="33">
        <v>46105</v>
      </c>
      <c r="U2009" s="34">
        <v>2026</v>
      </c>
      <c r="V2009" s="35" t="s">
        <v>1348</v>
      </c>
      <c r="W2009" s="35" t="s">
        <v>17</v>
      </c>
      <c r="X2009" s="37" t="s">
        <v>1743</v>
      </c>
      <c r="Y2009" s="36" t="s">
        <v>1744</v>
      </c>
      <c r="Z2009" s="30" t="s">
        <v>1745</v>
      </c>
      <c r="AA2009" s="30" t="s">
        <v>3708</v>
      </c>
      <c r="AD2009" s="38">
        <v>1896.71</v>
      </c>
      <c r="AF2009" s="76">
        <f t="shared" si="199"/>
        <v>305949.16999999969</v>
      </c>
    </row>
    <row r="2010" spans="9:32" ht="8.25" customHeight="1" x14ac:dyDescent="0.15">
      <c r="N2010" s="52">
        <v>59</v>
      </c>
      <c r="T2010" s="33">
        <v>46105</v>
      </c>
      <c r="U2010" s="34">
        <v>2026</v>
      </c>
      <c r="V2010" s="35" t="s">
        <v>1348</v>
      </c>
      <c r="W2010" s="35" t="s">
        <v>17</v>
      </c>
      <c r="X2010" s="37" t="s">
        <v>1743</v>
      </c>
      <c r="Y2010" s="36" t="s">
        <v>1744</v>
      </c>
      <c r="Z2010" s="30" t="s">
        <v>1745</v>
      </c>
      <c r="AA2010" s="134" t="s">
        <v>1748</v>
      </c>
      <c r="AD2010" s="38">
        <v>188.29</v>
      </c>
      <c r="AF2010" s="76">
        <f t="shared" si="199"/>
        <v>306137.45999999967</v>
      </c>
    </row>
    <row r="2011" spans="9:32" ht="8.25" customHeight="1" x14ac:dyDescent="0.25">
      <c r="N2011" s="52">
        <v>60</v>
      </c>
      <c r="T2011" s="33">
        <v>46105</v>
      </c>
      <c r="U2011" s="34">
        <v>2026</v>
      </c>
      <c r="V2011" s="35" t="s">
        <v>1348</v>
      </c>
      <c r="W2011" s="35" t="s">
        <v>17</v>
      </c>
      <c r="X2011" s="37" t="s">
        <v>1746</v>
      </c>
      <c r="Y2011" s="36" t="s">
        <v>939</v>
      </c>
      <c r="Z2011" s="30" t="s">
        <v>1747</v>
      </c>
      <c r="AA2011" s="30" t="s">
        <v>3899</v>
      </c>
      <c r="AD2011" s="38">
        <v>3277.29</v>
      </c>
      <c r="AF2011" s="76">
        <f t="shared" si="199"/>
        <v>309414.74999999965</v>
      </c>
    </row>
    <row r="2012" spans="9:32" ht="8.25" customHeight="1" x14ac:dyDescent="0.15">
      <c r="N2012" s="52">
        <v>60</v>
      </c>
      <c r="T2012" s="33">
        <v>46105</v>
      </c>
      <c r="U2012" s="34">
        <v>2026</v>
      </c>
      <c r="V2012" s="35" t="s">
        <v>1348</v>
      </c>
      <c r="W2012" s="35" t="s">
        <v>17</v>
      </c>
      <c r="X2012" s="37" t="s">
        <v>1746</v>
      </c>
      <c r="Y2012" s="36" t="s">
        <v>939</v>
      </c>
      <c r="Z2012" s="30" t="s">
        <v>1747</v>
      </c>
      <c r="AA2012" s="134" t="s">
        <v>166</v>
      </c>
      <c r="AD2012" s="38">
        <v>846.71</v>
      </c>
      <c r="AF2012" s="76">
        <f t="shared" si="199"/>
        <v>310261.45999999967</v>
      </c>
    </row>
    <row r="2013" spans="9:32" ht="8.25" customHeight="1" x14ac:dyDescent="0.25">
      <c r="I2013" s="52">
        <v>30</v>
      </c>
      <c r="T2013" s="33">
        <v>46105</v>
      </c>
      <c r="U2013" s="34">
        <v>2026</v>
      </c>
      <c r="V2013" s="35" t="s">
        <v>1348</v>
      </c>
      <c r="W2013" s="35" t="s">
        <v>17</v>
      </c>
      <c r="X2013" s="37" t="s">
        <v>1749</v>
      </c>
      <c r="Y2013" s="36" t="s">
        <v>275</v>
      </c>
      <c r="Z2013" s="30" t="s">
        <v>1750</v>
      </c>
      <c r="AA2013" s="30" t="s">
        <v>1044</v>
      </c>
      <c r="AD2013" s="38">
        <v>10000</v>
      </c>
      <c r="AF2013" s="76">
        <f t="shared" si="199"/>
        <v>320261.45999999967</v>
      </c>
    </row>
    <row r="2014" spans="9:32" ht="8.25" customHeight="1" x14ac:dyDescent="0.25">
      <c r="N2014" s="52">
        <v>61</v>
      </c>
      <c r="T2014" s="33">
        <v>46105</v>
      </c>
      <c r="U2014" s="34">
        <v>2026</v>
      </c>
      <c r="V2014" s="35" t="s">
        <v>1348</v>
      </c>
      <c r="W2014" s="35" t="s">
        <v>17</v>
      </c>
      <c r="X2014" s="37" t="s">
        <v>1751</v>
      </c>
      <c r="Y2014" s="36" t="s">
        <v>1180</v>
      </c>
      <c r="Z2014" s="30" t="s">
        <v>1030</v>
      </c>
      <c r="AA2014" s="30" t="s">
        <v>3899</v>
      </c>
      <c r="AD2014" s="38">
        <v>4406.37</v>
      </c>
      <c r="AF2014" s="76">
        <f t="shared" si="199"/>
        <v>324667.82999999967</v>
      </c>
    </row>
    <row r="2015" spans="9:32" ht="8.25" customHeight="1" x14ac:dyDescent="0.15">
      <c r="N2015" s="52">
        <v>61</v>
      </c>
      <c r="T2015" s="33">
        <v>46105</v>
      </c>
      <c r="U2015" s="34">
        <v>2026</v>
      </c>
      <c r="V2015" s="35" t="s">
        <v>1348</v>
      </c>
      <c r="W2015" s="35" t="s">
        <v>17</v>
      </c>
      <c r="X2015" s="37" t="s">
        <v>1751</v>
      </c>
      <c r="Y2015" s="36" t="s">
        <v>1180</v>
      </c>
      <c r="Z2015" s="30" t="s">
        <v>1030</v>
      </c>
      <c r="AA2015" s="134" t="s">
        <v>166</v>
      </c>
      <c r="AD2015" s="38">
        <v>2093.63</v>
      </c>
      <c r="AF2015" s="76">
        <f t="shared" si="199"/>
        <v>326761.45999999967</v>
      </c>
    </row>
    <row r="2016" spans="9:32" ht="8.25" customHeight="1" x14ac:dyDescent="0.25">
      <c r="I2016" s="52">
        <v>31</v>
      </c>
      <c r="T2016" s="33">
        <v>46105</v>
      </c>
      <c r="U2016" s="34">
        <v>2026</v>
      </c>
      <c r="V2016" s="35" t="s">
        <v>1348</v>
      </c>
      <c r="W2016" s="35" t="s">
        <v>17</v>
      </c>
      <c r="X2016" s="37" t="s">
        <v>1752</v>
      </c>
      <c r="Y2016" s="36" t="s">
        <v>114</v>
      </c>
      <c r="Z2016" s="30" t="s">
        <v>1747</v>
      </c>
      <c r="AA2016" s="30" t="s">
        <v>1044</v>
      </c>
      <c r="AD2016" s="38">
        <v>1500</v>
      </c>
      <c r="AF2016" s="76">
        <f t="shared" si="199"/>
        <v>328261.45999999967</v>
      </c>
    </row>
    <row r="2017" spans="4:32" ht="8.25" customHeight="1" x14ac:dyDescent="0.25">
      <c r="N2017" s="52">
        <v>62</v>
      </c>
      <c r="T2017" s="33">
        <v>46105</v>
      </c>
      <c r="U2017" s="34">
        <v>2026</v>
      </c>
      <c r="V2017" s="35" t="s">
        <v>1348</v>
      </c>
      <c r="W2017" s="35" t="s">
        <v>17</v>
      </c>
      <c r="X2017" s="37" t="s">
        <v>1753</v>
      </c>
      <c r="Y2017" s="36" t="s">
        <v>120</v>
      </c>
      <c r="Z2017" s="30" t="s">
        <v>1030</v>
      </c>
      <c r="AA2017" s="30" t="s">
        <v>1754</v>
      </c>
      <c r="AD2017" s="38">
        <v>10</v>
      </c>
      <c r="AF2017" s="76">
        <f t="shared" si="199"/>
        <v>328271.45999999967</v>
      </c>
    </row>
    <row r="2018" spans="4:32" ht="8.25" customHeight="1" x14ac:dyDescent="0.25">
      <c r="N2018" s="52">
        <v>63</v>
      </c>
      <c r="T2018" s="33">
        <v>46105</v>
      </c>
      <c r="U2018" s="34">
        <v>2026</v>
      </c>
      <c r="V2018" s="35" t="s">
        <v>1348</v>
      </c>
      <c r="W2018" s="35" t="s">
        <v>17</v>
      </c>
      <c r="X2018" s="37" t="s">
        <v>1755</v>
      </c>
      <c r="Y2018" s="36" t="s">
        <v>1026</v>
      </c>
      <c r="Z2018" s="30" t="s">
        <v>1646</v>
      </c>
      <c r="AA2018" s="30" t="s">
        <v>3708</v>
      </c>
      <c r="AD2018" s="38">
        <v>5394.28</v>
      </c>
      <c r="AF2018" s="76">
        <f t="shared" si="199"/>
        <v>333665.7399999997</v>
      </c>
    </row>
    <row r="2019" spans="4:32" ht="8.25" customHeight="1" x14ac:dyDescent="0.15">
      <c r="N2019" s="52">
        <v>63</v>
      </c>
      <c r="T2019" s="33">
        <v>46105</v>
      </c>
      <c r="U2019" s="34">
        <v>2026</v>
      </c>
      <c r="V2019" s="35" t="s">
        <v>1348</v>
      </c>
      <c r="W2019" s="35" t="s">
        <v>17</v>
      </c>
      <c r="X2019" s="37" t="s">
        <v>1755</v>
      </c>
      <c r="Y2019" s="36" t="s">
        <v>1026</v>
      </c>
      <c r="Z2019" s="30" t="s">
        <v>1646</v>
      </c>
      <c r="AA2019" s="134" t="s">
        <v>1748</v>
      </c>
      <c r="AD2019" s="38">
        <v>24.83</v>
      </c>
      <c r="AF2019" s="76">
        <f t="shared" si="199"/>
        <v>333690.56999999972</v>
      </c>
    </row>
    <row r="2020" spans="4:32" ht="8.25" customHeight="1" x14ac:dyDescent="0.25">
      <c r="M2020" s="52">
        <v>10</v>
      </c>
      <c r="T2020" s="33">
        <v>46105</v>
      </c>
      <c r="U2020" s="34">
        <v>2026</v>
      </c>
      <c r="V2020" s="35" t="s">
        <v>1348</v>
      </c>
      <c r="W2020" s="35" t="s">
        <v>17</v>
      </c>
      <c r="X2020" s="37" t="s">
        <v>1756</v>
      </c>
      <c r="Y2020" s="36" t="s">
        <v>120</v>
      </c>
      <c r="Z2020" s="30" t="s">
        <v>1646</v>
      </c>
      <c r="AA2020" s="30" t="s">
        <v>1058</v>
      </c>
      <c r="AD2020" s="38">
        <v>131</v>
      </c>
      <c r="AF2020" s="76">
        <f t="shared" si="199"/>
        <v>333821.56999999972</v>
      </c>
    </row>
    <row r="2021" spans="4:32" ht="8.25" customHeight="1" x14ac:dyDescent="0.25">
      <c r="N2021" s="52">
        <v>64</v>
      </c>
      <c r="T2021" s="33">
        <v>46105</v>
      </c>
      <c r="U2021" s="34">
        <v>2026</v>
      </c>
      <c r="V2021" s="35" t="s">
        <v>1348</v>
      </c>
      <c r="W2021" s="35" t="s">
        <v>17</v>
      </c>
      <c r="X2021" s="37" t="s">
        <v>1757</v>
      </c>
      <c r="Y2021" s="36" t="s">
        <v>325</v>
      </c>
      <c r="Z2021" s="30" t="s">
        <v>1758</v>
      </c>
      <c r="AA2021" s="30" t="s">
        <v>3899</v>
      </c>
      <c r="AD2021" s="38">
        <v>5134.87</v>
      </c>
      <c r="AF2021" s="76">
        <f t="shared" si="199"/>
        <v>338956.43999999971</v>
      </c>
    </row>
    <row r="2022" spans="4:32" ht="8.25" customHeight="1" x14ac:dyDescent="0.15">
      <c r="N2022" s="52">
        <v>64</v>
      </c>
      <c r="T2022" s="33">
        <v>46105</v>
      </c>
      <c r="U2022" s="34">
        <v>2026</v>
      </c>
      <c r="V2022" s="35" t="s">
        <v>1348</v>
      </c>
      <c r="W2022" s="35" t="s">
        <v>17</v>
      </c>
      <c r="X2022" s="37" t="s">
        <v>1757</v>
      </c>
      <c r="Y2022" s="36" t="s">
        <v>325</v>
      </c>
      <c r="Z2022" s="30" t="s">
        <v>1758</v>
      </c>
      <c r="AA2022" s="134" t="s">
        <v>166</v>
      </c>
      <c r="AD2022" s="38">
        <v>6780.13</v>
      </c>
      <c r="AF2022" s="76">
        <f t="shared" si="199"/>
        <v>345736.56999999972</v>
      </c>
    </row>
    <row r="2023" spans="4:32" ht="8.25" customHeight="1" x14ac:dyDescent="0.25">
      <c r="N2023" s="52">
        <v>64</v>
      </c>
      <c r="T2023" s="33">
        <v>46105</v>
      </c>
      <c r="U2023" s="34">
        <v>2026</v>
      </c>
      <c r="V2023" s="35" t="s">
        <v>1348</v>
      </c>
      <c r="W2023" s="35" t="s">
        <v>17</v>
      </c>
      <c r="X2023" s="37" t="s">
        <v>1757</v>
      </c>
      <c r="Y2023" s="36" t="s">
        <v>325</v>
      </c>
      <c r="Z2023" s="30" t="s">
        <v>1758</v>
      </c>
      <c r="AA2023" s="30" t="s">
        <v>3306</v>
      </c>
      <c r="AD2023" s="38">
        <v>85</v>
      </c>
      <c r="AF2023" s="76">
        <f t="shared" si="199"/>
        <v>345821.56999999972</v>
      </c>
    </row>
    <row r="2024" spans="4:32" ht="8.25" customHeight="1" x14ac:dyDescent="0.25">
      <c r="I2024" s="52">
        <v>32</v>
      </c>
      <c r="T2024" s="33">
        <v>46105</v>
      </c>
      <c r="U2024" s="34">
        <v>2026</v>
      </c>
      <c r="V2024" s="35" t="s">
        <v>1348</v>
      </c>
      <c r="W2024" s="35" t="s">
        <v>17</v>
      </c>
      <c r="X2024" s="37" t="s">
        <v>1759</v>
      </c>
      <c r="Y2024" s="36" t="s">
        <v>691</v>
      </c>
      <c r="Z2024" s="30" t="s">
        <v>692</v>
      </c>
      <c r="AA2024" s="30" t="s">
        <v>1044</v>
      </c>
      <c r="AD2024" s="38">
        <v>10000</v>
      </c>
      <c r="AF2024" s="76">
        <f t="shared" si="199"/>
        <v>355821.56999999972</v>
      </c>
    </row>
    <row r="2025" spans="4:32" ht="8.25" customHeight="1" x14ac:dyDescent="0.25">
      <c r="T2025" s="33">
        <v>46105</v>
      </c>
      <c r="U2025" s="34">
        <v>2026</v>
      </c>
      <c r="V2025" s="35" t="s">
        <v>1348</v>
      </c>
      <c r="W2025" s="35" t="s">
        <v>17</v>
      </c>
      <c r="X2025" s="37" t="s">
        <v>1760</v>
      </c>
      <c r="Y2025" s="36" t="s">
        <v>1761</v>
      </c>
      <c r="Z2025" s="30" t="s">
        <v>1762</v>
      </c>
      <c r="AA2025" s="30" t="s">
        <v>1044</v>
      </c>
      <c r="AD2025" s="38">
        <v>56818.18</v>
      </c>
      <c r="AF2025" s="76">
        <f t="shared" si="199"/>
        <v>412639.74999999971</v>
      </c>
    </row>
    <row r="2026" spans="4:32" ht="8.25" customHeight="1" x14ac:dyDescent="0.25">
      <c r="M2026" s="52">
        <v>11</v>
      </c>
      <c r="T2026" s="33">
        <v>46105</v>
      </c>
      <c r="U2026" s="34">
        <v>2026</v>
      </c>
      <c r="V2026" s="35" t="s">
        <v>1348</v>
      </c>
      <c r="W2026" s="35" t="s">
        <v>17</v>
      </c>
      <c r="X2026" s="37" t="s">
        <v>1763</v>
      </c>
      <c r="Y2026" s="36" t="s">
        <v>120</v>
      </c>
      <c r="Z2026" s="30" t="s">
        <v>1762</v>
      </c>
      <c r="AA2026" s="30" t="s">
        <v>1058</v>
      </c>
      <c r="AD2026" s="38">
        <v>11363.64</v>
      </c>
      <c r="AF2026" s="76">
        <f t="shared" si="199"/>
        <v>424003.38999999972</v>
      </c>
    </row>
    <row r="2027" spans="4:32" ht="8.25" customHeight="1" x14ac:dyDescent="0.25">
      <c r="R2027" s="53">
        <v>26</v>
      </c>
      <c r="T2027" s="33">
        <v>46105</v>
      </c>
      <c r="U2027" s="34">
        <v>2026</v>
      </c>
      <c r="V2027" s="35" t="s">
        <v>1348</v>
      </c>
      <c r="W2027" s="35" t="s">
        <v>5</v>
      </c>
      <c r="X2027" s="37" t="s">
        <v>1764</v>
      </c>
      <c r="Y2027" s="36" t="s">
        <v>411</v>
      </c>
      <c r="Z2027" s="30" t="s">
        <v>1495</v>
      </c>
      <c r="AA2027" s="30" t="s">
        <v>2719</v>
      </c>
      <c r="AE2027" s="38">
        <v>68181.820000000007</v>
      </c>
      <c r="AF2027" s="76">
        <f t="shared" si="199"/>
        <v>355821.56999999972</v>
      </c>
    </row>
    <row r="2028" spans="4:32" ht="8.25" customHeight="1" x14ac:dyDescent="0.25">
      <c r="D2028" s="52">
        <v>2</v>
      </c>
      <c r="T2028" s="33">
        <v>46105</v>
      </c>
      <c r="U2028" s="34">
        <v>2026</v>
      </c>
      <c r="V2028" s="35" t="s">
        <v>1348</v>
      </c>
      <c r="W2028" s="35" t="s">
        <v>2405</v>
      </c>
      <c r="Y2028" s="36" t="s">
        <v>1765</v>
      </c>
      <c r="Z2028" s="30" t="s">
        <v>1766</v>
      </c>
      <c r="AA2028" s="30" t="s">
        <v>256</v>
      </c>
      <c r="AD2028" s="38">
        <v>7000</v>
      </c>
      <c r="AF2028" s="76">
        <f t="shared" si="199"/>
        <v>362821.56999999972</v>
      </c>
    </row>
    <row r="2029" spans="4:32" ht="8.25" customHeight="1" x14ac:dyDescent="0.25">
      <c r="D2029" s="52">
        <v>3</v>
      </c>
      <c r="T2029" s="33">
        <v>46105</v>
      </c>
      <c r="U2029" s="34">
        <v>2026</v>
      </c>
      <c r="V2029" s="35" t="s">
        <v>1348</v>
      </c>
      <c r="W2029" s="35" t="s">
        <v>2405</v>
      </c>
      <c r="Y2029" s="36" t="s">
        <v>1767</v>
      </c>
      <c r="Z2029" s="30" t="s">
        <v>1750</v>
      </c>
      <c r="AA2029" s="30" t="s">
        <v>256</v>
      </c>
      <c r="AD2029" s="38">
        <v>5000</v>
      </c>
      <c r="AF2029" s="76">
        <f t="shared" si="199"/>
        <v>367821.56999999972</v>
      </c>
    </row>
    <row r="2030" spans="4:32" ht="8.25" customHeight="1" x14ac:dyDescent="0.25">
      <c r="R2030" s="53">
        <v>27</v>
      </c>
      <c r="T2030" s="33">
        <v>46105</v>
      </c>
      <c r="U2030" s="34">
        <v>2026</v>
      </c>
      <c r="V2030" s="35" t="s">
        <v>1348</v>
      </c>
      <c r="W2030" s="35" t="s">
        <v>5</v>
      </c>
      <c r="X2030" s="37" t="s">
        <v>1768</v>
      </c>
      <c r="Y2030" s="36" t="s">
        <v>810</v>
      </c>
      <c r="Z2030" s="30" t="s">
        <v>1580</v>
      </c>
      <c r="AA2030" s="30" t="s">
        <v>1050</v>
      </c>
      <c r="AE2030" s="38">
        <v>1072</v>
      </c>
      <c r="AF2030" s="76">
        <f>AF2029+AD2030-AE2030</f>
        <v>366749.56999999972</v>
      </c>
    </row>
    <row r="2031" spans="4:32" ht="8.25" customHeight="1" x14ac:dyDescent="0.25">
      <c r="R2031" s="53">
        <v>28</v>
      </c>
      <c r="T2031" s="33">
        <v>46105</v>
      </c>
      <c r="U2031" s="34">
        <v>2026</v>
      </c>
      <c r="V2031" s="35" t="s">
        <v>1348</v>
      </c>
      <c r="W2031" s="35" t="s">
        <v>5</v>
      </c>
      <c r="X2031" s="37" t="s">
        <v>1769</v>
      </c>
      <c r="Y2031" s="36" t="s">
        <v>1770</v>
      </c>
      <c r="Z2031" s="30" t="s">
        <v>1030</v>
      </c>
      <c r="AA2031" s="30" t="s">
        <v>118</v>
      </c>
      <c r="AE2031" s="38">
        <v>20000</v>
      </c>
      <c r="AF2031" s="76">
        <f t="shared" si="199"/>
        <v>346749.56999999972</v>
      </c>
    </row>
    <row r="2032" spans="4:32" ht="8.25" customHeight="1" x14ac:dyDescent="0.25">
      <c r="T2032" s="33">
        <v>46105</v>
      </c>
      <c r="U2032" s="34">
        <v>2026</v>
      </c>
      <c r="V2032" s="35" t="s">
        <v>1348</v>
      </c>
      <c r="W2032" s="35" t="s">
        <v>5</v>
      </c>
      <c r="X2032" s="37" t="s">
        <v>1769</v>
      </c>
      <c r="Y2032" s="36" t="s">
        <v>1770</v>
      </c>
      <c r="Z2032" s="30" t="s">
        <v>1030</v>
      </c>
      <c r="AA2032" s="30" t="s">
        <v>1149</v>
      </c>
      <c r="AE2032" s="38">
        <v>2520</v>
      </c>
      <c r="AF2032" s="76">
        <f t="shared" si="199"/>
        <v>344229.56999999972</v>
      </c>
    </row>
    <row r="2033" spans="6:32" ht="8.25" customHeight="1" x14ac:dyDescent="0.25">
      <c r="R2033" s="53">
        <v>29</v>
      </c>
      <c r="T2033" s="33">
        <v>46105</v>
      </c>
      <c r="U2033" s="34">
        <v>2026</v>
      </c>
      <c r="V2033" s="35" t="s">
        <v>1348</v>
      </c>
      <c r="W2033" s="35" t="s">
        <v>5</v>
      </c>
      <c r="X2033" s="37" t="s">
        <v>1771</v>
      </c>
      <c r="Y2033" s="36" t="s">
        <v>713</v>
      </c>
      <c r="Z2033" s="30" t="s">
        <v>1129</v>
      </c>
      <c r="AA2033" s="30" t="s">
        <v>1050</v>
      </c>
      <c r="AE2033" s="38">
        <v>500</v>
      </c>
      <c r="AF2033" s="76">
        <f t="shared" si="199"/>
        <v>343729.56999999972</v>
      </c>
    </row>
    <row r="2034" spans="6:32" ht="8.25" customHeight="1" x14ac:dyDescent="0.25">
      <c r="R2034" s="53">
        <v>30</v>
      </c>
      <c r="T2034" s="33">
        <v>46105</v>
      </c>
      <c r="U2034" s="34">
        <v>2026</v>
      </c>
      <c r="V2034" s="35" t="s">
        <v>1348</v>
      </c>
      <c r="W2034" s="35" t="s">
        <v>5</v>
      </c>
      <c r="X2034" s="37" t="s">
        <v>1772</v>
      </c>
      <c r="Y2034" s="36" t="s">
        <v>1773</v>
      </c>
      <c r="Z2034" s="30" t="s">
        <v>1646</v>
      </c>
      <c r="AA2034" s="30" t="s">
        <v>1063</v>
      </c>
      <c r="AE2034" s="38">
        <v>6550.11</v>
      </c>
      <c r="AF2034" s="76">
        <f t="shared" si="199"/>
        <v>337179.45999999973</v>
      </c>
    </row>
    <row r="2035" spans="6:32" ht="8.25" customHeight="1" x14ac:dyDescent="0.25">
      <c r="G2035" s="53">
        <v>26</v>
      </c>
      <c r="T2035" s="33">
        <v>46105</v>
      </c>
      <c r="U2035" s="34">
        <v>2026</v>
      </c>
      <c r="V2035" s="35" t="s">
        <v>1348</v>
      </c>
      <c r="W2035" s="35" t="s">
        <v>2655</v>
      </c>
      <c r="Y2035" s="36" t="s">
        <v>1776</v>
      </c>
      <c r="Z2035" s="30" t="s">
        <v>1774</v>
      </c>
      <c r="AA2035" s="30" t="s">
        <v>3945</v>
      </c>
      <c r="AE2035" s="38">
        <v>3840</v>
      </c>
      <c r="AF2035" s="76">
        <f t="shared" si="199"/>
        <v>333339.45999999973</v>
      </c>
    </row>
    <row r="2036" spans="6:32" ht="8.25" customHeight="1" x14ac:dyDescent="0.25">
      <c r="G2036" s="53">
        <v>27</v>
      </c>
      <c r="T2036" s="33">
        <v>46105</v>
      </c>
      <c r="U2036" s="34">
        <v>2026</v>
      </c>
      <c r="V2036" s="35" t="s">
        <v>1348</v>
      </c>
      <c r="W2036" s="35" t="s">
        <v>2655</v>
      </c>
      <c r="Y2036" s="36" t="s">
        <v>1775</v>
      </c>
      <c r="Z2036" s="30" t="s">
        <v>1766</v>
      </c>
      <c r="AA2036" s="30" t="s">
        <v>3945</v>
      </c>
      <c r="AE2036" s="38">
        <v>7660</v>
      </c>
      <c r="AF2036" s="76">
        <f>AF2035+AD2036-AE2036</f>
        <v>325679.45999999973</v>
      </c>
    </row>
    <row r="2037" spans="6:32" ht="8.25" customHeight="1" x14ac:dyDescent="0.25">
      <c r="F2037" s="53">
        <v>4</v>
      </c>
      <c r="T2037" s="33">
        <v>46105</v>
      </c>
      <c r="U2037" s="34">
        <v>2026</v>
      </c>
      <c r="V2037" s="35" t="s">
        <v>1348</v>
      </c>
      <c r="W2037" s="35" t="s">
        <v>2655</v>
      </c>
      <c r="Y2037" s="36" t="s">
        <v>1781</v>
      </c>
      <c r="Z2037" s="30" t="s">
        <v>1780</v>
      </c>
      <c r="AA2037" s="30" t="s">
        <v>3939</v>
      </c>
      <c r="AE2037" s="38">
        <v>170</v>
      </c>
      <c r="AF2037" s="76">
        <f t="shared" si="199"/>
        <v>325509.45999999973</v>
      </c>
    </row>
    <row r="2038" spans="6:32" ht="8.25" customHeight="1" thickBot="1" x14ac:dyDescent="0.3">
      <c r="AA2038" s="75" t="s">
        <v>257</v>
      </c>
      <c r="AD2038" s="233">
        <f>SUM(AD1999:AD2037)</f>
        <v>211950.93</v>
      </c>
      <c r="AE2038" s="233">
        <f>SUM(AE2022:AE2037)</f>
        <v>110493.93000000001</v>
      </c>
      <c r="AF2038" s="233">
        <f>AF1998+AD2038-AE2038</f>
        <v>325509.45999999967</v>
      </c>
    </row>
    <row r="2039" spans="6:32" ht="8.25" customHeight="1" thickTop="1" x14ac:dyDescent="0.25">
      <c r="X2039" s="109"/>
      <c r="Y2039" s="67" t="s">
        <v>214</v>
      </c>
      <c r="Z2039" s="68"/>
      <c r="AA2039" s="75"/>
    </row>
    <row r="2040" spans="6:32" ht="8.25" customHeight="1" x14ac:dyDescent="0.25">
      <c r="X2040" s="110" t="s">
        <v>1972</v>
      </c>
      <c r="Y2040" s="111">
        <v>200</v>
      </c>
      <c r="Z2040" s="111">
        <f t="shared" ref="Z2040:Z2045" si="200">X2040*Y2040</f>
        <v>79000</v>
      </c>
      <c r="AA2040" s="112"/>
    </row>
    <row r="2041" spans="6:32" ht="8.25" customHeight="1" x14ac:dyDescent="0.25">
      <c r="X2041" s="110" t="s">
        <v>1975</v>
      </c>
      <c r="Y2041" s="111">
        <v>100</v>
      </c>
      <c r="Z2041" s="111">
        <f t="shared" si="200"/>
        <v>240800</v>
      </c>
      <c r="AA2041" s="112"/>
    </row>
    <row r="2042" spans="6:32" ht="8.25" customHeight="1" x14ac:dyDescent="0.25">
      <c r="X2042" s="110" t="s">
        <v>222</v>
      </c>
      <c r="Y2042" s="111">
        <v>50</v>
      </c>
      <c r="Z2042" s="111">
        <f t="shared" si="200"/>
        <v>50</v>
      </c>
      <c r="AA2042" s="76"/>
    </row>
    <row r="2043" spans="6:32" ht="8.25" customHeight="1" x14ac:dyDescent="0.25">
      <c r="X2043" s="110" t="s">
        <v>222</v>
      </c>
      <c r="Y2043" s="111">
        <v>20</v>
      </c>
      <c r="Z2043" s="111">
        <f t="shared" si="200"/>
        <v>20</v>
      </c>
      <c r="AA2043" s="38"/>
    </row>
    <row r="2044" spans="6:32" ht="8.25" customHeight="1" x14ac:dyDescent="0.25">
      <c r="X2044" s="110" t="s">
        <v>1779</v>
      </c>
      <c r="Y2044" s="111">
        <v>10</v>
      </c>
      <c r="Z2044" s="111">
        <f t="shared" si="200"/>
        <v>2500</v>
      </c>
      <c r="AA2044" s="112"/>
    </row>
    <row r="2045" spans="6:32" ht="8.25" customHeight="1" x14ac:dyDescent="0.25">
      <c r="X2045" s="110" t="s">
        <v>1778</v>
      </c>
      <c r="Y2045" s="111">
        <v>5</v>
      </c>
      <c r="Z2045" s="111">
        <f t="shared" si="200"/>
        <v>1935</v>
      </c>
      <c r="AA2045" s="112"/>
    </row>
    <row r="2046" spans="6:32" ht="8.25" customHeight="1" x14ac:dyDescent="0.25">
      <c r="X2046" s="269"/>
      <c r="Y2046" s="270"/>
      <c r="Z2046" s="271"/>
      <c r="AA2046" s="38"/>
    </row>
    <row r="2047" spans="6:32" ht="8.25" customHeight="1" x14ac:dyDescent="0.25">
      <c r="X2047" s="110" t="s">
        <v>1976</v>
      </c>
      <c r="Y2047" s="111">
        <v>1</v>
      </c>
      <c r="Z2047" s="111">
        <f t="shared" ref="Z2047:Z2052" si="201">X2047*Y2047</f>
        <v>1119</v>
      </c>
      <c r="AA2047" s="76"/>
    </row>
    <row r="2048" spans="6:32" ht="8.25" customHeight="1" x14ac:dyDescent="0.25">
      <c r="X2048" s="110" t="s">
        <v>259</v>
      </c>
      <c r="Y2048" s="111">
        <v>0.5</v>
      </c>
      <c r="Z2048" s="111">
        <f t="shared" si="201"/>
        <v>40</v>
      </c>
      <c r="AA2048" s="112"/>
    </row>
    <row r="2049" spans="4:32" ht="8.25" customHeight="1" x14ac:dyDescent="0.25">
      <c r="X2049" s="110" t="s">
        <v>1733</v>
      </c>
      <c r="Y2049" s="111">
        <v>0.25</v>
      </c>
      <c r="Z2049" s="111">
        <f t="shared" si="201"/>
        <v>45.25</v>
      </c>
      <c r="AA2049" s="113"/>
    </row>
    <row r="2050" spans="4:32" ht="8.25" customHeight="1" x14ac:dyDescent="0.25">
      <c r="X2050" s="110" t="s">
        <v>224</v>
      </c>
      <c r="Y2050" s="111">
        <v>0.1</v>
      </c>
      <c r="Z2050" s="111">
        <f t="shared" si="201"/>
        <v>0.2</v>
      </c>
      <c r="AA2050" s="114" t="s">
        <v>219</v>
      </c>
    </row>
    <row r="2051" spans="4:32" ht="8.25" customHeight="1" thickBot="1" x14ac:dyDescent="0.3">
      <c r="X2051" s="110"/>
      <c r="Y2051" s="111">
        <v>0.05</v>
      </c>
      <c r="Z2051" s="111">
        <f t="shared" si="201"/>
        <v>0</v>
      </c>
      <c r="AA2051" s="115">
        <f>SUM(Z2040:Z2045)+Z2047+Z2048+Z2049+Z2050+Z2051+Z2052</f>
        <v>325509.46000000002</v>
      </c>
    </row>
    <row r="2052" spans="4:32" ht="8.25" customHeight="1" thickTop="1" x14ac:dyDescent="0.25">
      <c r="X2052" s="110" t="s">
        <v>222</v>
      </c>
      <c r="Y2052" s="111">
        <v>0.01</v>
      </c>
      <c r="Z2052" s="111">
        <f t="shared" si="201"/>
        <v>0.01</v>
      </c>
    </row>
    <row r="2055" spans="4:32" ht="8.25" customHeight="1" x14ac:dyDescent="0.25">
      <c r="Z2055" s="231" t="s">
        <v>1376</v>
      </c>
      <c r="AF2055" s="76">
        <f>SUM(AF2038)</f>
        <v>325509.45999999967</v>
      </c>
    </row>
    <row r="2056" spans="4:32" ht="8.25" customHeight="1" x14ac:dyDescent="0.25">
      <c r="N2056" s="52">
        <v>65</v>
      </c>
      <c r="T2056" s="33">
        <v>46106</v>
      </c>
      <c r="U2056" s="34">
        <v>2026</v>
      </c>
      <c r="V2056" s="35" t="s">
        <v>1348</v>
      </c>
      <c r="W2056" s="35" t="s">
        <v>17</v>
      </c>
      <c r="X2056" s="37" t="s">
        <v>1782</v>
      </c>
      <c r="Y2056" s="36" t="s">
        <v>1783</v>
      </c>
      <c r="Z2056" s="30" t="s">
        <v>1784</v>
      </c>
      <c r="AA2056" s="30" t="s">
        <v>3899</v>
      </c>
      <c r="AD2056" s="38">
        <v>7723.54</v>
      </c>
      <c r="AF2056" s="76">
        <f>AF2055+AD2056-AE2056</f>
        <v>333232.99999999965</v>
      </c>
    </row>
    <row r="2057" spans="4:32" ht="8.25" customHeight="1" x14ac:dyDescent="0.15">
      <c r="N2057" s="52">
        <v>65</v>
      </c>
      <c r="T2057" s="33">
        <v>46106</v>
      </c>
      <c r="U2057" s="34">
        <v>2026</v>
      </c>
      <c r="V2057" s="35" t="s">
        <v>1348</v>
      </c>
      <c r="W2057" s="35" t="s">
        <v>17</v>
      </c>
      <c r="X2057" s="37" t="s">
        <v>1782</v>
      </c>
      <c r="Y2057" s="36" t="s">
        <v>1783</v>
      </c>
      <c r="Z2057" s="30" t="s">
        <v>1784</v>
      </c>
      <c r="AA2057" s="134" t="s">
        <v>166</v>
      </c>
      <c r="AD2057" s="38">
        <v>6276.46</v>
      </c>
      <c r="AF2057" s="76">
        <f t="shared" ref="AF2057:AF2061" si="202">AF2056+AD2057-AE2057</f>
        <v>339509.45999999967</v>
      </c>
    </row>
    <row r="2058" spans="4:32" ht="8.25" customHeight="1" x14ac:dyDescent="0.15">
      <c r="N2058" s="52">
        <v>66</v>
      </c>
      <c r="T2058" s="33">
        <v>46106</v>
      </c>
      <c r="U2058" s="34">
        <v>2026</v>
      </c>
      <c r="V2058" s="35" t="s">
        <v>1348</v>
      </c>
      <c r="W2058" s="35" t="s">
        <v>17</v>
      </c>
      <c r="X2058" s="37" t="s">
        <v>1792</v>
      </c>
      <c r="Y2058" s="36" t="s">
        <v>1793</v>
      </c>
      <c r="Z2058" s="30" t="s">
        <v>1794</v>
      </c>
      <c r="AA2058" s="134" t="s">
        <v>166</v>
      </c>
      <c r="AD2058" s="38">
        <v>4590</v>
      </c>
      <c r="AF2058" s="76">
        <f t="shared" si="202"/>
        <v>344099.45999999967</v>
      </c>
    </row>
    <row r="2059" spans="4:32" ht="8.25" customHeight="1" x14ac:dyDescent="0.25">
      <c r="N2059" s="52">
        <v>66</v>
      </c>
      <c r="T2059" s="33">
        <v>46106</v>
      </c>
      <c r="U2059" s="34">
        <v>2026</v>
      </c>
      <c r="V2059" s="35" t="s">
        <v>1348</v>
      </c>
      <c r="W2059" s="35" t="s">
        <v>17</v>
      </c>
      <c r="X2059" s="37" t="s">
        <v>1792</v>
      </c>
      <c r="Y2059" s="36" t="s">
        <v>1793</v>
      </c>
      <c r="Z2059" s="30" t="s">
        <v>1794</v>
      </c>
      <c r="AA2059" s="30" t="s">
        <v>3306</v>
      </c>
      <c r="AD2059" s="38">
        <v>410</v>
      </c>
      <c r="AF2059" s="76">
        <f t="shared" si="202"/>
        <v>344509.45999999967</v>
      </c>
    </row>
    <row r="2060" spans="4:32" ht="8.25" customHeight="1" x14ac:dyDescent="0.25">
      <c r="R2060" s="53">
        <v>31</v>
      </c>
      <c r="T2060" s="33">
        <v>46106</v>
      </c>
      <c r="U2060" s="34">
        <v>2026</v>
      </c>
      <c r="V2060" s="35" t="s">
        <v>1348</v>
      </c>
      <c r="W2060" s="35" t="s">
        <v>5</v>
      </c>
      <c r="X2060" s="37" t="s">
        <v>1785</v>
      </c>
      <c r="Y2060" s="36" t="s">
        <v>364</v>
      </c>
      <c r="Z2060" s="30" t="s">
        <v>1438</v>
      </c>
      <c r="AA2060" s="30" t="s">
        <v>1050</v>
      </c>
      <c r="AE2060" s="38">
        <v>250</v>
      </c>
      <c r="AF2060" s="76">
        <f t="shared" si="202"/>
        <v>344259.45999999967</v>
      </c>
    </row>
    <row r="2061" spans="4:32" ht="8.25" customHeight="1" x14ac:dyDescent="0.25">
      <c r="R2061" s="53">
        <v>32</v>
      </c>
      <c r="T2061" s="33">
        <v>46106</v>
      </c>
      <c r="U2061" s="34">
        <v>2026</v>
      </c>
      <c r="V2061" s="35" t="s">
        <v>1348</v>
      </c>
      <c r="W2061" s="35" t="s">
        <v>5</v>
      </c>
      <c r="X2061" s="37" t="s">
        <v>1791</v>
      </c>
      <c r="Y2061" s="36" t="s">
        <v>419</v>
      </c>
      <c r="Z2061" s="30" t="s">
        <v>1565</v>
      </c>
      <c r="AA2061" s="30" t="s">
        <v>1050</v>
      </c>
      <c r="AE2061" s="38">
        <v>1000</v>
      </c>
      <c r="AF2061" s="76">
        <f t="shared" si="202"/>
        <v>343259.45999999967</v>
      </c>
    </row>
    <row r="2062" spans="4:32" ht="8.25" customHeight="1" x14ac:dyDescent="0.25">
      <c r="T2062" s="33">
        <v>46106</v>
      </c>
      <c r="U2062" s="34">
        <v>2026</v>
      </c>
      <c r="V2062" s="35" t="s">
        <v>1348</v>
      </c>
      <c r="W2062" s="35" t="s">
        <v>5</v>
      </c>
      <c r="X2062" s="37" t="s">
        <v>1786</v>
      </c>
      <c r="Y2062" s="36" t="s">
        <v>411</v>
      </c>
      <c r="Z2062" s="30" t="s">
        <v>412</v>
      </c>
      <c r="AA2062" s="30" t="s">
        <v>1882</v>
      </c>
      <c r="AE2062" s="38">
        <v>70000</v>
      </c>
      <c r="AF2062" s="76">
        <f>AF2061+AD2062-AE2062</f>
        <v>273259.45999999967</v>
      </c>
    </row>
    <row r="2063" spans="4:32" ht="8.25" customHeight="1" x14ac:dyDescent="0.25">
      <c r="D2063" s="52">
        <v>4</v>
      </c>
      <c r="T2063" s="33">
        <v>46106</v>
      </c>
      <c r="U2063" s="34">
        <v>2026</v>
      </c>
      <c r="V2063" s="35" t="s">
        <v>1348</v>
      </c>
      <c r="W2063" s="35" t="s">
        <v>2405</v>
      </c>
      <c r="X2063" s="37" t="s">
        <v>1795</v>
      </c>
      <c r="Y2063" s="36" t="s">
        <v>1796</v>
      </c>
      <c r="Z2063" s="30" t="s">
        <v>1797</v>
      </c>
      <c r="AA2063" s="30" t="s">
        <v>256</v>
      </c>
      <c r="AD2063" s="38">
        <v>2500</v>
      </c>
      <c r="AF2063" s="76">
        <f>AF2062+AD2063-AE2063</f>
        <v>275759.45999999967</v>
      </c>
    </row>
    <row r="2064" spans="4:32" ht="8.25" customHeight="1" thickBot="1" x14ac:dyDescent="0.3">
      <c r="AA2064" s="75" t="s">
        <v>257</v>
      </c>
      <c r="AD2064" s="233">
        <f>SUM(AD2056:AD2063)</f>
        <v>21500</v>
      </c>
      <c r="AE2064" s="233">
        <f>SUM(AE2060:AE2062)</f>
        <v>71250</v>
      </c>
      <c r="AF2064" s="233">
        <f>AF2055+AD2064-AE2064</f>
        <v>275759.45999999967</v>
      </c>
    </row>
    <row r="2065" spans="24:32" ht="8.25" customHeight="1" thickTop="1" x14ac:dyDescent="0.25">
      <c r="X2065" s="109"/>
      <c r="Y2065" s="67" t="s">
        <v>214</v>
      </c>
      <c r="Z2065" s="68"/>
      <c r="AA2065" s="75"/>
    </row>
    <row r="2066" spans="24:32" ht="8.25" customHeight="1" x14ac:dyDescent="0.25">
      <c r="X2066" s="110" t="s">
        <v>1610</v>
      </c>
      <c r="Y2066" s="111">
        <v>200</v>
      </c>
      <c r="Z2066" s="111">
        <f t="shared" ref="Z2066:Z2071" si="203">X2066*Y2066</f>
        <v>78800</v>
      </c>
      <c r="AA2066" s="112"/>
    </row>
    <row r="2067" spans="24:32" ht="8.25" customHeight="1" x14ac:dyDescent="0.25">
      <c r="X2067" s="110" t="s">
        <v>1977</v>
      </c>
      <c r="Y2067" s="111">
        <v>100</v>
      </c>
      <c r="Z2067" s="111">
        <f t="shared" si="203"/>
        <v>191400</v>
      </c>
      <c r="AA2067" s="112"/>
    </row>
    <row r="2068" spans="24:32" ht="8.25" customHeight="1" x14ac:dyDescent="0.25">
      <c r="X2068" s="110"/>
      <c r="Y2068" s="111">
        <v>50</v>
      </c>
      <c r="Z2068" s="111">
        <f t="shared" si="203"/>
        <v>0</v>
      </c>
      <c r="AA2068" s="76"/>
    </row>
    <row r="2069" spans="24:32" ht="8.25" customHeight="1" x14ac:dyDescent="0.25">
      <c r="X2069" s="110" t="s">
        <v>222</v>
      </c>
      <c r="Y2069" s="111">
        <v>20</v>
      </c>
      <c r="Z2069" s="111">
        <f t="shared" si="203"/>
        <v>20</v>
      </c>
      <c r="AA2069" s="38"/>
    </row>
    <row r="2070" spans="24:32" ht="8.25" customHeight="1" x14ac:dyDescent="0.25">
      <c r="X2070" s="110" t="s">
        <v>286</v>
      </c>
      <c r="Y2070" s="111">
        <v>10</v>
      </c>
      <c r="Z2070" s="111">
        <f t="shared" si="203"/>
        <v>2400</v>
      </c>
      <c r="AA2070" s="112"/>
    </row>
    <row r="2071" spans="24:32" ht="8.25" customHeight="1" x14ac:dyDescent="0.25">
      <c r="X2071" s="110" t="s">
        <v>1778</v>
      </c>
      <c r="Y2071" s="111">
        <v>5</v>
      </c>
      <c r="Z2071" s="111">
        <f t="shared" si="203"/>
        <v>1935</v>
      </c>
      <c r="AA2071" s="112"/>
    </row>
    <row r="2072" spans="24:32" ht="8.25" customHeight="1" x14ac:dyDescent="0.25">
      <c r="X2072" s="269"/>
      <c r="Y2072" s="270"/>
      <c r="Z2072" s="271"/>
      <c r="AA2072" s="38"/>
    </row>
    <row r="2073" spans="24:32" ht="8.25" customHeight="1" x14ac:dyDescent="0.25">
      <c r="X2073" s="110" t="s">
        <v>1976</v>
      </c>
      <c r="Y2073" s="111">
        <v>1</v>
      </c>
      <c r="Z2073" s="111">
        <f t="shared" ref="Z2073:Z2078" si="204">X2073*Y2073</f>
        <v>1119</v>
      </c>
      <c r="AA2073" s="76"/>
    </row>
    <row r="2074" spans="24:32" ht="8.25" customHeight="1" x14ac:dyDescent="0.25">
      <c r="X2074" s="110" t="s">
        <v>259</v>
      </c>
      <c r="Y2074" s="111">
        <v>0.5</v>
      </c>
      <c r="Z2074" s="111">
        <f t="shared" si="204"/>
        <v>40</v>
      </c>
      <c r="AA2074" s="112"/>
    </row>
    <row r="2075" spans="24:32" ht="8.25" customHeight="1" x14ac:dyDescent="0.25">
      <c r="X2075" s="110" t="s">
        <v>1733</v>
      </c>
      <c r="Y2075" s="111">
        <v>0.25</v>
      </c>
      <c r="Z2075" s="111">
        <f t="shared" si="204"/>
        <v>45.25</v>
      </c>
      <c r="AA2075" s="113"/>
    </row>
    <row r="2076" spans="24:32" ht="8.25" customHeight="1" x14ac:dyDescent="0.25">
      <c r="X2076" s="110" t="s">
        <v>224</v>
      </c>
      <c r="Y2076" s="111">
        <v>0.1</v>
      </c>
      <c r="Z2076" s="111">
        <f t="shared" si="204"/>
        <v>0.2</v>
      </c>
      <c r="AA2076" s="114" t="s">
        <v>219</v>
      </c>
    </row>
    <row r="2077" spans="24:32" ht="8.25" customHeight="1" thickBot="1" x14ac:dyDescent="0.3">
      <c r="X2077" s="110"/>
      <c r="Y2077" s="111">
        <v>0.05</v>
      </c>
      <c r="Z2077" s="111">
        <f t="shared" si="204"/>
        <v>0</v>
      </c>
      <c r="AA2077" s="115">
        <f>SUM(Z2066:Z2071)+Z2073+Z2074+Z2075+Z2076+Z2077+Z2078</f>
        <v>275759.46000000002</v>
      </c>
    </row>
    <row r="2078" spans="24:32" ht="8.25" customHeight="1" thickTop="1" x14ac:dyDescent="0.25">
      <c r="X2078" s="110" t="s">
        <v>222</v>
      </c>
      <c r="Y2078" s="111">
        <v>0.01</v>
      </c>
      <c r="Z2078" s="111">
        <f t="shared" si="204"/>
        <v>0.01</v>
      </c>
    </row>
    <row r="2080" spans="24:32" ht="8.25" customHeight="1" x14ac:dyDescent="0.25">
      <c r="Z2080" s="231" t="s">
        <v>1376</v>
      </c>
      <c r="AF2080" s="76">
        <f>SUM(AF2063)</f>
        <v>275759.45999999967</v>
      </c>
    </row>
    <row r="2081" spans="3:32" ht="8.25" customHeight="1" x14ac:dyDescent="0.15">
      <c r="N2081" s="52">
        <v>67</v>
      </c>
      <c r="T2081" s="33">
        <v>46107</v>
      </c>
      <c r="U2081" s="34">
        <v>2026</v>
      </c>
      <c r="V2081" s="35" t="s">
        <v>1348</v>
      </c>
      <c r="W2081" s="35" t="s">
        <v>17</v>
      </c>
      <c r="X2081" s="37" t="s">
        <v>1800</v>
      </c>
      <c r="Y2081" s="36" t="s">
        <v>708</v>
      </c>
      <c r="Z2081" s="30" t="s">
        <v>709</v>
      </c>
      <c r="AA2081" s="134" t="s">
        <v>166</v>
      </c>
      <c r="AD2081" s="38">
        <v>3885.45</v>
      </c>
      <c r="AF2081" s="76">
        <f>AF2080+AD2081-AE2081</f>
        <v>279644.90999999968</v>
      </c>
    </row>
    <row r="2082" spans="3:32" ht="8.25" customHeight="1" x14ac:dyDescent="0.25">
      <c r="N2082" s="52">
        <v>67</v>
      </c>
      <c r="T2082" s="33">
        <v>46107</v>
      </c>
      <c r="U2082" s="34">
        <v>2026</v>
      </c>
      <c r="V2082" s="35" t="s">
        <v>1348</v>
      </c>
      <c r="W2082" s="35" t="s">
        <v>17</v>
      </c>
      <c r="X2082" s="37" t="s">
        <v>1800</v>
      </c>
      <c r="Y2082" s="36" t="s">
        <v>708</v>
      </c>
      <c r="Z2082" s="30" t="s">
        <v>709</v>
      </c>
      <c r="AA2082" s="30" t="s">
        <v>3304</v>
      </c>
      <c r="AD2082" s="38">
        <v>1114.55</v>
      </c>
      <c r="AF2082" s="76">
        <f>AF2081+AD2082-AE2082</f>
        <v>280759.45999999967</v>
      </c>
    </row>
    <row r="2083" spans="3:32" ht="8.25" customHeight="1" x14ac:dyDescent="0.25">
      <c r="N2083" s="52">
        <v>68</v>
      </c>
      <c r="T2083" s="33">
        <v>46107</v>
      </c>
      <c r="U2083" s="34">
        <v>2026</v>
      </c>
      <c r="V2083" s="35" t="s">
        <v>1348</v>
      </c>
      <c r="W2083" s="35" t="s">
        <v>17</v>
      </c>
      <c r="X2083" s="37" t="s">
        <v>1798</v>
      </c>
      <c r="Y2083" s="36" t="s">
        <v>504</v>
      </c>
      <c r="Z2083" s="30" t="s">
        <v>505</v>
      </c>
      <c r="AA2083" s="30" t="s">
        <v>3899</v>
      </c>
      <c r="AD2083" s="38">
        <v>12603.13</v>
      </c>
      <c r="AF2083" s="76">
        <f>AF2082+AD2083-AE2083</f>
        <v>293362.58999999968</v>
      </c>
    </row>
    <row r="2084" spans="3:32" ht="8.25" customHeight="1" x14ac:dyDescent="0.15">
      <c r="N2084" s="52">
        <v>68</v>
      </c>
      <c r="T2084" s="33">
        <v>46107</v>
      </c>
      <c r="U2084" s="34">
        <v>2026</v>
      </c>
      <c r="V2084" s="35" t="s">
        <v>1348</v>
      </c>
      <c r="W2084" s="35" t="s">
        <v>17</v>
      </c>
      <c r="X2084" s="37" t="s">
        <v>1798</v>
      </c>
      <c r="Y2084" s="36" t="s">
        <v>504</v>
      </c>
      <c r="Z2084" s="30" t="s">
        <v>505</v>
      </c>
      <c r="AA2084" s="134" t="s">
        <v>166</v>
      </c>
      <c r="AD2084" s="38">
        <v>5751.87</v>
      </c>
      <c r="AF2084" s="76">
        <f t="shared" ref="AF2084:AF2090" si="205">AF2083+AD2084-AE2084</f>
        <v>299114.45999999967</v>
      </c>
    </row>
    <row r="2085" spans="3:32" ht="8.25" customHeight="1" x14ac:dyDescent="0.25">
      <c r="N2085" s="52">
        <v>68</v>
      </c>
      <c r="T2085" s="33">
        <v>46107</v>
      </c>
      <c r="U2085" s="34">
        <v>2026</v>
      </c>
      <c r="V2085" s="35" t="s">
        <v>1348</v>
      </c>
      <c r="W2085" s="35" t="s">
        <v>17</v>
      </c>
      <c r="X2085" s="37" t="s">
        <v>1798</v>
      </c>
      <c r="Y2085" s="36" t="s">
        <v>504</v>
      </c>
      <c r="Z2085" s="30" t="s">
        <v>505</v>
      </c>
      <c r="AA2085" s="30" t="s">
        <v>3306</v>
      </c>
      <c r="AD2085" s="38">
        <v>45</v>
      </c>
      <c r="AF2085" s="76">
        <f t="shared" si="205"/>
        <v>299159.45999999967</v>
      </c>
    </row>
    <row r="2086" spans="3:32" ht="8.25" customHeight="1" x14ac:dyDescent="0.25">
      <c r="N2086" s="52">
        <v>69</v>
      </c>
      <c r="T2086" s="33">
        <v>46107</v>
      </c>
      <c r="U2086" s="34">
        <v>2026</v>
      </c>
      <c r="V2086" s="35" t="s">
        <v>1348</v>
      </c>
      <c r="W2086" s="35" t="s">
        <v>17</v>
      </c>
      <c r="X2086" s="37" t="s">
        <v>1799</v>
      </c>
      <c r="Y2086" s="36" t="s">
        <v>1374</v>
      </c>
      <c r="Z2086" s="30" t="s">
        <v>1801</v>
      </c>
      <c r="AA2086" s="30" t="s">
        <v>3899</v>
      </c>
      <c r="AD2086" s="38">
        <v>6018.47</v>
      </c>
      <c r="AF2086" s="76">
        <f t="shared" si="205"/>
        <v>305177.92999999964</v>
      </c>
    </row>
    <row r="2087" spans="3:32" ht="8.25" customHeight="1" x14ac:dyDescent="0.15">
      <c r="N2087" s="52">
        <v>69</v>
      </c>
      <c r="T2087" s="33">
        <v>46107</v>
      </c>
      <c r="U2087" s="34">
        <v>2026</v>
      </c>
      <c r="V2087" s="35" t="s">
        <v>1348</v>
      </c>
      <c r="W2087" s="35" t="s">
        <v>17</v>
      </c>
      <c r="X2087" s="37" t="s">
        <v>1799</v>
      </c>
      <c r="Y2087" s="36" t="s">
        <v>1374</v>
      </c>
      <c r="Z2087" s="30" t="s">
        <v>1801</v>
      </c>
      <c r="AA2087" s="134" t="s">
        <v>166</v>
      </c>
      <c r="AD2087" s="38">
        <v>11591.53</v>
      </c>
      <c r="AF2087" s="76">
        <f t="shared" si="205"/>
        <v>316769.45999999967</v>
      </c>
    </row>
    <row r="2088" spans="3:32" ht="8.25" customHeight="1" x14ac:dyDescent="0.15">
      <c r="I2088" s="52">
        <v>33</v>
      </c>
      <c r="T2088" s="33">
        <v>46107</v>
      </c>
      <c r="U2088" s="34">
        <v>2026</v>
      </c>
      <c r="V2088" s="35" t="s">
        <v>1348</v>
      </c>
      <c r="W2088" s="35" t="s">
        <v>17</v>
      </c>
      <c r="X2088" s="37" t="s">
        <v>1802</v>
      </c>
      <c r="Y2088" s="36" t="s">
        <v>717</v>
      </c>
      <c r="Z2088" s="30" t="s">
        <v>1801</v>
      </c>
      <c r="AA2088" s="134" t="s">
        <v>13</v>
      </c>
      <c r="AD2088" s="38">
        <v>2390</v>
      </c>
      <c r="AF2088" s="76">
        <f t="shared" si="205"/>
        <v>319159.45999999967</v>
      </c>
    </row>
    <row r="2089" spans="3:32" ht="8.25" customHeight="1" x14ac:dyDescent="0.25">
      <c r="C2089" s="52">
        <v>11</v>
      </c>
      <c r="T2089" s="33">
        <v>46107</v>
      </c>
      <c r="U2089" s="34">
        <v>2026</v>
      </c>
      <c r="V2089" s="35" t="s">
        <v>1348</v>
      </c>
      <c r="W2089" s="35" t="s">
        <v>3620</v>
      </c>
      <c r="Y2089" s="36" t="s">
        <v>1803</v>
      </c>
      <c r="Z2089" s="30" t="s">
        <v>1666</v>
      </c>
      <c r="AA2089" s="30" t="s">
        <v>340</v>
      </c>
      <c r="AD2089" s="38">
        <v>35</v>
      </c>
      <c r="AF2089" s="76">
        <f t="shared" si="205"/>
        <v>319194.45999999967</v>
      </c>
    </row>
    <row r="2090" spans="3:32" ht="8.25" customHeight="1" x14ac:dyDescent="0.25">
      <c r="T2090" s="33">
        <v>46107</v>
      </c>
      <c r="U2090" s="34">
        <v>2026</v>
      </c>
      <c r="V2090" s="35" t="s">
        <v>1348</v>
      </c>
      <c r="W2090" s="35" t="s">
        <v>5</v>
      </c>
      <c r="X2090" s="37" t="s">
        <v>1804</v>
      </c>
      <c r="Y2090" s="36" t="s">
        <v>411</v>
      </c>
      <c r="Z2090" s="30" t="s">
        <v>412</v>
      </c>
      <c r="AA2090" s="30" t="s">
        <v>1882</v>
      </c>
      <c r="AE2090" s="38">
        <v>70000</v>
      </c>
      <c r="AF2090" s="76">
        <f t="shared" si="205"/>
        <v>249194.45999999967</v>
      </c>
    </row>
    <row r="2091" spans="3:32" ht="8.25" customHeight="1" thickBot="1" x14ac:dyDescent="0.3">
      <c r="AA2091" s="75" t="s">
        <v>257</v>
      </c>
      <c r="AD2091" s="233">
        <f>SUM(AD2081:AD2089)</f>
        <v>43435</v>
      </c>
      <c r="AE2091" s="233">
        <f>AE2090</f>
        <v>70000</v>
      </c>
      <c r="AF2091" s="233">
        <f>AF2080+AD2091-AE2091</f>
        <v>249194.45999999967</v>
      </c>
    </row>
    <row r="2092" spans="3:32" ht="8.25" customHeight="1" thickTop="1" x14ac:dyDescent="0.25">
      <c r="X2092" s="109"/>
      <c r="Y2092" s="67" t="s">
        <v>214</v>
      </c>
      <c r="Z2092" s="68"/>
      <c r="AA2092" s="75"/>
    </row>
    <row r="2093" spans="3:32" ht="8.25" customHeight="1" x14ac:dyDescent="0.25">
      <c r="X2093" s="110" t="s">
        <v>1972</v>
      </c>
      <c r="Y2093" s="111">
        <v>200</v>
      </c>
      <c r="Z2093" s="111">
        <f t="shared" ref="Z2093:Z2098" si="206">X2093*Y2093</f>
        <v>79000</v>
      </c>
      <c r="AA2093" s="112"/>
    </row>
    <row r="2094" spans="3:32" ht="8.25" customHeight="1" x14ac:dyDescent="0.25">
      <c r="X2094" s="110" t="s">
        <v>1183</v>
      </c>
      <c r="Y2094" s="111">
        <v>100</v>
      </c>
      <c r="Z2094" s="111">
        <f t="shared" si="206"/>
        <v>164300</v>
      </c>
      <c r="AA2094" s="112"/>
    </row>
    <row r="2095" spans="3:32" ht="8.25" customHeight="1" x14ac:dyDescent="0.25">
      <c r="X2095" s="110" t="s">
        <v>402</v>
      </c>
      <c r="Y2095" s="111">
        <v>50</v>
      </c>
      <c r="Z2095" s="111">
        <f t="shared" si="206"/>
        <v>250</v>
      </c>
      <c r="AA2095" s="76"/>
    </row>
    <row r="2096" spans="3:32" ht="8.25" customHeight="1" x14ac:dyDescent="0.25">
      <c r="X2096" s="110" t="s">
        <v>224</v>
      </c>
      <c r="Y2096" s="111">
        <v>20</v>
      </c>
      <c r="Z2096" s="111">
        <f t="shared" si="206"/>
        <v>40</v>
      </c>
      <c r="AA2096" s="38"/>
    </row>
    <row r="2097" spans="14:32" ht="8.25" customHeight="1" x14ac:dyDescent="0.25">
      <c r="X2097" s="110" t="s">
        <v>1805</v>
      </c>
      <c r="Y2097" s="111">
        <v>10</v>
      </c>
      <c r="Z2097" s="111">
        <f t="shared" si="206"/>
        <v>2460</v>
      </c>
      <c r="AA2097" s="112"/>
    </row>
    <row r="2098" spans="14:32" ht="8.25" customHeight="1" x14ac:dyDescent="0.25">
      <c r="X2098" s="110" t="s">
        <v>1806</v>
      </c>
      <c r="Y2098" s="111">
        <v>5</v>
      </c>
      <c r="Z2098" s="111">
        <f t="shared" si="206"/>
        <v>1940</v>
      </c>
      <c r="AA2098" s="112"/>
    </row>
    <row r="2099" spans="14:32" ht="8.25" customHeight="1" x14ac:dyDescent="0.25">
      <c r="X2099" s="269"/>
      <c r="Y2099" s="270"/>
      <c r="Z2099" s="271"/>
      <c r="AA2099" s="38"/>
    </row>
    <row r="2100" spans="14:32" ht="8.25" customHeight="1" x14ac:dyDescent="0.25">
      <c r="X2100" s="110" t="s">
        <v>1976</v>
      </c>
      <c r="Y2100" s="111">
        <v>1</v>
      </c>
      <c r="Z2100" s="111">
        <f t="shared" ref="Z2100:Z2105" si="207">X2100*Y2100</f>
        <v>1119</v>
      </c>
      <c r="AA2100" s="76"/>
    </row>
    <row r="2101" spans="14:32" ht="8.25" customHeight="1" x14ac:dyDescent="0.25">
      <c r="X2101" s="110" t="s">
        <v>259</v>
      </c>
      <c r="Y2101" s="111">
        <v>0.5</v>
      </c>
      <c r="Z2101" s="111">
        <f t="shared" si="207"/>
        <v>40</v>
      </c>
      <c r="AA2101" s="112"/>
    </row>
    <row r="2102" spans="14:32" ht="8.25" customHeight="1" x14ac:dyDescent="0.25">
      <c r="X2102" s="110" t="s">
        <v>1733</v>
      </c>
      <c r="Y2102" s="111">
        <v>0.25</v>
      </c>
      <c r="Z2102" s="111">
        <f t="shared" si="207"/>
        <v>45.25</v>
      </c>
      <c r="AA2102" s="113"/>
    </row>
    <row r="2103" spans="14:32" ht="8.25" customHeight="1" x14ac:dyDescent="0.25">
      <c r="X2103" s="110" t="s">
        <v>224</v>
      </c>
      <c r="Y2103" s="111">
        <v>0.1</v>
      </c>
      <c r="Z2103" s="111">
        <f t="shared" si="207"/>
        <v>0.2</v>
      </c>
      <c r="AA2103" s="114" t="s">
        <v>219</v>
      </c>
    </row>
    <row r="2104" spans="14:32" ht="8.25" customHeight="1" thickBot="1" x14ac:dyDescent="0.3">
      <c r="X2104" s="110"/>
      <c r="Y2104" s="111">
        <v>0.05</v>
      </c>
      <c r="Z2104" s="111">
        <f t="shared" si="207"/>
        <v>0</v>
      </c>
      <c r="AA2104" s="115">
        <f>SUM(Z2093:Z2098)+Z2100+Z2101+Z2102+Z2103+Z2104+Z2105</f>
        <v>249194.46000000002</v>
      </c>
    </row>
    <row r="2105" spans="14:32" ht="8.25" customHeight="1" thickTop="1" x14ac:dyDescent="0.25">
      <c r="X2105" s="110" t="s">
        <v>222</v>
      </c>
      <c r="Y2105" s="111">
        <v>0.01</v>
      </c>
      <c r="Z2105" s="111">
        <f t="shared" si="207"/>
        <v>0.01</v>
      </c>
    </row>
    <row r="2107" spans="14:32" ht="8.25" customHeight="1" x14ac:dyDescent="0.25">
      <c r="Z2107" s="231" t="s">
        <v>1376</v>
      </c>
      <c r="AF2107" s="76">
        <f>AF2091</f>
        <v>249194.45999999967</v>
      </c>
    </row>
    <row r="2108" spans="14:32" ht="8.25" customHeight="1" x14ac:dyDescent="0.25">
      <c r="N2108" s="52">
        <v>70</v>
      </c>
      <c r="T2108" s="33">
        <v>46108</v>
      </c>
      <c r="U2108" s="34">
        <v>2026</v>
      </c>
      <c r="V2108" s="35" t="s">
        <v>1348</v>
      </c>
      <c r="W2108" s="35" t="s">
        <v>17</v>
      </c>
      <c r="X2108" s="37" t="s">
        <v>1807</v>
      </c>
      <c r="Y2108" s="36" t="s">
        <v>734</v>
      </c>
      <c r="Z2108" s="30" t="s">
        <v>1808</v>
      </c>
      <c r="AA2108" s="30" t="s">
        <v>3899</v>
      </c>
      <c r="AD2108" s="38">
        <v>8199.26</v>
      </c>
      <c r="AF2108" s="76">
        <f>AF2107+AD2108-AE2108</f>
        <v>257393.71999999968</v>
      </c>
    </row>
    <row r="2109" spans="14:32" ht="8.25" customHeight="1" x14ac:dyDescent="0.15">
      <c r="N2109" s="52">
        <v>70</v>
      </c>
      <c r="T2109" s="33">
        <v>46108</v>
      </c>
      <c r="U2109" s="34">
        <v>2026</v>
      </c>
      <c r="V2109" s="35" t="s">
        <v>1348</v>
      </c>
      <c r="W2109" s="35" t="s">
        <v>17</v>
      </c>
      <c r="X2109" s="37" t="s">
        <v>1807</v>
      </c>
      <c r="Y2109" s="36" t="s">
        <v>734</v>
      </c>
      <c r="Z2109" s="30" t="s">
        <v>1808</v>
      </c>
      <c r="AA2109" s="134" t="s">
        <v>166</v>
      </c>
      <c r="AD2109" s="38">
        <v>7300.74</v>
      </c>
      <c r="AF2109" s="76">
        <f t="shared" ref="AF2109:AF2146" si="208">AF2108+AD2109-AE2109</f>
        <v>264694.45999999967</v>
      </c>
    </row>
    <row r="2110" spans="14:32" ht="8.25" customHeight="1" x14ac:dyDescent="0.25">
      <c r="N2110" s="52">
        <v>71</v>
      </c>
      <c r="T2110" s="33">
        <v>46108</v>
      </c>
      <c r="U2110" s="34">
        <v>2026</v>
      </c>
      <c r="V2110" s="35" t="s">
        <v>1348</v>
      </c>
      <c r="W2110" s="35" t="s">
        <v>17</v>
      </c>
      <c r="X2110" s="37" t="s">
        <v>1809</v>
      </c>
      <c r="Y2110" s="36" t="s">
        <v>673</v>
      </c>
      <c r="Z2110" s="30" t="s">
        <v>1810</v>
      </c>
      <c r="AA2110" s="30" t="s">
        <v>3899</v>
      </c>
      <c r="AD2110" s="38">
        <v>6507.34</v>
      </c>
      <c r="AF2110" s="76">
        <f t="shared" si="208"/>
        <v>271201.7999999997</v>
      </c>
    </row>
    <row r="2111" spans="14:32" ht="8.25" customHeight="1" x14ac:dyDescent="0.15">
      <c r="N2111" s="52">
        <v>71</v>
      </c>
      <c r="T2111" s="33">
        <v>46108</v>
      </c>
      <c r="U2111" s="34">
        <v>2026</v>
      </c>
      <c r="V2111" s="35" t="s">
        <v>1348</v>
      </c>
      <c r="W2111" s="35" t="s">
        <v>17</v>
      </c>
      <c r="X2111" s="37" t="s">
        <v>1809</v>
      </c>
      <c r="Y2111" s="36" t="s">
        <v>673</v>
      </c>
      <c r="Z2111" s="30" t="s">
        <v>1810</v>
      </c>
      <c r="AA2111" s="134" t="s">
        <v>166</v>
      </c>
      <c r="AD2111" s="38">
        <v>3492.66</v>
      </c>
      <c r="AF2111" s="76">
        <f t="shared" si="208"/>
        <v>274694.45999999967</v>
      </c>
    </row>
    <row r="2112" spans="14:32" ht="8.25" customHeight="1" x14ac:dyDescent="0.25">
      <c r="N2112" s="52">
        <v>72</v>
      </c>
      <c r="T2112" s="33">
        <v>46108</v>
      </c>
      <c r="U2112" s="34">
        <v>2026</v>
      </c>
      <c r="V2112" s="35" t="s">
        <v>1348</v>
      </c>
      <c r="W2112" s="35" t="s">
        <v>17</v>
      </c>
      <c r="X2112" s="37" t="s">
        <v>1811</v>
      </c>
      <c r="Y2112" s="36" t="s">
        <v>1812</v>
      </c>
      <c r="Z2112" s="30" t="s">
        <v>1813</v>
      </c>
      <c r="AA2112" s="30" t="s">
        <v>3899</v>
      </c>
      <c r="AD2112" s="38">
        <v>7631.38</v>
      </c>
      <c r="AF2112" s="76">
        <f t="shared" si="208"/>
        <v>282325.83999999968</v>
      </c>
    </row>
    <row r="2113" spans="9:32" ht="8.25" customHeight="1" x14ac:dyDescent="0.15">
      <c r="N2113" s="52">
        <v>72</v>
      </c>
      <c r="T2113" s="33">
        <v>46108</v>
      </c>
      <c r="U2113" s="34">
        <v>2026</v>
      </c>
      <c r="V2113" s="35" t="s">
        <v>1348</v>
      </c>
      <c r="W2113" s="35" t="s">
        <v>17</v>
      </c>
      <c r="X2113" s="37" t="s">
        <v>1811</v>
      </c>
      <c r="Y2113" s="36" t="s">
        <v>1812</v>
      </c>
      <c r="Z2113" s="30" t="s">
        <v>1813</v>
      </c>
      <c r="AA2113" s="134" t="s">
        <v>166</v>
      </c>
      <c r="AD2113" s="38">
        <v>8368.6200000000008</v>
      </c>
      <c r="AF2113" s="76">
        <f t="shared" si="208"/>
        <v>290694.45999999967</v>
      </c>
    </row>
    <row r="2114" spans="9:32" ht="8.25" customHeight="1" x14ac:dyDescent="0.15">
      <c r="N2114" s="52">
        <v>73</v>
      </c>
      <c r="T2114" s="33">
        <v>46108</v>
      </c>
      <c r="U2114" s="34">
        <v>2026</v>
      </c>
      <c r="V2114" s="35" t="s">
        <v>1348</v>
      </c>
      <c r="W2114" s="35" t="s">
        <v>17</v>
      </c>
      <c r="X2114" s="37" t="s">
        <v>1814</v>
      </c>
      <c r="Y2114" s="36" t="s">
        <v>1815</v>
      </c>
      <c r="Z2114" s="30" t="s">
        <v>1816</v>
      </c>
      <c r="AA2114" s="134" t="s">
        <v>166</v>
      </c>
      <c r="AD2114" s="38">
        <v>1368.79</v>
      </c>
      <c r="AF2114" s="76">
        <f t="shared" si="208"/>
        <v>292063.24999999965</v>
      </c>
    </row>
    <row r="2115" spans="9:32" ht="8.25" customHeight="1" x14ac:dyDescent="0.25">
      <c r="N2115" s="52">
        <v>73</v>
      </c>
      <c r="T2115" s="33">
        <v>46108</v>
      </c>
      <c r="U2115" s="34">
        <v>2026</v>
      </c>
      <c r="V2115" s="35" t="s">
        <v>1348</v>
      </c>
      <c r="W2115" s="35" t="s">
        <v>17</v>
      </c>
      <c r="X2115" s="37" t="s">
        <v>1814</v>
      </c>
      <c r="Y2115" s="36" t="s">
        <v>1815</v>
      </c>
      <c r="Z2115" s="30" t="s">
        <v>1816</v>
      </c>
      <c r="AA2115" s="30" t="s">
        <v>3306</v>
      </c>
      <c r="AD2115" s="38">
        <v>3631.21</v>
      </c>
      <c r="AF2115" s="76">
        <f t="shared" si="208"/>
        <v>295694.45999999967</v>
      </c>
    </row>
    <row r="2116" spans="9:32" ht="8.25" customHeight="1" x14ac:dyDescent="0.25">
      <c r="N2116" s="52">
        <v>74</v>
      </c>
      <c r="T2116" s="33">
        <v>46108</v>
      </c>
      <c r="U2116" s="34">
        <v>2026</v>
      </c>
      <c r="V2116" s="35" t="s">
        <v>1348</v>
      </c>
      <c r="W2116" s="35" t="s">
        <v>17</v>
      </c>
      <c r="X2116" s="37" t="s">
        <v>1817</v>
      </c>
      <c r="Y2116" s="36" t="s">
        <v>679</v>
      </c>
      <c r="Z2116" s="30" t="s">
        <v>1818</v>
      </c>
      <c r="AA2116" s="30" t="s">
        <v>3899</v>
      </c>
      <c r="AD2116" s="38">
        <v>8058.93</v>
      </c>
      <c r="AF2116" s="76">
        <f t="shared" si="208"/>
        <v>303753.38999999966</v>
      </c>
    </row>
    <row r="2117" spans="9:32" ht="8.25" customHeight="1" x14ac:dyDescent="0.15">
      <c r="N2117" s="52">
        <v>74</v>
      </c>
      <c r="T2117" s="33">
        <v>46108</v>
      </c>
      <c r="U2117" s="34">
        <v>2026</v>
      </c>
      <c r="V2117" s="35" t="s">
        <v>1348</v>
      </c>
      <c r="W2117" s="35" t="s">
        <v>17</v>
      </c>
      <c r="X2117" s="37" t="s">
        <v>1817</v>
      </c>
      <c r="Y2117" s="36" t="s">
        <v>679</v>
      </c>
      <c r="Z2117" s="30" t="s">
        <v>1818</v>
      </c>
      <c r="AA2117" s="134" t="s">
        <v>166</v>
      </c>
      <c r="AD2117" s="38">
        <v>3941.07</v>
      </c>
      <c r="AF2117" s="76">
        <f t="shared" si="208"/>
        <v>307694.45999999967</v>
      </c>
    </row>
    <row r="2118" spans="9:32" ht="8.25" customHeight="1" x14ac:dyDescent="0.25">
      <c r="N2118" s="52">
        <v>75</v>
      </c>
      <c r="T2118" s="33">
        <v>46108</v>
      </c>
      <c r="U2118" s="34">
        <v>2026</v>
      </c>
      <c r="V2118" s="35" t="s">
        <v>1348</v>
      </c>
      <c r="W2118" s="35" t="s">
        <v>17</v>
      </c>
      <c r="X2118" s="37" t="s">
        <v>1819</v>
      </c>
      <c r="Y2118" s="36" t="s">
        <v>676</v>
      </c>
      <c r="Z2118" s="30" t="s">
        <v>1820</v>
      </c>
      <c r="AA2118" s="30" t="s">
        <v>3899</v>
      </c>
      <c r="AD2118" s="38">
        <v>7791.15</v>
      </c>
      <c r="AF2118" s="76">
        <f t="shared" si="208"/>
        <v>315485.60999999969</v>
      </c>
    </row>
    <row r="2119" spans="9:32" ht="8.25" customHeight="1" x14ac:dyDescent="0.15">
      <c r="N2119" s="52">
        <v>75</v>
      </c>
      <c r="T2119" s="33">
        <v>46108</v>
      </c>
      <c r="U2119" s="34">
        <v>2026</v>
      </c>
      <c r="V2119" s="35" t="s">
        <v>1348</v>
      </c>
      <c r="W2119" s="35" t="s">
        <v>17</v>
      </c>
      <c r="X2119" s="37" t="s">
        <v>1819</v>
      </c>
      <c r="Y2119" s="36" t="s">
        <v>676</v>
      </c>
      <c r="Z2119" s="30" t="s">
        <v>1820</v>
      </c>
      <c r="AA2119" s="134" t="s">
        <v>166</v>
      </c>
      <c r="AD2119" s="38">
        <v>5208.8500000000004</v>
      </c>
      <c r="AF2119" s="76">
        <f t="shared" si="208"/>
        <v>320694.45999999967</v>
      </c>
    </row>
    <row r="2120" spans="9:32" ht="8.25" customHeight="1" x14ac:dyDescent="0.25">
      <c r="N2120" s="52">
        <v>76</v>
      </c>
      <c r="T2120" s="33">
        <v>46108</v>
      </c>
      <c r="U2120" s="34">
        <v>2026</v>
      </c>
      <c r="V2120" s="35" t="s">
        <v>1348</v>
      </c>
      <c r="W2120" s="35" t="s">
        <v>17</v>
      </c>
      <c r="X2120" s="37" t="s">
        <v>1821</v>
      </c>
      <c r="Y2120" s="36" t="s">
        <v>682</v>
      </c>
      <c r="Z2120" s="30" t="s">
        <v>1822</v>
      </c>
      <c r="AA2120" s="30" t="s">
        <v>3899</v>
      </c>
      <c r="AD2120" s="38">
        <v>6494.19</v>
      </c>
      <c r="AF2120" s="76">
        <f t="shared" si="208"/>
        <v>327188.64999999967</v>
      </c>
    </row>
    <row r="2121" spans="9:32" ht="8.25" customHeight="1" x14ac:dyDescent="0.15">
      <c r="N2121" s="52">
        <v>76</v>
      </c>
      <c r="T2121" s="33">
        <v>46108</v>
      </c>
      <c r="U2121" s="34">
        <v>2026</v>
      </c>
      <c r="V2121" s="35" t="s">
        <v>1348</v>
      </c>
      <c r="W2121" s="35" t="s">
        <v>17</v>
      </c>
      <c r="X2121" s="37" t="s">
        <v>1821</v>
      </c>
      <c r="Y2121" s="36" t="s">
        <v>682</v>
      </c>
      <c r="Z2121" s="30" t="s">
        <v>1822</v>
      </c>
      <c r="AA2121" s="134" t="s">
        <v>166</v>
      </c>
      <c r="AD2121" s="38">
        <v>4505.8100000000004</v>
      </c>
      <c r="AF2121" s="76">
        <f t="shared" si="208"/>
        <v>331694.45999999967</v>
      </c>
    </row>
    <row r="2122" spans="9:32" ht="8.25" customHeight="1" x14ac:dyDescent="0.25">
      <c r="I2122" s="52">
        <v>34</v>
      </c>
      <c r="T2122" s="33">
        <v>46108</v>
      </c>
      <c r="U2122" s="34">
        <v>2026</v>
      </c>
      <c r="V2122" s="35" t="s">
        <v>1348</v>
      </c>
      <c r="W2122" s="35" t="s">
        <v>17</v>
      </c>
      <c r="X2122" s="37" t="s">
        <v>1823</v>
      </c>
      <c r="Y2122" s="36" t="s">
        <v>115</v>
      </c>
      <c r="Z2122" s="30" t="s">
        <v>1363</v>
      </c>
      <c r="AA2122" s="30" t="s">
        <v>1044</v>
      </c>
      <c r="AD2122" s="38">
        <v>1000</v>
      </c>
      <c r="AF2122" s="76">
        <f t="shared" si="208"/>
        <v>332694.45999999967</v>
      </c>
    </row>
    <row r="2123" spans="9:32" ht="8.25" customHeight="1" x14ac:dyDescent="0.25">
      <c r="I2123" s="52">
        <v>35</v>
      </c>
      <c r="T2123" s="33">
        <v>46108</v>
      </c>
      <c r="U2123" s="34">
        <v>2026</v>
      </c>
      <c r="V2123" s="35" t="s">
        <v>1348</v>
      </c>
      <c r="W2123" s="35" t="s">
        <v>17</v>
      </c>
      <c r="X2123" s="37" t="s">
        <v>1824</v>
      </c>
      <c r="Y2123" s="36" t="s">
        <v>1825</v>
      </c>
      <c r="Z2123" s="239" t="s">
        <v>1826</v>
      </c>
      <c r="AA2123" s="30" t="s">
        <v>1044</v>
      </c>
      <c r="AD2123" s="38">
        <v>100</v>
      </c>
      <c r="AF2123" s="76">
        <f t="shared" si="208"/>
        <v>332794.45999999967</v>
      </c>
    </row>
    <row r="2124" spans="9:32" ht="8.25" customHeight="1" x14ac:dyDescent="0.15">
      <c r="K2124" s="52">
        <v>10</v>
      </c>
      <c r="T2124" s="33">
        <v>46108</v>
      </c>
      <c r="U2124" s="34">
        <v>2026</v>
      </c>
      <c r="V2124" s="35" t="s">
        <v>1348</v>
      </c>
      <c r="W2124" s="35" t="s">
        <v>17</v>
      </c>
      <c r="X2124" s="37" t="s">
        <v>1827</v>
      </c>
      <c r="Y2124" s="36" t="s">
        <v>1828</v>
      </c>
      <c r="Z2124" s="239" t="s">
        <v>1826</v>
      </c>
      <c r="AA2124" s="136" t="s">
        <v>1788</v>
      </c>
      <c r="AD2124" s="38">
        <v>100</v>
      </c>
      <c r="AF2124" s="76">
        <f t="shared" si="208"/>
        <v>332894.45999999967</v>
      </c>
    </row>
    <row r="2125" spans="9:32" ht="8.25" customHeight="1" x14ac:dyDescent="0.25">
      <c r="L2125" s="52">
        <v>10</v>
      </c>
      <c r="T2125" s="33">
        <v>46108</v>
      </c>
      <c r="U2125" s="34">
        <v>2026</v>
      </c>
      <c r="V2125" s="35" t="s">
        <v>1348</v>
      </c>
      <c r="W2125" s="35" t="s">
        <v>17</v>
      </c>
      <c r="X2125" s="37" t="s">
        <v>1829</v>
      </c>
      <c r="Y2125" s="36" t="s">
        <v>120</v>
      </c>
      <c r="Z2125" s="239" t="s">
        <v>1826</v>
      </c>
      <c r="AA2125" s="30" t="s">
        <v>1054</v>
      </c>
      <c r="AD2125" s="38">
        <v>50</v>
      </c>
      <c r="AF2125" s="76">
        <f t="shared" si="208"/>
        <v>332944.45999999967</v>
      </c>
    </row>
    <row r="2126" spans="9:32" ht="8.25" customHeight="1" x14ac:dyDescent="0.25">
      <c r="N2126" s="52">
        <v>77</v>
      </c>
      <c r="T2126" s="33">
        <v>46108</v>
      </c>
      <c r="U2126" s="34">
        <v>2026</v>
      </c>
      <c r="V2126" s="35" t="s">
        <v>1348</v>
      </c>
      <c r="W2126" s="35" t="s">
        <v>17</v>
      </c>
      <c r="X2126" s="37" t="s">
        <v>1830</v>
      </c>
      <c r="Y2126" s="36" t="s">
        <v>688</v>
      </c>
      <c r="Z2126" s="30" t="s">
        <v>1831</v>
      </c>
      <c r="AA2126" s="30" t="s">
        <v>3899</v>
      </c>
      <c r="AD2126" s="38">
        <v>3772.38</v>
      </c>
      <c r="AF2126" s="76">
        <f t="shared" si="208"/>
        <v>336716.83999999968</v>
      </c>
    </row>
    <row r="2127" spans="9:32" ht="8.25" customHeight="1" x14ac:dyDescent="0.15">
      <c r="N2127" s="52">
        <v>77</v>
      </c>
      <c r="T2127" s="33">
        <v>46108</v>
      </c>
      <c r="U2127" s="34">
        <v>2026</v>
      </c>
      <c r="V2127" s="35" t="s">
        <v>1348</v>
      </c>
      <c r="W2127" s="35" t="s">
        <v>17</v>
      </c>
      <c r="X2127" s="37" t="s">
        <v>1830</v>
      </c>
      <c r="Y2127" s="36" t="s">
        <v>688</v>
      </c>
      <c r="Z2127" s="30" t="s">
        <v>1831</v>
      </c>
      <c r="AA2127" s="134" t="s">
        <v>166</v>
      </c>
      <c r="AD2127" s="38">
        <v>827.62</v>
      </c>
      <c r="AF2127" s="76">
        <f t="shared" si="208"/>
        <v>337544.45999999967</v>
      </c>
    </row>
    <row r="2128" spans="9:32" ht="8.25" customHeight="1" x14ac:dyDescent="0.25">
      <c r="N2128" s="52">
        <v>78</v>
      </c>
      <c r="T2128" s="33">
        <v>46108</v>
      </c>
      <c r="U2128" s="34">
        <v>2026</v>
      </c>
      <c r="V2128" s="35" t="s">
        <v>1348</v>
      </c>
      <c r="W2128" s="35" t="s">
        <v>17</v>
      </c>
      <c r="X2128" s="37" t="s">
        <v>1832</v>
      </c>
      <c r="Y2128" s="36" t="s">
        <v>1833</v>
      </c>
      <c r="Z2128" s="30" t="s">
        <v>1834</v>
      </c>
      <c r="AA2128" s="30" t="s">
        <v>3899</v>
      </c>
      <c r="AD2128" s="38">
        <v>1226.96</v>
      </c>
      <c r="AF2128" s="76">
        <f t="shared" si="208"/>
        <v>338771.41999999969</v>
      </c>
    </row>
    <row r="2129" spans="4:32" ht="8.25" customHeight="1" x14ac:dyDescent="0.15">
      <c r="N2129" s="52">
        <v>78</v>
      </c>
      <c r="T2129" s="33">
        <v>46108</v>
      </c>
      <c r="U2129" s="34">
        <v>2026</v>
      </c>
      <c r="V2129" s="35" t="s">
        <v>1348</v>
      </c>
      <c r="W2129" s="35" t="s">
        <v>17</v>
      </c>
      <c r="X2129" s="37" t="s">
        <v>1832</v>
      </c>
      <c r="Y2129" s="36" t="s">
        <v>1833</v>
      </c>
      <c r="Z2129" s="30" t="s">
        <v>1834</v>
      </c>
      <c r="AA2129" s="134" t="s">
        <v>166</v>
      </c>
      <c r="AD2129" s="38">
        <v>523.04</v>
      </c>
      <c r="AF2129" s="76">
        <f t="shared" si="208"/>
        <v>339294.45999999967</v>
      </c>
    </row>
    <row r="2130" spans="4:32" ht="8.25" customHeight="1" x14ac:dyDescent="0.25">
      <c r="I2130" s="52">
        <v>36</v>
      </c>
      <c r="T2130" s="33">
        <v>46108</v>
      </c>
      <c r="U2130" s="34">
        <v>2026</v>
      </c>
      <c r="V2130" s="35" t="s">
        <v>1348</v>
      </c>
      <c r="W2130" s="35" t="s">
        <v>17</v>
      </c>
      <c r="X2130" s="37" t="s">
        <v>1835</v>
      </c>
      <c r="Y2130" s="36" t="s">
        <v>1825</v>
      </c>
      <c r="Z2130" s="239" t="s">
        <v>1826</v>
      </c>
      <c r="AA2130" s="30" t="s">
        <v>1044</v>
      </c>
      <c r="AD2130" s="38">
        <v>400</v>
      </c>
      <c r="AF2130" s="76">
        <f t="shared" si="208"/>
        <v>339694.45999999967</v>
      </c>
    </row>
    <row r="2131" spans="4:32" ht="8.25" customHeight="1" x14ac:dyDescent="0.15">
      <c r="K2131" s="52">
        <v>11</v>
      </c>
      <c r="T2131" s="33">
        <v>46108</v>
      </c>
      <c r="U2131" s="34">
        <v>2026</v>
      </c>
      <c r="V2131" s="35" t="s">
        <v>1348</v>
      </c>
      <c r="W2131" s="35" t="s">
        <v>17</v>
      </c>
      <c r="X2131" s="37" t="s">
        <v>1836</v>
      </c>
      <c r="Y2131" s="36" t="s">
        <v>1837</v>
      </c>
      <c r="Z2131" s="30" t="s">
        <v>1838</v>
      </c>
      <c r="AA2131" s="136" t="s">
        <v>1788</v>
      </c>
      <c r="AD2131" s="38">
        <v>100</v>
      </c>
      <c r="AF2131" s="76">
        <f t="shared" si="208"/>
        <v>339794.45999999967</v>
      </c>
    </row>
    <row r="2132" spans="4:32" ht="8.25" customHeight="1" x14ac:dyDescent="0.25">
      <c r="L2132" s="52">
        <v>11</v>
      </c>
      <c r="T2132" s="33">
        <v>46108</v>
      </c>
      <c r="U2132" s="34">
        <v>2026</v>
      </c>
      <c r="V2132" s="35" t="s">
        <v>1348</v>
      </c>
      <c r="W2132" s="35" t="s">
        <v>17</v>
      </c>
      <c r="X2132" s="37" t="s">
        <v>1839</v>
      </c>
      <c r="Y2132" s="36" t="s">
        <v>120</v>
      </c>
      <c r="Z2132" s="30" t="s">
        <v>1838</v>
      </c>
      <c r="AA2132" s="30" t="s">
        <v>1054</v>
      </c>
      <c r="AD2132" s="38">
        <v>50</v>
      </c>
      <c r="AF2132" s="76">
        <f t="shared" si="208"/>
        <v>339844.45999999967</v>
      </c>
    </row>
    <row r="2133" spans="4:32" ht="8.25" customHeight="1" x14ac:dyDescent="0.25">
      <c r="I2133" s="52">
        <v>37</v>
      </c>
      <c r="T2133" s="33">
        <v>46108</v>
      </c>
      <c r="U2133" s="34">
        <v>2026</v>
      </c>
      <c r="V2133" s="35" t="s">
        <v>1348</v>
      </c>
      <c r="W2133" s="35" t="s">
        <v>17</v>
      </c>
      <c r="X2133" s="37" t="s">
        <v>1840</v>
      </c>
      <c r="Y2133" s="36" t="s">
        <v>1841</v>
      </c>
      <c r="Z2133" s="30" t="s">
        <v>1838</v>
      </c>
      <c r="AA2133" s="30" t="s">
        <v>1044</v>
      </c>
      <c r="AD2133" s="38">
        <v>150</v>
      </c>
      <c r="AF2133" s="76">
        <f t="shared" si="208"/>
        <v>339994.45999999967</v>
      </c>
    </row>
    <row r="2134" spans="4:32" ht="8.25" customHeight="1" x14ac:dyDescent="0.25">
      <c r="D2134" s="52">
        <v>5</v>
      </c>
      <c r="T2134" s="33">
        <v>46108</v>
      </c>
      <c r="U2134" s="34">
        <v>2026</v>
      </c>
      <c r="V2134" s="35" t="s">
        <v>1348</v>
      </c>
      <c r="W2134" s="35" t="s">
        <v>17</v>
      </c>
      <c r="X2134" s="37" t="s">
        <v>1842</v>
      </c>
      <c r="Y2134" s="36" t="s">
        <v>1843</v>
      </c>
      <c r="Z2134" s="30" t="s">
        <v>1844</v>
      </c>
      <c r="AA2134" s="30" t="s">
        <v>256</v>
      </c>
      <c r="AD2134" s="38">
        <v>500</v>
      </c>
      <c r="AF2134" s="76">
        <f t="shared" si="208"/>
        <v>340494.45999999967</v>
      </c>
    </row>
    <row r="2135" spans="4:32" ht="8.25" customHeight="1" x14ac:dyDescent="0.25">
      <c r="D2135" s="52">
        <v>6</v>
      </c>
      <c r="T2135" s="33">
        <v>46108</v>
      </c>
      <c r="U2135" s="34">
        <v>2026</v>
      </c>
      <c r="V2135" s="35" t="s">
        <v>1348</v>
      </c>
      <c r="W2135" s="35" t="s">
        <v>17</v>
      </c>
      <c r="X2135" s="37" t="s">
        <v>1855</v>
      </c>
      <c r="Y2135" s="36" t="s">
        <v>1856</v>
      </c>
      <c r="Z2135" s="30" t="s">
        <v>1857</v>
      </c>
      <c r="AA2135" s="30" t="s">
        <v>256</v>
      </c>
      <c r="AD2135" s="38">
        <v>743</v>
      </c>
      <c r="AF2135" s="76">
        <f t="shared" si="208"/>
        <v>341237.45999999967</v>
      </c>
    </row>
    <row r="2136" spans="4:32" ht="8.25" customHeight="1" x14ac:dyDescent="0.25">
      <c r="K2136" s="52">
        <v>12</v>
      </c>
      <c r="T2136" s="33">
        <v>46108</v>
      </c>
      <c r="U2136" s="34">
        <v>2026</v>
      </c>
      <c r="V2136" s="35" t="s">
        <v>1348</v>
      </c>
      <c r="W2136" s="35" t="s">
        <v>17</v>
      </c>
      <c r="X2136" s="37" t="s">
        <v>1862</v>
      </c>
      <c r="Y2136" s="36" t="s">
        <v>1863</v>
      </c>
      <c r="Z2136" s="30" t="s">
        <v>1864</v>
      </c>
      <c r="AA2136" s="30" t="s">
        <v>166</v>
      </c>
      <c r="AD2136" s="38">
        <v>1547.23</v>
      </c>
      <c r="AF2136" s="76">
        <f t="shared" si="208"/>
        <v>342784.68999999965</v>
      </c>
    </row>
    <row r="2137" spans="4:32" ht="8.25" customHeight="1" x14ac:dyDescent="0.25">
      <c r="L2137" s="52">
        <v>12</v>
      </c>
      <c r="T2137" s="33">
        <v>46108</v>
      </c>
      <c r="U2137" s="34">
        <v>2026</v>
      </c>
      <c r="V2137" s="35" t="s">
        <v>1348</v>
      </c>
      <c r="W2137" s="35" t="s">
        <v>17</v>
      </c>
      <c r="X2137" s="37" t="s">
        <v>1862</v>
      </c>
      <c r="Y2137" s="36" t="s">
        <v>1863</v>
      </c>
      <c r="Z2137" s="30" t="s">
        <v>1864</v>
      </c>
      <c r="AA2137" s="30" t="s">
        <v>3304</v>
      </c>
      <c r="AD2137" s="38">
        <v>1452.77</v>
      </c>
      <c r="AF2137" s="76">
        <f t="shared" si="208"/>
        <v>344237.45999999967</v>
      </c>
    </row>
    <row r="2138" spans="4:32" ht="8.25" customHeight="1" x14ac:dyDescent="0.15">
      <c r="N2138" s="52">
        <v>79</v>
      </c>
      <c r="T2138" s="33">
        <v>46108</v>
      </c>
      <c r="U2138" s="34">
        <v>2026</v>
      </c>
      <c r="V2138" s="35" t="s">
        <v>1348</v>
      </c>
      <c r="W2138" s="35" t="s">
        <v>17</v>
      </c>
      <c r="X2138" s="37" t="s">
        <v>1866</v>
      </c>
      <c r="Y2138" s="36" t="s">
        <v>1861</v>
      </c>
      <c r="Z2138" s="30" t="s">
        <v>1860</v>
      </c>
      <c r="AA2138" s="136" t="s">
        <v>1788</v>
      </c>
      <c r="AD2138" s="38">
        <v>100</v>
      </c>
      <c r="AF2138" s="76">
        <f t="shared" si="208"/>
        <v>344337.45999999967</v>
      </c>
    </row>
    <row r="2139" spans="4:32" ht="8.25" customHeight="1" x14ac:dyDescent="0.25">
      <c r="N2139" s="52">
        <v>79</v>
      </c>
      <c r="T2139" s="33">
        <v>46108</v>
      </c>
      <c r="U2139" s="34">
        <v>2026</v>
      </c>
      <c r="V2139" s="35" t="s">
        <v>1348</v>
      </c>
      <c r="W2139" s="35" t="s">
        <v>17</v>
      </c>
      <c r="X2139" s="37" t="s">
        <v>1865</v>
      </c>
      <c r="Y2139" s="36" t="s">
        <v>120</v>
      </c>
      <c r="Z2139" s="30" t="s">
        <v>1939</v>
      </c>
      <c r="AA2139" s="30" t="s">
        <v>1054</v>
      </c>
      <c r="AD2139" s="38">
        <v>50</v>
      </c>
      <c r="AF2139" s="76">
        <f t="shared" si="208"/>
        <v>344387.45999999967</v>
      </c>
    </row>
    <row r="2140" spans="4:32" ht="8.25" customHeight="1" x14ac:dyDescent="0.25">
      <c r="R2140" s="53">
        <v>33</v>
      </c>
      <c r="T2140" s="33">
        <v>46108</v>
      </c>
      <c r="U2140" s="34">
        <v>2026</v>
      </c>
      <c r="V2140" s="35" t="s">
        <v>1348</v>
      </c>
      <c r="W2140" s="35" t="s">
        <v>5</v>
      </c>
      <c r="X2140" s="37" t="s">
        <v>1845</v>
      </c>
      <c r="Y2140" s="36" t="s">
        <v>1846</v>
      </c>
      <c r="Z2140" s="30" t="s">
        <v>1847</v>
      </c>
      <c r="AA2140" s="30" t="s">
        <v>1050</v>
      </c>
      <c r="AE2140" s="38">
        <v>100</v>
      </c>
      <c r="AF2140" s="76">
        <f t="shared" si="208"/>
        <v>344287.45999999967</v>
      </c>
    </row>
    <row r="2141" spans="4:32" ht="8.25" customHeight="1" x14ac:dyDescent="0.25">
      <c r="R2141" s="53">
        <v>34</v>
      </c>
      <c r="T2141" s="33">
        <v>46108</v>
      </c>
      <c r="U2141" s="34">
        <v>2026</v>
      </c>
      <c r="V2141" s="35" t="s">
        <v>1348</v>
      </c>
      <c r="W2141" s="35" t="s">
        <v>5</v>
      </c>
      <c r="X2141" s="37" t="s">
        <v>1848</v>
      </c>
      <c r="Y2141" s="36" t="s">
        <v>116</v>
      </c>
      <c r="Z2141" s="30" t="s">
        <v>1597</v>
      </c>
      <c r="AA2141" s="30" t="s">
        <v>1050</v>
      </c>
      <c r="AE2141" s="38">
        <v>200</v>
      </c>
      <c r="AF2141" s="76">
        <f t="shared" si="208"/>
        <v>344087.45999999967</v>
      </c>
    </row>
    <row r="2142" spans="4:32" ht="8.25" customHeight="1" x14ac:dyDescent="0.25">
      <c r="R2142" s="53">
        <v>35</v>
      </c>
      <c r="T2142" s="33">
        <v>46108</v>
      </c>
      <c r="U2142" s="34">
        <v>2026</v>
      </c>
      <c r="V2142" s="35" t="s">
        <v>1348</v>
      </c>
      <c r="W2142" s="35" t="s">
        <v>5</v>
      </c>
      <c r="X2142" s="37" t="s">
        <v>1849</v>
      </c>
      <c r="Y2142" s="36" t="s">
        <v>477</v>
      </c>
      <c r="Z2142" s="30" t="s">
        <v>1850</v>
      </c>
      <c r="AA2142" s="30" t="s">
        <v>1050</v>
      </c>
      <c r="AE2142" s="38">
        <v>3000</v>
      </c>
      <c r="AF2142" s="76">
        <f t="shared" si="208"/>
        <v>341087.45999999967</v>
      </c>
    </row>
    <row r="2143" spans="4:32" ht="8.25" customHeight="1" x14ac:dyDescent="0.25">
      <c r="G2143" s="53">
        <v>28</v>
      </c>
      <c r="T2143" s="33">
        <v>46108</v>
      </c>
      <c r="U2143" s="34">
        <v>2026</v>
      </c>
      <c r="V2143" s="35" t="s">
        <v>1348</v>
      </c>
      <c r="W2143" s="35" t="s">
        <v>2655</v>
      </c>
      <c r="Y2143" s="36" t="s">
        <v>1875</v>
      </c>
      <c r="Z2143" s="30" t="s">
        <v>1851</v>
      </c>
      <c r="AA2143" s="30" t="s">
        <v>3945</v>
      </c>
      <c r="AE2143" s="38">
        <v>19150</v>
      </c>
      <c r="AF2143" s="76">
        <f t="shared" si="208"/>
        <v>321937.45999999967</v>
      </c>
    </row>
    <row r="2144" spans="4:32" ht="8.25" customHeight="1" x14ac:dyDescent="0.25">
      <c r="T2144" s="33">
        <v>46108</v>
      </c>
      <c r="U2144" s="34">
        <v>2026</v>
      </c>
      <c r="V2144" s="35" t="s">
        <v>1348</v>
      </c>
      <c r="W2144" s="35" t="s">
        <v>5</v>
      </c>
      <c r="X2144" s="37" t="s">
        <v>1852</v>
      </c>
      <c r="Y2144" s="36" t="s">
        <v>411</v>
      </c>
      <c r="Z2144" s="30" t="s">
        <v>412</v>
      </c>
      <c r="AA2144" s="30" t="s">
        <v>1882</v>
      </c>
      <c r="AE2144" s="38">
        <v>70000</v>
      </c>
      <c r="AF2144" s="76">
        <f t="shared" si="208"/>
        <v>251937.45999999967</v>
      </c>
    </row>
    <row r="2145" spans="7:32" ht="8.25" customHeight="1" x14ac:dyDescent="0.25">
      <c r="G2145" s="53">
        <v>29</v>
      </c>
      <c r="T2145" s="33">
        <v>46108</v>
      </c>
      <c r="U2145" s="34">
        <v>2026</v>
      </c>
      <c r="V2145" s="35" t="s">
        <v>1348</v>
      </c>
      <c r="W2145" s="35" t="s">
        <v>2655</v>
      </c>
      <c r="Y2145" s="36" t="s">
        <v>1853</v>
      </c>
      <c r="Z2145" s="30" t="s">
        <v>1854</v>
      </c>
      <c r="AA2145" s="30" t="s">
        <v>3945</v>
      </c>
      <c r="AE2145" s="38">
        <v>15240</v>
      </c>
      <c r="AF2145" s="76">
        <f t="shared" si="208"/>
        <v>236697.45999999967</v>
      </c>
    </row>
    <row r="2146" spans="7:32" ht="8.25" customHeight="1" x14ac:dyDescent="0.25">
      <c r="R2146" s="53">
        <v>36</v>
      </c>
      <c r="T2146" s="33">
        <v>46108</v>
      </c>
      <c r="U2146" s="34">
        <v>2026</v>
      </c>
      <c r="V2146" s="35" t="s">
        <v>1348</v>
      </c>
      <c r="W2146" s="35" t="s">
        <v>5</v>
      </c>
      <c r="X2146" s="37" t="s">
        <v>1867</v>
      </c>
      <c r="Y2146" s="36" t="s">
        <v>1036</v>
      </c>
      <c r="Z2146" s="30" t="s">
        <v>1037</v>
      </c>
      <c r="AA2146" s="30" t="s">
        <v>1050</v>
      </c>
      <c r="AE2146" s="38">
        <v>2800</v>
      </c>
      <c r="AF2146" s="76">
        <f t="shared" si="208"/>
        <v>233897.45999999967</v>
      </c>
    </row>
    <row r="2147" spans="7:32" ht="8.25" customHeight="1" thickBot="1" x14ac:dyDescent="0.3">
      <c r="Z2147" s="231"/>
      <c r="AA2147" s="75" t="s">
        <v>257</v>
      </c>
      <c r="AD2147" s="91">
        <f>SUM(AD2108:AD2139)</f>
        <v>95193</v>
      </c>
      <c r="AE2147" s="91">
        <f>SUM(AE2140:AE2146)</f>
        <v>110490</v>
      </c>
      <c r="AF2147" s="91">
        <f>AF2107+AD2147-AE2147</f>
        <v>233897.45999999967</v>
      </c>
    </row>
    <row r="2148" spans="7:32" ht="8.25" customHeight="1" thickTop="1" x14ac:dyDescent="0.25">
      <c r="Z2148" s="231"/>
    </row>
    <row r="2149" spans="7:32" ht="8.25" customHeight="1" x14ac:dyDescent="0.25">
      <c r="X2149" s="109"/>
      <c r="Y2149" s="67" t="s">
        <v>214</v>
      </c>
      <c r="Z2149" s="68"/>
      <c r="AA2149" s="75"/>
    </row>
    <row r="2150" spans="7:32" ht="8.25" customHeight="1" x14ac:dyDescent="0.25">
      <c r="X2150" s="110" t="s">
        <v>1610</v>
      </c>
      <c r="Y2150" s="111">
        <v>200</v>
      </c>
      <c r="Z2150" s="111">
        <f t="shared" ref="Z2150:Z2155" si="209">X2150*Y2150</f>
        <v>78800</v>
      </c>
      <c r="AA2150" s="112"/>
    </row>
    <row r="2151" spans="7:32" ht="8.25" customHeight="1" x14ac:dyDescent="0.25">
      <c r="X2151" s="110" t="s">
        <v>1978</v>
      </c>
      <c r="Y2151" s="111">
        <v>100</v>
      </c>
      <c r="Z2151" s="111">
        <f t="shared" si="209"/>
        <v>149400</v>
      </c>
      <c r="AA2151" s="112"/>
    </row>
    <row r="2152" spans="7:32" ht="8.25" customHeight="1" x14ac:dyDescent="0.25">
      <c r="X2152" s="110" t="s">
        <v>222</v>
      </c>
      <c r="Y2152" s="111">
        <v>50</v>
      </c>
      <c r="Z2152" s="111">
        <f t="shared" si="209"/>
        <v>50</v>
      </c>
      <c r="AA2152" s="76"/>
    </row>
    <row r="2153" spans="7:32" ht="8.25" customHeight="1" x14ac:dyDescent="0.25">
      <c r="X2153" s="110" t="s">
        <v>299</v>
      </c>
      <c r="Y2153" s="111">
        <v>20</v>
      </c>
      <c r="Z2153" s="111">
        <f t="shared" si="209"/>
        <v>80</v>
      </c>
      <c r="AA2153" s="38"/>
    </row>
    <row r="2154" spans="7:32" ht="8.25" customHeight="1" x14ac:dyDescent="0.25">
      <c r="X2154" s="110" t="s">
        <v>1859</v>
      </c>
      <c r="Y2154" s="111">
        <v>10</v>
      </c>
      <c r="Z2154" s="111">
        <f t="shared" si="209"/>
        <v>2440</v>
      </c>
      <c r="AA2154" s="112"/>
    </row>
    <row r="2155" spans="7:32" ht="8.25" customHeight="1" x14ac:dyDescent="0.25">
      <c r="X2155" s="110" t="s">
        <v>1858</v>
      </c>
      <c r="Y2155" s="111">
        <v>5</v>
      </c>
      <c r="Z2155" s="111">
        <f t="shared" si="209"/>
        <v>1930</v>
      </c>
      <c r="AA2155" s="112"/>
    </row>
    <row r="2156" spans="7:32" ht="8.25" customHeight="1" x14ac:dyDescent="0.25">
      <c r="X2156" s="269"/>
      <c r="Y2156" s="270"/>
      <c r="Z2156" s="271"/>
      <c r="AA2156" s="38"/>
    </row>
    <row r="2157" spans="7:32" ht="8.25" customHeight="1" x14ac:dyDescent="0.25">
      <c r="X2157" s="110" t="s">
        <v>1974</v>
      </c>
      <c r="Y2157" s="111">
        <v>1</v>
      </c>
      <c r="Z2157" s="111">
        <f t="shared" ref="Z2157:Z2162" si="210">X2157*Y2157</f>
        <v>1112</v>
      </c>
      <c r="AA2157" s="76"/>
    </row>
    <row r="2158" spans="7:32" ht="8.25" customHeight="1" x14ac:dyDescent="0.25">
      <c r="X2158" s="110" t="s">
        <v>259</v>
      </c>
      <c r="Y2158" s="111">
        <v>0.5</v>
      </c>
      <c r="Z2158" s="111">
        <f t="shared" si="210"/>
        <v>40</v>
      </c>
      <c r="AA2158" s="112"/>
    </row>
    <row r="2159" spans="7:32" ht="8.25" customHeight="1" x14ac:dyDescent="0.25">
      <c r="X2159" s="110" t="s">
        <v>1733</v>
      </c>
      <c r="Y2159" s="111">
        <v>0.25</v>
      </c>
      <c r="Z2159" s="111">
        <f t="shared" si="210"/>
        <v>45.25</v>
      </c>
      <c r="AA2159" s="113"/>
    </row>
    <row r="2160" spans="7:32" ht="8.25" customHeight="1" x14ac:dyDescent="0.25">
      <c r="X2160" s="110" t="s">
        <v>224</v>
      </c>
      <c r="Y2160" s="111">
        <v>0.1</v>
      </c>
      <c r="Z2160" s="111">
        <f t="shared" si="210"/>
        <v>0.2</v>
      </c>
      <c r="AA2160" s="114" t="s">
        <v>219</v>
      </c>
    </row>
    <row r="2161" spans="3:32" ht="8.25" customHeight="1" thickBot="1" x14ac:dyDescent="0.3">
      <c r="X2161" s="110"/>
      <c r="Y2161" s="111">
        <v>0.05</v>
      </c>
      <c r="Z2161" s="111">
        <f t="shared" si="210"/>
        <v>0</v>
      </c>
      <c r="AA2161" s="115">
        <f>SUM(Z2150:Z2155)+Z2157+Z2158+Z2159+Z2160+Z2161+Z2162</f>
        <v>233897.46000000002</v>
      </c>
    </row>
    <row r="2162" spans="3:32" ht="8.25" customHeight="1" thickTop="1" x14ac:dyDescent="0.25">
      <c r="X2162" s="110" t="s">
        <v>222</v>
      </c>
      <c r="Y2162" s="111">
        <v>0.01</v>
      </c>
      <c r="Z2162" s="111">
        <f t="shared" si="210"/>
        <v>0.01</v>
      </c>
    </row>
    <row r="2164" spans="3:32" ht="8.25" customHeight="1" x14ac:dyDescent="0.25">
      <c r="Z2164" s="231" t="s">
        <v>1376</v>
      </c>
      <c r="AF2164" s="76">
        <f>AF2147</f>
        <v>233897.45999999967</v>
      </c>
    </row>
    <row r="2165" spans="3:32" ht="8.25" customHeight="1" x14ac:dyDescent="0.25">
      <c r="I2165" s="52">
        <v>38</v>
      </c>
      <c r="T2165" s="33">
        <v>46109</v>
      </c>
      <c r="U2165" s="34">
        <v>2026</v>
      </c>
      <c r="V2165" s="35" t="s">
        <v>1348</v>
      </c>
      <c r="W2165" s="35" t="s">
        <v>17</v>
      </c>
      <c r="X2165" s="37" t="s">
        <v>1868</v>
      </c>
      <c r="Y2165" s="36" t="s">
        <v>706</v>
      </c>
      <c r="Z2165" s="30" t="s">
        <v>1869</v>
      </c>
      <c r="AA2165" s="30" t="s">
        <v>13</v>
      </c>
      <c r="AD2165" s="38">
        <v>28409.09</v>
      </c>
      <c r="AF2165" s="76">
        <f>AF2164+AD2165-AE2165</f>
        <v>262306.5499999997</v>
      </c>
    </row>
    <row r="2166" spans="3:32" ht="8.25" customHeight="1" x14ac:dyDescent="0.25">
      <c r="M2166" s="52">
        <v>12</v>
      </c>
      <c r="T2166" s="33">
        <v>46109</v>
      </c>
      <c r="U2166" s="34">
        <v>2026</v>
      </c>
      <c r="V2166" s="35" t="s">
        <v>1348</v>
      </c>
      <c r="W2166" s="35" t="s">
        <v>17</v>
      </c>
      <c r="X2166" s="37" t="s">
        <v>1870</v>
      </c>
      <c r="Y2166" s="36" t="s">
        <v>120</v>
      </c>
      <c r="Z2166" s="30" t="s">
        <v>1869</v>
      </c>
      <c r="AA2166" s="30" t="s">
        <v>1058</v>
      </c>
      <c r="AD2166" s="38">
        <v>5681.82</v>
      </c>
      <c r="AF2166" s="76">
        <f>AF2165+AD2166-AE2166</f>
        <v>267988.3699999997</v>
      </c>
    </row>
    <row r="2167" spans="3:32" ht="8.25" customHeight="1" x14ac:dyDescent="0.25">
      <c r="T2167" s="33">
        <v>46109</v>
      </c>
      <c r="U2167" s="34">
        <v>2026</v>
      </c>
      <c r="V2167" s="35" t="s">
        <v>1348</v>
      </c>
      <c r="W2167" s="35" t="s">
        <v>5</v>
      </c>
      <c r="X2167" s="37" t="s">
        <v>1873</v>
      </c>
      <c r="Y2167" s="36" t="s">
        <v>411</v>
      </c>
      <c r="Z2167" s="30" t="s">
        <v>412</v>
      </c>
      <c r="AA2167" s="30" t="s">
        <v>2719</v>
      </c>
      <c r="AE2167" s="38">
        <v>34090.910000000003</v>
      </c>
      <c r="AF2167" s="76">
        <f t="shared" ref="AF2167" si="211">AF2166+AD2167-AE2167</f>
        <v>233897.4599999997</v>
      </c>
    </row>
    <row r="2168" spans="3:32" ht="8.25" customHeight="1" x14ac:dyDescent="0.25">
      <c r="I2168" s="52">
        <v>39</v>
      </c>
      <c r="T2168" s="33">
        <v>46109</v>
      </c>
      <c r="U2168" s="34">
        <v>2026</v>
      </c>
      <c r="V2168" s="35" t="s">
        <v>1348</v>
      </c>
      <c r="W2168" s="35" t="s">
        <v>17</v>
      </c>
      <c r="X2168" s="37" t="s">
        <v>1871</v>
      </c>
      <c r="Y2168" s="36" t="s">
        <v>1435</v>
      </c>
      <c r="Z2168" s="30" t="s">
        <v>1669</v>
      </c>
      <c r="AA2168" s="30" t="s">
        <v>13</v>
      </c>
      <c r="AD2168" s="38">
        <v>2000</v>
      </c>
      <c r="AF2168" s="76">
        <f>AF2167+AD2168-AE2168</f>
        <v>235897.4599999997</v>
      </c>
    </row>
    <row r="2169" spans="3:32" ht="8.25" customHeight="1" x14ac:dyDescent="0.25">
      <c r="C2169" s="52">
        <v>12</v>
      </c>
      <c r="T2169" s="33">
        <v>46109</v>
      </c>
      <c r="U2169" s="34">
        <v>2026</v>
      </c>
      <c r="V2169" s="35" t="s">
        <v>1348</v>
      </c>
      <c r="W2169" s="35" t="s">
        <v>3620</v>
      </c>
      <c r="Y2169" s="36" t="s">
        <v>1879</v>
      </c>
      <c r="Z2169" s="30" t="s">
        <v>1881</v>
      </c>
      <c r="AA2169" s="30" t="s">
        <v>340</v>
      </c>
      <c r="AD2169" s="38">
        <v>35</v>
      </c>
      <c r="AF2169" s="76">
        <f>AF2168+AD2169-AE2169</f>
        <v>235932.4599999997</v>
      </c>
    </row>
    <row r="2170" spans="3:32" ht="8.25" customHeight="1" x14ac:dyDescent="0.25">
      <c r="T2170" s="33">
        <v>46109</v>
      </c>
      <c r="U2170" s="34">
        <v>2026</v>
      </c>
      <c r="V2170" s="35" t="s">
        <v>1348</v>
      </c>
      <c r="Z2170" s="30" t="s">
        <v>412</v>
      </c>
      <c r="AA2170" s="30" t="s">
        <v>1882</v>
      </c>
      <c r="AF2170" s="76">
        <f t="shared" ref="AF2170:AF2173" si="212">AF2169+AD2170-AE2170</f>
        <v>235932.4599999997</v>
      </c>
    </row>
    <row r="2171" spans="3:32" ht="8.25" customHeight="1" x14ac:dyDescent="0.25">
      <c r="G2171" s="53">
        <v>30</v>
      </c>
      <c r="T2171" s="33">
        <v>46109</v>
      </c>
      <c r="U2171" s="34">
        <v>2026</v>
      </c>
      <c r="V2171" s="35" t="s">
        <v>1348</v>
      </c>
      <c r="W2171" s="35" t="s">
        <v>2655</v>
      </c>
      <c r="Y2171" s="36" t="s">
        <v>1872</v>
      </c>
      <c r="Z2171" s="30" t="s">
        <v>18</v>
      </c>
      <c r="AA2171" s="30" t="s">
        <v>3945</v>
      </c>
      <c r="AE2171" s="38">
        <v>766</v>
      </c>
      <c r="AF2171" s="76">
        <f t="shared" si="212"/>
        <v>235166.4599999997</v>
      </c>
    </row>
    <row r="2172" spans="3:32" ht="8.25" customHeight="1" x14ac:dyDescent="0.25">
      <c r="G2172" s="53">
        <v>31</v>
      </c>
      <c r="T2172" s="33">
        <v>46109</v>
      </c>
      <c r="U2172" s="34">
        <v>2026</v>
      </c>
      <c r="V2172" s="35" t="s">
        <v>1348</v>
      </c>
      <c r="W2172" s="35" t="s">
        <v>2655</v>
      </c>
      <c r="Y2172" s="36" t="s">
        <v>1876</v>
      </c>
      <c r="Z2172" s="30" t="s">
        <v>1877</v>
      </c>
      <c r="AA2172" s="30" t="s">
        <v>3945</v>
      </c>
      <c r="AE2172" s="38">
        <v>3505.6</v>
      </c>
      <c r="AF2172" s="76">
        <f t="shared" si="212"/>
        <v>231660.85999999969</v>
      </c>
    </row>
    <row r="2173" spans="3:32" ht="8.25" customHeight="1" x14ac:dyDescent="0.25">
      <c r="T2173" s="33">
        <v>46109</v>
      </c>
      <c r="U2173" s="34">
        <v>2026</v>
      </c>
      <c r="V2173" s="35" t="s">
        <v>1348</v>
      </c>
      <c r="W2173" s="35" t="s">
        <v>5</v>
      </c>
      <c r="X2173" s="37" t="s">
        <v>1883</v>
      </c>
      <c r="Y2173" s="36" t="s">
        <v>411</v>
      </c>
      <c r="Z2173" s="30" t="s">
        <v>412</v>
      </c>
      <c r="AA2173" s="30" t="s">
        <v>1882</v>
      </c>
      <c r="AE2173" s="38">
        <v>70000</v>
      </c>
      <c r="AF2173" s="76">
        <f t="shared" si="212"/>
        <v>161660.85999999969</v>
      </c>
    </row>
    <row r="2174" spans="3:32" ht="8.25" customHeight="1" thickBot="1" x14ac:dyDescent="0.3">
      <c r="AA2174" s="75" t="s">
        <v>257</v>
      </c>
      <c r="AD2174" s="233">
        <f>SUM(AD2165:AD2170)</f>
        <v>36125.910000000003</v>
      </c>
      <c r="AE2174" s="233">
        <f>SUM(AE2167:AE2173)</f>
        <v>108362.51000000001</v>
      </c>
      <c r="AF2174" s="233">
        <f>AF2164+AD2174-AE2174</f>
        <v>161660.85999999964</v>
      </c>
    </row>
    <row r="2175" spans="3:32" ht="8.25" customHeight="1" thickTop="1" x14ac:dyDescent="0.25">
      <c r="X2175" s="109"/>
      <c r="Y2175" s="67" t="s">
        <v>214</v>
      </c>
      <c r="Z2175" s="68"/>
      <c r="AA2175" s="75"/>
    </row>
    <row r="2176" spans="3:32" ht="8.25" customHeight="1" x14ac:dyDescent="0.25">
      <c r="X2176" s="110" t="s">
        <v>1907</v>
      </c>
      <c r="Y2176" s="111">
        <v>200</v>
      </c>
      <c r="Z2176" s="111">
        <f t="shared" ref="Z2176:Z2181" si="213">X2176*Y2176</f>
        <v>58000</v>
      </c>
      <c r="AA2176" s="112"/>
      <c r="AE2176" s="213"/>
    </row>
    <row r="2177" spans="14:32" ht="8.25" customHeight="1" x14ac:dyDescent="0.25">
      <c r="X2177" s="110" t="s">
        <v>1979</v>
      </c>
      <c r="Y2177" s="111">
        <v>100</v>
      </c>
      <c r="Z2177" s="111">
        <f t="shared" si="213"/>
        <v>98400</v>
      </c>
      <c r="AA2177" s="112"/>
    </row>
    <row r="2178" spans="14:32" ht="8.25" customHeight="1" x14ac:dyDescent="0.25">
      <c r="X2178" s="110"/>
      <c r="Y2178" s="111">
        <v>50</v>
      </c>
      <c r="Z2178" s="111">
        <f t="shared" si="213"/>
        <v>0</v>
      </c>
      <c r="AA2178" s="76"/>
    </row>
    <row r="2179" spans="14:32" ht="8.25" customHeight="1" x14ac:dyDescent="0.25">
      <c r="X2179" s="110" t="s">
        <v>224</v>
      </c>
      <c r="Y2179" s="111">
        <v>20</v>
      </c>
      <c r="Z2179" s="111">
        <f t="shared" si="213"/>
        <v>40</v>
      </c>
      <c r="AA2179" s="38"/>
    </row>
    <row r="2180" spans="14:32" ht="8.25" customHeight="1" x14ac:dyDescent="0.25">
      <c r="X2180" s="110" t="s">
        <v>1880</v>
      </c>
      <c r="Y2180" s="111">
        <v>10</v>
      </c>
      <c r="Z2180" s="111">
        <f t="shared" si="213"/>
        <v>2100</v>
      </c>
      <c r="AA2180" s="112"/>
    </row>
    <row r="2181" spans="14:32" ht="8.25" customHeight="1" x14ac:dyDescent="0.25">
      <c r="X2181" s="110" t="s">
        <v>1968</v>
      </c>
      <c r="Y2181" s="111">
        <v>5</v>
      </c>
      <c r="Z2181" s="111">
        <f t="shared" si="213"/>
        <v>1925</v>
      </c>
      <c r="AA2181" s="112"/>
    </row>
    <row r="2182" spans="14:32" ht="8.25" customHeight="1" x14ac:dyDescent="0.25">
      <c r="X2182" s="269"/>
      <c r="Y2182" s="270"/>
      <c r="Z2182" s="271"/>
      <c r="AA2182" s="38"/>
    </row>
    <row r="2183" spans="14:32" ht="8.25" customHeight="1" x14ac:dyDescent="0.25">
      <c r="X2183" s="110" t="s">
        <v>1874</v>
      </c>
      <c r="Y2183" s="111">
        <v>1</v>
      </c>
      <c r="Z2183" s="111">
        <f t="shared" ref="Z2183:Z2188" si="214">X2183*Y2183</f>
        <v>1110</v>
      </c>
      <c r="AA2183" s="76"/>
    </row>
    <row r="2184" spans="14:32" ht="8.25" customHeight="1" x14ac:dyDescent="0.25">
      <c r="X2184" s="110" t="s">
        <v>1496</v>
      </c>
      <c r="Y2184" s="111">
        <v>0.5</v>
      </c>
      <c r="Z2184" s="111">
        <f t="shared" si="214"/>
        <v>40.5</v>
      </c>
      <c r="AA2184" s="112"/>
    </row>
    <row r="2185" spans="14:32" ht="8.25" customHeight="1" x14ac:dyDescent="0.25">
      <c r="X2185" s="110" t="s">
        <v>1733</v>
      </c>
      <c r="Y2185" s="111">
        <v>0.25</v>
      </c>
      <c r="Z2185" s="111">
        <f t="shared" si="214"/>
        <v>45.25</v>
      </c>
      <c r="AA2185" s="113"/>
    </row>
    <row r="2186" spans="14:32" ht="8.25" customHeight="1" x14ac:dyDescent="0.25">
      <c r="X2186" s="110"/>
      <c r="Y2186" s="111">
        <v>0.1</v>
      </c>
      <c r="Z2186" s="111">
        <f t="shared" si="214"/>
        <v>0</v>
      </c>
      <c r="AA2186" s="114" t="s">
        <v>219</v>
      </c>
    </row>
    <row r="2187" spans="14:32" ht="8.25" customHeight="1" thickBot="1" x14ac:dyDescent="0.3">
      <c r="X2187" s="110" t="s">
        <v>224</v>
      </c>
      <c r="Y2187" s="111">
        <v>0.05</v>
      </c>
      <c r="Z2187" s="111">
        <f t="shared" si="214"/>
        <v>0.1</v>
      </c>
      <c r="AA2187" s="115">
        <f>SUM(Z2176:Z2181)+Z2183+Z2184+Z2185+Z2186+Z2187+Z2188</f>
        <v>161660.86000000002</v>
      </c>
    </row>
    <row r="2188" spans="14:32" ht="8.25" customHeight="1" thickTop="1" x14ac:dyDescent="0.25">
      <c r="X2188" s="110" t="s">
        <v>222</v>
      </c>
      <c r="Y2188" s="111">
        <v>0.01</v>
      </c>
      <c r="Z2188" s="111">
        <f t="shared" si="214"/>
        <v>0.01</v>
      </c>
    </row>
    <row r="2191" spans="14:32" ht="8.25" customHeight="1" x14ac:dyDescent="0.25">
      <c r="AA2191" s="231" t="s">
        <v>1376</v>
      </c>
      <c r="AF2191" s="76">
        <f>AF2174</f>
        <v>161660.85999999964</v>
      </c>
    </row>
    <row r="2192" spans="14:32" ht="8.25" customHeight="1" x14ac:dyDescent="0.25">
      <c r="N2192" s="52">
        <v>80</v>
      </c>
      <c r="T2192" s="33">
        <v>46111</v>
      </c>
      <c r="U2192" s="34">
        <v>2026</v>
      </c>
      <c r="V2192" s="35" t="s">
        <v>1348</v>
      </c>
      <c r="W2192" s="35" t="s">
        <v>17</v>
      </c>
      <c r="X2192" s="37" t="s">
        <v>1890</v>
      </c>
      <c r="Y2192" s="36" t="s">
        <v>225</v>
      </c>
      <c r="Z2192" s="30" t="s">
        <v>119</v>
      </c>
      <c r="AA2192" s="30" t="s">
        <v>3899</v>
      </c>
      <c r="AD2192" s="38">
        <v>10464.24</v>
      </c>
      <c r="AF2192" s="76">
        <f>AF2191+AD2192-AE2192</f>
        <v>172125.09999999963</v>
      </c>
    </row>
    <row r="2193" spans="7:32" ht="8.25" customHeight="1" x14ac:dyDescent="0.25">
      <c r="N2193" s="52">
        <v>80</v>
      </c>
      <c r="T2193" s="33">
        <v>46111</v>
      </c>
      <c r="U2193" s="34">
        <v>2026</v>
      </c>
      <c r="V2193" s="35" t="s">
        <v>1348</v>
      </c>
      <c r="W2193" s="35" t="s">
        <v>17</v>
      </c>
      <c r="X2193" s="37" t="s">
        <v>1890</v>
      </c>
      <c r="Y2193" s="36" t="s">
        <v>225</v>
      </c>
      <c r="Z2193" s="30" t="s">
        <v>119</v>
      </c>
      <c r="AA2193" s="30" t="s">
        <v>166</v>
      </c>
      <c r="AD2193" s="38">
        <v>1695.76</v>
      </c>
      <c r="AF2193" s="76">
        <f t="shared" ref="AF2193:AF2209" si="215">AF2192+AD2193-AE2193</f>
        <v>173820.85999999964</v>
      </c>
    </row>
    <row r="2194" spans="7:32" ht="8.25" customHeight="1" x14ac:dyDescent="0.25">
      <c r="N2194" s="52">
        <v>80</v>
      </c>
      <c r="T2194" s="33">
        <v>46111</v>
      </c>
      <c r="U2194" s="34">
        <v>2026</v>
      </c>
      <c r="V2194" s="35" t="s">
        <v>1348</v>
      </c>
      <c r="W2194" s="35" t="s">
        <v>17</v>
      </c>
      <c r="X2194" s="37" t="s">
        <v>1890</v>
      </c>
      <c r="Y2194" s="36" t="s">
        <v>225</v>
      </c>
      <c r="Z2194" s="30" t="s">
        <v>119</v>
      </c>
      <c r="AA2194" s="30" t="s">
        <v>3306</v>
      </c>
      <c r="AD2194" s="38">
        <v>90</v>
      </c>
      <c r="AF2194" s="76">
        <f t="shared" si="215"/>
        <v>173910.85999999964</v>
      </c>
    </row>
    <row r="2195" spans="7:32" ht="8.25" customHeight="1" x14ac:dyDescent="0.25">
      <c r="N2195" s="52">
        <v>81</v>
      </c>
      <c r="T2195" s="33">
        <v>46111</v>
      </c>
      <c r="U2195" s="34">
        <v>2026</v>
      </c>
      <c r="V2195" s="35" t="s">
        <v>1348</v>
      </c>
      <c r="W2195" s="35" t="s">
        <v>17</v>
      </c>
      <c r="X2195" s="37" t="s">
        <v>1891</v>
      </c>
      <c r="Y2195" s="36" t="s">
        <v>765</v>
      </c>
      <c r="Z2195" s="30" t="s">
        <v>766</v>
      </c>
      <c r="AA2195" s="30" t="s">
        <v>3899</v>
      </c>
      <c r="AD2195" s="38">
        <v>2723.14</v>
      </c>
      <c r="AF2195" s="76">
        <f t="shared" si="215"/>
        <v>176633.99999999965</v>
      </c>
    </row>
    <row r="2196" spans="7:32" ht="8.25" customHeight="1" x14ac:dyDescent="0.25">
      <c r="N2196" s="52">
        <v>81</v>
      </c>
      <c r="T2196" s="33">
        <v>46111</v>
      </c>
      <c r="U2196" s="34">
        <v>2026</v>
      </c>
      <c r="V2196" s="35" t="s">
        <v>1348</v>
      </c>
      <c r="W2196" s="35" t="s">
        <v>17</v>
      </c>
      <c r="X2196" s="37" t="s">
        <v>1891</v>
      </c>
      <c r="Y2196" s="36" t="s">
        <v>765</v>
      </c>
      <c r="Z2196" s="30" t="s">
        <v>766</v>
      </c>
      <c r="AA2196" s="30" t="s">
        <v>166</v>
      </c>
      <c r="AD2196" s="38">
        <v>1246.8599999999999</v>
      </c>
      <c r="AF2196" s="76">
        <f t="shared" si="215"/>
        <v>177880.85999999964</v>
      </c>
    </row>
    <row r="2197" spans="7:32" ht="8.25" customHeight="1" x14ac:dyDescent="0.25">
      <c r="N2197" s="52">
        <v>81</v>
      </c>
      <c r="T2197" s="33">
        <v>46111</v>
      </c>
      <c r="U2197" s="34">
        <v>2026</v>
      </c>
      <c r="V2197" s="35" t="s">
        <v>1348</v>
      </c>
      <c r="W2197" s="35" t="s">
        <v>17</v>
      </c>
      <c r="X2197" s="37" t="s">
        <v>1891</v>
      </c>
      <c r="Y2197" s="36" t="s">
        <v>765</v>
      </c>
      <c r="Z2197" s="30" t="s">
        <v>766</v>
      </c>
      <c r="AA2197" s="30" t="s">
        <v>3304</v>
      </c>
      <c r="AD2197" s="38">
        <v>30</v>
      </c>
      <c r="AF2197" s="76">
        <f t="shared" si="215"/>
        <v>177910.85999999964</v>
      </c>
    </row>
    <row r="2198" spans="7:32" ht="8.25" customHeight="1" x14ac:dyDescent="0.25">
      <c r="N2198" s="52">
        <v>82</v>
      </c>
      <c r="T2198" s="33">
        <v>46111</v>
      </c>
      <c r="U2198" s="34">
        <v>2026</v>
      </c>
      <c r="V2198" s="35" t="s">
        <v>1348</v>
      </c>
      <c r="W2198" s="35" t="s">
        <v>17</v>
      </c>
      <c r="X2198" s="37" t="s">
        <v>1892</v>
      </c>
      <c r="Y2198" s="36" t="s">
        <v>1381</v>
      </c>
      <c r="Z2198" s="30" t="s">
        <v>642</v>
      </c>
      <c r="AA2198" s="30" t="s">
        <v>166</v>
      </c>
      <c r="AD2198" s="38">
        <v>40000</v>
      </c>
      <c r="AF2198" s="76">
        <f t="shared" si="215"/>
        <v>217910.85999999964</v>
      </c>
    </row>
    <row r="2199" spans="7:32" ht="8.25" customHeight="1" x14ac:dyDescent="0.25">
      <c r="T2199" s="33">
        <v>46111</v>
      </c>
      <c r="U2199" s="34">
        <v>2026</v>
      </c>
      <c r="V2199" s="35" t="s">
        <v>1348</v>
      </c>
      <c r="W2199" s="35" t="s">
        <v>5</v>
      </c>
      <c r="X2199" s="37" t="s">
        <v>1893</v>
      </c>
      <c r="Y2199" s="36" t="s">
        <v>411</v>
      </c>
      <c r="Z2199" s="30" t="s">
        <v>412</v>
      </c>
      <c r="AA2199" s="30" t="s">
        <v>2719</v>
      </c>
      <c r="AE2199" s="38">
        <v>40000</v>
      </c>
      <c r="AF2199" s="76">
        <f t="shared" si="215"/>
        <v>177910.85999999964</v>
      </c>
    </row>
    <row r="2200" spans="7:32" ht="8.25" customHeight="1" x14ac:dyDescent="0.25">
      <c r="R2200" s="53">
        <v>37</v>
      </c>
      <c r="T2200" s="33">
        <v>46111</v>
      </c>
      <c r="U2200" s="34">
        <v>2026</v>
      </c>
      <c r="V2200" s="35" t="s">
        <v>1348</v>
      </c>
      <c r="W2200" s="35" t="s">
        <v>5</v>
      </c>
      <c r="X2200" s="37" t="s">
        <v>1894</v>
      </c>
      <c r="Z2200" s="30" t="s">
        <v>16</v>
      </c>
      <c r="AA2200" s="30" t="s">
        <v>167</v>
      </c>
      <c r="AE2200" s="38">
        <v>1957</v>
      </c>
      <c r="AF2200" s="76">
        <f t="shared" si="215"/>
        <v>175953.85999999964</v>
      </c>
    </row>
    <row r="2201" spans="7:32" ht="8.25" customHeight="1" x14ac:dyDescent="0.25">
      <c r="G2201" s="53">
        <v>32</v>
      </c>
      <c r="T2201" s="33">
        <v>46111</v>
      </c>
      <c r="U2201" s="34">
        <v>2026</v>
      </c>
      <c r="V2201" s="35" t="s">
        <v>1348</v>
      </c>
      <c r="W2201" s="35" t="s">
        <v>2655</v>
      </c>
      <c r="Y2201" s="36" t="s">
        <v>1901</v>
      </c>
      <c r="Z2201" s="30" t="s">
        <v>119</v>
      </c>
      <c r="AA2201" s="30" t="s">
        <v>3945</v>
      </c>
      <c r="AE2201" s="38">
        <v>12750</v>
      </c>
      <c r="AF2201" s="76">
        <f t="shared" si="215"/>
        <v>163203.85999999964</v>
      </c>
    </row>
    <row r="2202" spans="7:32" ht="8.25" customHeight="1" x14ac:dyDescent="0.25">
      <c r="G2202" s="53">
        <v>33</v>
      </c>
      <c r="T2202" s="33">
        <v>46111</v>
      </c>
      <c r="U2202" s="34">
        <v>2026</v>
      </c>
      <c r="V2202" s="35" t="s">
        <v>1348</v>
      </c>
      <c r="W2202" s="35" t="s">
        <v>2655</v>
      </c>
      <c r="Y2202" s="36" t="s">
        <v>1902</v>
      </c>
      <c r="Z2202" s="30" t="s">
        <v>843</v>
      </c>
      <c r="AA2202" s="30" t="s">
        <v>3945</v>
      </c>
      <c r="AE2202" s="38">
        <v>21062.43</v>
      </c>
      <c r="AF2202" s="76">
        <f t="shared" si="215"/>
        <v>142141.42999999964</v>
      </c>
    </row>
    <row r="2203" spans="7:32" ht="8.25" customHeight="1" x14ac:dyDescent="0.25">
      <c r="G2203" s="53">
        <v>34</v>
      </c>
      <c r="T2203" s="33">
        <v>46111</v>
      </c>
      <c r="U2203" s="34">
        <v>2026</v>
      </c>
      <c r="V2203" s="35" t="s">
        <v>1348</v>
      </c>
      <c r="W2203" s="35" t="s">
        <v>2655</v>
      </c>
      <c r="Y2203" s="36" t="s">
        <v>1903</v>
      </c>
      <c r="Z2203" s="30" t="s">
        <v>1213</v>
      </c>
      <c r="AA2203" s="30" t="s">
        <v>3945</v>
      </c>
      <c r="AE2203" s="38">
        <v>2502.75</v>
      </c>
      <c r="AF2203" s="76">
        <f t="shared" si="215"/>
        <v>139638.67999999964</v>
      </c>
    </row>
    <row r="2204" spans="7:32" ht="8.25" customHeight="1" x14ac:dyDescent="0.25">
      <c r="G2204" s="53">
        <v>35</v>
      </c>
      <c r="T2204" s="33">
        <v>46111</v>
      </c>
      <c r="U2204" s="34">
        <v>2026</v>
      </c>
      <c r="V2204" s="35" t="s">
        <v>1348</v>
      </c>
      <c r="W2204" s="35" t="s">
        <v>2655</v>
      </c>
      <c r="Y2204" s="36" t="s">
        <v>1904</v>
      </c>
      <c r="Z2204" s="30" t="s">
        <v>993</v>
      </c>
      <c r="AA2204" s="30" t="s">
        <v>3945</v>
      </c>
      <c r="AE2204" s="38">
        <v>3865</v>
      </c>
      <c r="AF2204" s="76">
        <f t="shared" si="215"/>
        <v>135773.67999999964</v>
      </c>
    </row>
    <row r="2205" spans="7:32" ht="8.25" customHeight="1" x14ac:dyDescent="0.25">
      <c r="G2205" s="53">
        <v>36</v>
      </c>
      <c r="T2205" s="33">
        <v>46111</v>
      </c>
      <c r="U2205" s="34">
        <v>2026</v>
      </c>
      <c r="V2205" s="35" t="s">
        <v>1348</v>
      </c>
      <c r="W2205" s="35" t="s">
        <v>2655</v>
      </c>
      <c r="Y2205" s="36" t="s">
        <v>1905</v>
      </c>
      <c r="Z2205" s="30" t="s">
        <v>858</v>
      </c>
      <c r="AA2205" s="30" t="s">
        <v>3945</v>
      </c>
      <c r="AE2205" s="38">
        <v>11505</v>
      </c>
      <c r="AF2205" s="76">
        <f t="shared" si="215"/>
        <v>124268.67999999964</v>
      </c>
    </row>
    <row r="2206" spans="7:32" ht="8.25" customHeight="1" x14ac:dyDescent="0.25">
      <c r="R2206" s="53">
        <v>38</v>
      </c>
      <c r="T2206" s="33">
        <v>46111</v>
      </c>
      <c r="U2206" s="34">
        <v>2026</v>
      </c>
      <c r="V2206" s="35" t="s">
        <v>1348</v>
      </c>
      <c r="W2206" s="35" t="s">
        <v>5</v>
      </c>
      <c r="X2206" s="37" t="s">
        <v>1897</v>
      </c>
      <c r="Y2206" s="36" t="s">
        <v>744</v>
      </c>
      <c r="Z2206" s="30" t="s">
        <v>745</v>
      </c>
      <c r="AA2206" s="30" t="s">
        <v>1050</v>
      </c>
      <c r="AE2206" s="38">
        <v>200</v>
      </c>
      <c r="AF2206" s="76">
        <f t="shared" si="215"/>
        <v>124068.67999999964</v>
      </c>
    </row>
    <row r="2207" spans="7:32" ht="8.25" customHeight="1" x14ac:dyDescent="0.25">
      <c r="R2207" s="53">
        <v>39</v>
      </c>
      <c r="T2207" s="33">
        <v>46111</v>
      </c>
      <c r="U2207" s="34">
        <v>2026</v>
      </c>
      <c r="V2207" s="35" t="s">
        <v>1348</v>
      </c>
      <c r="W2207" s="35" t="s">
        <v>5</v>
      </c>
      <c r="X2207" s="37" t="s">
        <v>1898</v>
      </c>
      <c r="Y2207" s="36" t="s">
        <v>694</v>
      </c>
      <c r="Z2207" s="30" t="s">
        <v>695</v>
      </c>
      <c r="AA2207" s="30" t="s">
        <v>1050</v>
      </c>
      <c r="AE2207" s="38">
        <v>100</v>
      </c>
      <c r="AF2207" s="76">
        <f t="shared" si="215"/>
        <v>123968.67999999964</v>
      </c>
    </row>
    <row r="2208" spans="7:32" ht="8.25" customHeight="1" x14ac:dyDescent="0.25">
      <c r="R2208" s="53">
        <v>40</v>
      </c>
      <c r="T2208" s="33">
        <v>46111</v>
      </c>
      <c r="U2208" s="34">
        <v>2026</v>
      </c>
      <c r="V2208" s="35" t="s">
        <v>1348</v>
      </c>
      <c r="W2208" s="35" t="s">
        <v>5</v>
      </c>
      <c r="X2208" s="37" t="s">
        <v>1899</v>
      </c>
      <c r="Y2208" s="36" t="s">
        <v>1906</v>
      </c>
      <c r="Z2208" s="30" t="s">
        <v>1895</v>
      </c>
      <c r="AA2208" s="30" t="s">
        <v>1050</v>
      </c>
      <c r="AE2208" s="38">
        <v>250</v>
      </c>
      <c r="AF2208" s="76">
        <f t="shared" si="215"/>
        <v>123718.67999999964</v>
      </c>
    </row>
    <row r="2209" spans="18:32" ht="8.25" customHeight="1" x14ac:dyDescent="0.25">
      <c r="R2209" s="53">
        <v>41</v>
      </c>
      <c r="T2209" s="33">
        <v>46111</v>
      </c>
      <c r="U2209" s="34">
        <v>2026</v>
      </c>
      <c r="V2209" s="35" t="s">
        <v>1348</v>
      </c>
      <c r="W2209" s="35" t="s">
        <v>5</v>
      </c>
      <c r="X2209" s="37" t="s">
        <v>1900</v>
      </c>
      <c r="Y2209" s="36" t="s">
        <v>629</v>
      </c>
      <c r="Z2209" s="30" t="s">
        <v>1896</v>
      </c>
      <c r="AA2209" s="30" t="s">
        <v>1050</v>
      </c>
      <c r="AE2209" s="38">
        <v>500</v>
      </c>
      <c r="AF2209" s="76">
        <f t="shared" si="215"/>
        <v>123218.67999999964</v>
      </c>
    </row>
    <row r="2210" spans="18:32" ht="8.25" customHeight="1" thickBot="1" x14ac:dyDescent="0.3">
      <c r="AA2210" s="75" t="s">
        <v>257</v>
      </c>
      <c r="AB2210" s="75"/>
      <c r="AC2210" s="228"/>
      <c r="AD2210" s="233">
        <f>SUM(AD2192:AD2198)</f>
        <v>56250</v>
      </c>
      <c r="AE2210" s="233">
        <f>SUM(AE2199:AE2209)</f>
        <v>94692.18</v>
      </c>
      <c r="AF2210" s="233">
        <f>AF2191+AD2210-AE2210</f>
        <v>123218.67999999964</v>
      </c>
    </row>
    <row r="2211" spans="18:32" ht="8.25" customHeight="1" thickTop="1" x14ac:dyDescent="0.25"/>
    <row r="2212" spans="18:32" ht="8.25" customHeight="1" x14ac:dyDescent="0.25">
      <c r="X2212" s="109"/>
      <c r="Y2212" s="67" t="s">
        <v>214</v>
      </c>
      <c r="Z2212" s="68"/>
      <c r="AA2212" s="75"/>
    </row>
    <row r="2213" spans="18:32" ht="8.25" customHeight="1" x14ac:dyDescent="0.25">
      <c r="X2213" s="110" t="s">
        <v>1777</v>
      </c>
      <c r="Y2213" s="111">
        <v>200</v>
      </c>
      <c r="Z2213" s="111">
        <f t="shared" ref="Z2213:Z2218" si="216">X2213*Y2213</f>
        <v>33000</v>
      </c>
      <c r="AA2213" s="112"/>
    </row>
    <row r="2214" spans="18:32" ht="8.25" customHeight="1" x14ac:dyDescent="0.25">
      <c r="X2214" s="110" t="s">
        <v>1954</v>
      </c>
      <c r="Y2214" s="111">
        <v>100</v>
      </c>
      <c r="Z2214" s="111">
        <f t="shared" si="216"/>
        <v>85400</v>
      </c>
      <c r="AA2214" s="112"/>
    </row>
    <row r="2215" spans="18:32" ht="8.25" customHeight="1" x14ac:dyDescent="0.25">
      <c r="X2215" s="110" t="s">
        <v>120</v>
      </c>
      <c r="Y2215" s="111">
        <v>50</v>
      </c>
      <c r="Z2215" s="111">
        <f t="shared" si="216"/>
        <v>0</v>
      </c>
      <c r="AA2215" s="76"/>
    </row>
    <row r="2216" spans="18:32" ht="8.25" customHeight="1" x14ac:dyDescent="0.25">
      <c r="X2216" s="110" t="s">
        <v>222</v>
      </c>
      <c r="Y2216" s="111">
        <v>20</v>
      </c>
      <c r="Z2216" s="111">
        <f t="shared" si="216"/>
        <v>20</v>
      </c>
      <c r="AA2216" s="38"/>
    </row>
    <row r="2217" spans="18:32" ht="8.25" customHeight="1" x14ac:dyDescent="0.25">
      <c r="X2217" s="110" t="s">
        <v>1953</v>
      </c>
      <c r="Y2217" s="111">
        <v>10</v>
      </c>
      <c r="Z2217" s="111">
        <f t="shared" si="216"/>
        <v>1910</v>
      </c>
      <c r="AA2217" s="112"/>
    </row>
    <row r="2218" spans="18:32" ht="8.25" customHeight="1" x14ac:dyDescent="0.25">
      <c r="X2218" s="110" t="s">
        <v>1955</v>
      </c>
      <c r="Y2218" s="111">
        <v>5</v>
      </c>
      <c r="Z2218" s="111">
        <f t="shared" si="216"/>
        <v>1700</v>
      </c>
      <c r="AA2218" s="112"/>
    </row>
    <row r="2219" spans="18:32" ht="8.25" customHeight="1" x14ac:dyDescent="0.25">
      <c r="X2219" s="269"/>
      <c r="Y2219" s="270"/>
      <c r="Z2219" s="271"/>
      <c r="AA2219" s="38"/>
    </row>
    <row r="2220" spans="18:32" ht="8.25" customHeight="1" x14ac:dyDescent="0.25">
      <c r="X2220" s="110" t="s">
        <v>1915</v>
      </c>
      <c r="Y2220" s="111">
        <v>1</v>
      </c>
      <c r="Z2220" s="111">
        <f t="shared" ref="Z2220:Z2225" si="217">X2220*Y2220</f>
        <v>1103</v>
      </c>
      <c r="AA2220" s="76"/>
    </row>
    <row r="2221" spans="18:32" ht="8.25" customHeight="1" x14ac:dyDescent="0.25">
      <c r="X2221" s="110" t="s">
        <v>1496</v>
      </c>
      <c r="Y2221" s="111">
        <v>0.5</v>
      </c>
      <c r="Z2221" s="111">
        <f t="shared" si="217"/>
        <v>40.5</v>
      </c>
      <c r="AA2221" s="112"/>
    </row>
    <row r="2222" spans="18:32" ht="8.25" customHeight="1" x14ac:dyDescent="0.25">
      <c r="X2222" s="110" t="s">
        <v>1878</v>
      </c>
      <c r="Y2222" s="111">
        <v>0.25</v>
      </c>
      <c r="Z2222" s="111">
        <f t="shared" si="217"/>
        <v>45</v>
      </c>
      <c r="AA2222" s="113"/>
    </row>
    <row r="2223" spans="18:32" ht="8.25" customHeight="1" x14ac:dyDescent="0.25">
      <c r="X2223" s="110" t="s">
        <v>222</v>
      </c>
      <c r="Y2223" s="111">
        <v>0.1</v>
      </c>
      <c r="Z2223" s="111">
        <f t="shared" si="217"/>
        <v>0.1</v>
      </c>
      <c r="AA2223" s="114" t="s">
        <v>219</v>
      </c>
    </row>
    <row r="2224" spans="18:32" ht="8.25" customHeight="1" thickBot="1" x14ac:dyDescent="0.3">
      <c r="X2224" s="110" t="s">
        <v>222</v>
      </c>
      <c r="Y2224" s="111">
        <v>0.05</v>
      </c>
      <c r="Z2224" s="111">
        <f t="shared" si="217"/>
        <v>0.05</v>
      </c>
      <c r="AA2224" s="115">
        <f>SUM(Z2213:Z2218)+Z2220+Z2221+Z2222+Z2223+Z2224+Z2225</f>
        <v>123218.68000000001</v>
      </c>
    </row>
    <row r="2225" spans="9:32" ht="8.25" customHeight="1" thickTop="1" x14ac:dyDescent="0.25">
      <c r="X2225" s="110" t="s">
        <v>223</v>
      </c>
      <c r="Y2225" s="111">
        <v>0.01</v>
      </c>
      <c r="Z2225" s="111">
        <f t="shared" si="217"/>
        <v>0.03</v>
      </c>
    </row>
    <row r="2227" spans="9:32" ht="8.25" customHeight="1" x14ac:dyDescent="0.25">
      <c r="Z2227" s="231" t="s">
        <v>1376</v>
      </c>
      <c r="AF2227" s="76">
        <f>AF2210</f>
        <v>123218.67999999964</v>
      </c>
    </row>
    <row r="2228" spans="9:32" ht="8.25" customHeight="1" x14ac:dyDescent="0.25">
      <c r="N2228" s="52">
        <v>83</v>
      </c>
      <c r="T2228" s="33">
        <v>46112</v>
      </c>
      <c r="U2228" s="34">
        <v>2026</v>
      </c>
      <c r="V2228" s="35" t="s">
        <v>1348</v>
      </c>
      <c r="W2228" s="35" t="s">
        <v>17</v>
      </c>
      <c r="X2228" s="37" t="s">
        <v>1916</v>
      </c>
      <c r="Y2228" s="125" t="s">
        <v>1549</v>
      </c>
      <c r="Z2228" s="30" t="s">
        <v>1550</v>
      </c>
      <c r="AA2228" s="30" t="s">
        <v>3899</v>
      </c>
      <c r="AC2228" s="126"/>
      <c r="AD2228" s="38">
        <v>9611.5300000000007</v>
      </c>
      <c r="AF2228" s="76">
        <f>AF2227+AD2228-AE2228</f>
        <v>132830.20999999964</v>
      </c>
    </row>
    <row r="2229" spans="9:32" ht="8.25" customHeight="1" x14ac:dyDescent="0.15">
      <c r="N2229" s="52">
        <v>83</v>
      </c>
      <c r="T2229" s="33">
        <v>46112</v>
      </c>
      <c r="U2229" s="34">
        <v>2026</v>
      </c>
      <c r="V2229" s="35" t="s">
        <v>1348</v>
      </c>
      <c r="W2229" s="35" t="s">
        <v>17</v>
      </c>
      <c r="X2229" s="37" t="s">
        <v>1916</v>
      </c>
      <c r="Y2229" s="125" t="s">
        <v>1549</v>
      </c>
      <c r="Z2229" s="30" t="s">
        <v>1550</v>
      </c>
      <c r="AA2229" s="134" t="s">
        <v>166</v>
      </c>
      <c r="AC2229" s="126"/>
      <c r="AD2229" s="38">
        <v>4388.47</v>
      </c>
      <c r="AF2229" s="76">
        <f t="shared" ref="AF2229:AF2252" si="218">AF2228+AD2229-AE2229</f>
        <v>137218.67999999964</v>
      </c>
    </row>
    <row r="2230" spans="9:32" ht="8.25" customHeight="1" x14ac:dyDescent="0.25">
      <c r="N2230" s="52">
        <v>84</v>
      </c>
      <c r="T2230" s="33">
        <v>46112</v>
      </c>
      <c r="U2230" s="34">
        <v>2026</v>
      </c>
      <c r="V2230" s="35" t="s">
        <v>1348</v>
      </c>
      <c r="W2230" s="35" t="s">
        <v>17</v>
      </c>
      <c r="X2230" s="37" t="s">
        <v>1917</v>
      </c>
      <c r="Y2230" s="125" t="s">
        <v>1546</v>
      </c>
      <c r="Z2230" s="30" t="s">
        <v>1547</v>
      </c>
      <c r="AA2230" s="30" t="s">
        <v>3899</v>
      </c>
      <c r="AC2230" s="126"/>
      <c r="AD2230" s="38">
        <v>9611.5300000000007</v>
      </c>
      <c r="AF2230" s="76">
        <f t="shared" si="218"/>
        <v>146830.20999999964</v>
      </c>
    </row>
    <row r="2231" spans="9:32" ht="8.25" customHeight="1" x14ac:dyDescent="0.15">
      <c r="N2231" s="52">
        <v>84</v>
      </c>
      <c r="T2231" s="33">
        <v>46112</v>
      </c>
      <c r="U2231" s="34">
        <v>2026</v>
      </c>
      <c r="V2231" s="35" t="s">
        <v>1348</v>
      </c>
      <c r="W2231" s="35" t="s">
        <v>17</v>
      </c>
      <c r="X2231" s="37" t="s">
        <v>1917</v>
      </c>
      <c r="Y2231" s="125" t="s">
        <v>1546</v>
      </c>
      <c r="Z2231" s="30" t="s">
        <v>1547</v>
      </c>
      <c r="AA2231" s="134" t="s">
        <v>166</v>
      </c>
      <c r="AC2231" s="126"/>
      <c r="AD2231" s="38">
        <v>4388.47</v>
      </c>
      <c r="AF2231" s="76">
        <f t="shared" si="218"/>
        <v>151218.67999999964</v>
      </c>
    </row>
    <row r="2232" spans="9:32" ht="8.25" customHeight="1" x14ac:dyDescent="0.15">
      <c r="K2232" s="52">
        <v>13</v>
      </c>
      <c r="T2232" s="33">
        <v>46112</v>
      </c>
      <c r="U2232" s="34">
        <v>2026</v>
      </c>
      <c r="V2232" s="35" t="s">
        <v>1348</v>
      </c>
      <c r="W2232" s="35" t="s">
        <v>17</v>
      </c>
      <c r="X2232" s="37" t="s">
        <v>1918</v>
      </c>
      <c r="Y2232" s="125" t="s">
        <v>1919</v>
      </c>
      <c r="Z2232" s="30" t="s">
        <v>1920</v>
      </c>
      <c r="AA2232" s="136" t="s">
        <v>1788</v>
      </c>
      <c r="AC2232" s="126"/>
      <c r="AD2232" s="38">
        <v>100</v>
      </c>
      <c r="AF2232" s="76">
        <f t="shared" si="218"/>
        <v>151318.67999999964</v>
      </c>
    </row>
    <row r="2233" spans="9:32" ht="8.25" customHeight="1" x14ac:dyDescent="0.25">
      <c r="L2233" s="52">
        <v>13</v>
      </c>
      <c r="T2233" s="33">
        <v>46112</v>
      </c>
      <c r="U2233" s="34">
        <v>2026</v>
      </c>
      <c r="V2233" s="35" t="s">
        <v>1348</v>
      </c>
      <c r="W2233" s="35" t="s">
        <v>17</v>
      </c>
      <c r="X2233" s="37" t="s">
        <v>1921</v>
      </c>
      <c r="Y2233" s="125" t="s">
        <v>120</v>
      </c>
      <c r="Z2233" s="30" t="s">
        <v>1920</v>
      </c>
      <c r="AA2233" s="30" t="s">
        <v>1054</v>
      </c>
      <c r="AC2233" s="126"/>
      <c r="AD2233" s="38">
        <v>50</v>
      </c>
      <c r="AF2233" s="76">
        <f t="shared" si="218"/>
        <v>151368.67999999964</v>
      </c>
    </row>
    <row r="2234" spans="9:32" ht="8.25" customHeight="1" x14ac:dyDescent="0.25">
      <c r="I2234" s="52">
        <v>40</v>
      </c>
      <c r="T2234" s="33">
        <v>46112</v>
      </c>
      <c r="U2234" s="34">
        <v>2026</v>
      </c>
      <c r="V2234" s="35" t="s">
        <v>1348</v>
      </c>
      <c r="W2234" s="35" t="s">
        <v>17</v>
      </c>
      <c r="X2234" s="37" t="s">
        <v>1922</v>
      </c>
      <c r="Y2234" s="125" t="s">
        <v>491</v>
      </c>
      <c r="Z2234" s="30" t="s">
        <v>1694</v>
      </c>
      <c r="AA2234" s="30" t="s">
        <v>1044</v>
      </c>
      <c r="AC2234" s="126"/>
      <c r="AD2234" s="38">
        <v>200</v>
      </c>
      <c r="AF2234" s="76">
        <f t="shared" si="218"/>
        <v>151568.67999999964</v>
      </c>
    </row>
    <row r="2235" spans="9:32" ht="8.25" customHeight="1" x14ac:dyDescent="0.25">
      <c r="N2235" s="52">
        <v>85</v>
      </c>
      <c r="T2235" s="33">
        <v>46112</v>
      </c>
      <c r="U2235" s="34">
        <v>2026</v>
      </c>
      <c r="V2235" s="35" t="s">
        <v>1348</v>
      </c>
      <c r="W2235" s="35" t="s">
        <v>17</v>
      </c>
      <c r="X2235" s="37" t="s">
        <v>1923</v>
      </c>
      <c r="Y2235" s="125" t="s">
        <v>1424</v>
      </c>
      <c r="Z2235" s="30" t="s">
        <v>1047</v>
      </c>
      <c r="AA2235" s="30" t="s">
        <v>3899</v>
      </c>
      <c r="AC2235" s="126"/>
      <c r="AD2235" s="38">
        <v>1345.83</v>
      </c>
      <c r="AF2235" s="76">
        <f t="shared" si="218"/>
        <v>152914.50999999963</v>
      </c>
    </row>
    <row r="2236" spans="9:32" ht="8.25" customHeight="1" x14ac:dyDescent="0.15">
      <c r="N2236" s="52">
        <v>85</v>
      </c>
      <c r="T2236" s="33">
        <v>46112</v>
      </c>
      <c r="U2236" s="34">
        <v>2026</v>
      </c>
      <c r="V2236" s="35" t="s">
        <v>1348</v>
      </c>
      <c r="W2236" s="35" t="s">
        <v>17</v>
      </c>
      <c r="X2236" s="37" t="s">
        <v>1923</v>
      </c>
      <c r="Y2236" s="125" t="s">
        <v>1424</v>
      </c>
      <c r="Z2236" s="30" t="s">
        <v>1047</v>
      </c>
      <c r="AA2236" s="134" t="s">
        <v>166</v>
      </c>
      <c r="AC2236" s="126"/>
      <c r="AD2236" s="38">
        <v>654.16999999999996</v>
      </c>
      <c r="AF2236" s="76">
        <f t="shared" si="218"/>
        <v>153568.67999999964</v>
      </c>
    </row>
    <row r="2237" spans="9:32" ht="8.25" customHeight="1" x14ac:dyDescent="0.25">
      <c r="I2237" s="52">
        <v>41</v>
      </c>
      <c r="T2237" s="33">
        <v>46112</v>
      </c>
      <c r="U2237" s="34">
        <v>2026</v>
      </c>
      <c r="V2237" s="35" t="s">
        <v>1348</v>
      </c>
      <c r="W2237" s="35" t="s">
        <v>17</v>
      </c>
      <c r="X2237" s="37" t="s">
        <v>1924</v>
      </c>
      <c r="Y2237" s="125" t="s">
        <v>1435</v>
      </c>
      <c r="Z2237" s="30" t="s">
        <v>1669</v>
      </c>
      <c r="AA2237" s="30" t="s">
        <v>1044</v>
      </c>
      <c r="AC2237" s="126"/>
      <c r="AD2237" s="38">
        <v>2500</v>
      </c>
      <c r="AF2237" s="76">
        <f t="shared" si="218"/>
        <v>156068.67999999964</v>
      </c>
    </row>
    <row r="2238" spans="9:32" ht="8.25" customHeight="1" x14ac:dyDescent="0.25">
      <c r="N2238" s="52">
        <v>86</v>
      </c>
      <c r="T2238" s="33">
        <v>46112</v>
      </c>
      <c r="U2238" s="34">
        <v>2026</v>
      </c>
      <c r="V2238" s="35" t="s">
        <v>1348</v>
      </c>
      <c r="W2238" s="35" t="s">
        <v>17</v>
      </c>
      <c r="X2238" s="37" t="s">
        <v>1925</v>
      </c>
      <c r="Y2238" s="125" t="s">
        <v>1387</v>
      </c>
      <c r="Z2238" s="30" t="s">
        <v>1060</v>
      </c>
      <c r="AA2238" s="30" t="s">
        <v>3708</v>
      </c>
      <c r="AC2238" s="126"/>
      <c r="AD2238" s="38">
        <v>2600.02</v>
      </c>
      <c r="AF2238" s="76">
        <f t="shared" si="218"/>
        <v>158668.69999999963</v>
      </c>
    </row>
    <row r="2239" spans="9:32" ht="8.25" customHeight="1" x14ac:dyDescent="0.25">
      <c r="N2239" s="52">
        <v>86</v>
      </c>
      <c r="T2239" s="33">
        <v>46112</v>
      </c>
      <c r="U2239" s="34">
        <v>2026</v>
      </c>
      <c r="V2239" s="35" t="s">
        <v>1348</v>
      </c>
      <c r="W2239" s="35" t="s">
        <v>17</v>
      </c>
      <c r="X2239" s="37" t="s">
        <v>1925</v>
      </c>
      <c r="Y2239" s="125" t="s">
        <v>1387</v>
      </c>
      <c r="Z2239" s="30" t="s">
        <v>1060</v>
      </c>
      <c r="AA2239" s="30" t="s">
        <v>1748</v>
      </c>
      <c r="AC2239" s="126"/>
      <c r="AD2239" s="38">
        <v>499.98</v>
      </c>
      <c r="AF2239" s="76">
        <f t="shared" si="218"/>
        <v>159168.67999999964</v>
      </c>
    </row>
    <row r="2240" spans="9:32" ht="8.25" customHeight="1" x14ac:dyDescent="0.25">
      <c r="T2240" s="33">
        <v>46112</v>
      </c>
      <c r="U2240" s="34">
        <v>2026</v>
      </c>
      <c r="V2240" s="35" t="s">
        <v>1348</v>
      </c>
      <c r="W2240" s="35" t="s">
        <v>5</v>
      </c>
      <c r="X2240" s="37" t="s">
        <v>1926</v>
      </c>
      <c r="Y2240" s="125" t="s">
        <v>411</v>
      </c>
      <c r="Z2240" s="30" t="s">
        <v>1495</v>
      </c>
      <c r="AA2240" s="30" t="s">
        <v>1882</v>
      </c>
      <c r="AC2240" s="126"/>
      <c r="AE2240" s="38">
        <v>2500</v>
      </c>
      <c r="AF2240" s="76">
        <f t="shared" si="218"/>
        <v>156668.67999999964</v>
      </c>
    </row>
    <row r="2241" spans="6:33" ht="8.25" customHeight="1" x14ac:dyDescent="0.25">
      <c r="R2241" s="53">
        <v>42</v>
      </c>
      <c r="T2241" s="33">
        <v>46112</v>
      </c>
      <c r="U2241" s="34">
        <v>2026</v>
      </c>
      <c r="V2241" s="35" t="s">
        <v>1348</v>
      </c>
      <c r="W2241" s="35" t="s">
        <v>5</v>
      </c>
      <c r="X2241" s="37" t="s">
        <v>1927</v>
      </c>
      <c r="Y2241" s="125" t="s">
        <v>1928</v>
      </c>
      <c r="Z2241" s="30" t="s">
        <v>1929</v>
      </c>
      <c r="AA2241" s="30" t="s">
        <v>1050</v>
      </c>
      <c r="AC2241" s="126"/>
      <c r="AE2241" s="38">
        <v>41</v>
      </c>
      <c r="AF2241" s="76">
        <f t="shared" si="218"/>
        <v>156627.67999999964</v>
      </c>
    </row>
    <row r="2242" spans="6:33" ht="8.25" customHeight="1" x14ac:dyDescent="0.25">
      <c r="R2242" s="53">
        <v>43</v>
      </c>
      <c r="T2242" s="33">
        <v>46112</v>
      </c>
      <c r="U2242" s="34">
        <v>2026</v>
      </c>
      <c r="V2242" s="35" t="s">
        <v>1348</v>
      </c>
      <c r="W2242" s="35" t="s">
        <v>5</v>
      </c>
      <c r="X2242" s="37" t="s">
        <v>1930</v>
      </c>
      <c r="Y2242" s="125" t="s">
        <v>364</v>
      </c>
      <c r="Z2242" s="30" t="s">
        <v>1438</v>
      </c>
      <c r="AA2242" s="30" t="s">
        <v>1050</v>
      </c>
      <c r="AC2242" s="126"/>
      <c r="AE2242" s="38">
        <v>500</v>
      </c>
      <c r="AF2242" s="76">
        <f t="shared" si="218"/>
        <v>156127.67999999964</v>
      </c>
    </row>
    <row r="2243" spans="6:33" ht="8.25" customHeight="1" x14ac:dyDescent="0.25">
      <c r="R2243" s="53">
        <v>44</v>
      </c>
      <c r="T2243" s="33">
        <v>46112</v>
      </c>
      <c r="U2243" s="34">
        <v>2026</v>
      </c>
      <c r="V2243" s="35" t="s">
        <v>1348</v>
      </c>
      <c r="W2243" s="35" t="s">
        <v>5</v>
      </c>
      <c r="X2243" s="37" t="s">
        <v>1931</v>
      </c>
      <c r="Y2243" s="125"/>
      <c r="Z2243" s="30" t="s">
        <v>1932</v>
      </c>
      <c r="AA2243" s="30" t="s">
        <v>1933</v>
      </c>
      <c r="AC2243" s="126"/>
      <c r="AE2243" s="38">
        <v>2500</v>
      </c>
      <c r="AF2243" s="76">
        <f t="shared" si="218"/>
        <v>153627.67999999964</v>
      </c>
    </row>
    <row r="2244" spans="6:33" ht="8.25" customHeight="1" x14ac:dyDescent="0.25">
      <c r="T2244" s="33">
        <v>46112</v>
      </c>
      <c r="U2244" s="34">
        <v>2026</v>
      </c>
      <c r="V2244" s="35" t="s">
        <v>1348</v>
      </c>
      <c r="W2244" s="35" t="s">
        <v>5</v>
      </c>
      <c r="X2244" s="37" t="s">
        <v>1934</v>
      </c>
      <c r="Y2244" s="125"/>
      <c r="Z2244" s="30" t="s">
        <v>1293</v>
      </c>
      <c r="AC2244" s="126"/>
      <c r="AF2244" s="76">
        <f t="shared" si="218"/>
        <v>153627.67999999964</v>
      </c>
    </row>
    <row r="2245" spans="6:33" ht="8.25" customHeight="1" x14ac:dyDescent="0.25">
      <c r="R2245" s="53">
        <v>45</v>
      </c>
      <c r="T2245" s="33">
        <v>46112</v>
      </c>
      <c r="U2245" s="34">
        <v>2026</v>
      </c>
      <c r="V2245" s="35" t="s">
        <v>1348</v>
      </c>
      <c r="W2245" s="35" t="s">
        <v>5</v>
      </c>
      <c r="X2245" s="37" t="s">
        <v>1935</v>
      </c>
      <c r="Y2245" s="125"/>
      <c r="Z2245" s="30" t="s">
        <v>1936</v>
      </c>
      <c r="AA2245" s="30" t="s">
        <v>1937</v>
      </c>
      <c r="AC2245" s="126"/>
      <c r="AE2245" s="38">
        <v>4000</v>
      </c>
      <c r="AF2245" s="76">
        <f t="shared" si="218"/>
        <v>149627.67999999964</v>
      </c>
    </row>
    <row r="2246" spans="6:33" ht="8.25" customHeight="1" x14ac:dyDescent="0.25">
      <c r="R2246" s="53">
        <v>46</v>
      </c>
      <c r="T2246" s="33">
        <v>46112</v>
      </c>
      <c r="U2246" s="34">
        <v>2026</v>
      </c>
      <c r="V2246" s="35" t="s">
        <v>1348</v>
      </c>
      <c r="W2246" s="35" t="s">
        <v>5</v>
      </c>
      <c r="X2246" s="37" t="s">
        <v>1938</v>
      </c>
      <c r="Y2246" s="125"/>
      <c r="Z2246" s="30" t="s">
        <v>1939</v>
      </c>
      <c r="AA2246" s="30" t="s">
        <v>1940</v>
      </c>
      <c r="AC2246" s="126"/>
      <c r="AE2246" s="38">
        <v>1290</v>
      </c>
      <c r="AF2246" s="76">
        <f t="shared" si="218"/>
        <v>148337.67999999964</v>
      </c>
    </row>
    <row r="2247" spans="6:33" ht="8.25" customHeight="1" x14ac:dyDescent="0.25">
      <c r="R2247" s="53">
        <v>47</v>
      </c>
      <c r="T2247" s="33">
        <v>46112</v>
      </c>
      <c r="U2247" s="34">
        <v>2026</v>
      </c>
      <c r="V2247" s="35" t="s">
        <v>1348</v>
      </c>
      <c r="W2247" s="35" t="s">
        <v>5</v>
      </c>
      <c r="X2247" s="37" t="s">
        <v>1941</v>
      </c>
      <c r="Y2247" s="125"/>
      <c r="Z2247" s="30" t="s">
        <v>1942</v>
      </c>
      <c r="AA2247" s="30" t="s">
        <v>1943</v>
      </c>
      <c r="AC2247" s="126"/>
      <c r="AE2247" s="38">
        <v>4000</v>
      </c>
      <c r="AF2247" s="76">
        <f t="shared" si="218"/>
        <v>144337.67999999964</v>
      </c>
    </row>
    <row r="2248" spans="6:33" ht="8.25" customHeight="1" x14ac:dyDescent="0.25">
      <c r="R2248" s="53">
        <v>48</v>
      </c>
      <c r="T2248" s="33">
        <v>46112</v>
      </c>
      <c r="U2248" s="34">
        <v>2026</v>
      </c>
      <c r="V2248" s="35" t="s">
        <v>1348</v>
      </c>
      <c r="W2248" s="35" t="s">
        <v>5</v>
      </c>
      <c r="X2248" s="37" t="s">
        <v>1944</v>
      </c>
      <c r="Y2248" s="125"/>
      <c r="Z2248" s="30" t="s">
        <v>1939</v>
      </c>
      <c r="AA2248" s="30" t="s">
        <v>1945</v>
      </c>
      <c r="AC2248" s="126"/>
      <c r="AE2248" s="38">
        <v>1480</v>
      </c>
      <c r="AF2248" s="76">
        <f t="shared" si="218"/>
        <v>142857.67999999964</v>
      </c>
    </row>
    <row r="2249" spans="6:33" ht="8.25" customHeight="1" x14ac:dyDescent="0.25">
      <c r="G2249" s="53">
        <v>37</v>
      </c>
      <c r="T2249" s="33">
        <v>46112</v>
      </c>
      <c r="U2249" s="34">
        <v>2026</v>
      </c>
      <c r="V2249" s="35" t="s">
        <v>1348</v>
      </c>
      <c r="W2249" s="35" t="s">
        <v>2655</v>
      </c>
      <c r="Y2249" s="125" t="s">
        <v>1946</v>
      </c>
      <c r="Z2249" s="30" t="s">
        <v>1947</v>
      </c>
      <c r="AA2249" s="30" t="s">
        <v>3945</v>
      </c>
      <c r="AC2249" s="126"/>
      <c r="AE2249" s="38">
        <v>226.57</v>
      </c>
      <c r="AF2249" s="76">
        <f t="shared" si="218"/>
        <v>142631.10999999964</v>
      </c>
    </row>
    <row r="2250" spans="6:33" ht="8.25" customHeight="1" x14ac:dyDescent="0.25">
      <c r="G2250" s="53">
        <v>38</v>
      </c>
      <c r="T2250" s="33">
        <v>46112</v>
      </c>
      <c r="U2250" s="34">
        <v>2026</v>
      </c>
      <c r="V2250" s="35" t="s">
        <v>1348</v>
      </c>
      <c r="W2250" s="35" t="s">
        <v>2655</v>
      </c>
      <c r="Y2250" s="125" t="s">
        <v>1948</v>
      </c>
      <c r="Z2250" s="30" t="s">
        <v>1949</v>
      </c>
      <c r="AA2250" s="30" t="s">
        <v>3945</v>
      </c>
      <c r="AC2250" s="126"/>
      <c r="AE2250" s="38">
        <v>1301.99</v>
      </c>
      <c r="AF2250" s="76">
        <f t="shared" si="218"/>
        <v>141329.11999999965</v>
      </c>
    </row>
    <row r="2251" spans="6:33" ht="8.25" customHeight="1" x14ac:dyDescent="0.25">
      <c r="F2251" s="53">
        <v>5</v>
      </c>
      <c r="T2251" s="33">
        <v>46112</v>
      </c>
      <c r="U2251" s="34">
        <v>2026</v>
      </c>
      <c r="V2251" s="35" t="s">
        <v>1348</v>
      </c>
      <c r="W2251" s="35" t="s">
        <v>2655</v>
      </c>
      <c r="Y2251" s="125" t="s">
        <v>1950</v>
      </c>
      <c r="Z2251" s="30" t="s">
        <v>1951</v>
      </c>
      <c r="AA2251" s="30" t="s">
        <v>3939</v>
      </c>
      <c r="AC2251" s="126"/>
      <c r="AE2251" s="38">
        <v>2000</v>
      </c>
      <c r="AF2251" s="76">
        <f t="shared" si="218"/>
        <v>139329.11999999965</v>
      </c>
    </row>
    <row r="2252" spans="6:33" ht="8.25" customHeight="1" x14ac:dyDescent="0.25">
      <c r="F2252" s="53">
        <v>6</v>
      </c>
      <c r="T2252" s="33">
        <v>46112</v>
      </c>
      <c r="U2252" s="34">
        <v>2026</v>
      </c>
      <c r="V2252" s="35" t="s">
        <v>1348</v>
      </c>
      <c r="W2252" s="35" t="s">
        <v>2655</v>
      </c>
      <c r="Y2252" s="125" t="s">
        <v>1952</v>
      </c>
      <c r="Z2252" s="30" t="s">
        <v>1951</v>
      </c>
      <c r="AA2252" s="30" t="s">
        <v>3939</v>
      </c>
      <c r="AC2252" s="126"/>
      <c r="AE2252" s="38">
        <v>2000</v>
      </c>
      <c r="AF2252" s="76">
        <f t="shared" si="218"/>
        <v>137329.11999999965</v>
      </c>
    </row>
    <row r="2253" spans="6:33" ht="8.25" customHeight="1" thickBot="1" x14ac:dyDescent="0.3">
      <c r="AA2253" s="75" t="s">
        <v>257</v>
      </c>
      <c r="AD2253" s="233">
        <f>SUM(AD2228:AD2252)</f>
        <v>35950</v>
      </c>
      <c r="AE2253" s="233">
        <f>SUM(AE2228:AE2252)</f>
        <v>21839.56</v>
      </c>
      <c r="AF2253" s="233">
        <f>AF2227+AD2253-AE2253</f>
        <v>137329.11999999965</v>
      </c>
    </row>
    <row r="2254" spans="6:33" ht="8.25" customHeight="1" thickTop="1" x14ac:dyDescent="0.25">
      <c r="AA2254" s="75" t="s">
        <v>1341</v>
      </c>
      <c r="AD2254" s="76">
        <f>AD1417+AD1443+AD1469+AD1505+AD1531+AD1554+AD1599+AD1629+AD1687+AD1743+AD1762+AD1793+AD1824+AD1865+AD1890+AD1925+AD1946+AD1980+AD2038+AD2064+AD2091+AD2147+AD2174+AD2210+AD2253</f>
        <v>1639568.2299999997</v>
      </c>
      <c r="AE2254" s="76">
        <f>AE1417+AE1443+AE1469+AE1505+AE1531+AE1554+AE1599+AE1629+AE1687+AE1743+AE1762+AE1793+AE1824+AE1865+AE1925+AE1946+AE1980+AE2038+AE2064+AE2091+AE2147+AE2174+AE2210+AE2253</f>
        <v>1636523.3900000001</v>
      </c>
      <c r="AF2254" s="76">
        <f>AF1379+AD2254-AE2254</f>
        <v>137329.11999999941</v>
      </c>
      <c r="AG2254" s="30">
        <v>0</v>
      </c>
    </row>
    <row r="2255" spans="6:33" ht="8.25" customHeight="1" x14ac:dyDescent="0.25">
      <c r="X2255" s="109"/>
      <c r="Y2255" s="67" t="s">
        <v>214</v>
      </c>
      <c r="Z2255" s="68"/>
      <c r="AA2255" s="75"/>
    </row>
    <row r="2256" spans="6:33" ht="8.25" customHeight="1" x14ac:dyDescent="0.25">
      <c r="X2256" s="110" t="s">
        <v>671</v>
      </c>
      <c r="Y2256" s="111">
        <v>200</v>
      </c>
      <c r="Z2256" s="111">
        <f t="shared" ref="Z2256:Z2261" si="219">X2256*Y2256</f>
        <v>59000</v>
      </c>
      <c r="AA2256" s="112"/>
    </row>
    <row r="2257" spans="14:32" ht="8.25" customHeight="1" x14ac:dyDescent="0.25">
      <c r="X2257" s="110" t="s">
        <v>1980</v>
      </c>
      <c r="Y2257" s="111">
        <v>100</v>
      </c>
      <c r="Z2257" s="111">
        <f t="shared" si="219"/>
        <v>74000</v>
      </c>
      <c r="AA2257" s="112"/>
    </row>
    <row r="2258" spans="14:32" ht="8.25" customHeight="1" x14ac:dyDescent="0.25">
      <c r="X2258" s="110"/>
      <c r="Y2258" s="111">
        <v>50</v>
      </c>
      <c r="Z2258" s="111">
        <f t="shared" si="219"/>
        <v>0</v>
      </c>
      <c r="AA2258" s="76"/>
    </row>
    <row r="2259" spans="14:32" ht="8.25" customHeight="1" x14ac:dyDescent="0.25">
      <c r="X2259" s="110" t="s">
        <v>222</v>
      </c>
      <c r="Y2259" s="111">
        <v>20</v>
      </c>
      <c r="Z2259" s="111">
        <f t="shared" si="219"/>
        <v>20</v>
      </c>
      <c r="AA2259" s="38"/>
      <c r="AD2259" s="251"/>
    </row>
    <row r="2260" spans="14:32" ht="8.25" customHeight="1" x14ac:dyDescent="0.25">
      <c r="X2260" s="110" t="s">
        <v>1956</v>
      </c>
      <c r="Y2260" s="111">
        <v>10</v>
      </c>
      <c r="Z2260" s="111">
        <f t="shared" si="219"/>
        <v>1450</v>
      </c>
      <c r="AA2260" s="112"/>
    </row>
    <row r="2261" spans="14:32" ht="8.25" customHeight="1" x14ac:dyDescent="0.25">
      <c r="X2261" s="110" t="s">
        <v>1981</v>
      </c>
      <c r="Y2261" s="111">
        <v>5</v>
      </c>
      <c r="Z2261" s="111">
        <f t="shared" si="219"/>
        <v>1675</v>
      </c>
      <c r="AA2261" s="112"/>
    </row>
    <row r="2262" spans="14:32" ht="8.25" customHeight="1" x14ac:dyDescent="0.25">
      <c r="X2262" s="269"/>
      <c r="Y2262" s="270"/>
      <c r="Z2262" s="271"/>
      <c r="AA2262" s="38"/>
    </row>
    <row r="2263" spans="14:32" ht="8.25" customHeight="1" x14ac:dyDescent="0.25">
      <c r="X2263" s="110" t="s">
        <v>1957</v>
      </c>
      <c r="Y2263" s="111">
        <v>1</v>
      </c>
      <c r="Z2263" s="111">
        <f t="shared" ref="Z2263:Z2268" si="220">X2263*Y2263</f>
        <v>1098</v>
      </c>
      <c r="AA2263" s="76"/>
    </row>
    <row r="2264" spans="14:32" ht="8.25" customHeight="1" x14ac:dyDescent="0.25">
      <c r="X2264" s="110" t="s">
        <v>875</v>
      </c>
      <c r="Y2264" s="111">
        <v>0.5</v>
      </c>
      <c r="Z2264" s="111">
        <f t="shared" si="220"/>
        <v>41</v>
      </c>
      <c r="AA2264" s="112"/>
    </row>
    <row r="2265" spans="14:32" ht="8.25" customHeight="1" x14ac:dyDescent="0.25">
      <c r="X2265" s="110" t="s">
        <v>1878</v>
      </c>
      <c r="Y2265" s="111">
        <v>0.25</v>
      </c>
      <c r="Z2265" s="111">
        <f t="shared" si="220"/>
        <v>45</v>
      </c>
      <c r="AA2265" s="113"/>
    </row>
    <row r="2266" spans="14:32" ht="8.25" customHeight="1" x14ac:dyDescent="0.25">
      <c r="X2266" s="110" t="s">
        <v>222</v>
      </c>
      <c r="Y2266" s="111">
        <v>0.1</v>
      </c>
      <c r="Z2266" s="111">
        <f t="shared" si="220"/>
        <v>0.1</v>
      </c>
      <c r="AA2266" s="114" t="s">
        <v>219</v>
      </c>
    </row>
    <row r="2267" spans="14:32" ht="8.25" customHeight="1" thickBot="1" x14ac:dyDescent="0.3">
      <c r="X2267" s="110" t="s">
        <v>120</v>
      </c>
      <c r="Y2267" s="111">
        <v>0.05</v>
      </c>
      <c r="Z2267" s="111">
        <f t="shared" si="220"/>
        <v>0</v>
      </c>
      <c r="AA2267" s="115">
        <f>SUM(Z2256:Z2261)+Z2263+Z2264+Z2265+Z2266+Z2267+Z2268</f>
        <v>137329.12</v>
      </c>
    </row>
    <row r="2268" spans="14:32" ht="8.25" customHeight="1" thickTop="1" x14ac:dyDescent="0.25">
      <c r="X2268" s="110" t="s">
        <v>224</v>
      </c>
      <c r="Y2268" s="111">
        <v>0.01</v>
      </c>
      <c r="Z2268" s="111">
        <f t="shared" si="220"/>
        <v>0.02</v>
      </c>
    </row>
    <row r="2270" spans="14:32" ht="8.25" customHeight="1" x14ac:dyDescent="0.25">
      <c r="Z2270" s="231" t="s">
        <v>1376</v>
      </c>
      <c r="AF2270" s="76">
        <f>AF2253</f>
        <v>137329.11999999965</v>
      </c>
    </row>
    <row r="2271" spans="14:32" ht="8.25" customHeight="1" x14ac:dyDescent="0.25">
      <c r="N2271" s="52">
        <v>1</v>
      </c>
      <c r="T2271" s="33">
        <v>46113</v>
      </c>
      <c r="U2271" s="34">
        <v>2026</v>
      </c>
      <c r="V2271" s="35" t="s">
        <v>1982</v>
      </c>
      <c r="W2271" s="35" t="s">
        <v>17</v>
      </c>
      <c r="X2271" s="37" t="s">
        <v>1983</v>
      </c>
      <c r="Y2271" s="36" t="s">
        <v>1411</v>
      </c>
      <c r="Z2271" s="30" t="s">
        <v>1412</v>
      </c>
      <c r="AA2271" s="30" t="s">
        <v>3899</v>
      </c>
      <c r="AD2271" s="38">
        <v>2422.44</v>
      </c>
      <c r="AF2271" s="76">
        <f>AF2270+AD2271-AE2271</f>
        <v>139751.55999999965</v>
      </c>
    </row>
    <row r="2272" spans="14:32" ht="8.25" customHeight="1" x14ac:dyDescent="0.15">
      <c r="N2272" s="52">
        <v>1</v>
      </c>
      <c r="T2272" s="33">
        <v>46113</v>
      </c>
      <c r="U2272" s="34">
        <v>2026</v>
      </c>
      <c r="V2272" s="35" t="s">
        <v>1982</v>
      </c>
      <c r="W2272" s="35" t="s">
        <v>17</v>
      </c>
      <c r="X2272" s="37" t="s">
        <v>1983</v>
      </c>
      <c r="Y2272" s="36" t="s">
        <v>1411</v>
      </c>
      <c r="Z2272" s="30" t="s">
        <v>1412</v>
      </c>
      <c r="AA2272" s="134" t="s">
        <v>166</v>
      </c>
      <c r="AD2272" s="38">
        <v>1077.56</v>
      </c>
      <c r="AF2272" s="76">
        <f t="shared" ref="AF2272:AF2274" si="221">AF2271+AD2272-AE2272</f>
        <v>140829.11999999965</v>
      </c>
    </row>
    <row r="2273" spans="4:32" ht="8.25" customHeight="1" x14ac:dyDescent="0.25">
      <c r="D2273" s="52">
        <v>1</v>
      </c>
      <c r="T2273" s="33">
        <v>46113</v>
      </c>
      <c r="U2273" s="34">
        <v>2026</v>
      </c>
      <c r="V2273" s="35" t="s">
        <v>1982</v>
      </c>
      <c r="W2273" s="35" t="s">
        <v>2405</v>
      </c>
      <c r="X2273" s="37" t="s">
        <v>1984</v>
      </c>
      <c r="Y2273" s="36" t="s">
        <v>1796</v>
      </c>
      <c r="Z2273" s="30" t="s">
        <v>1797</v>
      </c>
      <c r="AA2273" s="30" t="s">
        <v>256</v>
      </c>
      <c r="AD2273" s="38">
        <v>3000</v>
      </c>
      <c r="AF2273" s="76">
        <f t="shared" si="221"/>
        <v>143829.11999999965</v>
      </c>
    </row>
    <row r="2274" spans="4:32" ht="8.25" customHeight="1" x14ac:dyDescent="0.25">
      <c r="R2274" s="53">
        <v>1</v>
      </c>
      <c r="T2274" s="33">
        <v>46113</v>
      </c>
      <c r="U2274" s="34">
        <v>2026</v>
      </c>
      <c r="V2274" s="35" t="s">
        <v>1982</v>
      </c>
      <c r="W2274" s="35" t="s">
        <v>5</v>
      </c>
      <c r="X2274" s="37" t="s">
        <v>1985</v>
      </c>
      <c r="Y2274" s="36" t="s">
        <v>114</v>
      </c>
      <c r="Z2274" s="30" t="s">
        <v>1986</v>
      </c>
      <c r="AA2274" s="30" t="s">
        <v>1050</v>
      </c>
      <c r="AE2274" s="38">
        <v>500</v>
      </c>
      <c r="AF2274" s="76">
        <f t="shared" si="221"/>
        <v>143329.11999999965</v>
      </c>
    </row>
    <row r="2275" spans="4:32" ht="8.25" customHeight="1" thickBot="1" x14ac:dyDescent="0.3">
      <c r="Z2275" s="231" t="s">
        <v>2138</v>
      </c>
      <c r="AD2275" s="253">
        <f>SUM(AD2271:AD2274)</f>
        <v>6500</v>
      </c>
      <c r="AE2275" s="253">
        <f>SUM(AE2271:AE2274)</f>
        <v>500</v>
      </c>
      <c r="AF2275" s="233">
        <f>AF2270+AD2275-AE2275</f>
        <v>143329.11999999965</v>
      </c>
    </row>
    <row r="2276" spans="4:32" ht="8.25" customHeight="1" thickTop="1" x14ac:dyDescent="0.25"/>
    <row r="2277" spans="4:32" ht="8.25" customHeight="1" x14ac:dyDescent="0.25">
      <c r="X2277" s="109"/>
      <c r="Y2277" s="67" t="s">
        <v>214</v>
      </c>
      <c r="Z2277" s="68"/>
      <c r="AA2277" s="75"/>
    </row>
    <row r="2278" spans="4:32" ht="8.25" customHeight="1" x14ac:dyDescent="0.25">
      <c r="X2278" s="110" t="s">
        <v>671</v>
      </c>
      <c r="Y2278" s="111">
        <v>200</v>
      </c>
      <c r="Z2278" s="111">
        <f t="shared" ref="Z2278:Z2283" si="222">X2278*Y2278</f>
        <v>59000</v>
      </c>
      <c r="AA2278" s="112"/>
    </row>
    <row r="2279" spans="4:32" ht="8.25" customHeight="1" x14ac:dyDescent="0.25">
      <c r="X2279" s="110" t="s">
        <v>2229</v>
      </c>
      <c r="Y2279" s="111">
        <v>100</v>
      </c>
      <c r="Z2279" s="111">
        <f t="shared" si="222"/>
        <v>80000</v>
      </c>
      <c r="AA2279" s="112"/>
    </row>
    <row r="2280" spans="4:32" ht="8.25" customHeight="1" x14ac:dyDescent="0.25">
      <c r="X2280" s="110"/>
      <c r="Y2280" s="111">
        <v>50</v>
      </c>
      <c r="Z2280" s="111">
        <f t="shared" si="222"/>
        <v>0</v>
      </c>
      <c r="AA2280" s="76"/>
    </row>
    <row r="2281" spans="4:32" ht="8.25" customHeight="1" x14ac:dyDescent="0.25">
      <c r="X2281" s="110" t="s">
        <v>222</v>
      </c>
      <c r="Y2281" s="111">
        <v>20</v>
      </c>
      <c r="Z2281" s="111">
        <f t="shared" si="222"/>
        <v>20</v>
      </c>
      <c r="AA2281" s="38"/>
    </row>
    <row r="2282" spans="4:32" ht="8.25" customHeight="1" x14ac:dyDescent="0.25">
      <c r="X2282" s="110" t="s">
        <v>1956</v>
      </c>
      <c r="Y2282" s="111">
        <v>10</v>
      </c>
      <c r="Z2282" s="111">
        <f t="shared" si="222"/>
        <v>1450</v>
      </c>
      <c r="AA2282" s="112"/>
    </row>
    <row r="2283" spans="4:32" ht="8.25" customHeight="1" x14ac:dyDescent="0.25">
      <c r="X2283" s="110" t="s">
        <v>1981</v>
      </c>
      <c r="Y2283" s="111">
        <v>5</v>
      </c>
      <c r="Z2283" s="111">
        <f t="shared" si="222"/>
        <v>1675</v>
      </c>
      <c r="AA2283" s="112"/>
      <c r="AE2283" s="251"/>
    </row>
    <row r="2284" spans="4:32" ht="8.25" customHeight="1" x14ac:dyDescent="0.25">
      <c r="X2284" s="269"/>
      <c r="Y2284" s="270"/>
      <c r="Z2284" s="271"/>
      <c r="AA2284" s="38"/>
    </row>
    <row r="2285" spans="4:32" ht="8.25" customHeight="1" x14ac:dyDescent="0.25">
      <c r="X2285" s="110" t="s">
        <v>1957</v>
      </c>
      <c r="Y2285" s="111">
        <v>1</v>
      </c>
      <c r="Z2285" s="111">
        <f t="shared" ref="Z2285:Z2290" si="223">X2285*Y2285</f>
        <v>1098</v>
      </c>
      <c r="AA2285" s="76"/>
    </row>
    <row r="2286" spans="4:32" ht="8.25" customHeight="1" x14ac:dyDescent="0.25">
      <c r="X2286" s="110" t="s">
        <v>875</v>
      </c>
      <c r="Y2286" s="111">
        <v>0.5</v>
      </c>
      <c r="Z2286" s="111">
        <f t="shared" si="223"/>
        <v>41</v>
      </c>
      <c r="AA2286" s="112"/>
    </row>
    <row r="2287" spans="4:32" ht="8.25" customHeight="1" x14ac:dyDescent="0.25">
      <c r="X2287" s="110" t="s">
        <v>1878</v>
      </c>
      <c r="Y2287" s="111">
        <v>0.25</v>
      </c>
      <c r="Z2287" s="111">
        <f t="shared" si="223"/>
        <v>45</v>
      </c>
      <c r="AA2287" s="113"/>
    </row>
    <row r="2288" spans="4:32" ht="8.25" customHeight="1" x14ac:dyDescent="0.25">
      <c r="X2288" s="110" t="s">
        <v>222</v>
      </c>
      <c r="Y2288" s="111">
        <v>0.1</v>
      </c>
      <c r="Z2288" s="111">
        <f t="shared" si="223"/>
        <v>0.1</v>
      </c>
      <c r="AA2288" s="114" t="s">
        <v>219</v>
      </c>
    </row>
    <row r="2289" spans="11:32" ht="8.25" customHeight="1" thickBot="1" x14ac:dyDescent="0.3">
      <c r="X2289" s="110" t="s">
        <v>120</v>
      </c>
      <c r="Y2289" s="111">
        <v>0.05</v>
      </c>
      <c r="Z2289" s="111">
        <f t="shared" si="223"/>
        <v>0</v>
      </c>
      <c r="AA2289" s="115">
        <f>SUM(Z2278:Z2283)+Z2285+Z2286+Z2287+Z2288+Z2289+Z2290</f>
        <v>143329.12</v>
      </c>
    </row>
    <row r="2290" spans="11:32" ht="8.25" customHeight="1" thickTop="1" x14ac:dyDescent="0.25">
      <c r="X2290" s="110" t="s">
        <v>224</v>
      </c>
      <c r="Y2290" s="111">
        <v>0.01</v>
      </c>
      <c r="Z2290" s="111">
        <f t="shared" si="223"/>
        <v>0.02</v>
      </c>
    </row>
    <row r="2292" spans="11:32" ht="8.25" customHeight="1" x14ac:dyDescent="0.25">
      <c r="V2292" s="35" t="s">
        <v>1</v>
      </c>
      <c r="Z2292" s="231" t="s">
        <v>1376</v>
      </c>
      <c r="AF2292" s="76">
        <f>SUM(AF2274)</f>
        <v>143329.11999999965</v>
      </c>
    </row>
    <row r="2293" spans="11:32" ht="8.25" customHeight="1" x14ac:dyDescent="0.25">
      <c r="N2293" s="52">
        <v>2</v>
      </c>
      <c r="T2293" s="33">
        <v>46118</v>
      </c>
      <c r="U2293" s="34">
        <v>2026</v>
      </c>
      <c r="V2293" s="35" t="s">
        <v>1982</v>
      </c>
      <c r="W2293" s="35" t="s">
        <v>17</v>
      </c>
      <c r="X2293" s="37" t="s">
        <v>1987</v>
      </c>
      <c r="Y2293" s="36" t="s">
        <v>346</v>
      </c>
      <c r="Z2293" s="30" t="s">
        <v>1483</v>
      </c>
      <c r="AA2293" s="30" t="s">
        <v>3899</v>
      </c>
      <c r="AD2293" s="38">
        <v>7807.43</v>
      </c>
      <c r="AF2293" s="76">
        <f>AF2292+AD2293-AE2293</f>
        <v>151136.54999999964</v>
      </c>
    </row>
    <row r="2294" spans="11:32" ht="8.25" customHeight="1" x14ac:dyDescent="0.15">
      <c r="N2294" s="52">
        <v>2</v>
      </c>
      <c r="T2294" s="33">
        <v>46118</v>
      </c>
      <c r="U2294" s="34">
        <v>2026</v>
      </c>
      <c r="V2294" s="35" t="s">
        <v>1982</v>
      </c>
      <c r="W2294" s="35" t="s">
        <v>17</v>
      </c>
      <c r="X2294" s="37" t="s">
        <v>1987</v>
      </c>
      <c r="Y2294" s="36" t="s">
        <v>346</v>
      </c>
      <c r="Z2294" s="30" t="s">
        <v>1483</v>
      </c>
      <c r="AA2294" s="134" t="s">
        <v>166</v>
      </c>
      <c r="AD2294" s="38">
        <v>6192.57</v>
      </c>
      <c r="AF2294" s="76">
        <f>AF2293+AD2294-AE2294</f>
        <v>157329.11999999965</v>
      </c>
    </row>
    <row r="2295" spans="11:32" ht="8.25" customHeight="1" x14ac:dyDescent="0.25">
      <c r="N2295" s="52">
        <v>3</v>
      </c>
      <c r="T2295" s="33">
        <v>46118</v>
      </c>
      <c r="U2295" s="34">
        <v>2026</v>
      </c>
      <c r="V2295" s="35" t="s">
        <v>1982</v>
      </c>
      <c r="W2295" s="35" t="s">
        <v>17</v>
      </c>
      <c r="X2295" s="37" t="s">
        <v>1988</v>
      </c>
      <c r="Y2295" s="36" t="s">
        <v>347</v>
      </c>
      <c r="Z2295" s="30" t="s">
        <v>1461</v>
      </c>
      <c r="AA2295" s="30" t="s">
        <v>3899</v>
      </c>
      <c r="AD2295" s="38">
        <v>6820.18</v>
      </c>
      <c r="AF2295" s="76">
        <f>AF2294+AD2295-AE2295</f>
        <v>164149.29999999964</v>
      </c>
    </row>
    <row r="2296" spans="11:32" ht="8.25" customHeight="1" x14ac:dyDescent="0.15">
      <c r="N2296" s="52">
        <v>3</v>
      </c>
      <c r="T2296" s="33">
        <v>46118</v>
      </c>
      <c r="U2296" s="34">
        <v>2026</v>
      </c>
      <c r="V2296" s="35" t="s">
        <v>1982</v>
      </c>
      <c r="W2296" s="35" t="s">
        <v>17</v>
      </c>
      <c r="X2296" s="37" t="s">
        <v>1988</v>
      </c>
      <c r="Y2296" s="36" t="s">
        <v>347</v>
      </c>
      <c r="Z2296" s="30" t="s">
        <v>1461</v>
      </c>
      <c r="AA2296" s="134" t="s">
        <v>166</v>
      </c>
      <c r="AD2296" s="38">
        <v>5179.82</v>
      </c>
      <c r="AF2296" s="76">
        <f t="shared" ref="AF2296:AF2324" si="224">AF2295+AD2296-AE2296</f>
        <v>169329.11999999965</v>
      </c>
    </row>
    <row r="2297" spans="11:32" ht="8.25" customHeight="1" x14ac:dyDescent="0.25">
      <c r="N2297" s="52">
        <v>4</v>
      </c>
      <c r="T2297" s="33">
        <v>46118</v>
      </c>
      <c r="U2297" s="34">
        <v>2026</v>
      </c>
      <c r="V2297" s="35" t="s">
        <v>1982</v>
      </c>
      <c r="W2297" s="35" t="s">
        <v>17</v>
      </c>
      <c r="X2297" s="37" t="s">
        <v>1989</v>
      </c>
      <c r="Y2297" s="36" t="s">
        <v>1990</v>
      </c>
      <c r="Z2297" s="30" t="s">
        <v>1991</v>
      </c>
      <c r="AA2297" s="30" t="s">
        <v>3899</v>
      </c>
      <c r="AD2297" s="38">
        <v>8051.06</v>
      </c>
      <c r="AF2297" s="76">
        <f t="shared" si="224"/>
        <v>177380.17999999964</v>
      </c>
    </row>
    <row r="2298" spans="11:32" ht="8.25" customHeight="1" x14ac:dyDescent="0.15">
      <c r="N2298" s="52">
        <v>4</v>
      </c>
      <c r="T2298" s="33">
        <v>46118</v>
      </c>
      <c r="U2298" s="34">
        <v>2026</v>
      </c>
      <c r="V2298" s="35" t="s">
        <v>1982</v>
      </c>
      <c r="W2298" s="35" t="s">
        <v>17</v>
      </c>
      <c r="X2298" s="37" t="s">
        <v>1989</v>
      </c>
      <c r="Y2298" s="36" t="s">
        <v>1990</v>
      </c>
      <c r="Z2298" s="30" t="s">
        <v>1991</v>
      </c>
      <c r="AA2298" s="134" t="s">
        <v>166</v>
      </c>
      <c r="AD2298" s="38">
        <v>6948.94</v>
      </c>
      <c r="AF2298" s="76">
        <f t="shared" si="224"/>
        <v>184329.11999999965</v>
      </c>
    </row>
    <row r="2299" spans="11:32" ht="8.25" customHeight="1" x14ac:dyDescent="0.15">
      <c r="K2299" s="52">
        <v>1</v>
      </c>
      <c r="T2299" s="33">
        <v>46118</v>
      </c>
      <c r="U2299" s="34">
        <v>2026</v>
      </c>
      <c r="V2299" s="35" t="s">
        <v>1982</v>
      </c>
      <c r="W2299" s="35" t="s">
        <v>17</v>
      </c>
      <c r="X2299" s="37" t="s">
        <v>1992</v>
      </c>
      <c r="Y2299" s="36" t="s">
        <v>1993</v>
      </c>
      <c r="Z2299" s="30" t="s">
        <v>1936</v>
      </c>
      <c r="AA2299" s="136" t="s">
        <v>1788</v>
      </c>
      <c r="AD2299" s="38">
        <v>100</v>
      </c>
      <c r="AF2299" s="76">
        <f t="shared" si="224"/>
        <v>184429.11999999965</v>
      </c>
    </row>
    <row r="2300" spans="11:32" ht="8.25" customHeight="1" x14ac:dyDescent="0.25">
      <c r="L2300" s="52">
        <v>1</v>
      </c>
      <c r="T2300" s="33">
        <v>46118</v>
      </c>
      <c r="U2300" s="34">
        <v>2026</v>
      </c>
      <c r="V2300" s="35" t="s">
        <v>1982</v>
      </c>
      <c r="W2300" s="35" t="s">
        <v>17</v>
      </c>
      <c r="X2300" s="37" t="s">
        <v>1994</v>
      </c>
      <c r="Y2300" s="36" t="s">
        <v>120</v>
      </c>
      <c r="Z2300" s="30" t="s">
        <v>1936</v>
      </c>
      <c r="AA2300" s="30" t="s">
        <v>1054</v>
      </c>
      <c r="AD2300" s="38">
        <v>50</v>
      </c>
      <c r="AF2300" s="76">
        <f t="shared" si="224"/>
        <v>184479.11999999965</v>
      </c>
    </row>
    <row r="2301" spans="11:32" ht="8.25" customHeight="1" x14ac:dyDescent="0.25">
      <c r="N2301" s="52">
        <v>5</v>
      </c>
      <c r="T2301" s="33">
        <v>46118</v>
      </c>
      <c r="U2301" s="34">
        <v>2026</v>
      </c>
      <c r="V2301" s="35" t="s">
        <v>1982</v>
      </c>
      <c r="W2301" s="35" t="s">
        <v>17</v>
      </c>
      <c r="X2301" s="37" t="s">
        <v>1995</v>
      </c>
      <c r="Y2301" s="36" t="s">
        <v>322</v>
      </c>
      <c r="Z2301" s="30" t="s">
        <v>1740</v>
      </c>
      <c r="AA2301" s="30" t="s">
        <v>3899</v>
      </c>
      <c r="AD2301" s="38">
        <v>14713.69</v>
      </c>
      <c r="AF2301" s="76">
        <f t="shared" si="224"/>
        <v>199192.80999999965</v>
      </c>
    </row>
    <row r="2302" spans="11:32" ht="8.25" customHeight="1" x14ac:dyDescent="0.15">
      <c r="N2302" s="52">
        <v>5</v>
      </c>
      <c r="T2302" s="33">
        <v>46118</v>
      </c>
      <c r="U2302" s="34">
        <v>2026</v>
      </c>
      <c r="V2302" s="35" t="s">
        <v>1982</v>
      </c>
      <c r="W2302" s="35" t="s">
        <v>17</v>
      </c>
      <c r="X2302" s="37" t="s">
        <v>1995</v>
      </c>
      <c r="Y2302" s="36" t="s">
        <v>322</v>
      </c>
      <c r="Z2302" s="30" t="s">
        <v>1740</v>
      </c>
      <c r="AA2302" s="134" t="s">
        <v>166</v>
      </c>
      <c r="AD2302" s="38">
        <v>3286.31</v>
      </c>
      <c r="AF2302" s="76">
        <f t="shared" si="224"/>
        <v>202479.11999999965</v>
      </c>
    </row>
    <row r="2303" spans="11:32" ht="8.25" customHeight="1" x14ac:dyDescent="0.25">
      <c r="N2303" s="52">
        <v>6</v>
      </c>
      <c r="T2303" s="33">
        <v>46118</v>
      </c>
      <c r="U2303" s="34">
        <v>2026</v>
      </c>
      <c r="V2303" s="35" t="s">
        <v>1982</v>
      </c>
      <c r="W2303" s="35" t="s">
        <v>17</v>
      </c>
      <c r="X2303" s="37" t="s">
        <v>1996</v>
      </c>
      <c r="Y2303" s="36" t="s">
        <v>325</v>
      </c>
      <c r="Z2303" s="30" t="s">
        <v>1758</v>
      </c>
      <c r="AA2303" s="30" t="s">
        <v>3899</v>
      </c>
      <c r="AD2303" s="38">
        <v>8220.19</v>
      </c>
      <c r="AF2303" s="76">
        <f t="shared" si="224"/>
        <v>210699.30999999965</v>
      </c>
    </row>
    <row r="2304" spans="11:32" ht="8.25" customHeight="1" x14ac:dyDescent="0.15">
      <c r="N2304" s="52">
        <v>6</v>
      </c>
      <c r="T2304" s="33">
        <v>46118</v>
      </c>
      <c r="U2304" s="34">
        <v>2026</v>
      </c>
      <c r="V2304" s="35" t="s">
        <v>1982</v>
      </c>
      <c r="W2304" s="35" t="s">
        <v>17</v>
      </c>
      <c r="X2304" s="37" t="s">
        <v>1996</v>
      </c>
      <c r="Y2304" s="36" t="s">
        <v>325</v>
      </c>
      <c r="Z2304" s="30" t="s">
        <v>1758</v>
      </c>
      <c r="AA2304" s="134" t="s">
        <v>166</v>
      </c>
      <c r="AD2304" s="38">
        <v>1914.81</v>
      </c>
      <c r="AF2304" s="76">
        <f t="shared" si="224"/>
        <v>212614.11999999965</v>
      </c>
    </row>
    <row r="2305" spans="3:32" ht="8.25" customHeight="1" x14ac:dyDescent="0.25">
      <c r="N2305" s="52">
        <v>6</v>
      </c>
      <c r="T2305" s="33">
        <v>46118</v>
      </c>
      <c r="U2305" s="34">
        <v>2026</v>
      </c>
      <c r="V2305" s="35" t="s">
        <v>1982</v>
      </c>
      <c r="W2305" s="35" t="s">
        <v>17</v>
      </c>
      <c r="X2305" s="37" t="s">
        <v>1996</v>
      </c>
      <c r="Y2305" s="36" t="s">
        <v>325</v>
      </c>
      <c r="Z2305" s="30" t="s">
        <v>1758</v>
      </c>
      <c r="AA2305" s="30" t="s">
        <v>3305</v>
      </c>
      <c r="AD2305" s="38">
        <v>65</v>
      </c>
      <c r="AF2305" s="76">
        <f t="shared" si="224"/>
        <v>212679.11999999965</v>
      </c>
    </row>
    <row r="2306" spans="3:32" ht="8.25" customHeight="1" x14ac:dyDescent="0.25">
      <c r="I2306" s="52">
        <v>1</v>
      </c>
      <c r="T2306" s="33">
        <v>46118</v>
      </c>
      <c r="U2306" s="34">
        <v>2026</v>
      </c>
      <c r="V2306" s="35" t="s">
        <v>1982</v>
      </c>
      <c r="W2306" s="35" t="s">
        <v>17</v>
      </c>
      <c r="X2306" s="37" t="s">
        <v>1997</v>
      </c>
      <c r="Y2306" s="36" t="s">
        <v>1998</v>
      </c>
      <c r="Z2306" s="30" t="s">
        <v>1999</v>
      </c>
      <c r="AA2306" s="30" t="s">
        <v>13</v>
      </c>
      <c r="AD2306" s="38">
        <v>200</v>
      </c>
      <c r="AF2306" s="76">
        <f t="shared" si="224"/>
        <v>212879.11999999965</v>
      </c>
    </row>
    <row r="2307" spans="3:32" ht="8.25" customHeight="1" x14ac:dyDescent="0.25">
      <c r="N2307" s="52">
        <v>7</v>
      </c>
      <c r="T2307" s="33">
        <v>46118</v>
      </c>
      <c r="U2307" s="34">
        <v>2026</v>
      </c>
      <c r="V2307" s="35" t="s">
        <v>1982</v>
      </c>
      <c r="W2307" s="35" t="s">
        <v>17</v>
      </c>
      <c r="X2307" s="37" t="s">
        <v>2000</v>
      </c>
      <c r="Y2307" s="36" t="s">
        <v>252</v>
      </c>
      <c r="Z2307" s="30" t="s">
        <v>15</v>
      </c>
      <c r="AA2307" s="30" t="s">
        <v>3899</v>
      </c>
      <c r="AD2307" s="38">
        <v>690.54</v>
      </c>
      <c r="AF2307" s="76">
        <f t="shared" si="224"/>
        <v>213569.65999999965</v>
      </c>
    </row>
    <row r="2308" spans="3:32" ht="8.25" customHeight="1" x14ac:dyDescent="0.15">
      <c r="N2308" s="52">
        <v>7</v>
      </c>
      <c r="T2308" s="33">
        <v>46118</v>
      </c>
      <c r="U2308" s="34">
        <v>2026</v>
      </c>
      <c r="V2308" s="35" t="s">
        <v>1982</v>
      </c>
      <c r="W2308" s="35" t="s">
        <v>17</v>
      </c>
      <c r="X2308" s="37" t="s">
        <v>2000</v>
      </c>
      <c r="Y2308" s="36" t="s">
        <v>252</v>
      </c>
      <c r="Z2308" s="30" t="s">
        <v>15</v>
      </c>
      <c r="AA2308" s="134" t="s">
        <v>166</v>
      </c>
      <c r="AD2308" s="38">
        <v>84.46</v>
      </c>
      <c r="AF2308" s="76">
        <f t="shared" si="224"/>
        <v>213654.11999999965</v>
      </c>
    </row>
    <row r="2309" spans="3:32" ht="8.25" customHeight="1" x14ac:dyDescent="0.25">
      <c r="N2309" s="52">
        <v>7</v>
      </c>
      <c r="T2309" s="33">
        <v>46118</v>
      </c>
      <c r="U2309" s="34">
        <v>2026</v>
      </c>
      <c r="V2309" s="35" t="s">
        <v>1982</v>
      </c>
      <c r="W2309" s="35" t="s">
        <v>17</v>
      </c>
      <c r="X2309" s="37" t="s">
        <v>2000</v>
      </c>
      <c r="Y2309" s="36" t="s">
        <v>252</v>
      </c>
      <c r="Z2309" s="30" t="s">
        <v>15</v>
      </c>
      <c r="AA2309" s="30" t="s">
        <v>3305</v>
      </c>
      <c r="AD2309" s="38">
        <v>25</v>
      </c>
      <c r="AF2309" s="76">
        <f t="shared" si="224"/>
        <v>213679.11999999965</v>
      </c>
    </row>
    <row r="2310" spans="3:32" ht="8.25" customHeight="1" x14ac:dyDescent="0.25">
      <c r="I2310" s="52">
        <v>2</v>
      </c>
      <c r="T2310" s="33">
        <v>46118</v>
      </c>
      <c r="U2310" s="34">
        <v>2026</v>
      </c>
      <c r="V2310" s="35" t="s">
        <v>1982</v>
      </c>
      <c r="W2310" s="35" t="s">
        <v>17</v>
      </c>
      <c r="X2310" s="37" t="s">
        <v>2001</v>
      </c>
      <c r="Y2310" s="36" t="s">
        <v>1906</v>
      </c>
      <c r="Z2310" s="30" t="s">
        <v>2002</v>
      </c>
      <c r="AA2310" s="30" t="s">
        <v>13</v>
      </c>
      <c r="AD2310" s="38">
        <v>320</v>
      </c>
      <c r="AF2310" s="76">
        <f t="shared" si="224"/>
        <v>213999.11999999965</v>
      </c>
    </row>
    <row r="2311" spans="3:32" ht="8.25" customHeight="1" x14ac:dyDescent="0.15">
      <c r="K2311" s="52">
        <v>2</v>
      </c>
      <c r="Q2311" s="256"/>
      <c r="T2311" s="33">
        <v>46118</v>
      </c>
      <c r="U2311" s="34">
        <v>2026</v>
      </c>
      <c r="V2311" s="35" t="s">
        <v>1982</v>
      </c>
      <c r="W2311" s="35" t="s">
        <v>17</v>
      </c>
      <c r="X2311" s="37" t="s">
        <v>2003</v>
      </c>
      <c r="Y2311" s="36" t="s">
        <v>2004</v>
      </c>
      <c r="Z2311" s="30" t="s">
        <v>2005</v>
      </c>
      <c r="AA2311" s="136" t="s">
        <v>1788</v>
      </c>
      <c r="AD2311" s="38">
        <v>100</v>
      </c>
      <c r="AF2311" s="76">
        <f t="shared" si="224"/>
        <v>214099.11999999965</v>
      </c>
    </row>
    <row r="2312" spans="3:32" ht="8.25" customHeight="1" x14ac:dyDescent="0.25">
      <c r="L2312" s="52">
        <v>2</v>
      </c>
      <c r="T2312" s="33">
        <v>46118</v>
      </c>
      <c r="U2312" s="34">
        <v>2026</v>
      </c>
      <c r="V2312" s="35" t="s">
        <v>1982</v>
      </c>
      <c r="W2312" s="35" t="s">
        <v>17</v>
      </c>
      <c r="X2312" s="37" t="s">
        <v>2006</v>
      </c>
      <c r="Y2312" s="36" t="s">
        <v>120</v>
      </c>
      <c r="Z2312" s="30" t="s">
        <v>2005</v>
      </c>
      <c r="AA2312" s="30" t="s">
        <v>1054</v>
      </c>
      <c r="AD2312" s="38">
        <v>50</v>
      </c>
      <c r="AF2312" s="76">
        <f t="shared" si="224"/>
        <v>214149.11999999965</v>
      </c>
    </row>
    <row r="2313" spans="3:32" ht="8.25" customHeight="1" x14ac:dyDescent="0.25">
      <c r="N2313" s="52">
        <v>8</v>
      </c>
      <c r="T2313" s="33">
        <v>46118</v>
      </c>
      <c r="U2313" s="34">
        <v>2026</v>
      </c>
      <c r="V2313" s="35" t="s">
        <v>1982</v>
      </c>
      <c r="W2313" s="35" t="s">
        <v>17</v>
      </c>
      <c r="X2313" s="37" t="s">
        <v>2007</v>
      </c>
      <c r="Y2313" s="36" t="s">
        <v>931</v>
      </c>
      <c r="Z2313" s="30" t="s">
        <v>2008</v>
      </c>
      <c r="AA2313" s="30" t="s">
        <v>3899</v>
      </c>
      <c r="AD2313" s="38">
        <v>3053.35</v>
      </c>
      <c r="AF2313" s="76">
        <f t="shared" si="224"/>
        <v>217202.46999999965</v>
      </c>
    </row>
    <row r="2314" spans="3:32" ht="8.25" customHeight="1" x14ac:dyDescent="0.15">
      <c r="N2314" s="52">
        <v>8</v>
      </c>
      <c r="T2314" s="33">
        <v>46118</v>
      </c>
      <c r="U2314" s="34">
        <v>2026</v>
      </c>
      <c r="V2314" s="35" t="s">
        <v>1982</v>
      </c>
      <c r="W2314" s="35" t="s">
        <v>17</v>
      </c>
      <c r="X2314" s="37" t="s">
        <v>2007</v>
      </c>
      <c r="Y2314" s="36" t="s">
        <v>931</v>
      </c>
      <c r="Z2314" s="30" t="s">
        <v>2008</v>
      </c>
      <c r="AA2314" s="134" t="s">
        <v>166</v>
      </c>
      <c r="AD2314" s="38">
        <v>1337.65</v>
      </c>
      <c r="AF2314" s="76">
        <f t="shared" si="224"/>
        <v>218540.11999999965</v>
      </c>
    </row>
    <row r="2315" spans="3:32" ht="8.25" customHeight="1" x14ac:dyDescent="0.25">
      <c r="I2315" s="52">
        <v>3</v>
      </c>
      <c r="T2315" s="33">
        <v>46118</v>
      </c>
      <c r="U2315" s="34">
        <v>2026</v>
      </c>
      <c r="V2315" s="35" t="s">
        <v>1982</v>
      </c>
      <c r="W2315" s="35" t="s">
        <v>17</v>
      </c>
      <c r="X2315" s="37" t="s">
        <v>2009</v>
      </c>
      <c r="Y2315" s="36" t="s">
        <v>2010</v>
      </c>
      <c r="Z2315" s="30" t="s">
        <v>1936</v>
      </c>
      <c r="AA2315" s="30" t="s">
        <v>13</v>
      </c>
      <c r="AD2315" s="38">
        <v>450</v>
      </c>
      <c r="AF2315" s="76">
        <f t="shared" si="224"/>
        <v>218990.11999999965</v>
      </c>
    </row>
    <row r="2316" spans="3:32" ht="8.25" customHeight="1" x14ac:dyDescent="0.25">
      <c r="I2316" s="52">
        <v>4</v>
      </c>
      <c r="T2316" s="33">
        <v>46118</v>
      </c>
      <c r="U2316" s="34">
        <v>2026</v>
      </c>
      <c r="V2316" s="35" t="s">
        <v>1982</v>
      </c>
      <c r="W2316" s="35" t="s">
        <v>17</v>
      </c>
      <c r="X2316" s="37" t="s">
        <v>2011</v>
      </c>
      <c r="Y2316" s="36" t="s">
        <v>2012</v>
      </c>
      <c r="Z2316" s="30" t="s">
        <v>2005</v>
      </c>
      <c r="AA2316" s="30" t="s">
        <v>13</v>
      </c>
      <c r="AD2316" s="38">
        <v>50</v>
      </c>
      <c r="AF2316" s="76">
        <f t="shared" si="224"/>
        <v>219040.11999999965</v>
      </c>
    </row>
    <row r="2317" spans="3:32" ht="8.25" customHeight="1" x14ac:dyDescent="0.25">
      <c r="C2317" s="52">
        <v>1</v>
      </c>
      <c r="T2317" s="33">
        <v>46118</v>
      </c>
      <c r="U2317" s="34">
        <v>2026</v>
      </c>
      <c r="V2317" s="35" t="s">
        <v>1982</v>
      </c>
      <c r="W2317" s="35" t="s">
        <v>3620</v>
      </c>
      <c r="Y2317" s="36" t="s">
        <v>2023</v>
      </c>
      <c r="Z2317" s="30" t="s">
        <v>2022</v>
      </c>
      <c r="AA2317" s="30" t="s">
        <v>340</v>
      </c>
      <c r="AD2317" s="38">
        <v>20</v>
      </c>
      <c r="AF2317" s="76">
        <f t="shared" si="224"/>
        <v>219060.11999999965</v>
      </c>
    </row>
    <row r="2318" spans="3:32" ht="8.25" customHeight="1" x14ac:dyDescent="0.25">
      <c r="R2318" s="53">
        <v>2</v>
      </c>
      <c r="T2318" s="33">
        <v>46118</v>
      </c>
      <c r="U2318" s="34">
        <v>2026</v>
      </c>
      <c r="V2318" s="35" t="s">
        <v>1982</v>
      </c>
      <c r="W2318" s="35" t="s">
        <v>5</v>
      </c>
      <c r="X2318" s="37" t="s">
        <v>2013</v>
      </c>
      <c r="Y2318" s="36" t="s">
        <v>2014</v>
      </c>
      <c r="Z2318" s="30" t="s">
        <v>2205</v>
      </c>
      <c r="AA2318" s="30" t="s">
        <v>1050</v>
      </c>
      <c r="AE2318" s="38">
        <v>1000</v>
      </c>
      <c r="AF2318" s="76">
        <f t="shared" si="224"/>
        <v>218060.11999999965</v>
      </c>
    </row>
    <row r="2319" spans="3:32" ht="8.25" customHeight="1" x14ac:dyDescent="0.25">
      <c r="R2319" s="53">
        <v>3</v>
      </c>
      <c r="T2319" s="33">
        <v>46118</v>
      </c>
      <c r="U2319" s="34">
        <v>2026</v>
      </c>
      <c r="V2319" s="35" t="s">
        <v>1982</v>
      </c>
      <c r="W2319" s="35" t="s">
        <v>5</v>
      </c>
      <c r="X2319" s="37" t="s">
        <v>2015</v>
      </c>
      <c r="Z2319" s="30" t="s">
        <v>1030</v>
      </c>
      <c r="AA2319" s="30" t="s">
        <v>2016</v>
      </c>
      <c r="AE2319" s="38">
        <v>5125</v>
      </c>
      <c r="AF2319" s="76">
        <f t="shared" si="224"/>
        <v>212935.11999999965</v>
      </c>
    </row>
    <row r="2320" spans="3:32" ht="8.25" customHeight="1" x14ac:dyDescent="0.25">
      <c r="G2320" s="53">
        <v>1</v>
      </c>
      <c r="T2320" s="33">
        <v>46118</v>
      </c>
      <c r="U2320" s="34">
        <v>2026</v>
      </c>
      <c r="V2320" s="35" t="s">
        <v>1982</v>
      </c>
      <c r="W2320" s="35" t="s">
        <v>2655</v>
      </c>
      <c r="Y2320" s="36" t="s">
        <v>2017</v>
      </c>
      <c r="Z2320" s="30" t="s">
        <v>1359</v>
      </c>
      <c r="AA2320" s="30" t="s">
        <v>3945</v>
      </c>
      <c r="AE2320" s="38">
        <v>15240</v>
      </c>
      <c r="AF2320" s="76">
        <f>AF2319+AD2320-AE2320</f>
        <v>197695.11999999965</v>
      </c>
    </row>
    <row r="2321" spans="7:32" ht="8.25" customHeight="1" x14ac:dyDescent="0.25">
      <c r="G2321" s="53">
        <v>2</v>
      </c>
      <c r="T2321" s="33">
        <v>46118</v>
      </c>
      <c r="U2321" s="34">
        <v>2026</v>
      </c>
      <c r="V2321" s="35" t="s">
        <v>1982</v>
      </c>
      <c r="W2321" s="35" t="s">
        <v>2655</v>
      </c>
      <c r="Y2321" s="36" t="s">
        <v>2018</v>
      </c>
      <c r="Z2321" s="30" t="s">
        <v>1999</v>
      </c>
      <c r="AA2321" s="30" t="s">
        <v>3945</v>
      </c>
      <c r="AE2321" s="38">
        <v>6912</v>
      </c>
      <c r="AF2321" s="76">
        <f t="shared" si="224"/>
        <v>190783.11999999965</v>
      </c>
    </row>
    <row r="2322" spans="7:32" ht="8.25" customHeight="1" x14ac:dyDescent="0.25">
      <c r="G2322" s="53">
        <v>3</v>
      </c>
      <c r="T2322" s="33">
        <v>46118</v>
      </c>
      <c r="U2322" s="34">
        <v>2026</v>
      </c>
      <c r="V2322" s="35" t="s">
        <v>1982</v>
      </c>
      <c r="W2322" s="35" t="s">
        <v>2655</v>
      </c>
      <c r="Y2322" s="36" t="s">
        <v>2019</v>
      </c>
      <c r="Z2322" s="30" t="s">
        <v>2002</v>
      </c>
      <c r="AA2322" s="30" t="s">
        <v>3945</v>
      </c>
      <c r="AE2322" s="38">
        <v>9984</v>
      </c>
      <c r="AF2322" s="76">
        <f t="shared" si="224"/>
        <v>180799.11999999965</v>
      </c>
    </row>
    <row r="2323" spans="7:32" ht="8.25" customHeight="1" x14ac:dyDescent="0.25">
      <c r="G2323" s="53">
        <v>4</v>
      </c>
      <c r="T2323" s="33">
        <v>46118</v>
      </c>
      <c r="U2323" s="34">
        <v>2026</v>
      </c>
      <c r="V2323" s="35" t="s">
        <v>1982</v>
      </c>
      <c r="W2323" s="35" t="s">
        <v>2655</v>
      </c>
      <c r="Y2323" s="36" t="s">
        <v>2020</v>
      </c>
      <c r="Z2323" s="30" t="s">
        <v>1602</v>
      </c>
      <c r="AA2323" s="30" t="s">
        <v>3945</v>
      </c>
      <c r="AE2323" s="38">
        <v>1585</v>
      </c>
      <c r="AF2323" s="76">
        <f t="shared" si="224"/>
        <v>179214.11999999965</v>
      </c>
    </row>
    <row r="2324" spans="7:32" ht="8.25" customHeight="1" x14ac:dyDescent="0.25">
      <c r="G2324" s="53">
        <v>5</v>
      </c>
      <c r="T2324" s="33">
        <v>46118</v>
      </c>
      <c r="U2324" s="34">
        <v>2026</v>
      </c>
      <c r="V2324" s="35" t="s">
        <v>1982</v>
      </c>
      <c r="W2324" s="35" t="s">
        <v>2655</v>
      </c>
      <c r="Y2324" s="36" t="s">
        <v>2021</v>
      </c>
      <c r="Z2324" s="30" t="s">
        <v>1718</v>
      </c>
      <c r="AA2324" s="30" t="s">
        <v>3945</v>
      </c>
      <c r="AE2324" s="38">
        <v>10517.72</v>
      </c>
      <c r="AF2324" s="76">
        <f t="shared" si="224"/>
        <v>168696.39999999964</v>
      </c>
    </row>
    <row r="2325" spans="7:32" ht="8.25" customHeight="1" thickBot="1" x14ac:dyDescent="0.3">
      <c r="Z2325" s="231" t="s">
        <v>2138</v>
      </c>
      <c r="AD2325" s="253">
        <f>SUM(AD2293:AD2324)</f>
        <v>75731</v>
      </c>
      <c r="AE2325" s="253">
        <f>SUM(AE2293:AE2324)</f>
        <v>50363.72</v>
      </c>
      <c r="AF2325" s="233">
        <f>AF2292+AD2325-AE2325</f>
        <v>168696.39999999964</v>
      </c>
    </row>
    <row r="2326" spans="7:32" ht="8.25" customHeight="1" thickTop="1" x14ac:dyDescent="0.25"/>
    <row r="2327" spans="7:32" ht="8.25" customHeight="1" x14ac:dyDescent="0.25">
      <c r="X2327" s="109"/>
      <c r="Y2327" s="67" t="s">
        <v>214</v>
      </c>
      <c r="Z2327" s="68"/>
      <c r="AA2327" s="75"/>
    </row>
    <row r="2328" spans="7:32" ht="8.25" customHeight="1" x14ac:dyDescent="0.25">
      <c r="X2328" s="110" t="s">
        <v>2024</v>
      </c>
      <c r="Y2328" s="111">
        <v>200</v>
      </c>
      <c r="Z2328" s="111">
        <f t="shared" ref="Z2328:Z2333" si="225">X2328*Y2328</f>
        <v>38800</v>
      </c>
      <c r="AA2328" s="112"/>
    </row>
    <row r="2329" spans="7:32" ht="8.25" customHeight="1" x14ac:dyDescent="0.25">
      <c r="X2329" s="110" t="s">
        <v>2230</v>
      </c>
      <c r="Y2329" s="111">
        <v>100</v>
      </c>
      <c r="Z2329" s="111">
        <f t="shared" si="225"/>
        <v>125800</v>
      </c>
      <c r="AA2329" s="112"/>
    </row>
    <row r="2330" spans="7:32" ht="8.25" customHeight="1" x14ac:dyDescent="0.25">
      <c r="X2330" s="110"/>
      <c r="Y2330" s="111">
        <v>50</v>
      </c>
      <c r="Z2330" s="111">
        <f t="shared" si="225"/>
        <v>0</v>
      </c>
      <c r="AA2330" s="76"/>
    </row>
    <row r="2331" spans="7:32" ht="8.25" customHeight="1" x14ac:dyDescent="0.25">
      <c r="X2331" s="110" t="s">
        <v>222</v>
      </c>
      <c r="Y2331" s="111">
        <v>20</v>
      </c>
      <c r="Z2331" s="111">
        <f t="shared" si="225"/>
        <v>20</v>
      </c>
      <c r="AA2331" s="38"/>
    </row>
    <row r="2332" spans="7:32" ht="8.25" customHeight="1" x14ac:dyDescent="0.25">
      <c r="X2332" s="110" t="s">
        <v>1429</v>
      </c>
      <c r="Y2332" s="111">
        <v>10</v>
      </c>
      <c r="Z2332" s="111">
        <f t="shared" si="225"/>
        <v>1230</v>
      </c>
      <c r="AA2332" s="112"/>
    </row>
    <row r="2333" spans="7:32" ht="8.25" customHeight="1" x14ac:dyDescent="0.25">
      <c r="X2333" s="110" t="s">
        <v>2231</v>
      </c>
      <c r="Y2333" s="111">
        <v>5</v>
      </c>
      <c r="Z2333" s="111">
        <f t="shared" si="225"/>
        <v>1665</v>
      </c>
      <c r="AA2333" s="112"/>
    </row>
    <row r="2334" spans="7:32" ht="8.25" customHeight="1" x14ac:dyDescent="0.25">
      <c r="X2334" s="269"/>
      <c r="Y2334" s="270"/>
      <c r="Z2334" s="271"/>
      <c r="AA2334" s="38"/>
    </row>
    <row r="2335" spans="7:32" ht="8.25" customHeight="1" x14ac:dyDescent="0.25">
      <c r="X2335" s="110" t="s">
        <v>2025</v>
      </c>
      <c r="Y2335" s="111">
        <v>1</v>
      </c>
      <c r="Z2335" s="111">
        <f t="shared" ref="Z2335:Z2340" si="226">X2335*Y2335</f>
        <v>1096</v>
      </c>
      <c r="AA2335" s="76"/>
    </row>
    <row r="2336" spans="7:32" ht="8.25" customHeight="1" x14ac:dyDescent="0.25">
      <c r="X2336" s="110" t="s">
        <v>1496</v>
      </c>
      <c r="Y2336" s="111">
        <v>0.5</v>
      </c>
      <c r="Z2336" s="111">
        <f t="shared" si="226"/>
        <v>40.5</v>
      </c>
      <c r="AA2336" s="112"/>
    </row>
    <row r="2337" spans="9:32" ht="8.25" customHeight="1" x14ac:dyDescent="0.25">
      <c r="X2337" s="110" t="s">
        <v>2026</v>
      </c>
      <c r="Y2337" s="111">
        <v>0.25</v>
      </c>
      <c r="Z2337" s="111">
        <f t="shared" si="226"/>
        <v>44.75</v>
      </c>
      <c r="AA2337" s="113"/>
    </row>
    <row r="2338" spans="9:32" ht="8.25" customHeight="1" x14ac:dyDescent="0.25">
      <c r="X2338" s="110" t="s">
        <v>222</v>
      </c>
      <c r="Y2338" s="111">
        <v>0.1</v>
      </c>
      <c r="Z2338" s="111">
        <f t="shared" si="226"/>
        <v>0.1</v>
      </c>
      <c r="AA2338" s="114" t="s">
        <v>219</v>
      </c>
    </row>
    <row r="2339" spans="9:32" ht="8.25" customHeight="1" thickBot="1" x14ac:dyDescent="0.3">
      <c r="X2339" s="110" t="s">
        <v>222</v>
      </c>
      <c r="Y2339" s="111">
        <v>0.05</v>
      </c>
      <c r="Z2339" s="111">
        <f t="shared" si="226"/>
        <v>0.05</v>
      </c>
      <c r="AA2339" s="115">
        <f>SUM(Z2328:Z2333)+Z2335+Z2336+Z2337+Z2338+Z2339+Z2340</f>
        <v>168696.4</v>
      </c>
    </row>
    <row r="2340" spans="9:32" ht="8.25" customHeight="1" thickTop="1" x14ac:dyDescent="0.25">
      <c r="X2340" s="110" t="s">
        <v>120</v>
      </c>
      <c r="Y2340" s="111">
        <v>0.01</v>
      </c>
      <c r="Z2340" s="111">
        <f t="shared" si="226"/>
        <v>0</v>
      </c>
    </row>
    <row r="2342" spans="9:32" ht="8.25" customHeight="1" x14ac:dyDescent="0.25">
      <c r="Z2342" s="231" t="s">
        <v>1376</v>
      </c>
      <c r="AF2342" s="76">
        <f>SUM(AF2324)</f>
        <v>168696.39999999964</v>
      </c>
    </row>
    <row r="2343" spans="9:32" ht="8.25" customHeight="1" x14ac:dyDescent="0.25">
      <c r="N2343" s="52">
        <v>9</v>
      </c>
      <c r="T2343" s="33">
        <v>46119</v>
      </c>
      <c r="U2343" s="34">
        <v>2026</v>
      </c>
      <c r="V2343" s="35" t="s">
        <v>1982</v>
      </c>
      <c r="W2343" s="35" t="s">
        <v>17</v>
      </c>
      <c r="X2343" s="37" t="s">
        <v>2027</v>
      </c>
      <c r="Y2343" s="36" t="s">
        <v>345</v>
      </c>
      <c r="Z2343" s="30" t="s">
        <v>2028</v>
      </c>
      <c r="AA2343" s="30" t="s">
        <v>3899</v>
      </c>
      <c r="AD2343" s="38">
        <v>10560.79</v>
      </c>
      <c r="AF2343" s="76">
        <f>AF2342+AD2343-AE2343</f>
        <v>179257.18999999965</v>
      </c>
    </row>
    <row r="2344" spans="9:32" ht="8.25" customHeight="1" x14ac:dyDescent="0.15">
      <c r="N2344" s="52">
        <v>9</v>
      </c>
      <c r="T2344" s="33">
        <v>46119</v>
      </c>
      <c r="U2344" s="34">
        <v>2026</v>
      </c>
      <c r="V2344" s="35" t="s">
        <v>1982</v>
      </c>
      <c r="W2344" s="35" t="s">
        <v>17</v>
      </c>
      <c r="X2344" s="37" t="s">
        <v>2027</v>
      </c>
      <c r="Y2344" s="36" t="s">
        <v>345</v>
      </c>
      <c r="Z2344" s="30" t="s">
        <v>2028</v>
      </c>
      <c r="AA2344" s="134" t="s">
        <v>166</v>
      </c>
      <c r="AD2344" s="38">
        <v>4439.21</v>
      </c>
      <c r="AF2344" s="76">
        <f>AF2343+AD2344-AE2344</f>
        <v>183696.39999999964</v>
      </c>
    </row>
    <row r="2345" spans="9:32" ht="8.25" customHeight="1" x14ac:dyDescent="0.15">
      <c r="K2345" s="52">
        <v>3</v>
      </c>
      <c r="T2345" s="33">
        <v>46119</v>
      </c>
      <c r="U2345" s="34">
        <v>2026</v>
      </c>
      <c r="V2345" s="35" t="s">
        <v>1982</v>
      </c>
      <c r="W2345" s="35" t="s">
        <v>17</v>
      </c>
      <c r="X2345" s="37" t="s">
        <v>2029</v>
      </c>
      <c r="Y2345" s="36" t="s">
        <v>2030</v>
      </c>
      <c r="Z2345" s="30" t="s">
        <v>2031</v>
      </c>
      <c r="AA2345" s="136" t="s">
        <v>1788</v>
      </c>
      <c r="AD2345" s="38">
        <v>100</v>
      </c>
      <c r="AF2345" s="76">
        <f>AF2344+AD2345-AE2345</f>
        <v>183796.39999999964</v>
      </c>
    </row>
    <row r="2346" spans="9:32" ht="8.25" customHeight="1" x14ac:dyDescent="0.25">
      <c r="L2346" s="52">
        <v>3</v>
      </c>
      <c r="T2346" s="33">
        <v>46119</v>
      </c>
      <c r="U2346" s="34">
        <v>2026</v>
      </c>
      <c r="V2346" s="35" t="s">
        <v>1982</v>
      </c>
      <c r="W2346" s="35" t="s">
        <v>17</v>
      </c>
      <c r="X2346" s="37" t="s">
        <v>2032</v>
      </c>
      <c r="Y2346" s="36" t="s">
        <v>2030</v>
      </c>
      <c r="Z2346" s="30" t="s">
        <v>2031</v>
      </c>
      <c r="AA2346" s="30" t="s">
        <v>373</v>
      </c>
      <c r="AD2346" s="38">
        <v>50</v>
      </c>
      <c r="AF2346" s="76">
        <f t="shared" ref="AF2346:AF2363" si="227">AF2345+AD2346-AE2346</f>
        <v>183846.39999999964</v>
      </c>
    </row>
    <row r="2347" spans="9:32" ht="8.25" customHeight="1" x14ac:dyDescent="0.25">
      <c r="I2347" s="52">
        <v>5</v>
      </c>
      <c r="T2347" s="33">
        <v>46119</v>
      </c>
      <c r="U2347" s="34">
        <v>2026</v>
      </c>
      <c r="V2347" s="35" t="s">
        <v>1982</v>
      </c>
      <c r="W2347" s="35" t="s">
        <v>17</v>
      </c>
      <c r="X2347" s="37" t="s">
        <v>2033</v>
      </c>
      <c r="Y2347" s="36" t="s">
        <v>2034</v>
      </c>
      <c r="Z2347" s="30" t="s">
        <v>2031</v>
      </c>
      <c r="AA2347" s="30" t="s">
        <v>13</v>
      </c>
      <c r="AD2347" s="38">
        <v>50</v>
      </c>
      <c r="AF2347" s="76">
        <f t="shared" si="227"/>
        <v>183896.39999999964</v>
      </c>
    </row>
    <row r="2348" spans="9:32" ht="8.25" customHeight="1" x14ac:dyDescent="0.25">
      <c r="N2348" s="52">
        <v>10</v>
      </c>
      <c r="T2348" s="33">
        <v>46119</v>
      </c>
      <c r="U2348" s="34">
        <v>2026</v>
      </c>
      <c r="V2348" s="35" t="s">
        <v>1982</v>
      </c>
      <c r="W2348" s="35" t="s">
        <v>17</v>
      </c>
      <c r="X2348" s="37" t="s">
        <v>2035</v>
      </c>
      <c r="Y2348" s="36" t="s">
        <v>1396</v>
      </c>
      <c r="Z2348" s="30" t="s">
        <v>2036</v>
      </c>
      <c r="AA2348" s="30" t="s">
        <v>3899</v>
      </c>
      <c r="AD2348" s="38">
        <v>7196.26</v>
      </c>
      <c r="AF2348" s="76">
        <f t="shared" si="227"/>
        <v>191092.65999999965</v>
      </c>
    </row>
    <row r="2349" spans="9:32" ht="8.25" customHeight="1" x14ac:dyDescent="0.15">
      <c r="N2349" s="52">
        <v>10</v>
      </c>
      <c r="T2349" s="33">
        <v>46119</v>
      </c>
      <c r="U2349" s="34">
        <v>2026</v>
      </c>
      <c r="V2349" s="35" t="s">
        <v>1982</v>
      </c>
      <c r="W2349" s="35" t="s">
        <v>17</v>
      </c>
      <c r="X2349" s="37" t="s">
        <v>2035</v>
      </c>
      <c r="Y2349" s="36" t="s">
        <v>1396</v>
      </c>
      <c r="Z2349" s="30" t="s">
        <v>2036</v>
      </c>
      <c r="AA2349" s="134" t="s">
        <v>166</v>
      </c>
      <c r="AD2349" s="38">
        <v>6803.74</v>
      </c>
      <c r="AF2349" s="76">
        <f t="shared" si="227"/>
        <v>197896.39999999964</v>
      </c>
    </row>
    <row r="2350" spans="9:32" ht="8.25" customHeight="1" x14ac:dyDescent="0.25">
      <c r="N2350" s="52">
        <v>11</v>
      </c>
      <c r="T2350" s="33">
        <v>46119</v>
      </c>
      <c r="U2350" s="34">
        <v>2026</v>
      </c>
      <c r="V2350" s="35" t="s">
        <v>1982</v>
      </c>
      <c r="W2350" s="35" t="s">
        <v>17</v>
      </c>
      <c r="X2350" s="37" t="s">
        <v>2037</v>
      </c>
      <c r="Y2350" s="36" t="s">
        <v>2038</v>
      </c>
      <c r="Z2350" s="30" t="s">
        <v>1573</v>
      </c>
      <c r="AA2350" s="30" t="s">
        <v>3899</v>
      </c>
      <c r="AD2350" s="38">
        <v>4123.33</v>
      </c>
      <c r="AF2350" s="76">
        <f t="shared" si="227"/>
        <v>202019.72999999963</v>
      </c>
    </row>
    <row r="2351" spans="9:32" ht="8.25" customHeight="1" x14ac:dyDescent="0.15">
      <c r="N2351" s="52">
        <v>11</v>
      </c>
      <c r="T2351" s="33">
        <v>46119</v>
      </c>
      <c r="U2351" s="34">
        <v>2026</v>
      </c>
      <c r="V2351" s="35" t="s">
        <v>1982</v>
      </c>
      <c r="W2351" s="35" t="s">
        <v>17</v>
      </c>
      <c r="X2351" s="37" t="s">
        <v>2037</v>
      </c>
      <c r="Y2351" s="36" t="s">
        <v>2038</v>
      </c>
      <c r="Z2351" s="30" t="s">
        <v>1573</v>
      </c>
      <c r="AA2351" s="134" t="s">
        <v>166</v>
      </c>
      <c r="AD2351" s="38">
        <v>3287.67</v>
      </c>
      <c r="AF2351" s="76">
        <f t="shared" si="227"/>
        <v>205307.39999999964</v>
      </c>
    </row>
    <row r="2352" spans="9:32" ht="8.25" customHeight="1" x14ac:dyDescent="0.25">
      <c r="I2352" s="52">
        <v>6</v>
      </c>
      <c r="T2352" s="33">
        <v>46119</v>
      </c>
      <c r="U2352" s="34">
        <v>2026</v>
      </c>
      <c r="V2352" s="35" t="s">
        <v>1982</v>
      </c>
      <c r="W2352" s="35" t="s">
        <v>17</v>
      </c>
      <c r="X2352" s="37" t="s">
        <v>2039</v>
      </c>
      <c r="Y2352" s="36" t="s">
        <v>1643</v>
      </c>
      <c r="Z2352" s="30" t="s">
        <v>2040</v>
      </c>
      <c r="AA2352" s="30" t="s">
        <v>13</v>
      </c>
      <c r="AD2352" s="38">
        <v>200</v>
      </c>
      <c r="AF2352" s="76">
        <f t="shared" si="227"/>
        <v>205507.39999999964</v>
      </c>
    </row>
    <row r="2353" spans="6:32" ht="8.25" customHeight="1" x14ac:dyDescent="0.25">
      <c r="T2353" s="33">
        <v>46119</v>
      </c>
      <c r="U2353" s="34">
        <v>2026</v>
      </c>
      <c r="V2353" s="35" t="s">
        <v>1982</v>
      </c>
      <c r="W2353" s="35" t="s">
        <v>17</v>
      </c>
      <c r="X2353" s="37" t="s">
        <v>2041</v>
      </c>
      <c r="Z2353" s="30" t="s">
        <v>1293</v>
      </c>
      <c r="AF2353" s="76">
        <f t="shared" si="227"/>
        <v>205507.39999999964</v>
      </c>
    </row>
    <row r="2354" spans="6:32" ht="8.25" customHeight="1" x14ac:dyDescent="0.25">
      <c r="L2354" s="52">
        <v>4</v>
      </c>
      <c r="T2354" s="33">
        <v>46119</v>
      </c>
      <c r="U2354" s="34">
        <v>2026</v>
      </c>
      <c r="V2354" s="35" t="s">
        <v>1982</v>
      </c>
      <c r="W2354" s="35" t="s">
        <v>17</v>
      </c>
      <c r="X2354" s="37" t="s">
        <v>2043</v>
      </c>
      <c r="Y2354" s="36" t="s">
        <v>120</v>
      </c>
      <c r="Z2354" s="30" t="s">
        <v>2042</v>
      </c>
      <c r="AA2354" s="30" t="s">
        <v>373</v>
      </c>
      <c r="AD2354" s="38">
        <v>25</v>
      </c>
      <c r="AF2354" s="76">
        <f t="shared" si="227"/>
        <v>205532.39999999964</v>
      </c>
    </row>
    <row r="2355" spans="6:32" ht="8.25" customHeight="1" x14ac:dyDescent="0.15">
      <c r="K2355" s="52">
        <v>4</v>
      </c>
      <c r="T2355" s="33">
        <v>46119</v>
      </c>
      <c r="U2355" s="34">
        <v>2026</v>
      </c>
      <c r="V2355" s="35" t="s">
        <v>1982</v>
      </c>
      <c r="W2355" s="35" t="s">
        <v>17</v>
      </c>
      <c r="X2355" s="37" t="s">
        <v>2044</v>
      </c>
      <c r="Y2355" s="36" t="s">
        <v>2045</v>
      </c>
      <c r="Z2355" s="30" t="s">
        <v>2046</v>
      </c>
      <c r="AA2355" s="136" t="s">
        <v>1788</v>
      </c>
      <c r="AD2355" s="38">
        <v>100</v>
      </c>
      <c r="AF2355" s="76">
        <f t="shared" si="227"/>
        <v>205632.39999999964</v>
      </c>
    </row>
    <row r="2356" spans="6:32" ht="8.25" customHeight="1" x14ac:dyDescent="0.25">
      <c r="L2356" s="52">
        <v>5</v>
      </c>
      <c r="T2356" s="33">
        <v>46119</v>
      </c>
      <c r="U2356" s="34">
        <v>2026</v>
      </c>
      <c r="V2356" s="35" t="s">
        <v>1982</v>
      </c>
      <c r="W2356" s="35" t="s">
        <v>17</v>
      </c>
      <c r="X2356" s="37" t="s">
        <v>2047</v>
      </c>
      <c r="Y2356" s="36" t="s">
        <v>120</v>
      </c>
      <c r="Z2356" s="30" t="s">
        <v>2046</v>
      </c>
      <c r="AA2356" s="30" t="s">
        <v>373</v>
      </c>
      <c r="AD2356" s="38">
        <v>50</v>
      </c>
      <c r="AF2356" s="76">
        <f t="shared" si="227"/>
        <v>205682.39999999964</v>
      </c>
    </row>
    <row r="2357" spans="6:32" ht="8.25" customHeight="1" x14ac:dyDescent="0.25">
      <c r="I2357" s="52">
        <v>7</v>
      </c>
      <c r="T2357" s="33">
        <v>46119</v>
      </c>
      <c r="U2357" s="34">
        <v>2026</v>
      </c>
      <c r="V2357" s="35" t="s">
        <v>1982</v>
      </c>
      <c r="W2357" s="35" t="s">
        <v>17</v>
      </c>
      <c r="X2357" s="37" t="s">
        <v>2048</v>
      </c>
      <c r="Y2357" s="36" t="s">
        <v>2049</v>
      </c>
      <c r="Z2357" s="30" t="s">
        <v>2050</v>
      </c>
      <c r="AA2357" s="30" t="s">
        <v>13</v>
      </c>
      <c r="AD2357" s="38">
        <v>500</v>
      </c>
      <c r="AF2357" s="76">
        <f t="shared" si="227"/>
        <v>206182.39999999964</v>
      </c>
    </row>
    <row r="2358" spans="6:32" ht="8.25" customHeight="1" x14ac:dyDescent="0.25">
      <c r="I2358" s="52">
        <v>8</v>
      </c>
      <c r="T2358" s="33">
        <v>46119</v>
      </c>
      <c r="U2358" s="34">
        <v>2026</v>
      </c>
      <c r="V2358" s="35" t="s">
        <v>1982</v>
      </c>
      <c r="W2358" s="35" t="s">
        <v>17</v>
      </c>
      <c r="X2358" s="37" t="s">
        <v>2051</v>
      </c>
      <c r="Y2358" s="36" t="s">
        <v>2053</v>
      </c>
      <c r="Z2358" s="30" t="s">
        <v>2042</v>
      </c>
      <c r="AA2358" s="30" t="s">
        <v>2321</v>
      </c>
      <c r="AD2358" s="38">
        <v>200</v>
      </c>
      <c r="AF2358" s="76">
        <f t="shared" si="227"/>
        <v>206382.39999999964</v>
      </c>
    </row>
    <row r="2359" spans="6:32" ht="8.25" customHeight="1" x14ac:dyDescent="0.25">
      <c r="I2359" s="52">
        <v>9</v>
      </c>
      <c r="T2359" s="33">
        <v>46119</v>
      </c>
      <c r="U2359" s="34">
        <v>2026</v>
      </c>
      <c r="V2359" s="35" t="s">
        <v>1982</v>
      </c>
      <c r="W2359" s="35" t="s">
        <v>17</v>
      </c>
      <c r="X2359" s="37" t="s">
        <v>2052</v>
      </c>
      <c r="Y2359" s="36" t="s">
        <v>2054</v>
      </c>
      <c r="Z2359" s="30" t="s">
        <v>2046</v>
      </c>
      <c r="AA2359" s="30" t="s">
        <v>13</v>
      </c>
      <c r="AD2359" s="38">
        <v>300</v>
      </c>
      <c r="AF2359" s="76">
        <f t="shared" si="227"/>
        <v>206682.39999999964</v>
      </c>
    </row>
    <row r="2360" spans="6:32" ht="8.25" customHeight="1" x14ac:dyDescent="0.25">
      <c r="R2360" s="53">
        <v>4</v>
      </c>
      <c r="T2360" s="33">
        <v>46119</v>
      </c>
      <c r="U2360" s="34">
        <v>2026</v>
      </c>
      <c r="V2360" s="35" t="s">
        <v>1982</v>
      </c>
      <c r="W2360" s="35" t="s">
        <v>5</v>
      </c>
      <c r="X2360" s="37" t="s">
        <v>2055</v>
      </c>
      <c r="Y2360" s="36" t="s">
        <v>114</v>
      </c>
      <c r="Z2360" s="30" t="s">
        <v>1747</v>
      </c>
      <c r="AA2360" s="30" t="s">
        <v>1050</v>
      </c>
      <c r="AE2360" s="38">
        <v>300</v>
      </c>
      <c r="AF2360" s="76">
        <f t="shared" si="227"/>
        <v>206382.39999999964</v>
      </c>
    </row>
    <row r="2361" spans="6:32" ht="8.25" customHeight="1" x14ac:dyDescent="0.25">
      <c r="G2361" s="53">
        <v>6</v>
      </c>
      <c r="T2361" s="33">
        <v>46119</v>
      </c>
      <c r="U2361" s="34">
        <v>2026</v>
      </c>
      <c r="V2361" s="35" t="s">
        <v>1982</v>
      </c>
      <c r="W2361" s="35" t="s">
        <v>2655</v>
      </c>
      <c r="Y2361" s="36" t="s">
        <v>2056</v>
      </c>
      <c r="Z2361" s="30" t="s">
        <v>2050</v>
      </c>
      <c r="AA2361" s="30" t="s">
        <v>3945</v>
      </c>
      <c r="AE2361" s="38">
        <v>2205.16</v>
      </c>
      <c r="AF2361" s="76">
        <f t="shared" si="227"/>
        <v>204177.23999999964</v>
      </c>
    </row>
    <row r="2362" spans="6:32" ht="8.25" customHeight="1" x14ac:dyDescent="0.25">
      <c r="F2362" s="53">
        <v>1</v>
      </c>
      <c r="T2362" s="33">
        <v>46119</v>
      </c>
      <c r="U2362" s="34">
        <v>2026</v>
      </c>
      <c r="V2362" s="35" t="s">
        <v>1982</v>
      </c>
      <c r="W2362" s="35" t="s">
        <v>2655</v>
      </c>
      <c r="Y2362" s="36" t="s">
        <v>2058</v>
      </c>
      <c r="Z2362" s="30" t="s">
        <v>2057</v>
      </c>
      <c r="AA2362" s="30" t="s">
        <v>3939</v>
      </c>
      <c r="AE2362" s="38">
        <v>2000</v>
      </c>
      <c r="AF2362" s="76">
        <f t="shared" si="227"/>
        <v>202177.23999999964</v>
      </c>
    </row>
    <row r="2363" spans="6:32" ht="8.25" customHeight="1" x14ac:dyDescent="0.25">
      <c r="F2363" s="53">
        <v>2</v>
      </c>
      <c r="T2363" s="33">
        <v>46119</v>
      </c>
      <c r="U2363" s="34">
        <v>2026</v>
      </c>
      <c r="V2363" s="35" t="s">
        <v>1982</v>
      </c>
      <c r="W2363" s="35" t="s">
        <v>2655</v>
      </c>
      <c r="Y2363" s="36" t="s">
        <v>2059</v>
      </c>
      <c r="Z2363" s="30" t="s">
        <v>2057</v>
      </c>
      <c r="AA2363" s="30" t="s">
        <v>3939</v>
      </c>
      <c r="AE2363" s="38">
        <v>1075</v>
      </c>
      <c r="AF2363" s="76">
        <f t="shared" si="227"/>
        <v>201102.23999999964</v>
      </c>
    </row>
    <row r="2364" spans="6:32" ht="8.25" customHeight="1" thickBot="1" x14ac:dyDescent="0.3">
      <c r="Z2364" s="231" t="s">
        <v>2137</v>
      </c>
      <c r="AD2364" s="253">
        <f>SUM(AD2343:AD2363)</f>
        <v>37986</v>
      </c>
      <c r="AE2364" s="253">
        <f>SUM(AE2343:AE2363)</f>
        <v>5580.16</v>
      </c>
      <c r="AF2364" s="233">
        <f>AF2342+AD2364-AE2364</f>
        <v>201102.23999999964</v>
      </c>
    </row>
    <row r="2365" spans="6:32" ht="8.25" customHeight="1" thickTop="1" x14ac:dyDescent="0.25"/>
    <row r="2366" spans="6:32" ht="8.25" customHeight="1" x14ac:dyDescent="0.25">
      <c r="X2366" s="109"/>
      <c r="Y2366" s="67" t="s">
        <v>214</v>
      </c>
      <c r="Z2366" s="68"/>
      <c r="AA2366" s="75"/>
    </row>
    <row r="2367" spans="6:32" ht="8.25" customHeight="1" x14ac:dyDescent="0.25">
      <c r="X2367" s="110" t="s">
        <v>2024</v>
      </c>
      <c r="Y2367" s="111">
        <v>200</v>
      </c>
      <c r="Z2367" s="111">
        <f t="shared" ref="Z2367:Z2372" si="228">X2367*Y2367</f>
        <v>38800</v>
      </c>
      <c r="AA2367" s="112"/>
    </row>
    <row r="2368" spans="6:32" ht="8.25" customHeight="1" x14ac:dyDescent="0.25">
      <c r="X2368" s="110" t="s">
        <v>2232</v>
      </c>
      <c r="Y2368" s="111">
        <v>100</v>
      </c>
      <c r="Z2368" s="111">
        <f t="shared" si="228"/>
        <v>158300</v>
      </c>
      <c r="AA2368" s="112"/>
    </row>
    <row r="2369" spans="9:32" ht="8.25" customHeight="1" x14ac:dyDescent="0.25">
      <c r="X2369" s="110" t="s">
        <v>222</v>
      </c>
      <c r="Y2369" s="111">
        <v>50</v>
      </c>
      <c r="Z2369" s="111">
        <f t="shared" si="228"/>
        <v>50</v>
      </c>
      <c r="AA2369" s="76"/>
    </row>
    <row r="2370" spans="9:32" ht="8.25" customHeight="1" x14ac:dyDescent="0.25">
      <c r="X2370" s="110" t="s">
        <v>224</v>
      </c>
      <c r="Y2370" s="111">
        <v>20</v>
      </c>
      <c r="Z2370" s="111">
        <f t="shared" si="228"/>
        <v>40</v>
      </c>
      <c r="AA2370" s="38"/>
    </row>
    <row r="2371" spans="9:32" ht="8.25" customHeight="1" x14ac:dyDescent="0.25">
      <c r="X2371" s="110" t="s">
        <v>2233</v>
      </c>
      <c r="Y2371" s="111">
        <v>10</v>
      </c>
      <c r="Z2371" s="111">
        <f t="shared" si="228"/>
        <v>1080</v>
      </c>
      <c r="AA2371" s="112"/>
    </row>
    <row r="2372" spans="9:32" ht="8.25" customHeight="1" x14ac:dyDescent="0.25">
      <c r="X2372" s="110" t="s">
        <v>2234</v>
      </c>
      <c r="Y2372" s="111">
        <v>5</v>
      </c>
      <c r="Z2372" s="111">
        <f t="shared" si="228"/>
        <v>1650</v>
      </c>
      <c r="AA2372" s="112"/>
    </row>
    <row r="2373" spans="9:32" ht="8.25" customHeight="1" x14ac:dyDescent="0.25">
      <c r="X2373" s="269"/>
      <c r="Y2373" s="270"/>
      <c r="Z2373" s="271"/>
      <c r="AA2373" s="38"/>
    </row>
    <row r="2374" spans="9:32" ht="8.25" customHeight="1" x14ac:dyDescent="0.25">
      <c r="X2374" s="110" t="s">
        <v>2061</v>
      </c>
      <c r="Y2374" s="111">
        <v>1</v>
      </c>
      <c r="Z2374" s="111">
        <f t="shared" ref="Z2374:Z2379" si="229">X2374*Y2374</f>
        <v>1097</v>
      </c>
      <c r="AA2374" s="76"/>
    </row>
    <row r="2375" spans="9:32" ht="8.25" customHeight="1" x14ac:dyDescent="0.25">
      <c r="X2375" s="110" t="s">
        <v>1496</v>
      </c>
      <c r="Y2375" s="111">
        <v>0.5</v>
      </c>
      <c r="Z2375" s="111">
        <f t="shared" si="229"/>
        <v>40.5</v>
      </c>
      <c r="AA2375" s="112"/>
    </row>
    <row r="2376" spans="9:32" ht="8.25" customHeight="1" x14ac:dyDescent="0.25">
      <c r="X2376" s="110" t="s">
        <v>2062</v>
      </c>
      <c r="Y2376" s="111">
        <v>0.25</v>
      </c>
      <c r="Z2376" s="111">
        <f t="shared" si="229"/>
        <v>44.5</v>
      </c>
      <c r="AA2376" s="113"/>
    </row>
    <row r="2377" spans="9:32" ht="8.25" customHeight="1" x14ac:dyDescent="0.25">
      <c r="X2377" s="110" t="s">
        <v>224</v>
      </c>
      <c r="Y2377" s="111">
        <v>0.1</v>
      </c>
      <c r="Z2377" s="111">
        <f t="shared" si="229"/>
        <v>0.2</v>
      </c>
      <c r="AA2377" s="114" t="s">
        <v>219</v>
      </c>
    </row>
    <row r="2378" spans="9:32" ht="8.25" customHeight="1" thickBot="1" x14ac:dyDescent="0.3">
      <c r="X2378" s="110" t="s">
        <v>120</v>
      </c>
      <c r="Y2378" s="111">
        <v>0.05</v>
      </c>
      <c r="Z2378" s="111">
        <f t="shared" si="229"/>
        <v>0</v>
      </c>
      <c r="AA2378" s="115">
        <f>SUM(Z2367:Z2372)+Z2374+Z2375+Z2376+Z2377+Z2378+Z2379</f>
        <v>201102.24000000002</v>
      </c>
    </row>
    <row r="2379" spans="9:32" ht="8.25" customHeight="1" thickTop="1" x14ac:dyDescent="0.25">
      <c r="X2379" s="110" t="s">
        <v>299</v>
      </c>
      <c r="Y2379" s="111">
        <v>0.01</v>
      </c>
      <c r="Z2379" s="111">
        <f t="shared" si="229"/>
        <v>0.04</v>
      </c>
    </row>
    <row r="2381" spans="9:32" ht="8.25" customHeight="1" x14ac:dyDescent="0.25">
      <c r="Z2381" s="231" t="s">
        <v>1376</v>
      </c>
      <c r="AF2381" s="76">
        <f>SUM(AF2363)</f>
        <v>201102.23999999964</v>
      </c>
    </row>
    <row r="2382" spans="9:32" ht="8.25" customHeight="1" x14ac:dyDescent="0.25">
      <c r="N2382" s="52">
        <v>12</v>
      </c>
      <c r="T2382" s="33">
        <v>46120</v>
      </c>
      <c r="U2382" s="34">
        <v>2026</v>
      </c>
      <c r="V2382" s="35" t="s">
        <v>1982</v>
      </c>
      <c r="W2382" s="35" t="s">
        <v>17</v>
      </c>
      <c r="X2382" s="37" t="s">
        <v>2063</v>
      </c>
      <c r="Y2382" s="36" t="s">
        <v>351</v>
      </c>
      <c r="Z2382" s="30" t="s">
        <v>2064</v>
      </c>
      <c r="AA2382" s="30" t="s">
        <v>3899</v>
      </c>
      <c r="AD2382" s="38">
        <v>1015.73</v>
      </c>
      <c r="AF2382" s="76">
        <f t="shared" ref="AF2382:AF2388" si="230">AF2381+AD2382-AE2382</f>
        <v>202117.96999999965</v>
      </c>
    </row>
    <row r="2383" spans="9:32" ht="8.25" customHeight="1" x14ac:dyDescent="0.15">
      <c r="N2383" s="52">
        <v>12</v>
      </c>
      <c r="T2383" s="33">
        <v>46120</v>
      </c>
      <c r="U2383" s="34">
        <v>2026</v>
      </c>
      <c r="V2383" s="35" t="s">
        <v>1982</v>
      </c>
      <c r="W2383" s="35" t="s">
        <v>17</v>
      </c>
      <c r="X2383" s="37" t="s">
        <v>2063</v>
      </c>
      <c r="Y2383" s="36" t="s">
        <v>351</v>
      </c>
      <c r="Z2383" s="30" t="s">
        <v>2064</v>
      </c>
      <c r="AA2383" s="134" t="s">
        <v>166</v>
      </c>
      <c r="AD2383" s="38">
        <v>683.27</v>
      </c>
      <c r="AF2383" s="76">
        <f t="shared" si="230"/>
        <v>202801.23999999964</v>
      </c>
    </row>
    <row r="2384" spans="9:32" ht="8.25" customHeight="1" x14ac:dyDescent="0.25">
      <c r="I2384" s="52">
        <v>10</v>
      </c>
      <c r="T2384" s="33">
        <v>46120</v>
      </c>
      <c r="U2384" s="34">
        <v>2026</v>
      </c>
      <c r="V2384" s="35" t="s">
        <v>1982</v>
      </c>
      <c r="W2384" s="35" t="s">
        <v>17</v>
      </c>
      <c r="X2384" s="37" t="s">
        <v>2065</v>
      </c>
      <c r="Y2384" s="36" t="s">
        <v>262</v>
      </c>
      <c r="Z2384" s="30" t="s">
        <v>1600</v>
      </c>
      <c r="AA2384" s="30" t="s">
        <v>1044</v>
      </c>
      <c r="AD2384" s="38">
        <v>24600</v>
      </c>
      <c r="AF2384" s="76">
        <f t="shared" si="230"/>
        <v>227401.23999999964</v>
      </c>
    </row>
    <row r="2385" spans="6:32" ht="8.25" customHeight="1" x14ac:dyDescent="0.25">
      <c r="T2385" s="33">
        <v>46120</v>
      </c>
      <c r="U2385" s="34">
        <v>2026</v>
      </c>
      <c r="V2385" s="35" t="s">
        <v>1982</v>
      </c>
      <c r="W2385" s="35" t="s">
        <v>17</v>
      </c>
      <c r="X2385" s="37" t="s">
        <v>2074</v>
      </c>
      <c r="Y2385" s="36" t="s">
        <v>331</v>
      </c>
      <c r="Z2385" s="36" t="s">
        <v>1499</v>
      </c>
      <c r="AA2385" s="30" t="s">
        <v>3899</v>
      </c>
      <c r="AD2385" s="38">
        <v>3314.46</v>
      </c>
      <c r="AF2385" s="76">
        <f t="shared" si="230"/>
        <v>230715.69999999963</v>
      </c>
    </row>
    <row r="2386" spans="6:32" ht="8.25" customHeight="1" x14ac:dyDescent="0.15">
      <c r="T2386" s="33">
        <v>46120</v>
      </c>
      <c r="U2386" s="34">
        <v>2026</v>
      </c>
      <c r="V2386" s="35" t="s">
        <v>1982</v>
      </c>
      <c r="W2386" s="35" t="s">
        <v>17</v>
      </c>
      <c r="X2386" s="37" t="s">
        <v>2074</v>
      </c>
      <c r="Y2386" s="36" t="s">
        <v>331</v>
      </c>
      <c r="Z2386" s="36" t="s">
        <v>1499</v>
      </c>
      <c r="AA2386" s="134" t="s">
        <v>166</v>
      </c>
      <c r="AD2386" s="38">
        <v>2685.54</v>
      </c>
      <c r="AF2386" s="76">
        <f t="shared" si="230"/>
        <v>233401.23999999964</v>
      </c>
    </row>
    <row r="2387" spans="6:32" ht="8.25" customHeight="1" x14ac:dyDescent="0.25">
      <c r="K2387" s="52">
        <v>5</v>
      </c>
      <c r="T2387" s="33">
        <v>46120</v>
      </c>
      <c r="U2387" s="34">
        <v>2026</v>
      </c>
      <c r="V2387" s="35" t="s">
        <v>1982</v>
      </c>
      <c r="W2387" s="35" t="s">
        <v>17</v>
      </c>
      <c r="X2387" s="37" t="s">
        <v>2070</v>
      </c>
      <c r="Y2387" s="36" t="s">
        <v>2071</v>
      </c>
      <c r="Z2387" s="30" t="s">
        <v>2072</v>
      </c>
      <c r="AA2387" s="30" t="s">
        <v>3273</v>
      </c>
      <c r="AD2387" s="38">
        <v>100</v>
      </c>
      <c r="AF2387" s="76">
        <f t="shared" si="230"/>
        <v>233501.23999999964</v>
      </c>
    </row>
    <row r="2388" spans="6:32" ht="8.25" customHeight="1" x14ac:dyDescent="0.25">
      <c r="R2388" s="53">
        <v>5</v>
      </c>
      <c r="T2388" s="33">
        <v>46120</v>
      </c>
      <c r="U2388" s="34">
        <v>2026</v>
      </c>
      <c r="V2388" s="35" t="s">
        <v>1982</v>
      </c>
      <c r="W2388" s="35" t="s">
        <v>5</v>
      </c>
      <c r="X2388" s="37" t="s">
        <v>2066</v>
      </c>
      <c r="Y2388" s="36" t="s">
        <v>116</v>
      </c>
      <c r="Z2388" s="30" t="s">
        <v>1597</v>
      </c>
      <c r="AA2388" s="30" t="s">
        <v>1050</v>
      </c>
      <c r="AE2388" s="38">
        <v>1500</v>
      </c>
      <c r="AF2388" s="76">
        <f t="shared" si="230"/>
        <v>232001.23999999964</v>
      </c>
    </row>
    <row r="2389" spans="6:32" ht="8.25" customHeight="1" x14ac:dyDescent="0.25">
      <c r="G2389" s="53">
        <v>7</v>
      </c>
      <c r="T2389" s="33">
        <v>46120</v>
      </c>
      <c r="U2389" s="34">
        <v>2026</v>
      </c>
      <c r="V2389" s="35" t="s">
        <v>1982</v>
      </c>
      <c r="W2389" s="35" t="s">
        <v>2655</v>
      </c>
      <c r="Y2389" s="36" t="s">
        <v>2067</v>
      </c>
      <c r="Z2389" s="30" t="s">
        <v>2064</v>
      </c>
      <c r="AA2389" s="30" t="s">
        <v>3945</v>
      </c>
      <c r="AE2389" s="38">
        <v>6144</v>
      </c>
      <c r="AF2389" s="76">
        <f t="shared" ref="AF2389:AF2390" si="231">AF2388+AD2389-AE2389</f>
        <v>225857.23999999964</v>
      </c>
    </row>
    <row r="2390" spans="6:32" ht="8.25" customHeight="1" x14ac:dyDescent="0.25">
      <c r="F2390" s="53">
        <v>3</v>
      </c>
      <c r="T2390" s="33">
        <v>46120</v>
      </c>
      <c r="U2390" s="34">
        <v>2026</v>
      </c>
      <c r="V2390" s="35" t="s">
        <v>1982</v>
      </c>
      <c r="W2390" s="35" t="s">
        <v>2655</v>
      </c>
      <c r="Y2390" s="36" t="s">
        <v>2069</v>
      </c>
      <c r="Z2390" s="30" t="s">
        <v>2068</v>
      </c>
      <c r="AA2390" s="30" t="s">
        <v>3939</v>
      </c>
      <c r="AE2390" s="38">
        <v>2000</v>
      </c>
      <c r="AF2390" s="76">
        <f t="shared" si="231"/>
        <v>223857.23999999964</v>
      </c>
    </row>
    <row r="2391" spans="6:32" ht="8.25" customHeight="1" thickBot="1" x14ac:dyDescent="0.3">
      <c r="Z2391" s="75" t="s">
        <v>2113</v>
      </c>
      <c r="AD2391" s="233">
        <f>SUM(AD2382:AD2390)</f>
        <v>32399</v>
      </c>
      <c r="AE2391" s="233">
        <f>SUM(AE2382:AE2390)</f>
        <v>9644</v>
      </c>
      <c r="AF2391" s="233">
        <f>AF2381+AD2391-AE2391</f>
        <v>223857.23999999964</v>
      </c>
    </row>
    <row r="2392" spans="6:32" ht="8.25" customHeight="1" thickTop="1" x14ac:dyDescent="0.25"/>
    <row r="2393" spans="6:32" ht="8.25" customHeight="1" x14ac:dyDescent="0.25">
      <c r="X2393" s="109"/>
      <c r="Y2393" s="67" t="s">
        <v>214</v>
      </c>
      <c r="Z2393" s="68"/>
      <c r="AA2393" s="75"/>
    </row>
    <row r="2394" spans="6:32" ht="8.25" customHeight="1" x14ac:dyDescent="0.25">
      <c r="X2394" s="110" t="s">
        <v>2073</v>
      </c>
      <c r="Y2394" s="111">
        <v>200</v>
      </c>
      <c r="Z2394" s="111">
        <f t="shared" ref="Z2394:Z2399" si="232">X2394*Y2394</f>
        <v>40000</v>
      </c>
      <c r="AA2394" s="112"/>
    </row>
    <row r="2395" spans="6:32" ht="8.25" customHeight="1" x14ac:dyDescent="0.25">
      <c r="X2395" s="110" t="s">
        <v>2235</v>
      </c>
      <c r="Y2395" s="111">
        <v>100</v>
      </c>
      <c r="Z2395" s="111">
        <f t="shared" si="232"/>
        <v>179900</v>
      </c>
      <c r="AA2395" s="112"/>
    </row>
    <row r="2396" spans="6:32" ht="8.25" customHeight="1" x14ac:dyDescent="0.25">
      <c r="X2396" s="110" t="s">
        <v>222</v>
      </c>
      <c r="Y2396" s="111">
        <v>50</v>
      </c>
      <c r="Z2396" s="111">
        <f t="shared" si="232"/>
        <v>50</v>
      </c>
      <c r="AA2396" s="76"/>
    </row>
    <row r="2397" spans="6:32" ht="8.25" customHeight="1" x14ac:dyDescent="0.25">
      <c r="X2397" s="110"/>
      <c r="Y2397" s="111">
        <v>20</v>
      </c>
      <c r="Z2397" s="111">
        <f t="shared" si="232"/>
        <v>0</v>
      </c>
      <c r="AA2397" s="38"/>
    </row>
    <row r="2398" spans="6:32" ht="8.25" customHeight="1" x14ac:dyDescent="0.25">
      <c r="X2398" s="110" t="s">
        <v>2233</v>
      </c>
      <c r="Y2398" s="111">
        <v>10</v>
      </c>
      <c r="Z2398" s="111">
        <f t="shared" si="232"/>
        <v>1080</v>
      </c>
      <c r="AA2398" s="112"/>
    </row>
    <row r="2399" spans="6:32" ht="8.25" customHeight="1" x14ac:dyDescent="0.25">
      <c r="X2399" s="110" t="s">
        <v>2234</v>
      </c>
      <c r="Y2399" s="111">
        <v>5</v>
      </c>
      <c r="Z2399" s="111">
        <f t="shared" si="232"/>
        <v>1650</v>
      </c>
      <c r="AA2399" s="112"/>
    </row>
    <row r="2400" spans="6:32" ht="8.25" customHeight="1" x14ac:dyDescent="0.25">
      <c r="X2400" s="269"/>
      <c r="Y2400" s="270"/>
      <c r="Z2400" s="271"/>
      <c r="AA2400" s="38"/>
    </row>
    <row r="2401" spans="9:32" ht="8.25" customHeight="1" x14ac:dyDescent="0.25">
      <c r="X2401" s="110" t="s">
        <v>2075</v>
      </c>
      <c r="Y2401" s="111">
        <v>1</v>
      </c>
      <c r="Z2401" s="111">
        <f t="shared" ref="Z2401:Z2406" si="233">X2401*Y2401</f>
        <v>1092</v>
      </c>
      <c r="AA2401" s="76"/>
    </row>
    <row r="2402" spans="9:32" ht="8.25" customHeight="1" x14ac:dyDescent="0.25">
      <c r="X2402" s="110" t="s">
        <v>1496</v>
      </c>
      <c r="Y2402" s="111">
        <v>0.5</v>
      </c>
      <c r="Z2402" s="111">
        <f t="shared" si="233"/>
        <v>40.5</v>
      </c>
      <c r="AA2402" s="112"/>
    </row>
    <row r="2403" spans="9:32" ht="8.25" customHeight="1" x14ac:dyDescent="0.25">
      <c r="X2403" s="110" t="s">
        <v>2062</v>
      </c>
      <c r="Y2403" s="111">
        <v>0.25</v>
      </c>
      <c r="Z2403" s="111">
        <f t="shared" si="233"/>
        <v>44.5</v>
      </c>
      <c r="AA2403" s="113"/>
    </row>
    <row r="2404" spans="9:32" ht="8.25" customHeight="1" x14ac:dyDescent="0.25">
      <c r="X2404" s="110" t="s">
        <v>224</v>
      </c>
      <c r="Y2404" s="111">
        <v>0.1</v>
      </c>
      <c r="Z2404" s="111">
        <f t="shared" si="233"/>
        <v>0.2</v>
      </c>
      <c r="AA2404" s="114" t="s">
        <v>219</v>
      </c>
    </row>
    <row r="2405" spans="9:32" ht="8.25" customHeight="1" thickBot="1" x14ac:dyDescent="0.3">
      <c r="X2405" s="110" t="s">
        <v>120</v>
      </c>
      <c r="Y2405" s="111">
        <v>0.05</v>
      </c>
      <c r="Z2405" s="111">
        <f t="shared" si="233"/>
        <v>0</v>
      </c>
      <c r="AA2405" s="115">
        <f>SUM(Z2394:Z2399)+Z2401+Z2402+Z2403+Z2404+Z2405+Z2406</f>
        <v>223857.24000000002</v>
      </c>
    </row>
    <row r="2406" spans="9:32" ht="8.25" customHeight="1" thickTop="1" x14ac:dyDescent="0.25">
      <c r="X2406" s="110" t="s">
        <v>299</v>
      </c>
      <c r="Y2406" s="111">
        <v>0.01</v>
      </c>
      <c r="Z2406" s="111">
        <f t="shared" si="233"/>
        <v>0.04</v>
      </c>
    </row>
    <row r="2408" spans="9:32" ht="8.25" customHeight="1" x14ac:dyDescent="0.25">
      <c r="Z2408" s="231" t="s">
        <v>1376</v>
      </c>
      <c r="AF2408" s="76">
        <f>SUM(AF2390)</f>
        <v>223857.23999999964</v>
      </c>
    </row>
    <row r="2409" spans="9:32" ht="8.25" customHeight="1" x14ac:dyDescent="0.25">
      <c r="N2409" s="52">
        <v>13</v>
      </c>
      <c r="T2409" s="33">
        <v>46121</v>
      </c>
      <c r="U2409" s="34">
        <v>2026</v>
      </c>
      <c r="V2409" s="35" t="s">
        <v>1982</v>
      </c>
      <c r="W2409" s="35" t="s">
        <v>17</v>
      </c>
      <c r="X2409" s="37" t="s">
        <v>2076</v>
      </c>
      <c r="Y2409" s="36" t="s">
        <v>453</v>
      </c>
      <c r="Z2409" s="30" t="s">
        <v>454</v>
      </c>
      <c r="AA2409" s="30" t="s">
        <v>3899</v>
      </c>
      <c r="AD2409" s="38">
        <v>5322.05</v>
      </c>
      <c r="AF2409" s="76">
        <f>AF2408+AD2409-AE2409</f>
        <v>229179.28999999963</v>
      </c>
    </row>
    <row r="2410" spans="9:32" ht="8.25" customHeight="1" x14ac:dyDescent="0.15">
      <c r="N2410" s="52">
        <v>13</v>
      </c>
      <c r="T2410" s="33">
        <v>46121</v>
      </c>
      <c r="U2410" s="34">
        <v>2026</v>
      </c>
      <c r="V2410" s="35" t="s">
        <v>1982</v>
      </c>
      <c r="W2410" s="35" t="s">
        <v>17</v>
      </c>
      <c r="X2410" s="37" t="s">
        <v>2076</v>
      </c>
      <c r="Y2410" s="36" t="s">
        <v>453</v>
      </c>
      <c r="Z2410" s="30" t="s">
        <v>454</v>
      </c>
      <c r="AA2410" s="134" t="s">
        <v>166</v>
      </c>
      <c r="AD2410" s="38">
        <v>1677.95</v>
      </c>
      <c r="AF2410" s="76">
        <f>AF2409+AD2410-AE2410</f>
        <v>230857.23999999964</v>
      </c>
    </row>
    <row r="2411" spans="9:32" ht="8.25" customHeight="1" x14ac:dyDescent="0.25">
      <c r="N2411" s="52">
        <v>14</v>
      </c>
      <c r="T2411" s="33">
        <v>46121</v>
      </c>
      <c r="U2411" s="34">
        <v>2026</v>
      </c>
      <c r="V2411" s="35" t="s">
        <v>1982</v>
      </c>
      <c r="W2411" s="35" t="s">
        <v>17</v>
      </c>
      <c r="X2411" s="37" t="s">
        <v>2077</v>
      </c>
      <c r="Y2411" s="36" t="s">
        <v>1469</v>
      </c>
      <c r="Z2411" s="30" t="s">
        <v>2078</v>
      </c>
      <c r="AA2411" s="30" t="s">
        <v>3899</v>
      </c>
      <c r="AD2411" s="38">
        <v>4965.53</v>
      </c>
      <c r="AF2411" s="76">
        <f>AF2410+AD2411-AE2411</f>
        <v>235822.76999999964</v>
      </c>
    </row>
    <row r="2412" spans="9:32" ht="8.25" customHeight="1" x14ac:dyDescent="0.15">
      <c r="N2412" s="52">
        <v>14</v>
      </c>
      <c r="T2412" s="33">
        <v>46121</v>
      </c>
      <c r="U2412" s="34">
        <v>2026</v>
      </c>
      <c r="V2412" s="35" t="s">
        <v>1982</v>
      </c>
      <c r="W2412" s="35" t="s">
        <v>17</v>
      </c>
      <c r="X2412" s="37" t="s">
        <v>2077</v>
      </c>
      <c r="Y2412" s="36" t="s">
        <v>1469</v>
      </c>
      <c r="Z2412" s="30" t="s">
        <v>2078</v>
      </c>
      <c r="AA2412" s="134" t="s">
        <v>166</v>
      </c>
      <c r="AD2412" s="38">
        <v>4534.47</v>
      </c>
      <c r="AF2412" s="76">
        <f>AF2411+AD2412-AE2412</f>
        <v>240357.23999999964</v>
      </c>
    </row>
    <row r="2413" spans="9:32" ht="8.25" customHeight="1" x14ac:dyDescent="0.25">
      <c r="N2413" s="52">
        <v>15</v>
      </c>
      <c r="T2413" s="33">
        <v>46121</v>
      </c>
      <c r="U2413" s="34">
        <v>2026</v>
      </c>
      <c r="V2413" s="35" t="s">
        <v>1982</v>
      </c>
      <c r="W2413" s="35" t="s">
        <v>17</v>
      </c>
      <c r="X2413" s="37" t="s">
        <v>2079</v>
      </c>
      <c r="Y2413" s="36" t="s">
        <v>450</v>
      </c>
      <c r="Z2413" s="30" t="s">
        <v>1615</v>
      </c>
      <c r="AA2413" s="30" t="s">
        <v>3899</v>
      </c>
      <c r="AD2413" s="38">
        <v>12576.77</v>
      </c>
      <c r="AF2413" s="76">
        <f>AF2412+AD2413-AE2413</f>
        <v>252934.00999999963</v>
      </c>
    </row>
    <row r="2414" spans="9:32" ht="8.25" customHeight="1" x14ac:dyDescent="0.15">
      <c r="N2414" s="52">
        <v>15</v>
      </c>
      <c r="T2414" s="33">
        <v>46121</v>
      </c>
      <c r="U2414" s="34">
        <v>2026</v>
      </c>
      <c r="V2414" s="35" t="s">
        <v>1982</v>
      </c>
      <c r="W2414" s="35" t="s">
        <v>17</v>
      </c>
      <c r="X2414" s="37" t="s">
        <v>2079</v>
      </c>
      <c r="Y2414" s="36" t="s">
        <v>450</v>
      </c>
      <c r="Z2414" s="30" t="s">
        <v>1615</v>
      </c>
      <c r="AA2414" s="134" t="s">
        <v>166</v>
      </c>
      <c r="AD2414" s="38">
        <v>2723.23</v>
      </c>
      <c r="AF2414" s="76">
        <f t="shared" ref="AF2414:AF2438" si="234">AF2413+AD2414-AE2414</f>
        <v>255657.23999999964</v>
      </c>
    </row>
    <row r="2415" spans="9:32" ht="8.25" customHeight="1" x14ac:dyDescent="0.25">
      <c r="I2415" s="52">
        <v>11</v>
      </c>
      <c r="T2415" s="33">
        <v>46121</v>
      </c>
      <c r="U2415" s="34">
        <v>2026</v>
      </c>
      <c r="V2415" s="35" t="s">
        <v>1982</v>
      </c>
      <c r="W2415" s="35" t="s">
        <v>17</v>
      </c>
      <c r="X2415" s="37" t="s">
        <v>2080</v>
      </c>
      <c r="Y2415" s="36" t="s">
        <v>364</v>
      </c>
      <c r="Z2415" s="30" t="s">
        <v>1438</v>
      </c>
      <c r="AA2415" s="30" t="s">
        <v>13</v>
      </c>
      <c r="AD2415" s="38">
        <v>7200</v>
      </c>
      <c r="AF2415" s="76">
        <f t="shared" si="234"/>
        <v>262857.23999999964</v>
      </c>
    </row>
    <row r="2416" spans="9:32" ht="8.25" customHeight="1" x14ac:dyDescent="0.25">
      <c r="N2416" s="52">
        <v>16</v>
      </c>
      <c r="T2416" s="33">
        <v>46121</v>
      </c>
      <c r="U2416" s="34">
        <v>2026</v>
      </c>
      <c r="V2416" s="35" t="s">
        <v>1982</v>
      </c>
      <c r="W2416" s="35" t="s">
        <v>17</v>
      </c>
      <c r="X2416" s="37" t="s">
        <v>2081</v>
      </c>
      <c r="Y2416" s="36" t="s">
        <v>1008</v>
      </c>
      <c r="Z2416" s="30" t="s">
        <v>1534</v>
      </c>
      <c r="AA2416" s="30" t="s">
        <v>3899</v>
      </c>
      <c r="AD2416" s="38">
        <v>1892.29</v>
      </c>
      <c r="AF2416" s="76">
        <f t="shared" si="234"/>
        <v>264749.52999999962</v>
      </c>
    </row>
    <row r="2417" spans="9:32" ht="8.25" customHeight="1" x14ac:dyDescent="0.15">
      <c r="N2417" s="52">
        <v>16</v>
      </c>
      <c r="T2417" s="33">
        <v>46121</v>
      </c>
      <c r="U2417" s="34">
        <v>2026</v>
      </c>
      <c r="V2417" s="35" t="s">
        <v>1982</v>
      </c>
      <c r="W2417" s="35" t="s">
        <v>17</v>
      </c>
      <c r="X2417" s="37" t="s">
        <v>2081</v>
      </c>
      <c r="Y2417" s="36" t="s">
        <v>1008</v>
      </c>
      <c r="Z2417" s="30" t="s">
        <v>1534</v>
      </c>
      <c r="AA2417" s="134" t="s">
        <v>166</v>
      </c>
      <c r="AD2417" s="38">
        <v>899.71</v>
      </c>
      <c r="AF2417" s="76">
        <f t="shared" si="234"/>
        <v>265649.23999999964</v>
      </c>
    </row>
    <row r="2418" spans="9:32" ht="8.25" customHeight="1" x14ac:dyDescent="0.25">
      <c r="N2418" s="52">
        <v>17</v>
      </c>
      <c r="T2418" s="33">
        <v>46121</v>
      </c>
      <c r="U2418" s="34">
        <v>2026</v>
      </c>
      <c r="V2418" s="35" t="s">
        <v>1982</v>
      </c>
      <c r="W2418" s="35" t="s">
        <v>17</v>
      </c>
      <c r="X2418" s="37" t="s">
        <v>2082</v>
      </c>
      <c r="Y2418" s="36" t="s">
        <v>2083</v>
      </c>
      <c r="Z2418" s="30" t="s">
        <v>2084</v>
      </c>
      <c r="AA2418" s="30" t="s">
        <v>3899</v>
      </c>
      <c r="AD2418" s="38">
        <v>9246.58</v>
      </c>
      <c r="AF2418" s="76">
        <f t="shared" si="234"/>
        <v>274895.81999999966</v>
      </c>
    </row>
    <row r="2419" spans="9:32" ht="8.25" customHeight="1" x14ac:dyDescent="0.15">
      <c r="N2419" s="52">
        <v>17</v>
      </c>
      <c r="T2419" s="33">
        <v>46121</v>
      </c>
      <c r="U2419" s="34">
        <v>2026</v>
      </c>
      <c r="V2419" s="35" t="s">
        <v>1982</v>
      </c>
      <c r="W2419" s="35" t="s">
        <v>17</v>
      </c>
      <c r="X2419" s="37" t="s">
        <v>2082</v>
      </c>
      <c r="Y2419" s="36" t="s">
        <v>2083</v>
      </c>
      <c r="Z2419" s="30" t="s">
        <v>2084</v>
      </c>
      <c r="AA2419" s="134" t="s">
        <v>166</v>
      </c>
      <c r="AD2419" s="38">
        <v>5753.42</v>
      </c>
      <c r="AF2419" s="76">
        <f t="shared" si="234"/>
        <v>280649.23999999964</v>
      </c>
    </row>
    <row r="2420" spans="9:32" ht="8.25" customHeight="1" x14ac:dyDescent="0.25">
      <c r="J2420" s="52">
        <v>1</v>
      </c>
      <c r="T2420" s="33">
        <v>46121</v>
      </c>
      <c r="U2420" s="34">
        <v>2026</v>
      </c>
      <c r="V2420" s="35" t="s">
        <v>1982</v>
      </c>
      <c r="W2420" s="35" t="s">
        <v>17</v>
      </c>
      <c r="X2420" s="37" t="s">
        <v>2085</v>
      </c>
      <c r="Y2420" s="36" t="s">
        <v>2086</v>
      </c>
      <c r="Z2420" s="30" t="s">
        <v>2087</v>
      </c>
      <c r="AA2420" s="30" t="s">
        <v>1136</v>
      </c>
      <c r="AD2420" s="38">
        <v>100000</v>
      </c>
      <c r="AF2420" s="76">
        <f t="shared" si="234"/>
        <v>380649.23999999964</v>
      </c>
    </row>
    <row r="2421" spans="9:32" ht="8.25" customHeight="1" x14ac:dyDescent="0.15">
      <c r="K2421" s="52">
        <v>6</v>
      </c>
      <c r="T2421" s="33">
        <v>46121</v>
      </c>
      <c r="U2421" s="34">
        <v>2026</v>
      </c>
      <c r="V2421" s="35" t="s">
        <v>1982</v>
      </c>
      <c r="W2421" s="35" t="s">
        <v>17</v>
      </c>
      <c r="X2421" s="37" t="s">
        <v>2089</v>
      </c>
      <c r="Y2421" s="36" t="s">
        <v>2088</v>
      </c>
      <c r="Z2421" s="30" t="s">
        <v>2087</v>
      </c>
      <c r="AA2421" s="136" t="s">
        <v>1788</v>
      </c>
      <c r="AD2421" s="38">
        <v>100</v>
      </c>
      <c r="AF2421" s="76">
        <f t="shared" si="234"/>
        <v>380749.23999999964</v>
      </c>
    </row>
    <row r="2422" spans="9:32" ht="8.25" customHeight="1" x14ac:dyDescent="0.25">
      <c r="L2422" s="52">
        <v>6</v>
      </c>
      <c r="T2422" s="33">
        <v>46121</v>
      </c>
      <c r="U2422" s="34">
        <v>2026</v>
      </c>
      <c r="V2422" s="35" t="s">
        <v>1982</v>
      </c>
      <c r="W2422" s="35" t="s">
        <v>17</v>
      </c>
      <c r="X2422" s="37" t="s">
        <v>2090</v>
      </c>
      <c r="Y2422" s="36" t="s">
        <v>120</v>
      </c>
      <c r="Z2422" s="30" t="s">
        <v>2087</v>
      </c>
      <c r="AA2422" s="30" t="s">
        <v>373</v>
      </c>
      <c r="AD2422" s="38">
        <v>50</v>
      </c>
      <c r="AF2422" s="76">
        <f t="shared" si="234"/>
        <v>380799.23999999964</v>
      </c>
    </row>
    <row r="2423" spans="9:32" ht="8.25" customHeight="1" x14ac:dyDescent="0.25">
      <c r="N2423" s="52">
        <v>18</v>
      </c>
      <c r="T2423" s="33">
        <v>46121</v>
      </c>
      <c r="U2423" s="34">
        <v>2026</v>
      </c>
      <c r="V2423" s="35" t="s">
        <v>1982</v>
      </c>
      <c r="W2423" s="35" t="s">
        <v>17</v>
      </c>
      <c r="X2423" s="37" t="s">
        <v>2094</v>
      </c>
      <c r="Y2423" s="36" t="s">
        <v>2095</v>
      </c>
      <c r="Z2423" s="30" t="s">
        <v>388</v>
      </c>
      <c r="AA2423" s="30" t="s">
        <v>3899</v>
      </c>
      <c r="AD2423" s="38">
        <v>15073.69</v>
      </c>
      <c r="AF2423" s="76">
        <f t="shared" si="234"/>
        <v>395872.92999999964</v>
      </c>
    </row>
    <row r="2424" spans="9:32" ht="8.25" customHeight="1" x14ac:dyDescent="0.15">
      <c r="N2424" s="52">
        <v>18</v>
      </c>
      <c r="T2424" s="33">
        <v>46121</v>
      </c>
      <c r="U2424" s="34">
        <v>2026</v>
      </c>
      <c r="V2424" s="35" t="s">
        <v>1982</v>
      </c>
      <c r="W2424" s="35" t="s">
        <v>17</v>
      </c>
      <c r="X2424" s="37" t="s">
        <v>2094</v>
      </c>
      <c r="Y2424" s="36" t="s">
        <v>2095</v>
      </c>
      <c r="Z2424" s="30" t="s">
        <v>388</v>
      </c>
      <c r="AA2424" s="134" t="s">
        <v>166</v>
      </c>
      <c r="AD2424" s="38">
        <v>5977.58</v>
      </c>
      <c r="AF2424" s="76">
        <f t="shared" si="234"/>
        <v>401850.50999999966</v>
      </c>
    </row>
    <row r="2425" spans="9:32" ht="8.25" customHeight="1" x14ac:dyDescent="0.25">
      <c r="I2425" s="52">
        <v>13</v>
      </c>
      <c r="T2425" s="33">
        <v>46121</v>
      </c>
      <c r="U2425" s="34">
        <v>2026</v>
      </c>
      <c r="V2425" s="35" t="s">
        <v>1982</v>
      </c>
      <c r="W2425" s="35" t="s">
        <v>17</v>
      </c>
      <c r="X2425" s="37" t="s">
        <v>2096</v>
      </c>
      <c r="Y2425" s="36" t="s">
        <v>1761</v>
      </c>
      <c r="Z2425" s="30" t="s">
        <v>388</v>
      </c>
      <c r="AA2425" s="30" t="s">
        <v>13</v>
      </c>
      <c r="AD2425" s="38">
        <v>59210.37</v>
      </c>
      <c r="AF2425" s="76">
        <f t="shared" si="234"/>
        <v>461060.87999999966</v>
      </c>
    </row>
    <row r="2426" spans="9:32" ht="8.25" customHeight="1" x14ac:dyDescent="0.25">
      <c r="M2426" s="52">
        <v>1</v>
      </c>
      <c r="T2426" s="33">
        <v>46121</v>
      </c>
      <c r="U2426" s="34">
        <v>2026</v>
      </c>
      <c r="V2426" s="35" t="s">
        <v>1982</v>
      </c>
      <c r="W2426" s="35" t="s">
        <v>17</v>
      </c>
      <c r="X2426" s="37" t="s">
        <v>2097</v>
      </c>
      <c r="Y2426" s="36" t="s">
        <v>120</v>
      </c>
      <c r="Z2426" s="30" t="s">
        <v>388</v>
      </c>
      <c r="AA2426" s="30" t="s">
        <v>1058</v>
      </c>
      <c r="AD2426" s="38">
        <v>11842.08</v>
      </c>
      <c r="AF2426" s="76">
        <f t="shared" si="234"/>
        <v>472902.95999999967</v>
      </c>
    </row>
    <row r="2427" spans="9:32" ht="8.25" customHeight="1" x14ac:dyDescent="0.25">
      <c r="T2427" s="33">
        <v>46121</v>
      </c>
      <c r="U2427" s="34">
        <v>2026</v>
      </c>
      <c r="V2427" s="35" t="s">
        <v>1982</v>
      </c>
      <c r="W2427" s="35" t="s">
        <v>5</v>
      </c>
      <c r="X2427" s="37" t="s">
        <v>2098</v>
      </c>
      <c r="Y2427" s="36" t="s">
        <v>411</v>
      </c>
      <c r="Z2427" s="30" t="s">
        <v>412</v>
      </c>
      <c r="AA2427" s="30" t="s">
        <v>1882</v>
      </c>
      <c r="AE2427" s="38">
        <v>71052.45</v>
      </c>
      <c r="AF2427" s="76">
        <f t="shared" si="234"/>
        <v>401850.50999999966</v>
      </c>
    </row>
    <row r="2428" spans="9:32" ht="8.25" customHeight="1" x14ac:dyDescent="0.25">
      <c r="T2428" s="33">
        <v>46121</v>
      </c>
      <c r="U2428" s="34">
        <v>2026</v>
      </c>
      <c r="V2428" s="35" t="s">
        <v>1982</v>
      </c>
      <c r="W2428" s="35" t="s">
        <v>5</v>
      </c>
      <c r="X2428" s="37" t="s">
        <v>2099</v>
      </c>
      <c r="Y2428" s="36" t="s">
        <v>411</v>
      </c>
      <c r="Z2428" s="30" t="s">
        <v>412</v>
      </c>
      <c r="AA2428" s="30" t="s">
        <v>1882</v>
      </c>
      <c r="AE2428" s="38">
        <v>21051.27</v>
      </c>
      <c r="AF2428" s="76">
        <f t="shared" si="234"/>
        <v>380799.23999999964</v>
      </c>
    </row>
    <row r="2429" spans="9:32" ht="8.25" customHeight="1" x14ac:dyDescent="0.25">
      <c r="I2429" s="52">
        <v>14</v>
      </c>
      <c r="T2429" s="33">
        <v>46121</v>
      </c>
      <c r="U2429" s="34">
        <v>2026</v>
      </c>
      <c r="V2429" s="35" t="s">
        <v>1982</v>
      </c>
      <c r="W2429" s="35" t="s">
        <v>17</v>
      </c>
      <c r="X2429" s="37" t="s">
        <v>2100</v>
      </c>
      <c r="Y2429" s="36" t="s">
        <v>889</v>
      </c>
      <c r="Z2429" s="30" t="s">
        <v>2101</v>
      </c>
      <c r="AA2429" s="30" t="s">
        <v>13</v>
      </c>
      <c r="AD2429" s="38">
        <v>1000</v>
      </c>
      <c r="AF2429" s="76">
        <f t="shared" si="234"/>
        <v>381799.23999999964</v>
      </c>
    </row>
    <row r="2430" spans="9:32" ht="8.25" customHeight="1" x14ac:dyDescent="0.25">
      <c r="N2430" s="52">
        <v>19</v>
      </c>
      <c r="T2430" s="33">
        <v>46121</v>
      </c>
      <c r="U2430" s="34">
        <v>2026</v>
      </c>
      <c r="V2430" s="35" t="s">
        <v>1982</v>
      </c>
      <c r="W2430" s="35" t="s">
        <v>17</v>
      </c>
      <c r="X2430" s="37" t="s">
        <v>2102</v>
      </c>
      <c r="Y2430" s="36" t="s">
        <v>394</v>
      </c>
      <c r="Z2430" s="30" t="s">
        <v>380</v>
      </c>
      <c r="AA2430" s="30" t="s">
        <v>3899</v>
      </c>
      <c r="AD2430" s="38">
        <v>8155.71</v>
      </c>
      <c r="AF2430" s="76">
        <f t="shared" si="234"/>
        <v>389954.94999999966</v>
      </c>
    </row>
    <row r="2431" spans="9:32" ht="8.25" customHeight="1" x14ac:dyDescent="0.15">
      <c r="N2431" s="52">
        <v>19</v>
      </c>
      <c r="T2431" s="33">
        <v>46121</v>
      </c>
      <c r="U2431" s="34">
        <v>2026</v>
      </c>
      <c r="V2431" s="35" t="s">
        <v>1982</v>
      </c>
      <c r="W2431" s="35" t="s">
        <v>17</v>
      </c>
      <c r="X2431" s="37" t="s">
        <v>2102</v>
      </c>
      <c r="Y2431" s="36" t="s">
        <v>394</v>
      </c>
      <c r="Z2431" s="30" t="s">
        <v>380</v>
      </c>
      <c r="AA2431" s="134" t="s">
        <v>166</v>
      </c>
      <c r="AD2431" s="38">
        <v>2131.4899999999998</v>
      </c>
      <c r="AF2431" s="76">
        <f t="shared" si="234"/>
        <v>392086.43999999965</v>
      </c>
    </row>
    <row r="2432" spans="9:32" ht="8.25" customHeight="1" x14ac:dyDescent="0.25">
      <c r="I2432" s="52">
        <v>15</v>
      </c>
      <c r="T2432" s="33">
        <v>46121</v>
      </c>
      <c r="U2432" s="34">
        <v>2026</v>
      </c>
      <c r="V2432" s="35" t="s">
        <v>1982</v>
      </c>
      <c r="W2432" s="35" t="s">
        <v>17</v>
      </c>
      <c r="X2432" s="37" t="s">
        <v>2102</v>
      </c>
      <c r="Y2432" s="36" t="s">
        <v>394</v>
      </c>
      <c r="Z2432" s="30" t="s">
        <v>2103</v>
      </c>
      <c r="AA2432" s="30" t="s">
        <v>13</v>
      </c>
      <c r="AD2432" s="38">
        <v>12.8</v>
      </c>
      <c r="AF2432" s="76">
        <f t="shared" si="234"/>
        <v>392099.23999999964</v>
      </c>
    </row>
    <row r="2433" spans="7:32" ht="8.25" customHeight="1" x14ac:dyDescent="0.15">
      <c r="K2433" s="52">
        <v>7</v>
      </c>
      <c r="T2433" s="33">
        <v>46121</v>
      </c>
      <c r="U2433" s="34">
        <v>2026</v>
      </c>
      <c r="V2433" s="35" t="s">
        <v>1982</v>
      </c>
      <c r="W2433" s="35" t="s">
        <v>17</v>
      </c>
      <c r="X2433" s="37" t="s">
        <v>2104</v>
      </c>
      <c r="Y2433" s="36" t="s">
        <v>2106</v>
      </c>
      <c r="Z2433" s="30" t="s">
        <v>2107</v>
      </c>
      <c r="AA2433" s="136" t="s">
        <v>1788</v>
      </c>
      <c r="AD2433" s="38">
        <v>100</v>
      </c>
      <c r="AF2433" s="76">
        <f t="shared" si="234"/>
        <v>392199.23999999964</v>
      </c>
    </row>
    <row r="2434" spans="7:32" ht="8.25" customHeight="1" x14ac:dyDescent="0.25">
      <c r="L2434" s="52">
        <v>7</v>
      </c>
      <c r="T2434" s="33">
        <v>46121</v>
      </c>
      <c r="U2434" s="34">
        <v>2026</v>
      </c>
      <c r="V2434" s="35" t="s">
        <v>1982</v>
      </c>
      <c r="W2434" s="35" t="s">
        <v>17</v>
      </c>
      <c r="X2434" s="37" t="s">
        <v>2105</v>
      </c>
      <c r="Y2434" s="36" t="s">
        <v>120</v>
      </c>
      <c r="Z2434" s="30" t="s">
        <v>2107</v>
      </c>
      <c r="AA2434" s="30" t="s">
        <v>373</v>
      </c>
      <c r="AD2434" s="38">
        <v>50</v>
      </c>
      <c r="AF2434" s="76">
        <f t="shared" si="234"/>
        <v>392249.23999999964</v>
      </c>
    </row>
    <row r="2435" spans="7:32" ht="8.25" customHeight="1" x14ac:dyDescent="0.25">
      <c r="I2435" s="52">
        <v>16</v>
      </c>
      <c r="T2435" s="33">
        <v>46121</v>
      </c>
      <c r="U2435" s="34">
        <v>2026</v>
      </c>
      <c r="V2435" s="35" t="s">
        <v>1982</v>
      </c>
      <c r="W2435" s="35" t="s">
        <v>17</v>
      </c>
      <c r="X2435" s="37" t="s">
        <v>2108</v>
      </c>
      <c r="Y2435" s="36" t="s">
        <v>2109</v>
      </c>
      <c r="Z2435" s="30" t="s">
        <v>2107</v>
      </c>
      <c r="AA2435" s="30" t="s">
        <v>13</v>
      </c>
      <c r="AD2435" s="38">
        <v>1000</v>
      </c>
      <c r="AF2435" s="76">
        <f t="shared" si="234"/>
        <v>393249.23999999964</v>
      </c>
    </row>
    <row r="2436" spans="7:32" ht="8.25" customHeight="1" x14ac:dyDescent="0.25">
      <c r="T2436" s="33">
        <v>46121</v>
      </c>
      <c r="U2436" s="34">
        <v>2026</v>
      </c>
      <c r="V2436" s="35" t="s">
        <v>1982</v>
      </c>
      <c r="W2436" s="35" t="s">
        <v>5</v>
      </c>
      <c r="X2436" s="37" t="s">
        <v>2091</v>
      </c>
      <c r="Y2436" s="36" t="s">
        <v>411</v>
      </c>
      <c r="Z2436" s="30" t="s">
        <v>412</v>
      </c>
      <c r="AA2436" s="30" t="s">
        <v>1882</v>
      </c>
      <c r="AE2436" s="38">
        <v>210000</v>
      </c>
      <c r="AF2436" s="76">
        <f t="shared" si="234"/>
        <v>183249.23999999964</v>
      </c>
    </row>
    <row r="2437" spans="7:32" ht="8.25" customHeight="1" x14ac:dyDescent="0.25">
      <c r="R2437" s="53">
        <v>6</v>
      </c>
      <c r="T2437" s="33">
        <v>46121</v>
      </c>
      <c r="U2437" s="34">
        <v>2026</v>
      </c>
      <c r="V2437" s="35" t="s">
        <v>1982</v>
      </c>
      <c r="W2437" s="35" t="s">
        <v>5</v>
      </c>
      <c r="X2437" s="37" t="s">
        <v>2092</v>
      </c>
      <c r="Y2437" s="36" t="s">
        <v>1846</v>
      </c>
      <c r="Z2437" s="30" t="s">
        <v>2093</v>
      </c>
      <c r="AA2437" s="30" t="s">
        <v>1050</v>
      </c>
      <c r="AE2437" s="38">
        <v>1700</v>
      </c>
      <c r="AF2437" s="76">
        <f t="shared" si="234"/>
        <v>181549.23999999964</v>
      </c>
    </row>
    <row r="2438" spans="7:32" ht="8.25" customHeight="1" x14ac:dyDescent="0.25">
      <c r="G2438" s="53">
        <v>8</v>
      </c>
      <c r="T2438" s="33">
        <v>46121</v>
      </c>
      <c r="U2438" s="34">
        <v>2026</v>
      </c>
      <c r="V2438" s="35" t="s">
        <v>1982</v>
      </c>
      <c r="W2438" s="35" t="s">
        <v>2655</v>
      </c>
      <c r="Y2438" s="36" t="s">
        <v>2110</v>
      </c>
      <c r="Z2438" s="30" t="s">
        <v>1232</v>
      </c>
      <c r="AA2438" s="30" t="s">
        <v>3945</v>
      </c>
      <c r="AE2438" s="38">
        <v>5253.58</v>
      </c>
      <c r="AF2438" s="76">
        <f t="shared" si="234"/>
        <v>176295.65999999965</v>
      </c>
    </row>
    <row r="2439" spans="7:32" ht="8.25" customHeight="1" thickBot="1" x14ac:dyDescent="0.3">
      <c r="Z2439" s="75" t="s">
        <v>2112</v>
      </c>
      <c r="AD2439" s="252">
        <f>SUM(AD2409:AD2436)</f>
        <v>261495.71999999994</v>
      </c>
      <c r="AE2439" s="252">
        <f>SUM(AE2409:AE2438)</f>
        <v>309057.3</v>
      </c>
      <c r="AF2439" s="252">
        <f>SUM(AF2408+AD2439-AE2439)</f>
        <v>176295.65999999963</v>
      </c>
    </row>
    <row r="2440" spans="7:32" ht="8.25" customHeight="1" thickTop="1" x14ac:dyDescent="0.25">
      <c r="X2440" s="109"/>
      <c r="Y2440" s="67" t="s">
        <v>214</v>
      </c>
      <c r="Z2440" s="68"/>
      <c r="AA2440" s="75"/>
    </row>
    <row r="2441" spans="7:32" ht="8.25" customHeight="1" x14ac:dyDescent="0.25">
      <c r="X2441" s="110" t="s">
        <v>319</v>
      </c>
      <c r="Y2441" s="111">
        <v>200</v>
      </c>
      <c r="Z2441" s="111">
        <f t="shared" ref="Z2441:Z2446" si="235">X2441*Y2441</f>
        <v>1200</v>
      </c>
      <c r="AA2441" s="112"/>
    </row>
    <row r="2442" spans="7:32" ht="8.25" customHeight="1" x14ac:dyDescent="0.25">
      <c r="X2442" s="110" t="s">
        <v>2236</v>
      </c>
      <c r="Y2442" s="111">
        <v>100</v>
      </c>
      <c r="Z2442" s="111">
        <f t="shared" si="235"/>
        <v>171200</v>
      </c>
      <c r="AA2442" s="112"/>
    </row>
    <row r="2443" spans="7:32" ht="8.25" customHeight="1" x14ac:dyDescent="0.25">
      <c r="X2443" s="110"/>
      <c r="Y2443" s="111">
        <v>50</v>
      </c>
      <c r="Z2443" s="111">
        <f t="shared" si="235"/>
        <v>0</v>
      </c>
      <c r="AA2443" s="76"/>
    </row>
    <row r="2444" spans="7:32" ht="8.25" customHeight="1" x14ac:dyDescent="0.25">
      <c r="X2444" s="110"/>
      <c r="Y2444" s="111">
        <v>20</v>
      </c>
      <c r="Z2444" s="111">
        <f t="shared" si="235"/>
        <v>0</v>
      </c>
      <c r="AA2444" s="38"/>
    </row>
    <row r="2445" spans="7:32" ht="8.25" customHeight="1" x14ac:dyDescent="0.25">
      <c r="X2445" s="110" t="s">
        <v>2233</v>
      </c>
      <c r="Y2445" s="111">
        <v>10</v>
      </c>
      <c r="Z2445" s="111">
        <f t="shared" si="235"/>
        <v>1080</v>
      </c>
      <c r="AA2445" s="112"/>
    </row>
    <row r="2446" spans="7:32" ht="8.25" customHeight="1" x14ac:dyDescent="0.25">
      <c r="X2446" s="110" t="s">
        <v>2060</v>
      </c>
      <c r="Y2446" s="111">
        <v>5</v>
      </c>
      <c r="Z2446" s="111">
        <f t="shared" si="235"/>
        <v>1645</v>
      </c>
      <c r="AA2446" s="112"/>
    </row>
    <row r="2447" spans="7:32" ht="8.25" customHeight="1" x14ac:dyDescent="0.25">
      <c r="X2447" s="269"/>
      <c r="Y2447" s="270"/>
      <c r="Z2447" s="271"/>
      <c r="AA2447" s="38"/>
    </row>
    <row r="2448" spans="7:32" ht="8.25" customHeight="1" x14ac:dyDescent="0.25">
      <c r="X2448" s="110" t="s">
        <v>2111</v>
      </c>
      <c r="Y2448" s="111">
        <v>1</v>
      </c>
      <c r="Z2448" s="111">
        <f t="shared" ref="Z2448:Z2453" si="236">X2448*Y2448</f>
        <v>1085</v>
      </c>
      <c r="AA2448" s="76"/>
    </row>
    <row r="2449" spans="9:32" ht="8.25" customHeight="1" x14ac:dyDescent="0.25">
      <c r="X2449" s="110" t="s">
        <v>1496</v>
      </c>
      <c r="Y2449" s="111">
        <v>0.5</v>
      </c>
      <c r="Z2449" s="111">
        <f t="shared" si="236"/>
        <v>40.5</v>
      </c>
      <c r="AA2449" s="112"/>
    </row>
    <row r="2450" spans="9:32" ht="8.25" customHeight="1" x14ac:dyDescent="0.25">
      <c r="X2450" s="110" t="s">
        <v>1878</v>
      </c>
      <c r="Y2450" s="111">
        <v>0.25</v>
      </c>
      <c r="Z2450" s="111">
        <f t="shared" si="236"/>
        <v>45</v>
      </c>
      <c r="AA2450" s="113"/>
    </row>
    <row r="2451" spans="9:32" ht="8.25" customHeight="1" x14ac:dyDescent="0.25">
      <c r="X2451" s="110" t="s">
        <v>222</v>
      </c>
      <c r="Y2451" s="111">
        <v>0.1</v>
      </c>
      <c r="Z2451" s="111">
        <f t="shared" si="236"/>
        <v>0.1</v>
      </c>
      <c r="AA2451" s="114" t="s">
        <v>219</v>
      </c>
    </row>
    <row r="2452" spans="9:32" ht="8.25" customHeight="1" thickBot="1" x14ac:dyDescent="0.3">
      <c r="X2452" s="110" t="s">
        <v>222</v>
      </c>
      <c r="Y2452" s="111">
        <v>0.05</v>
      </c>
      <c r="Z2452" s="111">
        <f t="shared" si="236"/>
        <v>0.05</v>
      </c>
      <c r="AA2452" s="115">
        <f>SUM(Z2441:Z2446)+Z2448+Z2449+Z2450+Z2451+Z2452+Z2453</f>
        <v>176295.66</v>
      </c>
    </row>
    <row r="2453" spans="9:32" ht="8.25" customHeight="1" thickTop="1" x14ac:dyDescent="0.25">
      <c r="X2453" s="110" t="s">
        <v>222</v>
      </c>
      <c r="Y2453" s="111">
        <v>0.01</v>
      </c>
      <c r="Z2453" s="111">
        <f t="shared" si="236"/>
        <v>0.01</v>
      </c>
    </row>
    <row r="2456" spans="9:32" ht="8.25" customHeight="1" x14ac:dyDescent="0.25">
      <c r="Z2456" s="231" t="s">
        <v>1376</v>
      </c>
      <c r="AF2456" s="76">
        <f>SUM(AF2439)</f>
        <v>176295.65999999963</v>
      </c>
    </row>
    <row r="2457" spans="9:32" ht="8.25" customHeight="1" x14ac:dyDescent="0.25">
      <c r="N2457" s="52">
        <v>20</v>
      </c>
      <c r="T2457" s="33">
        <v>46122</v>
      </c>
      <c r="U2457" s="34">
        <v>2026</v>
      </c>
      <c r="V2457" s="35" t="s">
        <v>1982</v>
      </c>
      <c r="W2457" s="35" t="s">
        <v>17</v>
      </c>
      <c r="X2457" s="37" t="s">
        <v>2114</v>
      </c>
      <c r="Y2457" s="36" t="s">
        <v>433</v>
      </c>
      <c r="Z2457" s="30" t="s">
        <v>434</v>
      </c>
      <c r="AA2457" s="30" t="s">
        <v>3899</v>
      </c>
      <c r="AD2457" s="38">
        <v>11611.31</v>
      </c>
      <c r="AF2457" s="76">
        <f>AF2456+AD2457-AE2457</f>
        <v>187906.96999999962</v>
      </c>
    </row>
    <row r="2458" spans="9:32" ht="8.25" customHeight="1" x14ac:dyDescent="0.15">
      <c r="N2458" s="52">
        <v>20</v>
      </c>
      <c r="T2458" s="33">
        <v>46122</v>
      </c>
      <c r="U2458" s="34">
        <v>2026</v>
      </c>
      <c r="V2458" s="35" t="s">
        <v>1982</v>
      </c>
      <c r="W2458" s="35" t="s">
        <v>17</v>
      </c>
      <c r="X2458" s="37" t="s">
        <v>2114</v>
      </c>
      <c r="Y2458" s="36" t="s">
        <v>433</v>
      </c>
      <c r="Z2458" s="30" t="s">
        <v>434</v>
      </c>
      <c r="AA2458" s="134" t="s">
        <v>166</v>
      </c>
      <c r="AD2458" s="38">
        <v>3388.69</v>
      </c>
      <c r="AF2458" s="76">
        <f>AF2457+AD2458-AE2458</f>
        <v>191295.65999999963</v>
      </c>
    </row>
    <row r="2459" spans="9:32" ht="8.25" customHeight="1" x14ac:dyDescent="0.25">
      <c r="I2459" s="52">
        <v>17</v>
      </c>
      <c r="T2459" s="33">
        <v>46122</v>
      </c>
      <c r="U2459" s="34">
        <v>2026</v>
      </c>
      <c r="V2459" s="35" t="s">
        <v>1982</v>
      </c>
      <c r="W2459" s="35" t="s">
        <v>17</v>
      </c>
      <c r="X2459" s="37" t="s">
        <v>2115</v>
      </c>
      <c r="Y2459" s="36" t="s">
        <v>364</v>
      </c>
      <c r="Z2459" s="30" t="s">
        <v>365</v>
      </c>
      <c r="AA2459" s="30" t="s">
        <v>13</v>
      </c>
      <c r="AD2459" s="38">
        <v>2100</v>
      </c>
      <c r="AF2459" s="76">
        <f>AF2458+AD2459-AE2459</f>
        <v>193395.65999999963</v>
      </c>
    </row>
    <row r="2460" spans="9:32" ht="8.25" customHeight="1" x14ac:dyDescent="0.25">
      <c r="I2460" s="52">
        <v>18</v>
      </c>
      <c r="T2460" s="33">
        <v>46122</v>
      </c>
      <c r="U2460" s="34">
        <v>2026</v>
      </c>
      <c r="V2460" s="35" t="s">
        <v>1982</v>
      </c>
      <c r="W2460" s="35" t="s">
        <v>17</v>
      </c>
      <c r="X2460" s="37" t="s">
        <v>2116</v>
      </c>
      <c r="Y2460" s="36" t="s">
        <v>849</v>
      </c>
      <c r="Z2460" s="30" t="s">
        <v>1088</v>
      </c>
      <c r="AA2460" s="30" t="s">
        <v>13</v>
      </c>
      <c r="AD2460" s="38">
        <v>200</v>
      </c>
      <c r="AF2460" s="76">
        <f>AF2459+AD2460-AE2460</f>
        <v>193595.65999999963</v>
      </c>
    </row>
    <row r="2461" spans="9:32" ht="8.25" customHeight="1" x14ac:dyDescent="0.25">
      <c r="I2461" s="52">
        <v>19</v>
      </c>
      <c r="T2461" s="33">
        <v>46122</v>
      </c>
      <c r="U2461" s="34">
        <v>2026</v>
      </c>
      <c r="V2461" s="35" t="s">
        <v>1982</v>
      </c>
      <c r="W2461" s="35" t="s">
        <v>17</v>
      </c>
      <c r="X2461" s="37" t="s">
        <v>2117</v>
      </c>
      <c r="Y2461" s="36" t="s">
        <v>1928</v>
      </c>
      <c r="Z2461" s="30" t="s">
        <v>1929</v>
      </c>
      <c r="AA2461" s="30" t="s">
        <v>13</v>
      </c>
      <c r="AD2461" s="38">
        <v>500</v>
      </c>
      <c r="AF2461" s="76">
        <f>AF2460+AD2461-AE2461</f>
        <v>194095.65999999963</v>
      </c>
    </row>
    <row r="2462" spans="9:32" ht="8.25" customHeight="1" x14ac:dyDescent="0.25">
      <c r="N2462" s="52">
        <v>21</v>
      </c>
      <c r="T2462" s="33">
        <v>46122</v>
      </c>
      <c r="U2462" s="34">
        <v>2026</v>
      </c>
      <c r="V2462" s="35" t="s">
        <v>1982</v>
      </c>
      <c r="W2462" s="35" t="s">
        <v>17</v>
      </c>
      <c r="X2462" s="37" t="s">
        <v>2118</v>
      </c>
      <c r="Y2462" s="36" t="s">
        <v>1080</v>
      </c>
      <c r="Z2462" s="30" t="s">
        <v>2119</v>
      </c>
      <c r="AA2462" s="30" t="s">
        <v>3899</v>
      </c>
      <c r="AD2462" s="38">
        <v>9712.19</v>
      </c>
      <c r="AF2462" s="76">
        <f t="shared" ref="AF2462:AF2464" si="237">AF2461+AD2462-AE2462</f>
        <v>203807.84999999963</v>
      </c>
    </row>
    <row r="2463" spans="9:32" ht="8.25" customHeight="1" x14ac:dyDescent="0.15">
      <c r="N2463" s="52">
        <v>21</v>
      </c>
      <c r="T2463" s="33">
        <v>46122</v>
      </c>
      <c r="U2463" s="34">
        <v>2026</v>
      </c>
      <c r="V2463" s="35" t="s">
        <v>1982</v>
      </c>
      <c r="W2463" s="35" t="s">
        <v>17</v>
      </c>
      <c r="X2463" s="37" t="s">
        <v>2118</v>
      </c>
      <c r="Y2463" s="36" t="s">
        <v>1080</v>
      </c>
      <c r="Z2463" s="30" t="s">
        <v>2119</v>
      </c>
      <c r="AA2463" s="134" t="s">
        <v>166</v>
      </c>
      <c r="AD2463" s="38">
        <v>3987.81</v>
      </c>
      <c r="AF2463" s="76">
        <f t="shared" si="237"/>
        <v>207795.65999999963</v>
      </c>
    </row>
    <row r="2464" spans="9:32" ht="8.25" customHeight="1" x14ac:dyDescent="0.25">
      <c r="N2464" s="52">
        <v>21</v>
      </c>
      <c r="T2464" s="33">
        <v>46122</v>
      </c>
      <c r="U2464" s="34">
        <v>2026</v>
      </c>
      <c r="V2464" s="35" t="s">
        <v>1982</v>
      </c>
      <c r="W2464" s="35" t="s">
        <v>17</v>
      </c>
      <c r="X2464" s="37" t="s">
        <v>2118</v>
      </c>
      <c r="Y2464" s="36" t="s">
        <v>1080</v>
      </c>
      <c r="Z2464" s="30" t="s">
        <v>2119</v>
      </c>
      <c r="AA2464" s="30" t="s">
        <v>3304</v>
      </c>
      <c r="AD2464" s="38">
        <v>100</v>
      </c>
      <c r="AF2464" s="76">
        <f t="shared" si="237"/>
        <v>207895.65999999963</v>
      </c>
    </row>
    <row r="2465" spans="6:32" ht="8.25" customHeight="1" x14ac:dyDescent="0.25">
      <c r="I2465" s="52">
        <v>20</v>
      </c>
      <c r="T2465" s="33">
        <v>46122</v>
      </c>
      <c r="U2465" s="34">
        <v>2026</v>
      </c>
      <c r="V2465" s="35" t="s">
        <v>1982</v>
      </c>
      <c r="W2465" s="35" t="s">
        <v>17</v>
      </c>
      <c r="X2465" s="37" t="s">
        <v>2127</v>
      </c>
      <c r="Y2465" s="36" t="s">
        <v>2128</v>
      </c>
      <c r="Z2465" s="30" t="s">
        <v>2206</v>
      </c>
      <c r="AA2465" s="30" t="s">
        <v>13</v>
      </c>
      <c r="AD2465" s="38">
        <v>10000</v>
      </c>
      <c r="AF2465" s="76">
        <f t="shared" ref="AF2465:AF2471" si="238">AF2464+AD2465-AE2465</f>
        <v>217895.65999999963</v>
      </c>
    </row>
    <row r="2466" spans="6:32" ht="8.25" customHeight="1" x14ac:dyDescent="0.15">
      <c r="K2466" s="52">
        <v>8</v>
      </c>
      <c r="T2466" s="33">
        <v>46122</v>
      </c>
      <c r="U2466" s="34">
        <v>2026</v>
      </c>
      <c r="V2466" s="35" t="s">
        <v>1982</v>
      </c>
      <c r="W2466" s="35" t="s">
        <v>17</v>
      </c>
      <c r="X2466" s="37" t="s">
        <v>2131</v>
      </c>
      <c r="Y2466" s="36" t="s">
        <v>2130</v>
      </c>
      <c r="Z2466" s="30" t="s">
        <v>2129</v>
      </c>
      <c r="AA2466" s="136" t="s">
        <v>1788</v>
      </c>
      <c r="AD2466" s="38">
        <v>100</v>
      </c>
      <c r="AF2466" s="76">
        <f t="shared" si="238"/>
        <v>217995.65999999963</v>
      </c>
    </row>
    <row r="2467" spans="6:32" ht="8.25" customHeight="1" x14ac:dyDescent="0.25">
      <c r="L2467" s="52">
        <v>8</v>
      </c>
      <c r="T2467" s="33">
        <v>46122</v>
      </c>
      <c r="U2467" s="34">
        <v>2026</v>
      </c>
      <c r="V2467" s="35" t="s">
        <v>1982</v>
      </c>
      <c r="W2467" s="35" t="s">
        <v>17</v>
      </c>
      <c r="X2467" s="37" t="s">
        <v>2132</v>
      </c>
      <c r="Y2467" s="36" t="s">
        <v>120</v>
      </c>
      <c r="Z2467" s="30" t="s">
        <v>2129</v>
      </c>
      <c r="AA2467" s="30" t="s">
        <v>373</v>
      </c>
      <c r="AD2467" s="38">
        <v>50</v>
      </c>
      <c r="AF2467" s="76">
        <f t="shared" si="238"/>
        <v>218045.65999999963</v>
      </c>
    </row>
    <row r="2468" spans="6:32" ht="8.25" customHeight="1" x14ac:dyDescent="0.25">
      <c r="I2468" s="52">
        <v>21</v>
      </c>
      <c r="T2468" s="33">
        <v>46122</v>
      </c>
      <c r="U2468" s="34">
        <v>2026</v>
      </c>
      <c r="V2468" s="35" t="s">
        <v>1982</v>
      </c>
      <c r="W2468" s="35" t="s">
        <v>5</v>
      </c>
      <c r="X2468" s="37" t="s">
        <v>2133</v>
      </c>
      <c r="Y2468" s="36" t="s">
        <v>2134</v>
      </c>
      <c r="Z2468" s="30" t="s">
        <v>2129</v>
      </c>
      <c r="AA2468" s="30" t="s">
        <v>13</v>
      </c>
      <c r="AD2468" s="38">
        <v>1000</v>
      </c>
      <c r="AF2468" s="76">
        <f t="shared" si="238"/>
        <v>219045.65999999963</v>
      </c>
    </row>
    <row r="2469" spans="6:32" ht="8.25" customHeight="1" x14ac:dyDescent="0.25">
      <c r="R2469" s="53">
        <v>7</v>
      </c>
      <c r="T2469" s="33">
        <v>46122</v>
      </c>
      <c r="U2469" s="34">
        <v>2026</v>
      </c>
      <c r="V2469" s="35" t="s">
        <v>1982</v>
      </c>
      <c r="W2469" s="35" t="s">
        <v>5</v>
      </c>
      <c r="X2469" s="37" t="s">
        <v>2125</v>
      </c>
      <c r="Y2469" s="36" t="s">
        <v>1042</v>
      </c>
      <c r="Z2469" s="30" t="s">
        <v>2126</v>
      </c>
      <c r="AA2469" s="30" t="s">
        <v>1050</v>
      </c>
      <c r="AE2469" s="38">
        <v>200</v>
      </c>
      <c r="AF2469" s="76">
        <f t="shared" si="238"/>
        <v>218845.65999999963</v>
      </c>
    </row>
    <row r="2470" spans="6:32" ht="8.25" customHeight="1" x14ac:dyDescent="0.25">
      <c r="R2470" s="53">
        <v>8</v>
      </c>
      <c r="T2470" s="33">
        <v>46122</v>
      </c>
      <c r="U2470" s="34">
        <v>2026</v>
      </c>
      <c r="V2470" s="35" t="s">
        <v>1982</v>
      </c>
      <c r="W2470" s="35" t="s">
        <v>5</v>
      </c>
      <c r="X2470" s="37" t="s">
        <v>2135</v>
      </c>
      <c r="Y2470" s="36" t="s">
        <v>2010</v>
      </c>
      <c r="Z2470" s="30" t="s">
        <v>2136</v>
      </c>
      <c r="AA2470" s="30" t="s">
        <v>1050</v>
      </c>
      <c r="AE2470" s="38">
        <v>400</v>
      </c>
      <c r="AF2470" s="76">
        <f t="shared" si="238"/>
        <v>218445.65999999963</v>
      </c>
    </row>
    <row r="2471" spans="6:32" ht="8.25" customHeight="1" x14ac:dyDescent="0.25">
      <c r="F2471" s="53">
        <v>4</v>
      </c>
      <c r="T2471" s="33">
        <v>46122</v>
      </c>
      <c r="U2471" s="34">
        <v>2026</v>
      </c>
      <c r="V2471" s="35" t="s">
        <v>1982</v>
      </c>
      <c r="W2471" s="35" t="s">
        <v>2655</v>
      </c>
      <c r="Y2471" s="36" t="s">
        <v>2120</v>
      </c>
      <c r="Z2471" s="30" t="s">
        <v>2121</v>
      </c>
      <c r="AA2471" s="30" t="s">
        <v>3939</v>
      </c>
      <c r="AE2471" s="38">
        <v>1000</v>
      </c>
      <c r="AF2471" s="76">
        <f t="shared" si="238"/>
        <v>217445.65999999963</v>
      </c>
    </row>
    <row r="2472" spans="6:32" ht="8.25" customHeight="1" x14ac:dyDescent="0.25">
      <c r="F2472" s="53">
        <v>5</v>
      </c>
      <c r="T2472" s="33">
        <v>46122</v>
      </c>
      <c r="U2472" s="34">
        <v>2026</v>
      </c>
      <c r="V2472" s="35" t="s">
        <v>1982</v>
      </c>
      <c r="W2472" s="35" t="s">
        <v>2655</v>
      </c>
      <c r="Y2472" s="36" t="s">
        <v>2122</v>
      </c>
      <c r="Z2472" s="30" t="s">
        <v>1951</v>
      </c>
      <c r="AA2472" s="30" t="s">
        <v>3939</v>
      </c>
      <c r="AE2472" s="38">
        <v>2000</v>
      </c>
      <c r="AF2472" s="76">
        <f t="shared" ref="AF2472:AF2474" si="239">AF2471+AD2472-AE2472</f>
        <v>215445.65999999963</v>
      </c>
    </row>
    <row r="2473" spans="6:32" ht="8.25" customHeight="1" x14ac:dyDescent="0.25">
      <c r="F2473" s="53">
        <v>6</v>
      </c>
      <c r="T2473" s="33">
        <v>46122</v>
      </c>
      <c r="U2473" s="34">
        <v>2026</v>
      </c>
      <c r="V2473" s="35" t="s">
        <v>1982</v>
      </c>
      <c r="W2473" s="35" t="s">
        <v>2655</v>
      </c>
      <c r="Y2473" s="36" t="s">
        <v>2123</v>
      </c>
      <c r="Z2473" s="30" t="s">
        <v>1951</v>
      </c>
      <c r="AA2473" s="30" t="s">
        <v>3939</v>
      </c>
      <c r="AE2473" s="38">
        <v>2000</v>
      </c>
      <c r="AF2473" s="76">
        <f t="shared" si="239"/>
        <v>213445.65999999963</v>
      </c>
    </row>
    <row r="2474" spans="6:32" ht="8.25" customHeight="1" x14ac:dyDescent="0.25">
      <c r="F2474" s="53">
        <v>7</v>
      </c>
      <c r="T2474" s="33">
        <v>46122</v>
      </c>
      <c r="U2474" s="34">
        <v>2026</v>
      </c>
      <c r="V2474" s="35" t="s">
        <v>1982</v>
      </c>
      <c r="W2474" s="35" t="s">
        <v>2655</v>
      </c>
      <c r="Y2474" s="36" t="s">
        <v>2124</v>
      </c>
      <c r="Z2474" s="30" t="s">
        <v>1951</v>
      </c>
      <c r="AA2474" s="30" t="s">
        <v>3939</v>
      </c>
      <c r="AE2474" s="38">
        <v>2000</v>
      </c>
      <c r="AF2474" s="76">
        <f t="shared" si="239"/>
        <v>211445.65999999963</v>
      </c>
    </row>
    <row r="2475" spans="6:32" ht="8.25" customHeight="1" thickBot="1" x14ac:dyDescent="0.3">
      <c r="T2475" s="33" t="s">
        <v>1</v>
      </c>
      <c r="AA2475" s="75" t="s">
        <v>2139</v>
      </c>
      <c r="AD2475" s="253">
        <f>SUM(AD2456:AD2474)</f>
        <v>42750</v>
      </c>
      <c r="AE2475" s="253">
        <f>SUM(AE2457:AE2474)</f>
        <v>7600</v>
      </c>
      <c r="AF2475" s="233">
        <f>AF2456+AD2475-AE2475</f>
        <v>211445.65999999963</v>
      </c>
    </row>
    <row r="2476" spans="6:32" ht="8.25" customHeight="1" thickTop="1" x14ac:dyDescent="0.25"/>
    <row r="2477" spans="6:32" ht="8.25" customHeight="1" x14ac:dyDescent="0.25">
      <c r="X2477" s="109"/>
      <c r="Y2477" s="67" t="s">
        <v>214</v>
      </c>
      <c r="Z2477" s="68"/>
      <c r="AA2477" s="75"/>
    </row>
    <row r="2478" spans="6:32" ht="8.25" customHeight="1" x14ac:dyDescent="0.25">
      <c r="X2478" s="110" t="s">
        <v>670</v>
      </c>
      <c r="Y2478" s="111">
        <v>200</v>
      </c>
      <c r="Z2478" s="111">
        <f t="shared" ref="Z2478:Z2483" si="240">X2478*Y2478</f>
        <v>3200</v>
      </c>
      <c r="AA2478" s="112"/>
    </row>
    <row r="2479" spans="6:32" ht="8.25" customHeight="1" x14ac:dyDescent="0.25">
      <c r="X2479" s="110" t="s">
        <v>2237</v>
      </c>
      <c r="Y2479" s="111">
        <v>100</v>
      </c>
      <c r="Z2479" s="111">
        <f t="shared" si="240"/>
        <v>204400</v>
      </c>
      <c r="AA2479" s="112"/>
    </row>
    <row r="2480" spans="6:32" ht="8.25" customHeight="1" x14ac:dyDescent="0.25">
      <c r="X2480" s="110"/>
      <c r="Y2480" s="111">
        <v>50</v>
      </c>
      <c r="Z2480" s="111">
        <f t="shared" si="240"/>
        <v>0</v>
      </c>
      <c r="AA2480" s="76"/>
    </row>
    <row r="2481" spans="14:32" ht="8.25" customHeight="1" x14ac:dyDescent="0.25">
      <c r="X2481" s="110"/>
      <c r="Y2481" s="111">
        <v>20</v>
      </c>
      <c r="Z2481" s="111">
        <f t="shared" si="240"/>
        <v>0</v>
      </c>
      <c r="AA2481" s="38"/>
    </row>
    <row r="2482" spans="14:32" ht="8.25" customHeight="1" x14ac:dyDescent="0.25">
      <c r="X2482" s="110" t="s">
        <v>1446</v>
      </c>
      <c r="Y2482" s="111">
        <v>10</v>
      </c>
      <c r="Z2482" s="111">
        <f t="shared" si="240"/>
        <v>1030</v>
      </c>
      <c r="AA2482" s="112"/>
    </row>
    <row r="2483" spans="14:32" ht="8.25" customHeight="1" x14ac:dyDescent="0.25">
      <c r="X2483" s="110" t="s">
        <v>2060</v>
      </c>
      <c r="Y2483" s="111">
        <v>5</v>
      </c>
      <c r="Z2483" s="111">
        <f t="shared" si="240"/>
        <v>1645</v>
      </c>
      <c r="AA2483" s="112"/>
    </row>
    <row r="2484" spans="14:32" ht="8.25" customHeight="1" x14ac:dyDescent="0.25">
      <c r="X2484" s="269"/>
      <c r="Y2484" s="270"/>
      <c r="Z2484" s="271"/>
      <c r="AA2484" s="38"/>
    </row>
    <row r="2485" spans="14:32" ht="8.25" customHeight="1" x14ac:dyDescent="0.25">
      <c r="X2485" s="110" t="s">
        <v>2111</v>
      </c>
      <c r="Y2485" s="111">
        <v>1</v>
      </c>
      <c r="Z2485" s="111">
        <f t="shared" ref="Z2485:Z2490" si="241">X2485*Y2485</f>
        <v>1085</v>
      </c>
      <c r="AA2485" s="76"/>
    </row>
    <row r="2486" spans="14:32" ht="8.25" customHeight="1" x14ac:dyDescent="0.25">
      <c r="X2486" s="110" t="s">
        <v>1496</v>
      </c>
      <c r="Y2486" s="111">
        <v>0.5</v>
      </c>
      <c r="Z2486" s="111">
        <f t="shared" si="241"/>
        <v>40.5</v>
      </c>
      <c r="AA2486" s="112"/>
    </row>
    <row r="2487" spans="14:32" ht="8.25" customHeight="1" x14ac:dyDescent="0.25">
      <c r="X2487" s="110" t="s">
        <v>1878</v>
      </c>
      <c r="Y2487" s="111">
        <v>0.25</v>
      </c>
      <c r="Z2487" s="111">
        <f t="shared" si="241"/>
        <v>45</v>
      </c>
      <c r="AA2487" s="113"/>
    </row>
    <row r="2488" spans="14:32" ht="8.25" customHeight="1" x14ac:dyDescent="0.25">
      <c r="X2488" s="110" t="s">
        <v>222</v>
      </c>
      <c r="Y2488" s="111">
        <v>0.1</v>
      </c>
      <c r="Z2488" s="111">
        <f t="shared" si="241"/>
        <v>0.1</v>
      </c>
      <c r="AA2488" s="114" t="s">
        <v>219</v>
      </c>
    </row>
    <row r="2489" spans="14:32" ht="8.25" customHeight="1" thickBot="1" x14ac:dyDescent="0.3">
      <c r="X2489" s="110" t="s">
        <v>222</v>
      </c>
      <c r="Y2489" s="111">
        <v>0.05</v>
      </c>
      <c r="Z2489" s="111">
        <f t="shared" si="241"/>
        <v>0.05</v>
      </c>
      <c r="AA2489" s="115">
        <f>SUM(Z2478:Z2483)+Z2485+Z2486+Z2487+Z2488+Z2489+Z2490</f>
        <v>211445.66</v>
      </c>
    </row>
    <row r="2490" spans="14:32" ht="8.25" customHeight="1" thickTop="1" x14ac:dyDescent="0.25">
      <c r="X2490" s="110" t="s">
        <v>222</v>
      </c>
      <c r="Y2490" s="111">
        <v>0.01</v>
      </c>
      <c r="Z2490" s="111">
        <f t="shared" si="241"/>
        <v>0.01</v>
      </c>
    </row>
    <row r="2492" spans="14:32" ht="8.25" customHeight="1" x14ac:dyDescent="0.25">
      <c r="Z2492" s="231" t="s">
        <v>1376</v>
      </c>
      <c r="AF2492" s="76">
        <f>SUM(AF2475)</f>
        <v>211445.65999999963</v>
      </c>
    </row>
    <row r="2493" spans="14:32" ht="8.25" customHeight="1" x14ac:dyDescent="0.25">
      <c r="N2493" s="52">
        <v>22</v>
      </c>
      <c r="T2493" s="33">
        <v>46125</v>
      </c>
      <c r="U2493" s="34">
        <v>2026</v>
      </c>
      <c r="V2493" s="35" t="s">
        <v>1982</v>
      </c>
      <c r="W2493" s="35" t="s">
        <v>17</v>
      </c>
      <c r="X2493" s="37" t="s">
        <v>2140</v>
      </c>
      <c r="Y2493" s="36" t="s">
        <v>1552</v>
      </c>
      <c r="Z2493" s="30" t="s">
        <v>1553</v>
      </c>
      <c r="AA2493" s="30" t="s">
        <v>3899</v>
      </c>
      <c r="AD2493" s="38">
        <v>4735.75</v>
      </c>
      <c r="AF2493" s="76">
        <f t="shared" ref="AF2493:AF2501" si="242">AF2492+AD2493-AE2493</f>
        <v>216181.40999999963</v>
      </c>
    </row>
    <row r="2494" spans="14:32" ht="8.25" customHeight="1" x14ac:dyDescent="0.15">
      <c r="N2494" s="52">
        <v>22</v>
      </c>
      <c r="T2494" s="33">
        <v>46125</v>
      </c>
      <c r="U2494" s="34">
        <v>2026</v>
      </c>
      <c r="V2494" s="35" t="s">
        <v>1982</v>
      </c>
      <c r="W2494" s="35" t="s">
        <v>17</v>
      </c>
      <c r="X2494" s="37" t="s">
        <v>2140</v>
      </c>
      <c r="Y2494" s="36" t="s">
        <v>1552</v>
      </c>
      <c r="Z2494" s="30" t="s">
        <v>1553</v>
      </c>
      <c r="AA2494" s="134" t="s">
        <v>166</v>
      </c>
      <c r="AD2494" s="38">
        <v>6852.25</v>
      </c>
      <c r="AF2494" s="76">
        <f t="shared" si="242"/>
        <v>223033.65999999963</v>
      </c>
    </row>
    <row r="2495" spans="14:32" ht="8.25" customHeight="1" x14ac:dyDescent="0.25">
      <c r="N2495" s="52">
        <v>23</v>
      </c>
      <c r="T2495" s="33">
        <v>46125</v>
      </c>
      <c r="U2495" s="34">
        <v>2026</v>
      </c>
      <c r="V2495" s="35" t="s">
        <v>1982</v>
      </c>
      <c r="W2495" s="35" t="s">
        <v>17</v>
      </c>
      <c r="X2495" s="37" t="s">
        <v>2143</v>
      </c>
      <c r="Y2495" s="36" t="s">
        <v>361</v>
      </c>
      <c r="Z2495" s="30" t="s">
        <v>362</v>
      </c>
      <c r="AA2495" s="30" t="s">
        <v>3899</v>
      </c>
      <c r="AD2495" s="38">
        <v>7047.68</v>
      </c>
      <c r="AF2495" s="76">
        <f t="shared" si="242"/>
        <v>230081.33999999962</v>
      </c>
    </row>
    <row r="2496" spans="14:32" ht="8.25" customHeight="1" x14ac:dyDescent="0.15">
      <c r="N2496" s="52">
        <v>23</v>
      </c>
      <c r="T2496" s="33">
        <v>46125</v>
      </c>
      <c r="U2496" s="34">
        <v>2026</v>
      </c>
      <c r="V2496" s="35" t="s">
        <v>1982</v>
      </c>
      <c r="W2496" s="35" t="s">
        <v>17</v>
      </c>
      <c r="X2496" s="37" t="s">
        <v>2143</v>
      </c>
      <c r="Y2496" s="36" t="s">
        <v>361</v>
      </c>
      <c r="Z2496" s="30" t="s">
        <v>362</v>
      </c>
      <c r="AA2496" s="134" t="s">
        <v>166</v>
      </c>
      <c r="AD2496" s="38">
        <v>4352.32</v>
      </c>
      <c r="AF2496" s="76">
        <f t="shared" si="242"/>
        <v>234433.65999999963</v>
      </c>
    </row>
    <row r="2497" spans="3:32" ht="8.25" customHeight="1" x14ac:dyDescent="0.25">
      <c r="N2497" s="52">
        <v>24</v>
      </c>
      <c r="T2497" s="33">
        <v>46125</v>
      </c>
      <c r="U2497" s="34">
        <v>2026</v>
      </c>
      <c r="V2497" s="35" t="s">
        <v>1982</v>
      </c>
      <c r="W2497" s="35" t="s">
        <v>17</v>
      </c>
      <c r="X2497" s="37" t="s">
        <v>2144</v>
      </c>
      <c r="Y2497" s="36" t="s">
        <v>983</v>
      </c>
      <c r="Z2497" s="30" t="s">
        <v>1504</v>
      </c>
      <c r="AA2497" s="30" t="s">
        <v>3899</v>
      </c>
      <c r="AD2497" s="38">
        <v>6748.54</v>
      </c>
      <c r="AF2497" s="76">
        <f t="shared" si="242"/>
        <v>241182.19999999963</v>
      </c>
    </row>
    <row r="2498" spans="3:32" ht="8.25" customHeight="1" x14ac:dyDescent="0.15">
      <c r="N2498" s="52">
        <v>24</v>
      </c>
      <c r="T2498" s="33">
        <v>46125</v>
      </c>
      <c r="U2498" s="34">
        <v>2026</v>
      </c>
      <c r="V2498" s="35" t="s">
        <v>1982</v>
      </c>
      <c r="W2498" s="35" t="s">
        <v>17</v>
      </c>
      <c r="X2498" s="37" t="s">
        <v>2144</v>
      </c>
      <c r="Y2498" s="36" t="s">
        <v>983</v>
      </c>
      <c r="Z2498" s="30" t="s">
        <v>1504</v>
      </c>
      <c r="AA2498" s="134" t="s">
        <v>166</v>
      </c>
      <c r="AD2498" s="38">
        <v>1251.46</v>
      </c>
      <c r="AF2498" s="76">
        <f>AF2497+AD2498-AE2498</f>
        <v>242433.65999999963</v>
      </c>
    </row>
    <row r="2499" spans="3:32" ht="8.25" customHeight="1" x14ac:dyDescent="0.25">
      <c r="I2499" s="52">
        <v>22</v>
      </c>
      <c r="T2499" s="33">
        <v>46125</v>
      </c>
      <c r="U2499" s="34">
        <v>2026</v>
      </c>
      <c r="V2499" s="35" t="s">
        <v>1982</v>
      </c>
      <c r="W2499" s="35" t="s">
        <v>17</v>
      </c>
      <c r="X2499" s="37" t="s">
        <v>2185</v>
      </c>
      <c r="Y2499" s="36" t="s">
        <v>349</v>
      </c>
      <c r="Z2499" s="30" t="s">
        <v>740</v>
      </c>
      <c r="AA2499" s="30" t="s">
        <v>13</v>
      </c>
      <c r="AD2499" s="38">
        <v>200</v>
      </c>
      <c r="AF2499" s="76">
        <f>AF2498+AD2499-AE2499</f>
        <v>242633.65999999963</v>
      </c>
    </row>
    <row r="2500" spans="3:32" ht="8.25" customHeight="1" x14ac:dyDescent="0.25">
      <c r="R2500" s="53">
        <v>9</v>
      </c>
      <c r="T2500" s="33">
        <v>46125</v>
      </c>
      <c r="U2500" s="34">
        <v>2026</v>
      </c>
      <c r="V2500" s="35" t="s">
        <v>1982</v>
      </c>
      <c r="W2500" s="35" t="s">
        <v>5</v>
      </c>
      <c r="X2500" s="37" t="s">
        <v>2186</v>
      </c>
      <c r="Y2500" s="36" t="s">
        <v>115</v>
      </c>
      <c r="Z2500" s="30" t="s">
        <v>16</v>
      </c>
      <c r="AA2500" s="30" t="s">
        <v>1050</v>
      </c>
      <c r="AE2500" s="38">
        <v>200</v>
      </c>
      <c r="AF2500" s="76">
        <f>AF2499+AD2500-AE2500</f>
        <v>242433.65999999963</v>
      </c>
    </row>
    <row r="2501" spans="3:32" ht="8.25" customHeight="1" x14ac:dyDescent="0.25">
      <c r="C2501" s="52">
        <v>2</v>
      </c>
      <c r="T2501" s="33">
        <v>46125</v>
      </c>
      <c r="U2501" s="34">
        <v>2026</v>
      </c>
      <c r="V2501" s="35" t="s">
        <v>1982</v>
      </c>
      <c r="W2501" s="35" t="s">
        <v>3620</v>
      </c>
      <c r="Y2501" s="36" t="s">
        <v>2141</v>
      </c>
      <c r="Z2501" s="30" t="s">
        <v>2142</v>
      </c>
      <c r="AA2501" s="30" t="s">
        <v>340</v>
      </c>
      <c r="AD2501" s="38">
        <v>178</v>
      </c>
      <c r="AF2501" s="76">
        <f t="shared" si="242"/>
        <v>242611.65999999963</v>
      </c>
    </row>
    <row r="2502" spans="3:32" ht="8.25" customHeight="1" x14ac:dyDescent="0.25">
      <c r="G2502" s="53">
        <v>9</v>
      </c>
      <c r="T2502" s="33">
        <v>46125</v>
      </c>
      <c r="U2502" s="34">
        <v>2026</v>
      </c>
      <c r="V2502" s="35" t="s">
        <v>1982</v>
      </c>
      <c r="W2502" s="35" t="s">
        <v>2655</v>
      </c>
      <c r="Y2502" s="36" t="s">
        <v>2145</v>
      </c>
      <c r="Z2502" s="30" t="s">
        <v>1619</v>
      </c>
      <c r="AA2502" s="30" t="s">
        <v>3945</v>
      </c>
      <c r="AE2502" s="38">
        <v>7512.3</v>
      </c>
      <c r="AF2502" s="76">
        <f>AF2501+AD2502-AE2502</f>
        <v>235099.35999999964</v>
      </c>
    </row>
    <row r="2503" spans="3:32" ht="8.25" customHeight="1" x14ac:dyDescent="0.25">
      <c r="AA2503" s="75" t="s">
        <v>2139</v>
      </c>
      <c r="AD2503" s="38">
        <f>SUM(AD2493:AD2501)</f>
        <v>31366</v>
      </c>
      <c r="AE2503" s="38">
        <f>SUM(AE2493:AE2502)</f>
        <v>7712.3</v>
      </c>
      <c r="AF2503" s="76">
        <f>AF2492+AD2503-AE2503</f>
        <v>235099.35999999964</v>
      </c>
    </row>
    <row r="2505" spans="3:32" ht="8.25" customHeight="1" x14ac:dyDescent="0.25">
      <c r="X2505" s="109"/>
      <c r="Y2505" s="67" t="s">
        <v>214</v>
      </c>
      <c r="Z2505" s="68"/>
      <c r="AA2505" s="75"/>
    </row>
    <row r="2506" spans="3:32" ht="8.25" customHeight="1" x14ac:dyDescent="0.25">
      <c r="X2506" s="110" t="s">
        <v>620</v>
      </c>
      <c r="Y2506" s="111">
        <v>200</v>
      </c>
      <c r="Z2506" s="111">
        <f t="shared" ref="Z2506:Z2511" si="243">X2506*Y2506</f>
        <v>3400</v>
      </c>
      <c r="AA2506" s="112"/>
    </row>
    <row r="2507" spans="3:32" ht="8.25" customHeight="1" x14ac:dyDescent="0.25">
      <c r="X2507" s="110" t="s">
        <v>2238</v>
      </c>
      <c r="Y2507" s="111">
        <v>100</v>
      </c>
      <c r="Z2507" s="111">
        <f t="shared" si="243"/>
        <v>227800</v>
      </c>
      <c r="AA2507" s="112"/>
    </row>
    <row r="2508" spans="3:32" ht="8.25" customHeight="1" x14ac:dyDescent="0.25">
      <c r="X2508" s="110"/>
      <c r="Y2508" s="111">
        <v>50</v>
      </c>
      <c r="Z2508" s="111">
        <f t="shared" si="243"/>
        <v>0</v>
      </c>
      <c r="AA2508" s="76"/>
    </row>
    <row r="2509" spans="3:32" ht="8.25" customHeight="1" x14ac:dyDescent="0.25">
      <c r="X2509" s="110" t="s">
        <v>224</v>
      </c>
      <c r="Y2509" s="111">
        <v>20</v>
      </c>
      <c r="Z2509" s="111">
        <f t="shared" si="243"/>
        <v>40</v>
      </c>
      <c r="AA2509" s="38"/>
    </row>
    <row r="2510" spans="3:32" ht="8.25" customHeight="1" x14ac:dyDescent="0.25">
      <c r="X2510" s="110" t="s">
        <v>2239</v>
      </c>
      <c r="Y2510" s="111">
        <v>10</v>
      </c>
      <c r="Z2510" s="111">
        <f t="shared" si="243"/>
        <v>1040</v>
      </c>
      <c r="AA2510" s="112"/>
    </row>
    <row r="2511" spans="3:32" ht="8.25" customHeight="1" x14ac:dyDescent="0.25">
      <c r="X2511" s="110" t="s">
        <v>2234</v>
      </c>
      <c r="Y2511" s="111">
        <v>5</v>
      </c>
      <c r="Z2511" s="111">
        <f t="shared" si="243"/>
        <v>1650</v>
      </c>
      <c r="AA2511" s="112"/>
    </row>
    <row r="2512" spans="3:32" ht="8.25" customHeight="1" x14ac:dyDescent="0.25">
      <c r="X2512" s="269"/>
      <c r="Y2512" s="270"/>
      <c r="Z2512" s="271"/>
      <c r="AA2512" s="38"/>
    </row>
    <row r="2513" spans="14:32" ht="8.25" customHeight="1" x14ac:dyDescent="0.25">
      <c r="X2513" s="110" t="s">
        <v>2146</v>
      </c>
      <c r="Y2513" s="111">
        <v>1</v>
      </c>
      <c r="Z2513" s="111">
        <f t="shared" ref="Z2513:Z2518" si="244">X2513*Y2513</f>
        <v>1084</v>
      </c>
      <c r="AA2513" s="76"/>
    </row>
    <row r="2514" spans="14:32" ht="8.25" customHeight="1" x14ac:dyDescent="0.25">
      <c r="X2514" s="110" t="s">
        <v>259</v>
      </c>
      <c r="Y2514" s="111">
        <v>0.5</v>
      </c>
      <c r="Z2514" s="111">
        <f t="shared" si="244"/>
        <v>40</v>
      </c>
      <c r="AA2514" s="112"/>
    </row>
    <row r="2515" spans="14:32" ht="8.25" customHeight="1" x14ac:dyDescent="0.25">
      <c r="X2515" s="110" t="s">
        <v>1878</v>
      </c>
      <c r="Y2515" s="111">
        <v>0.25</v>
      </c>
      <c r="Z2515" s="111">
        <f t="shared" si="244"/>
        <v>45</v>
      </c>
      <c r="AA2515" s="113"/>
    </row>
    <row r="2516" spans="14:32" ht="8.25" customHeight="1" x14ac:dyDescent="0.25">
      <c r="X2516" s="110" t="s">
        <v>223</v>
      </c>
      <c r="Y2516" s="111">
        <v>0.1</v>
      </c>
      <c r="Z2516" s="111">
        <f t="shared" si="244"/>
        <v>0.30000000000000004</v>
      </c>
      <c r="AA2516" s="114" t="s">
        <v>219</v>
      </c>
    </row>
    <row r="2517" spans="14:32" ht="8.25" customHeight="1" thickBot="1" x14ac:dyDescent="0.3">
      <c r="X2517" s="110" t="s">
        <v>222</v>
      </c>
      <c r="Y2517" s="111">
        <v>0.05</v>
      </c>
      <c r="Z2517" s="111">
        <f t="shared" si="244"/>
        <v>0.05</v>
      </c>
      <c r="AA2517" s="115">
        <f>SUM(Z2506:Z2511)+Z2513+Z2514+Z2515+Z2516+Z2517+Z2518</f>
        <v>235099.36</v>
      </c>
    </row>
    <row r="2518" spans="14:32" ht="8.25" customHeight="1" thickTop="1" x14ac:dyDescent="0.25">
      <c r="X2518" s="110" t="s">
        <v>222</v>
      </c>
      <c r="Y2518" s="111">
        <v>0.01</v>
      </c>
      <c r="Z2518" s="111">
        <f t="shared" si="244"/>
        <v>0.01</v>
      </c>
    </row>
    <row r="2520" spans="14:32" ht="8.25" customHeight="1" x14ac:dyDescent="0.25">
      <c r="Z2520" s="231" t="s">
        <v>1376</v>
      </c>
      <c r="AF2520" s="76">
        <f>SUM(AF2503)</f>
        <v>235099.35999999964</v>
      </c>
    </row>
    <row r="2521" spans="14:32" ht="8.25" customHeight="1" x14ac:dyDescent="0.25">
      <c r="N2521" s="52">
        <v>25</v>
      </c>
      <c r="T2521" s="33">
        <v>46126</v>
      </c>
      <c r="U2521" s="34">
        <v>2026</v>
      </c>
      <c r="V2521" s="35" t="s">
        <v>1982</v>
      </c>
      <c r="W2521" s="35" t="s">
        <v>17</v>
      </c>
      <c r="X2521" s="37" t="s">
        <v>2147</v>
      </c>
      <c r="Y2521" s="36" t="s">
        <v>407</v>
      </c>
      <c r="Z2521" s="30" t="s">
        <v>408</v>
      </c>
      <c r="AA2521" s="30" t="s">
        <v>3899</v>
      </c>
      <c r="AD2521" s="38">
        <v>6282.69</v>
      </c>
      <c r="AF2521" s="76">
        <f t="shared" ref="AF2521:AF2527" si="245">AF2520+AD2521-AE2521</f>
        <v>241382.04999999964</v>
      </c>
    </row>
    <row r="2522" spans="14:32" ht="8.25" customHeight="1" x14ac:dyDescent="0.15">
      <c r="N2522" s="52">
        <v>25</v>
      </c>
      <c r="T2522" s="33">
        <v>46126</v>
      </c>
      <c r="U2522" s="34">
        <v>2026</v>
      </c>
      <c r="V2522" s="35" t="s">
        <v>1982</v>
      </c>
      <c r="W2522" s="35" t="s">
        <v>17</v>
      </c>
      <c r="X2522" s="37" t="s">
        <v>2147</v>
      </c>
      <c r="Y2522" s="36" t="s">
        <v>407</v>
      </c>
      <c r="Z2522" s="30" t="s">
        <v>408</v>
      </c>
      <c r="AA2522" s="134" t="s">
        <v>166</v>
      </c>
      <c r="AD2522" s="38">
        <v>3717.31</v>
      </c>
      <c r="AF2522" s="76">
        <f t="shared" si="245"/>
        <v>245099.35999999964</v>
      </c>
    </row>
    <row r="2523" spans="14:32" ht="8.25" customHeight="1" x14ac:dyDescent="0.25">
      <c r="N2523" s="52">
        <v>26</v>
      </c>
      <c r="T2523" s="33">
        <v>46126</v>
      </c>
      <c r="U2523" s="34">
        <v>2026</v>
      </c>
      <c r="V2523" s="35" t="s">
        <v>1982</v>
      </c>
      <c r="W2523" s="35" t="s">
        <v>17</v>
      </c>
      <c r="X2523" s="37" t="s">
        <v>2148</v>
      </c>
      <c r="Y2523" s="36" t="s">
        <v>942</v>
      </c>
      <c r="Z2523" s="30" t="s">
        <v>447</v>
      </c>
      <c r="AA2523" s="30" t="s">
        <v>3899</v>
      </c>
      <c r="AD2523" s="38">
        <v>7342.67</v>
      </c>
      <c r="AF2523" s="76">
        <f t="shared" si="245"/>
        <v>252442.02999999965</v>
      </c>
    </row>
    <row r="2524" spans="14:32" ht="8.25" customHeight="1" x14ac:dyDescent="0.15">
      <c r="N2524" s="52">
        <v>26</v>
      </c>
      <c r="T2524" s="33">
        <v>46126</v>
      </c>
      <c r="U2524" s="34">
        <v>2026</v>
      </c>
      <c r="V2524" s="35" t="s">
        <v>1982</v>
      </c>
      <c r="W2524" s="35" t="s">
        <v>17</v>
      </c>
      <c r="X2524" s="37" t="s">
        <v>2148</v>
      </c>
      <c r="Y2524" s="36" t="s">
        <v>942</v>
      </c>
      <c r="Z2524" s="30" t="s">
        <v>447</v>
      </c>
      <c r="AA2524" s="134" t="s">
        <v>166</v>
      </c>
      <c r="AD2524" s="38">
        <v>6657.33</v>
      </c>
      <c r="AF2524" s="76">
        <f t="shared" si="245"/>
        <v>259099.35999999964</v>
      </c>
    </row>
    <row r="2525" spans="14:32" ht="8.25" customHeight="1" x14ac:dyDescent="0.25">
      <c r="N2525" s="52">
        <v>27</v>
      </c>
      <c r="T2525" s="33">
        <v>46126</v>
      </c>
      <c r="U2525" s="34">
        <v>2026</v>
      </c>
      <c r="V2525" s="35" t="s">
        <v>1982</v>
      </c>
      <c r="W2525" s="35" t="s">
        <v>17</v>
      </c>
      <c r="X2525" s="37" t="s">
        <v>2149</v>
      </c>
      <c r="Y2525" s="36" t="s">
        <v>414</v>
      </c>
      <c r="Z2525" s="30" t="s">
        <v>2150</v>
      </c>
      <c r="AA2525" s="30" t="s">
        <v>3899</v>
      </c>
      <c r="AD2525" s="38">
        <v>7556.94</v>
      </c>
      <c r="AF2525" s="76">
        <f t="shared" si="245"/>
        <v>266656.29999999964</v>
      </c>
    </row>
    <row r="2526" spans="14:32" ht="8.25" customHeight="1" x14ac:dyDescent="0.15">
      <c r="N2526" s="52">
        <v>27</v>
      </c>
      <c r="T2526" s="33">
        <v>46126</v>
      </c>
      <c r="U2526" s="34">
        <v>2026</v>
      </c>
      <c r="V2526" s="35" t="s">
        <v>1982</v>
      </c>
      <c r="W2526" s="35" t="s">
        <v>17</v>
      </c>
      <c r="X2526" s="37" t="s">
        <v>2149</v>
      </c>
      <c r="Y2526" s="36" t="s">
        <v>414</v>
      </c>
      <c r="Z2526" s="30" t="s">
        <v>2150</v>
      </c>
      <c r="AA2526" s="134" t="s">
        <v>166</v>
      </c>
      <c r="AD2526" s="38">
        <v>4443.0600000000004</v>
      </c>
      <c r="AF2526" s="76">
        <f t="shared" si="245"/>
        <v>271099.35999999964</v>
      </c>
    </row>
    <row r="2527" spans="14:32" ht="8.25" customHeight="1" x14ac:dyDescent="0.25">
      <c r="N2527" s="52">
        <v>28</v>
      </c>
      <c r="T2527" s="33">
        <v>46126</v>
      </c>
      <c r="U2527" s="34">
        <v>2026</v>
      </c>
      <c r="V2527" s="35" t="s">
        <v>1982</v>
      </c>
      <c r="W2527" s="35" t="s">
        <v>17</v>
      </c>
      <c r="X2527" s="37" t="s">
        <v>2151</v>
      </c>
      <c r="Y2527" s="36" t="s">
        <v>439</v>
      </c>
      <c r="Z2527" s="30" t="s">
        <v>440</v>
      </c>
      <c r="AA2527" s="30" t="s">
        <v>3899</v>
      </c>
      <c r="AD2527" s="38">
        <v>5554.72</v>
      </c>
      <c r="AF2527" s="76">
        <f t="shared" si="245"/>
        <v>276654.07999999961</v>
      </c>
    </row>
    <row r="2528" spans="14:32" ht="8.25" customHeight="1" x14ac:dyDescent="0.15">
      <c r="N2528" s="52">
        <v>28</v>
      </c>
      <c r="T2528" s="33">
        <v>46126</v>
      </c>
      <c r="U2528" s="34">
        <v>2026</v>
      </c>
      <c r="V2528" s="35" t="s">
        <v>1982</v>
      </c>
      <c r="W2528" s="35" t="s">
        <v>17</v>
      </c>
      <c r="X2528" s="37" t="s">
        <v>2151</v>
      </c>
      <c r="Y2528" s="36" t="s">
        <v>439</v>
      </c>
      <c r="Z2528" s="30" t="s">
        <v>440</v>
      </c>
      <c r="AA2528" s="134" t="s">
        <v>166</v>
      </c>
      <c r="AD2528" s="38">
        <v>4445.28</v>
      </c>
      <c r="AF2528" s="76">
        <f t="shared" ref="AF2528:AF2560" si="246">AF2527+AD2528-AE2528</f>
        <v>281099.35999999964</v>
      </c>
    </row>
    <row r="2529" spans="10:32" ht="8.25" customHeight="1" x14ac:dyDescent="0.25">
      <c r="N2529" s="52">
        <v>29</v>
      </c>
      <c r="T2529" s="33">
        <v>46126</v>
      </c>
      <c r="U2529" s="34">
        <v>2026</v>
      </c>
      <c r="V2529" s="35" t="s">
        <v>1982</v>
      </c>
      <c r="W2529" s="35" t="s">
        <v>17</v>
      </c>
      <c r="X2529" s="37" t="s">
        <v>2152</v>
      </c>
      <c r="Y2529" s="36" t="s">
        <v>436</v>
      </c>
      <c r="Z2529" s="30" t="s">
        <v>437</v>
      </c>
      <c r="AA2529" s="30" t="s">
        <v>3899</v>
      </c>
      <c r="AD2529" s="38">
        <v>7436.09</v>
      </c>
      <c r="AF2529" s="76">
        <f t="shared" si="246"/>
        <v>288535.44999999966</v>
      </c>
    </row>
    <row r="2530" spans="10:32" ht="8.25" customHeight="1" x14ac:dyDescent="0.15">
      <c r="N2530" s="52">
        <v>29</v>
      </c>
      <c r="T2530" s="33">
        <v>46126</v>
      </c>
      <c r="U2530" s="34">
        <v>2026</v>
      </c>
      <c r="V2530" s="35" t="s">
        <v>1982</v>
      </c>
      <c r="W2530" s="35" t="s">
        <v>17</v>
      </c>
      <c r="X2530" s="37" t="s">
        <v>2152</v>
      </c>
      <c r="Y2530" s="36" t="s">
        <v>436</v>
      </c>
      <c r="Z2530" s="30" t="s">
        <v>437</v>
      </c>
      <c r="AA2530" s="134" t="s">
        <v>166</v>
      </c>
      <c r="AD2530" s="38">
        <v>6563.91</v>
      </c>
      <c r="AF2530" s="76">
        <f t="shared" si="246"/>
        <v>295099.35999999964</v>
      </c>
    </row>
    <row r="2531" spans="10:32" ht="8.25" customHeight="1" x14ac:dyDescent="0.25">
      <c r="N2531" s="52">
        <v>30</v>
      </c>
      <c r="T2531" s="33">
        <v>46126</v>
      </c>
      <c r="U2531" s="34">
        <v>2026</v>
      </c>
      <c r="V2531" s="35" t="s">
        <v>1982</v>
      </c>
      <c r="W2531" s="35" t="s">
        <v>17</v>
      </c>
      <c r="X2531" s="37" t="s">
        <v>2153</v>
      </c>
      <c r="Y2531" s="36" t="s">
        <v>1018</v>
      </c>
      <c r="Z2531" s="30" t="s">
        <v>2154</v>
      </c>
      <c r="AA2531" s="30" t="s">
        <v>3899</v>
      </c>
      <c r="AD2531" s="38">
        <v>6656.49</v>
      </c>
      <c r="AF2531" s="76">
        <f t="shared" si="246"/>
        <v>301755.84999999963</v>
      </c>
    </row>
    <row r="2532" spans="10:32" ht="8.25" customHeight="1" x14ac:dyDescent="0.15">
      <c r="N2532" s="52">
        <v>30</v>
      </c>
      <c r="T2532" s="33">
        <v>46126</v>
      </c>
      <c r="U2532" s="34">
        <v>2026</v>
      </c>
      <c r="V2532" s="35" t="s">
        <v>1982</v>
      </c>
      <c r="W2532" s="35" t="s">
        <v>17</v>
      </c>
      <c r="X2532" s="37" t="s">
        <v>2153</v>
      </c>
      <c r="Y2532" s="36" t="s">
        <v>1018</v>
      </c>
      <c r="Z2532" s="30" t="s">
        <v>2154</v>
      </c>
      <c r="AA2532" s="134" t="s">
        <v>166</v>
      </c>
      <c r="AD2532" s="38">
        <v>5343.51</v>
      </c>
      <c r="AF2532" s="76">
        <f t="shared" si="246"/>
        <v>307099.35999999964</v>
      </c>
    </row>
    <row r="2533" spans="10:32" ht="8.25" customHeight="1" x14ac:dyDescent="0.25">
      <c r="N2533" s="52">
        <v>31</v>
      </c>
      <c r="T2533" s="33">
        <v>46126</v>
      </c>
      <c r="U2533" s="34">
        <v>2026</v>
      </c>
      <c r="V2533" s="35" t="s">
        <v>1982</v>
      </c>
      <c r="W2533" s="35" t="s">
        <v>17</v>
      </c>
      <c r="X2533" s="37" t="s">
        <v>2155</v>
      </c>
      <c r="Y2533" s="36" t="s">
        <v>507</v>
      </c>
      <c r="Z2533" s="30" t="s">
        <v>508</v>
      </c>
      <c r="AA2533" s="30" t="s">
        <v>3899</v>
      </c>
      <c r="AD2533" s="38">
        <v>8233.1299999999992</v>
      </c>
      <c r="AF2533" s="76">
        <f t="shared" si="246"/>
        <v>315332.48999999964</v>
      </c>
    </row>
    <row r="2534" spans="10:32" ht="8.25" customHeight="1" x14ac:dyDescent="0.15">
      <c r="N2534" s="52">
        <v>31</v>
      </c>
      <c r="T2534" s="33">
        <v>46126</v>
      </c>
      <c r="U2534" s="34">
        <v>2026</v>
      </c>
      <c r="V2534" s="35" t="s">
        <v>1982</v>
      </c>
      <c r="W2534" s="35" t="s">
        <v>17</v>
      </c>
      <c r="X2534" s="37" t="s">
        <v>2155</v>
      </c>
      <c r="Y2534" s="36" t="s">
        <v>507</v>
      </c>
      <c r="Z2534" s="30" t="s">
        <v>508</v>
      </c>
      <c r="AA2534" s="134" t="s">
        <v>166</v>
      </c>
      <c r="AD2534" s="38">
        <v>5266.87</v>
      </c>
      <c r="AF2534" s="76">
        <f t="shared" si="246"/>
        <v>320599.35999999964</v>
      </c>
    </row>
    <row r="2535" spans="10:32" ht="8.25" customHeight="1" x14ac:dyDescent="0.25">
      <c r="N2535" s="52">
        <v>32</v>
      </c>
      <c r="T2535" s="33">
        <v>46126</v>
      </c>
      <c r="U2535" s="34">
        <v>2026</v>
      </c>
      <c r="V2535" s="35" t="s">
        <v>1982</v>
      </c>
      <c r="W2535" s="35" t="s">
        <v>17</v>
      </c>
      <c r="X2535" s="37" t="s">
        <v>2156</v>
      </c>
      <c r="Y2535" s="36" t="s">
        <v>442</v>
      </c>
      <c r="Z2535" s="30" t="s">
        <v>443</v>
      </c>
      <c r="AA2535" s="30" t="s">
        <v>3899</v>
      </c>
      <c r="AD2535" s="38">
        <v>5004.45</v>
      </c>
      <c r="AF2535" s="76">
        <f t="shared" si="246"/>
        <v>325603.80999999965</v>
      </c>
    </row>
    <row r="2536" spans="10:32" ht="8.25" customHeight="1" x14ac:dyDescent="0.15">
      <c r="N2536" s="52">
        <v>32</v>
      </c>
      <c r="T2536" s="33">
        <v>46126</v>
      </c>
      <c r="U2536" s="34">
        <v>2026</v>
      </c>
      <c r="V2536" s="35" t="s">
        <v>1982</v>
      </c>
      <c r="W2536" s="35" t="s">
        <v>17</v>
      </c>
      <c r="X2536" s="37" t="s">
        <v>2156</v>
      </c>
      <c r="Y2536" s="36" t="s">
        <v>442</v>
      </c>
      <c r="Z2536" s="30" t="s">
        <v>443</v>
      </c>
      <c r="AA2536" s="134" t="s">
        <v>166</v>
      </c>
      <c r="AD2536" s="38">
        <v>4995.55</v>
      </c>
      <c r="AF2536" s="76">
        <f t="shared" si="246"/>
        <v>330599.35999999964</v>
      </c>
    </row>
    <row r="2537" spans="10:32" ht="8.25" customHeight="1" x14ac:dyDescent="0.15">
      <c r="K2537" s="52">
        <v>9</v>
      </c>
      <c r="T2537" s="33">
        <v>46126</v>
      </c>
      <c r="U2537" s="34">
        <v>2026</v>
      </c>
      <c r="V2537" s="35" t="s">
        <v>1982</v>
      </c>
      <c r="W2537" s="35" t="s">
        <v>17</v>
      </c>
      <c r="X2537" s="37" t="s">
        <v>2157</v>
      </c>
      <c r="Y2537" s="36" t="s">
        <v>2158</v>
      </c>
      <c r="Z2537" s="30" t="s">
        <v>2159</v>
      </c>
      <c r="AA2537" s="136" t="s">
        <v>1788</v>
      </c>
      <c r="AD2537" s="38">
        <v>100</v>
      </c>
      <c r="AF2537" s="76">
        <f t="shared" si="246"/>
        <v>330699.35999999964</v>
      </c>
    </row>
    <row r="2538" spans="10:32" ht="8.25" customHeight="1" x14ac:dyDescent="0.25">
      <c r="L2538" s="52">
        <v>9</v>
      </c>
      <c r="T2538" s="33">
        <v>46126</v>
      </c>
      <c r="U2538" s="34">
        <v>2026</v>
      </c>
      <c r="V2538" s="35" t="s">
        <v>1982</v>
      </c>
      <c r="W2538" s="35" t="s">
        <v>17</v>
      </c>
      <c r="X2538" s="37" t="s">
        <v>2160</v>
      </c>
      <c r="Y2538" s="36" t="s">
        <v>120</v>
      </c>
      <c r="Z2538" s="30" t="s">
        <v>2159</v>
      </c>
      <c r="AA2538" s="30" t="s">
        <v>373</v>
      </c>
      <c r="AD2538" s="38">
        <v>50</v>
      </c>
      <c r="AF2538" s="76">
        <f t="shared" si="246"/>
        <v>330749.35999999964</v>
      </c>
    </row>
    <row r="2539" spans="10:32" ht="8.25" customHeight="1" x14ac:dyDescent="0.25">
      <c r="J2539" s="52">
        <v>2</v>
      </c>
      <c r="T2539" s="33">
        <v>46126</v>
      </c>
      <c r="U2539" s="34">
        <v>2026</v>
      </c>
      <c r="V2539" s="35" t="s">
        <v>1982</v>
      </c>
      <c r="W2539" s="35" t="s">
        <v>17</v>
      </c>
      <c r="X2539" s="37" t="s">
        <v>2161</v>
      </c>
      <c r="Y2539" s="36" t="s">
        <v>2162</v>
      </c>
      <c r="Z2539" s="30" t="s">
        <v>2159</v>
      </c>
      <c r="AA2539" s="30" t="s">
        <v>1136</v>
      </c>
      <c r="AD2539" s="38">
        <v>100000</v>
      </c>
      <c r="AF2539" s="76">
        <f t="shared" si="246"/>
        <v>430749.35999999964</v>
      </c>
    </row>
    <row r="2540" spans="10:32" ht="8.25" customHeight="1" x14ac:dyDescent="0.25">
      <c r="N2540" s="52">
        <v>33</v>
      </c>
      <c r="T2540" s="33">
        <v>46126</v>
      </c>
      <c r="U2540" s="34">
        <v>2026</v>
      </c>
      <c r="V2540" s="35" t="s">
        <v>1982</v>
      </c>
      <c r="W2540" s="35" t="s">
        <v>17</v>
      </c>
      <c r="X2540" s="37" t="s">
        <v>2163</v>
      </c>
      <c r="Y2540" s="36" t="s">
        <v>2164</v>
      </c>
      <c r="Z2540" s="30" t="s">
        <v>2165</v>
      </c>
      <c r="AA2540" s="30" t="s">
        <v>3899</v>
      </c>
      <c r="AD2540" s="38">
        <v>13835.52</v>
      </c>
      <c r="AF2540" s="76">
        <f t="shared" si="246"/>
        <v>444584.87999999966</v>
      </c>
    </row>
    <row r="2541" spans="10:32" ht="8.25" customHeight="1" x14ac:dyDescent="0.15">
      <c r="N2541" s="52">
        <v>33</v>
      </c>
      <c r="T2541" s="33">
        <v>46126</v>
      </c>
      <c r="U2541" s="34">
        <v>2026</v>
      </c>
      <c r="V2541" s="35" t="s">
        <v>1982</v>
      </c>
      <c r="W2541" s="35" t="s">
        <v>17</v>
      </c>
      <c r="X2541" s="37" t="s">
        <v>2163</v>
      </c>
      <c r="Y2541" s="36" t="s">
        <v>2164</v>
      </c>
      <c r="Z2541" s="30" t="s">
        <v>2165</v>
      </c>
      <c r="AA2541" s="134" t="s">
        <v>166</v>
      </c>
      <c r="AD2541" s="38">
        <v>16139.48</v>
      </c>
      <c r="AF2541" s="76">
        <f t="shared" si="246"/>
        <v>460724.35999999964</v>
      </c>
    </row>
    <row r="2542" spans="10:32" ht="8.25" customHeight="1" x14ac:dyDescent="0.25">
      <c r="N2542" s="52">
        <v>33</v>
      </c>
      <c r="T2542" s="33">
        <v>46126</v>
      </c>
      <c r="U2542" s="34">
        <v>2026</v>
      </c>
      <c r="V2542" s="35" t="s">
        <v>1982</v>
      </c>
      <c r="W2542" s="35" t="s">
        <v>17</v>
      </c>
      <c r="X2542" s="37" t="s">
        <v>2163</v>
      </c>
      <c r="Y2542" s="36" t="s">
        <v>2164</v>
      </c>
      <c r="Z2542" s="30" t="s">
        <v>2165</v>
      </c>
      <c r="AA2542" s="30" t="s">
        <v>3305</v>
      </c>
      <c r="AD2542" s="38">
        <v>25</v>
      </c>
      <c r="AF2542" s="76">
        <f t="shared" si="246"/>
        <v>460749.35999999964</v>
      </c>
    </row>
    <row r="2543" spans="10:32" ht="8.25" customHeight="1" x14ac:dyDescent="0.15">
      <c r="K2543" s="52">
        <v>10</v>
      </c>
      <c r="T2543" s="33">
        <v>46126</v>
      </c>
      <c r="U2543" s="34">
        <v>2026</v>
      </c>
      <c r="V2543" s="35" t="s">
        <v>1982</v>
      </c>
      <c r="W2543" s="35" t="s">
        <v>17</v>
      </c>
      <c r="X2543" s="37" t="s">
        <v>2166</v>
      </c>
      <c r="Y2543" s="36" t="s">
        <v>2167</v>
      </c>
      <c r="Z2543" s="30" t="s">
        <v>2168</v>
      </c>
      <c r="AA2543" s="136" t="s">
        <v>1788</v>
      </c>
      <c r="AD2543" s="38">
        <v>100</v>
      </c>
      <c r="AF2543" s="76">
        <f t="shared" si="246"/>
        <v>460849.35999999964</v>
      </c>
    </row>
    <row r="2544" spans="10:32" ht="8.25" customHeight="1" x14ac:dyDescent="0.25">
      <c r="L2544" s="52">
        <v>10</v>
      </c>
      <c r="T2544" s="33">
        <v>46126</v>
      </c>
      <c r="U2544" s="34">
        <v>2026</v>
      </c>
      <c r="V2544" s="35" t="s">
        <v>1982</v>
      </c>
      <c r="W2544" s="35" t="s">
        <v>17</v>
      </c>
      <c r="X2544" s="37" t="s">
        <v>2169</v>
      </c>
      <c r="Y2544" s="36" t="s">
        <v>120</v>
      </c>
      <c r="Z2544" s="30" t="s">
        <v>2168</v>
      </c>
      <c r="AA2544" s="30" t="s">
        <v>373</v>
      </c>
      <c r="AD2544" s="38">
        <v>50</v>
      </c>
      <c r="AF2544" s="76">
        <f t="shared" si="246"/>
        <v>460899.35999999964</v>
      </c>
    </row>
    <row r="2545" spans="3:32" ht="8.25" customHeight="1" x14ac:dyDescent="0.25">
      <c r="N2545" s="52">
        <v>34</v>
      </c>
      <c r="T2545" s="33">
        <v>46126</v>
      </c>
      <c r="U2545" s="34">
        <v>2026</v>
      </c>
      <c r="V2545" s="35" t="s">
        <v>1982</v>
      </c>
      <c r="W2545" s="35" t="s">
        <v>17</v>
      </c>
      <c r="X2545" s="37" t="s">
        <v>2171</v>
      </c>
      <c r="Y2545" s="36" t="s">
        <v>456</v>
      </c>
      <c r="Z2545" s="30" t="s">
        <v>2170</v>
      </c>
      <c r="AA2545" s="30" t="s">
        <v>3899</v>
      </c>
      <c r="AD2545" s="38">
        <v>4341.32</v>
      </c>
      <c r="AF2545" s="76">
        <f t="shared" si="246"/>
        <v>465240.67999999964</v>
      </c>
    </row>
    <row r="2546" spans="3:32" ht="8.25" customHeight="1" x14ac:dyDescent="0.15">
      <c r="N2546" s="52">
        <v>34</v>
      </c>
      <c r="T2546" s="33">
        <v>46126</v>
      </c>
      <c r="U2546" s="34">
        <v>2026</v>
      </c>
      <c r="V2546" s="35" t="s">
        <v>1982</v>
      </c>
      <c r="W2546" s="35" t="s">
        <v>17</v>
      </c>
      <c r="X2546" s="37" t="s">
        <v>2171</v>
      </c>
      <c r="Y2546" s="36" t="s">
        <v>456</v>
      </c>
      <c r="Z2546" s="30" t="s">
        <v>2170</v>
      </c>
      <c r="AA2546" s="134" t="s">
        <v>166</v>
      </c>
      <c r="AD2546" s="38">
        <v>1658.68</v>
      </c>
      <c r="AF2546" s="76">
        <f t="shared" si="246"/>
        <v>466899.35999999964</v>
      </c>
    </row>
    <row r="2547" spans="3:32" ht="8.25" customHeight="1" x14ac:dyDescent="0.15">
      <c r="I2547" s="52">
        <v>23</v>
      </c>
      <c r="T2547" s="33">
        <v>46126</v>
      </c>
      <c r="U2547" s="34">
        <v>2026</v>
      </c>
      <c r="V2547" s="35" t="s">
        <v>1982</v>
      </c>
      <c r="W2547" s="35" t="s">
        <v>17</v>
      </c>
      <c r="X2547" s="37" t="s">
        <v>2174</v>
      </c>
      <c r="Y2547" s="36" t="s">
        <v>114</v>
      </c>
      <c r="Z2547" s="30" t="s">
        <v>14</v>
      </c>
      <c r="AA2547" s="134" t="s">
        <v>1044</v>
      </c>
      <c r="AD2547" s="38">
        <v>6250</v>
      </c>
      <c r="AF2547" s="76">
        <f t="shared" si="246"/>
        <v>473149.35999999964</v>
      </c>
    </row>
    <row r="2548" spans="3:32" ht="8.25" customHeight="1" x14ac:dyDescent="0.25">
      <c r="M2548" s="52">
        <v>2</v>
      </c>
      <c r="T2548" s="33">
        <v>46126</v>
      </c>
      <c r="U2548" s="34">
        <v>2026</v>
      </c>
      <c r="V2548" s="35" t="s">
        <v>1982</v>
      </c>
      <c r="W2548" s="35" t="s">
        <v>17</v>
      </c>
      <c r="X2548" s="37" t="s">
        <v>2175</v>
      </c>
      <c r="Y2548" s="36" t="s">
        <v>120</v>
      </c>
      <c r="Z2548" s="30" t="s">
        <v>14</v>
      </c>
      <c r="AA2548" s="30" t="s">
        <v>1058</v>
      </c>
      <c r="AD2548" s="38">
        <v>1250</v>
      </c>
      <c r="AF2548" s="76">
        <f t="shared" si="246"/>
        <v>474399.35999999964</v>
      </c>
    </row>
    <row r="2549" spans="3:32" ht="8.25" customHeight="1" x14ac:dyDescent="0.25">
      <c r="J2549" s="52">
        <v>3</v>
      </c>
      <c r="T2549" s="33">
        <v>46126</v>
      </c>
      <c r="U2549" s="34">
        <v>2026</v>
      </c>
      <c r="V2549" s="35" t="s">
        <v>1982</v>
      </c>
      <c r="W2549" s="35" t="s">
        <v>17</v>
      </c>
      <c r="X2549" s="37" t="s">
        <v>2172</v>
      </c>
      <c r="Y2549" s="36" t="s">
        <v>2173</v>
      </c>
      <c r="Z2549" s="30" t="s">
        <v>2168</v>
      </c>
      <c r="AA2549" s="30" t="s">
        <v>1136</v>
      </c>
      <c r="AD2549" s="38">
        <v>50000</v>
      </c>
      <c r="AF2549" s="76">
        <f t="shared" si="246"/>
        <v>524399.35999999964</v>
      </c>
    </row>
    <row r="2550" spans="3:32" ht="8.25" customHeight="1" x14ac:dyDescent="0.25">
      <c r="I2550" s="52">
        <v>24</v>
      </c>
      <c r="T2550" s="33">
        <v>46126</v>
      </c>
      <c r="U2550" s="34">
        <v>2026</v>
      </c>
      <c r="V2550" s="35" t="s">
        <v>1982</v>
      </c>
      <c r="W2550" s="35" t="s">
        <v>17</v>
      </c>
      <c r="X2550" s="37" t="s">
        <v>2176</v>
      </c>
      <c r="Y2550" s="36" t="s">
        <v>691</v>
      </c>
      <c r="Z2550" s="30" t="s">
        <v>1527</v>
      </c>
      <c r="AA2550" s="30" t="s">
        <v>1044</v>
      </c>
      <c r="AD2550" s="38">
        <v>10000</v>
      </c>
      <c r="AF2550" s="76">
        <f t="shared" si="246"/>
        <v>534399.35999999964</v>
      </c>
    </row>
    <row r="2551" spans="3:32" ht="8.25" customHeight="1" x14ac:dyDescent="0.25">
      <c r="I2551" s="52">
        <v>25</v>
      </c>
      <c r="T2551" s="33">
        <v>46126</v>
      </c>
      <c r="U2551" s="34">
        <v>2026</v>
      </c>
      <c r="V2551" s="35" t="s">
        <v>1982</v>
      </c>
      <c r="W2551" s="35" t="s">
        <v>17</v>
      </c>
      <c r="X2551" s="37" t="s">
        <v>2177</v>
      </c>
      <c r="Y2551" s="36" t="s">
        <v>1481</v>
      </c>
      <c r="Z2551" s="30" t="s">
        <v>2178</v>
      </c>
      <c r="AA2551" s="30" t="s">
        <v>1044</v>
      </c>
      <c r="AD2551" s="38">
        <v>3700</v>
      </c>
      <c r="AF2551" s="76">
        <f t="shared" si="246"/>
        <v>538099.35999999964</v>
      </c>
    </row>
    <row r="2552" spans="3:32" ht="8.25" customHeight="1" x14ac:dyDescent="0.25">
      <c r="N2552" s="52">
        <v>35</v>
      </c>
      <c r="T2552" s="33">
        <v>46126</v>
      </c>
      <c r="U2552" s="34">
        <v>2026</v>
      </c>
      <c r="V2552" s="35" t="s">
        <v>1982</v>
      </c>
      <c r="W2552" s="35" t="s">
        <v>17</v>
      </c>
      <c r="X2552" s="37" t="s">
        <v>2180</v>
      </c>
      <c r="Y2552" s="36" t="s">
        <v>1586</v>
      </c>
      <c r="Z2552" s="30" t="s">
        <v>2179</v>
      </c>
      <c r="AA2552" s="30" t="s">
        <v>3708</v>
      </c>
      <c r="AD2552" s="38">
        <v>252.77</v>
      </c>
      <c r="AF2552" s="76">
        <f t="shared" si="246"/>
        <v>538352.12999999966</v>
      </c>
    </row>
    <row r="2553" spans="3:32" ht="8.25" customHeight="1" x14ac:dyDescent="0.15">
      <c r="N2553" s="52">
        <v>35</v>
      </c>
      <c r="T2553" s="33">
        <v>46126</v>
      </c>
      <c r="U2553" s="34">
        <v>2026</v>
      </c>
      <c r="V2553" s="35" t="s">
        <v>1982</v>
      </c>
      <c r="W2553" s="35" t="s">
        <v>17</v>
      </c>
      <c r="X2553" s="37" t="s">
        <v>2180</v>
      </c>
      <c r="Y2553" s="36" t="s">
        <v>1586</v>
      </c>
      <c r="Z2553" s="30" t="s">
        <v>2179</v>
      </c>
      <c r="AA2553" s="134" t="s">
        <v>183</v>
      </c>
      <c r="AD2553" s="38">
        <v>47.23</v>
      </c>
      <c r="AF2553" s="76">
        <f t="shared" si="246"/>
        <v>538399.35999999964</v>
      </c>
    </row>
    <row r="2554" spans="3:32" ht="8.25" customHeight="1" x14ac:dyDescent="0.25">
      <c r="C2554" s="52">
        <v>3</v>
      </c>
      <c r="T2554" s="33">
        <v>46126</v>
      </c>
      <c r="U2554" s="34">
        <v>2026</v>
      </c>
      <c r="V2554" s="35" t="s">
        <v>1982</v>
      </c>
      <c r="W2554" s="35" t="s">
        <v>3620</v>
      </c>
      <c r="Y2554" s="36" t="s">
        <v>2191</v>
      </c>
      <c r="Z2554" s="30" t="s">
        <v>2192</v>
      </c>
      <c r="AA2554" s="30" t="s">
        <v>340</v>
      </c>
      <c r="AD2554" s="38">
        <v>166</v>
      </c>
      <c r="AF2554" s="76">
        <f t="shared" si="246"/>
        <v>538565.35999999964</v>
      </c>
    </row>
    <row r="2555" spans="3:32" ht="8.25" customHeight="1" x14ac:dyDescent="0.25">
      <c r="R2555" s="53">
        <v>10</v>
      </c>
      <c r="T2555" s="33">
        <v>46126</v>
      </c>
      <c r="U2555" s="34">
        <v>2026</v>
      </c>
      <c r="V2555" s="35" t="s">
        <v>1982</v>
      </c>
      <c r="W2555" s="35" t="s">
        <v>5</v>
      </c>
      <c r="X2555" s="37" t="s">
        <v>2181</v>
      </c>
      <c r="Y2555" s="36" t="s">
        <v>2182</v>
      </c>
      <c r="Z2555" s="30" t="s">
        <v>14</v>
      </c>
      <c r="AA2555" s="30" t="s">
        <v>1063</v>
      </c>
      <c r="AE2555" s="38">
        <v>62500</v>
      </c>
      <c r="AF2555" s="76">
        <f t="shared" si="246"/>
        <v>476065.35999999964</v>
      </c>
    </row>
    <row r="2556" spans="3:32" ht="8.25" customHeight="1" x14ac:dyDescent="0.25">
      <c r="R2556" s="53">
        <v>11</v>
      </c>
      <c r="T2556" s="33">
        <v>46126</v>
      </c>
      <c r="U2556" s="34">
        <v>2026</v>
      </c>
      <c r="V2556" s="35" t="s">
        <v>1982</v>
      </c>
      <c r="W2556" s="35" t="s">
        <v>5</v>
      </c>
      <c r="X2556" s="37" t="s">
        <v>2183</v>
      </c>
      <c r="Y2556" s="36" t="s">
        <v>419</v>
      </c>
      <c r="Z2556" s="30" t="s">
        <v>420</v>
      </c>
      <c r="AA2556" s="30" t="s">
        <v>1050</v>
      </c>
      <c r="AE2556" s="38">
        <v>200</v>
      </c>
      <c r="AF2556" s="76">
        <f t="shared" si="246"/>
        <v>475865.35999999964</v>
      </c>
    </row>
    <row r="2557" spans="3:32" ht="8.25" customHeight="1" x14ac:dyDescent="0.25">
      <c r="R2557" s="53">
        <v>12</v>
      </c>
      <c r="T2557" s="33">
        <v>46126</v>
      </c>
      <c r="U2557" s="34">
        <v>2026</v>
      </c>
      <c r="V2557" s="35" t="s">
        <v>1982</v>
      </c>
      <c r="W2557" s="35" t="s">
        <v>5</v>
      </c>
      <c r="X2557" s="37" t="s">
        <v>2184</v>
      </c>
      <c r="Y2557" s="36" t="s">
        <v>1472</v>
      </c>
      <c r="Z2557" s="30" t="s">
        <v>1473</v>
      </c>
      <c r="AA2557" s="30" t="s">
        <v>1050</v>
      </c>
      <c r="AE2557" s="38">
        <v>125</v>
      </c>
      <c r="AF2557" s="76">
        <f t="shared" si="246"/>
        <v>475740.35999999964</v>
      </c>
    </row>
    <row r="2558" spans="3:32" ht="8.25" customHeight="1" x14ac:dyDescent="0.25">
      <c r="G2558" s="53">
        <v>10</v>
      </c>
      <c r="T2558" s="33">
        <v>46126</v>
      </c>
      <c r="U2558" s="34">
        <v>2026</v>
      </c>
      <c r="V2558" s="35" t="s">
        <v>1982</v>
      </c>
      <c r="W2558" s="35" t="s">
        <v>2655</v>
      </c>
      <c r="Y2558" s="36" t="s">
        <v>2187</v>
      </c>
      <c r="Z2558" s="30" t="s">
        <v>1999</v>
      </c>
      <c r="AA2558" s="30" t="s">
        <v>3945</v>
      </c>
      <c r="AE2558" s="38">
        <v>5348</v>
      </c>
      <c r="AF2558" s="76">
        <f t="shared" si="246"/>
        <v>470392.35999999964</v>
      </c>
    </row>
    <row r="2559" spans="3:32" ht="8.25" customHeight="1" x14ac:dyDescent="0.25">
      <c r="F2559" s="53">
        <v>8</v>
      </c>
      <c r="T2559" s="33">
        <v>46126</v>
      </c>
      <c r="U2559" s="34">
        <v>2026</v>
      </c>
      <c r="V2559" s="35" t="s">
        <v>1982</v>
      </c>
      <c r="W2559" s="35" t="s">
        <v>2655</v>
      </c>
      <c r="Y2559" s="36" t="s">
        <v>2189</v>
      </c>
      <c r="Z2559" s="30" t="s">
        <v>2188</v>
      </c>
      <c r="AA2559" s="30" t="s">
        <v>3939</v>
      </c>
      <c r="AE2559" s="38">
        <v>2000</v>
      </c>
      <c r="AF2559" s="76">
        <f t="shared" si="246"/>
        <v>468392.35999999964</v>
      </c>
    </row>
    <row r="2560" spans="3:32" ht="8.25" customHeight="1" x14ac:dyDescent="0.25">
      <c r="F2560" s="53">
        <v>9</v>
      </c>
      <c r="T2560" s="33">
        <v>46126</v>
      </c>
      <c r="U2560" s="34">
        <v>2026</v>
      </c>
      <c r="V2560" s="35" t="s">
        <v>1982</v>
      </c>
      <c r="W2560" s="35" t="s">
        <v>2655</v>
      </c>
      <c r="Y2560" s="36" t="s">
        <v>2190</v>
      </c>
      <c r="Z2560" s="30" t="s">
        <v>2188</v>
      </c>
      <c r="AA2560" s="30" t="s">
        <v>3939</v>
      </c>
      <c r="AE2560" s="38">
        <v>1000</v>
      </c>
      <c r="AF2560" s="76">
        <f t="shared" si="246"/>
        <v>467392.35999999964</v>
      </c>
    </row>
    <row r="2561" spans="18:32" ht="8.25" customHeight="1" x14ac:dyDescent="0.25">
      <c r="R2561" s="53">
        <v>13</v>
      </c>
      <c r="T2561" s="33">
        <v>46126</v>
      </c>
      <c r="U2561" s="34">
        <v>2026</v>
      </c>
      <c r="V2561" s="35" t="s">
        <v>1982</v>
      </c>
      <c r="W2561" s="35" t="s">
        <v>5</v>
      </c>
      <c r="X2561" s="37" t="s">
        <v>2195</v>
      </c>
      <c r="Y2561" s="36" t="s">
        <v>411</v>
      </c>
      <c r="Z2561" s="30" t="s">
        <v>412</v>
      </c>
      <c r="AA2561" s="30" t="s">
        <v>1882</v>
      </c>
      <c r="AE2561" s="38">
        <v>70000</v>
      </c>
      <c r="AF2561" s="76">
        <f>AF2560+AD2561-AE2561</f>
        <v>397392.35999999964</v>
      </c>
    </row>
    <row r="2562" spans="18:32" ht="8.25" customHeight="1" thickBot="1" x14ac:dyDescent="0.3">
      <c r="AA2562" s="75" t="s">
        <v>2139</v>
      </c>
      <c r="AD2562" s="253">
        <f>SUM(AD2520:AD2560)</f>
        <v>303466</v>
      </c>
      <c r="AE2562" s="253">
        <f>SUM(AE2520:AE2561)</f>
        <v>141173</v>
      </c>
      <c r="AF2562" s="233">
        <f>AF2520+AD2562-AE2562</f>
        <v>397392.35999999964</v>
      </c>
    </row>
    <row r="2563" spans="18:32" ht="8.25" customHeight="1" thickTop="1" x14ac:dyDescent="0.25"/>
    <row r="2564" spans="18:32" ht="8.25" customHeight="1" x14ac:dyDescent="0.25">
      <c r="X2564" s="109"/>
      <c r="Y2564" s="67" t="s">
        <v>214</v>
      </c>
      <c r="Z2564" s="68"/>
      <c r="AA2564" s="75"/>
    </row>
    <row r="2565" spans="18:32" ht="8.25" customHeight="1" x14ac:dyDescent="0.25">
      <c r="X2565" s="110" t="s">
        <v>2193</v>
      </c>
      <c r="Y2565" s="111">
        <v>200</v>
      </c>
      <c r="Z2565" s="111">
        <f t="shared" ref="Z2565:Z2570" si="247">X2565*Y2565</f>
        <v>40600</v>
      </c>
      <c r="AA2565" s="112"/>
    </row>
    <row r="2566" spans="18:32" ht="8.25" customHeight="1" x14ac:dyDescent="0.25">
      <c r="X2566" s="110" t="s">
        <v>2240</v>
      </c>
      <c r="Y2566" s="111">
        <v>100</v>
      </c>
      <c r="Z2566" s="111">
        <f t="shared" si="247"/>
        <v>353100</v>
      </c>
      <c r="AA2566" s="112"/>
    </row>
    <row r="2567" spans="18:32" ht="8.25" customHeight="1" x14ac:dyDescent="0.25">
      <c r="X2567" s="110" t="s">
        <v>224</v>
      </c>
      <c r="Y2567" s="111">
        <v>50</v>
      </c>
      <c r="Z2567" s="111">
        <f t="shared" si="247"/>
        <v>100</v>
      </c>
      <c r="AA2567" s="76"/>
    </row>
    <row r="2568" spans="18:32" ht="8.25" customHeight="1" x14ac:dyDescent="0.25">
      <c r="X2568" s="110"/>
      <c r="Y2568" s="111">
        <v>20</v>
      </c>
      <c r="Z2568" s="111">
        <f t="shared" si="247"/>
        <v>0</v>
      </c>
      <c r="AA2568" s="38"/>
    </row>
    <row r="2569" spans="18:32" ht="8.25" customHeight="1" x14ac:dyDescent="0.25">
      <c r="X2569" s="110" t="s">
        <v>2241</v>
      </c>
      <c r="Y2569" s="111">
        <v>10</v>
      </c>
      <c r="Z2569" s="111">
        <f t="shared" si="247"/>
        <v>830</v>
      </c>
      <c r="AA2569" s="112"/>
    </row>
    <row r="2570" spans="18:32" ht="8.25" customHeight="1" x14ac:dyDescent="0.25">
      <c r="X2570" s="110" t="s">
        <v>2242</v>
      </c>
      <c r="Y2570" s="111">
        <v>5</v>
      </c>
      <c r="Z2570" s="111">
        <f t="shared" si="247"/>
        <v>1600</v>
      </c>
      <c r="AA2570" s="112"/>
    </row>
    <row r="2571" spans="18:32" ht="8.25" customHeight="1" x14ac:dyDescent="0.25">
      <c r="X2571" s="269"/>
      <c r="Y2571" s="270"/>
      <c r="Z2571" s="271"/>
      <c r="AA2571" s="38"/>
    </row>
    <row r="2572" spans="18:32" ht="8.25" customHeight="1" x14ac:dyDescent="0.25">
      <c r="X2572" s="110" t="s">
        <v>2194</v>
      </c>
      <c r="Y2572" s="111">
        <v>1</v>
      </c>
      <c r="Z2572" s="111">
        <f t="shared" ref="Z2572:Z2577" si="248">X2572*Y2572</f>
        <v>1077</v>
      </c>
      <c r="AA2572" s="76"/>
    </row>
    <row r="2573" spans="18:32" ht="8.25" customHeight="1" x14ac:dyDescent="0.25">
      <c r="X2573" s="110" t="s">
        <v>259</v>
      </c>
      <c r="Y2573" s="111">
        <v>0.5</v>
      </c>
      <c r="Z2573" s="111">
        <f t="shared" si="248"/>
        <v>40</v>
      </c>
      <c r="AA2573" s="112"/>
    </row>
    <row r="2574" spans="18:32" ht="8.25" customHeight="1" x14ac:dyDescent="0.25">
      <c r="X2574" s="110" t="s">
        <v>1878</v>
      </c>
      <c r="Y2574" s="111">
        <v>0.25</v>
      </c>
      <c r="Z2574" s="111">
        <f t="shared" si="248"/>
        <v>45</v>
      </c>
      <c r="AA2574" s="113"/>
    </row>
    <row r="2575" spans="18:32" ht="8.25" customHeight="1" x14ac:dyDescent="0.25">
      <c r="X2575" s="110" t="s">
        <v>223</v>
      </c>
      <c r="Y2575" s="111">
        <v>0.1</v>
      </c>
      <c r="Z2575" s="111">
        <f t="shared" si="248"/>
        <v>0.30000000000000004</v>
      </c>
      <c r="AA2575" s="114" t="s">
        <v>219</v>
      </c>
    </row>
    <row r="2576" spans="18:32" ht="8.25" customHeight="1" thickBot="1" x14ac:dyDescent="0.3">
      <c r="X2576" s="110" t="s">
        <v>222</v>
      </c>
      <c r="Y2576" s="111">
        <v>0.05</v>
      </c>
      <c r="Z2576" s="111">
        <f t="shared" si="248"/>
        <v>0.05</v>
      </c>
      <c r="AA2576" s="115">
        <f>SUM(Z2565:Z2570)+Z2572+Z2573+Z2574+Z2575+Z2576+Z2577</f>
        <v>397392.36</v>
      </c>
    </row>
    <row r="2577" spans="6:32" ht="8.25" customHeight="1" thickTop="1" x14ac:dyDescent="0.25">
      <c r="X2577" s="110" t="s">
        <v>222</v>
      </c>
      <c r="Y2577" s="111">
        <v>0.01</v>
      </c>
      <c r="Z2577" s="111">
        <f t="shared" si="248"/>
        <v>0.01</v>
      </c>
    </row>
    <row r="2579" spans="6:32" ht="8.25" customHeight="1" x14ac:dyDescent="0.25">
      <c r="Z2579" s="231" t="s">
        <v>1376</v>
      </c>
      <c r="AF2579" s="76">
        <f>SUM(AF2562)</f>
        <v>397392.35999999964</v>
      </c>
    </row>
    <row r="2580" spans="6:32" ht="8.25" customHeight="1" x14ac:dyDescent="0.25">
      <c r="R2580" s="53">
        <v>14</v>
      </c>
      <c r="T2580" s="33">
        <v>46127</v>
      </c>
      <c r="U2580" s="34">
        <v>2026</v>
      </c>
      <c r="V2580" s="35" t="s">
        <v>1982</v>
      </c>
      <c r="W2580" s="35" t="s">
        <v>5</v>
      </c>
      <c r="X2580" s="37" t="s">
        <v>2196</v>
      </c>
      <c r="Y2580" s="36" t="s">
        <v>738</v>
      </c>
      <c r="Z2580" s="30" t="s">
        <v>1060</v>
      </c>
      <c r="AA2580" s="30" t="s">
        <v>1050</v>
      </c>
      <c r="AE2580" s="38">
        <v>1200</v>
      </c>
      <c r="AF2580" s="76">
        <f>AF2579+AD2580-AE2580</f>
        <v>396192.35999999964</v>
      </c>
    </row>
    <row r="2581" spans="6:32" ht="8.25" customHeight="1" x14ac:dyDescent="0.25">
      <c r="R2581" s="53">
        <v>15</v>
      </c>
      <c r="T2581" s="33">
        <v>46127</v>
      </c>
      <c r="U2581" s="34">
        <v>2026</v>
      </c>
      <c r="V2581" s="35" t="s">
        <v>1982</v>
      </c>
      <c r="W2581" s="35" t="s">
        <v>5</v>
      </c>
      <c r="X2581" s="37" t="s">
        <v>2197</v>
      </c>
      <c r="Y2581" s="36" t="s">
        <v>577</v>
      </c>
      <c r="Z2581" s="30" t="s">
        <v>1030</v>
      </c>
      <c r="AA2581" s="30" t="s">
        <v>1050</v>
      </c>
      <c r="AE2581" s="38">
        <v>20000</v>
      </c>
      <c r="AF2581" s="76">
        <f>AF2580+AD2581-AE2581</f>
        <v>376192.35999999964</v>
      </c>
    </row>
    <row r="2582" spans="6:32" ht="8.25" customHeight="1" x14ac:dyDescent="0.25">
      <c r="F2582" s="53">
        <v>10</v>
      </c>
      <c r="T2582" s="33">
        <v>46127</v>
      </c>
      <c r="U2582" s="34">
        <v>2026</v>
      </c>
      <c r="V2582" s="35" t="s">
        <v>1982</v>
      </c>
      <c r="W2582" s="35" t="s">
        <v>2655</v>
      </c>
      <c r="Y2582" s="36" t="s">
        <v>2198</v>
      </c>
      <c r="Z2582" s="30" t="s">
        <v>1393</v>
      </c>
      <c r="AA2582" s="30" t="s">
        <v>3939</v>
      </c>
      <c r="AE2582" s="38">
        <v>200</v>
      </c>
      <c r="AF2582" s="76">
        <f>AF2581+AD2582-AE2582</f>
        <v>375992.35999999964</v>
      </c>
    </row>
    <row r="2583" spans="6:32" ht="8.25" customHeight="1" x14ac:dyDescent="0.25">
      <c r="G2583" s="53">
        <v>11</v>
      </c>
      <c r="T2583" s="33">
        <v>46127</v>
      </c>
      <c r="U2583" s="34">
        <v>2026</v>
      </c>
      <c r="V2583" s="35" t="s">
        <v>1982</v>
      </c>
      <c r="W2583" s="35" t="s">
        <v>2655</v>
      </c>
      <c r="Y2583" s="36" t="s">
        <v>2200</v>
      </c>
      <c r="Z2583" s="30" t="s">
        <v>2199</v>
      </c>
      <c r="AA2583" s="30" t="s">
        <v>3945</v>
      </c>
      <c r="AE2583" s="38">
        <v>5216.04</v>
      </c>
      <c r="AF2583" s="76">
        <f>AF2582+AD2583-AE2583</f>
        <v>370776.31999999966</v>
      </c>
    </row>
    <row r="2584" spans="6:32" ht="8.25" customHeight="1" x14ac:dyDescent="0.25">
      <c r="R2584" s="53">
        <v>16</v>
      </c>
      <c r="T2584" s="33">
        <v>46127</v>
      </c>
      <c r="U2584" s="34">
        <v>2026</v>
      </c>
      <c r="V2584" s="35" t="s">
        <v>1982</v>
      </c>
      <c r="W2584" s="35" t="s">
        <v>5</v>
      </c>
      <c r="X2584" s="37" t="s">
        <v>2204</v>
      </c>
      <c r="Y2584" s="36" t="s">
        <v>411</v>
      </c>
      <c r="Z2584" s="30" t="s">
        <v>412</v>
      </c>
      <c r="AA2584" s="30" t="s">
        <v>1882</v>
      </c>
      <c r="AE2584" s="38">
        <v>300000</v>
      </c>
      <c r="AF2584" s="76">
        <f t="shared" ref="AF2584:AF2585" si="249">AF2583+AD2584-AE2584</f>
        <v>70776.319999999658</v>
      </c>
    </row>
    <row r="2585" spans="6:32" ht="8.25" customHeight="1" x14ac:dyDescent="0.25">
      <c r="N2585" s="52">
        <v>36</v>
      </c>
      <c r="T2585" s="33">
        <v>46127</v>
      </c>
      <c r="U2585" s="34">
        <v>2026</v>
      </c>
      <c r="V2585" s="35" t="s">
        <v>1982</v>
      </c>
      <c r="W2585" s="35" t="s">
        <v>17</v>
      </c>
      <c r="X2585" s="37" t="s">
        <v>2207</v>
      </c>
      <c r="Y2585" s="36" t="s">
        <v>1011</v>
      </c>
      <c r="Z2585" s="30" t="s">
        <v>1002</v>
      </c>
      <c r="AA2585" s="30" t="s">
        <v>3708</v>
      </c>
      <c r="AD2585" s="38">
        <v>478.37</v>
      </c>
      <c r="AF2585" s="76">
        <f t="shared" si="249"/>
        <v>71254.689999999653</v>
      </c>
    </row>
    <row r="2586" spans="6:32" ht="8.25" customHeight="1" x14ac:dyDescent="0.15">
      <c r="N2586" s="52">
        <v>36</v>
      </c>
      <c r="T2586" s="33">
        <v>46127</v>
      </c>
      <c r="U2586" s="34">
        <v>2026</v>
      </c>
      <c r="V2586" s="35" t="s">
        <v>1982</v>
      </c>
      <c r="W2586" s="35" t="s">
        <v>17</v>
      </c>
      <c r="X2586" s="37" t="s">
        <v>2207</v>
      </c>
      <c r="Y2586" s="36" t="s">
        <v>1011</v>
      </c>
      <c r="Z2586" s="30" t="s">
        <v>1002</v>
      </c>
      <c r="AA2586" s="134" t="s">
        <v>183</v>
      </c>
      <c r="AD2586" s="38">
        <v>221.63</v>
      </c>
      <c r="AF2586" s="76">
        <f t="shared" ref="AF2586:AF2594" si="250">AF2585+AD2586-AE2586</f>
        <v>71476.319999999658</v>
      </c>
    </row>
    <row r="2587" spans="6:32" ht="8.25" customHeight="1" x14ac:dyDescent="0.15">
      <c r="K2587" s="52">
        <v>11</v>
      </c>
      <c r="T2587" s="33">
        <v>46127</v>
      </c>
      <c r="U2587" s="34">
        <v>2026</v>
      </c>
      <c r="V2587" s="35" t="s">
        <v>1982</v>
      </c>
      <c r="W2587" s="35" t="s">
        <v>17</v>
      </c>
      <c r="X2587" s="37" t="s">
        <v>2208</v>
      </c>
      <c r="Y2587" s="36" t="s">
        <v>2209</v>
      </c>
      <c r="Z2587" s="30" t="s">
        <v>2210</v>
      </c>
      <c r="AA2587" s="136" t="s">
        <v>1788</v>
      </c>
      <c r="AD2587" s="38">
        <v>100</v>
      </c>
      <c r="AF2587" s="76">
        <f t="shared" si="250"/>
        <v>71576.319999999658</v>
      </c>
    </row>
    <row r="2588" spans="6:32" ht="8.25" customHeight="1" x14ac:dyDescent="0.25">
      <c r="L2588" s="52">
        <v>11</v>
      </c>
      <c r="T2588" s="33">
        <v>46127</v>
      </c>
      <c r="U2588" s="34">
        <v>2026</v>
      </c>
      <c r="V2588" s="35" t="s">
        <v>1982</v>
      </c>
      <c r="W2588" s="35" t="s">
        <v>17</v>
      </c>
      <c r="X2588" s="37" t="s">
        <v>2211</v>
      </c>
      <c r="Y2588" s="36" t="s">
        <v>120</v>
      </c>
      <c r="Z2588" s="30" t="s">
        <v>2210</v>
      </c>
      <c r="AA2588" s="30" t="s">
        <v>373</v>
      </c>
      <c r="AD2588" s="38">
        <v>50</v>
      </c>
      <c r="AF2588" s="76">
        <f t="shared" si="250"/>
        <v>71626.319999999658</v>
      </c>
    </row>
    <row r="2589" spans="6:32" ht="8.25" customHeight="1" x14ac:dyDescent="0.15">
      <c r="I2589" s="52">
        <v>26</v>
      </c>
      <c r="T2589" s="33">
        <v>46127</v>
      </c>
      <c r="U2589" s="34">
        <v>2026</v>
      </c>
      <c r="V2589" s="35" t="s">
        <v>1982</v>
      </c>
      <c r="W2589" s="35" t="s">
        <v>17</v>
      </c>
      <c r="X2589" s="37" t="s">
        <v>2212</v>
      </c>
      <c r="Y2589" s="36" t="s">
        <v>2213</v>
      </c>
      <c r="Z2589" s="30" t="s">
        <v>2210</v>
      </c>
      <c r="AA2589" s="134" t="s">
        <v>1044</v>
      </c>
      <c r="AD2589" s="38">
        <v>100</v>
      </c>
      <c r="AF2589" s="76">
        <f t="shared" si="250"/>
        <v>71726.319999999658</v>
      </c>
    </row>
    <row r="2590" spans="6:32" ht="8.25" customHeight="1" x14ac:dyDescent="0.15">
      <c r="K2590" s="52">
        <v>12</v>
      </c>
      <c r="T2590" s="33">
        <v>46127</v>
      </c>
      <c r="U2590" s="34">
        <v>2026</v>
      </c>
      <c r="V2590" s="35" t="s">
        <v>1982</v>
      </c>
      <c r="W2590" s="35" t="s">
        <v>17</v>
      </c>
      <c r="X2590" s="37" t="s">
        <v>2216</v>
      </c>
      <c r="Y2590" s="36" t="s">
        <v>2215</v>
      </c>
      <c r="Z2590" s="30" t="s">
        <v>2214</v>
      </c>
      <c r="AA2590" s="134" t="s">
        <v>1788</v>
      </c>
      <c r="AD2590" s="38">
        <v>100</v>
      </c>
      <c r="AF2590" s="76">
        <f t="shared" si="250"/>
        <v>71826.319999999658</v>
      </c>
    </row>
    <row r="2591" spans="6:32" ht="8.25" customHeight="1" x14ac:dyDescent="0.25">
      <c r="L2591" s="52">
        <v>12</v>
      </c>
      <c r="T2591" s="33">
        <v>46127</v>
      </c>
      <c r="U2591" s="34">
        <v>2026</v>
      </c>
      <c r="V2591" s="35" t="s">
        <v>1982</v>
      </c>
      <c r="W2591" s="35" t="s">
        <v>17</v>
      </c>
      <c r="X2591" s="37" t="s">
        <v>2217</v>
      </c>
      <c r="Y2591" s="36" t="s">
        <v>120</v>
      </c>
      <c r="Z2591" s="30" t="s">
        <v>2214</v>
      </c>
      <c r="AA2591" s="30" t="s">
        <v>373</v>
      </c>
      <c r="AD2591" s="38">
        <v>50</v>
      </c>
      <c r="AF2591" s="76">
        <f t="shared" si="250"/>
        <v>71876.319999999658</v>
      </c>
    </row>
    <row r="2592" spans="6:32" ht="8.25" customHeight="1" x14ac:dyDescent="0.15">
      <c r="I2592" s="52">
        <v>27</v>
      </c>
      <c r="T2592" s="33">
        <v>46127</v>
      </c>
      <c r="U2592" s="34">
        <v>2026</v>
      </c>
      <c r="V2592" s="35" t="s">
        <v>1982</v>
      </c>
      <c r="W2592" s="35" t="s">
        <v>17</v>
      </c>
      <c r="X2592" s="37" t="s">
        <v>2218</v>
      </c>
      <c r="Y2592" s="36" t="s">
        <v>2219</v>
      </c>
      <c r="Z2592" s="30" t="s">
        <v>2214</v>
      </c>
      <c r="AA2592" s="134" t="s">
        <v>1044</v>
      </c>
      <c r="AD2592" s="38">
        <v>100</v>
      </c>
      <c r="AF2592" s="76">
        <f t="shared" si="250"/>
        <v>71976.319999999658</v>
      </c>
    </row>
    <row r="2593" spans="3:32" ht="8.25" customHeight="1" x14ac:dyDescent="0.25">
      <c r="C2593" s="52">
        <v>4</v>
      </c>
      <c r="T2593" s="33">
        <v>46127</v>
      </c>
      <c r="U2593" s="34">
        <v>2026</v>
      </c>
      <c r="V2593" s="35" t="s">
        <v>1982</v>
      </c>
      <c r="W2593" s="35" t="s">
        <v>3620</v>
      </c>
      <c r="Y2593" s="36" t="s">
        <v>2201</v>
      </c>
      <c r="Z2593" s="30" t="s">
        <v>2202</v>
      </c>
      <c r="AA2593" s="30" t="s">
        <v>340</v>
      </c>
      <c r="AD2593" s="38">
        <v>47</v>
      </c>
      <c r="AF2593" s="76">
        <f t="shared" si="250"/>
        <v>72023.319999999658</v>
      </c>
    </row>
    <row r="2594" spans="3:32" ht="8.25" customHeight="1" x14ac:dyDescent="0.25">
      <c r="R2594" s="53">
        <v>17</v>
      </c>
      <c r="T2594" s="33">
        <v>46127</v>
      </c>
      <c r="U2594" s="34">
        <v>2026</v>
      </c>
      <c r="V2594" s="35" t="s">
        <v>1982</v>
      </c>
      <c r="W2594" s="35" t="s">
        <v>5</v>
      </c>
      <c r="X2594" s="37" t="s">
        <v>2221</v>
      </c>
      <c r="Y2594" s="36" t="s">
        <v>411</v>
      </c>
      <c r="Z2594" s="30" t="s">
        <v>412</v>
      </c>
      <c r="AA2594" s="30" t="s">
        <v>1882</v>
      </c>
      <c r="AE2594" s="38">
        <v>25000</v>
      </c>
      <c r="AF2594" s="76">
        <f t="shared" si="250"/>
        <v>47023.319999999658</v>
      </c>
    </row>
    <row r="2595" spans="3:32" ht="8.25" customHeight="1" thickBot="1" x14ac:dyDescent="0.3">
      <c r="AA2595" s="75" t="s">
        <v>2139</v>
      </c>
      <c r="AD2595" s="91">
        <f>SUM(AD2585:AD2594)</f>
        <v>1247</v>
      </c>
      <c r="AE2595" s="91">
        <f>SUM(AE2580:AE2594)</f>
        <v>351616.04</v>
      </c>
      <c r="AF2595" s="91">
        <f>AF2579+AD2595-AE2595</f>
        <v>47023.319999999658</v>
      </c>
    </row>
    <row r="2596" spans="3:32" ht="8.25" customHeight="1" thickTop="1" x14ac:dyDescent="0.25">
      <c r="X2596" s="109"/>
      <c r="Y2596" s="67" t="s">
        <v>214</v>
      </c>
      <c r="Z2596" s="68"/>
      <c r="AA2596" s="75"/>
    </row>
    <row r="2597" spans="3:32" ht="8.25" customHeight="1" x14ac:dyDescent="0.25">
      <c r="X2597" s="110" t="s">
        <v>299</v>
      </c>
      <c r="Y2597" s="111">
        <v>200</v>
      </c>
      <c r="Z2597" s="111">
        <f t="shared" ref="Z2597:Z2602" si="251">X2597*Y2597</f>
        <v>800</v>
      </c>
      <c r="AA2597" s="112"/>
    </row>
    <row r="2598" spans="3:32" ht="8.25" customHeight="1" x14ac:dyDescent="0.25">
      <c r="X2598" s="110" t="s">
        <v>2243</v>
      </c>
      <c r="Y2598" s="111">
        <v>100</v>
      </c>
      <c r="Z2598" s="111">
        <f t="shared" si="251"/>
        <v>41400</v>
      </c>
      <c r="AA2598" s="112"/>
    </row>
    <row r="2599" spans="3:32" ht="8.25" customHeight="1" x14ac:dyDescent="0.25">
      <c r="X2599" s="110" t="s">
        <v>669</v>
      </c>
      <c r="Y2599" s="111">
        <v>50</v>
      </c>
      <c r="Z2599" s="111">
        <f t="shared" si="251"/>
        <v>950</v>
      </c>
      <c r="AA2599" s="76"/>
    </row>
    <row r="2600" spans="3:32" ht="8.25" customHeight="1" x14ac:dyDescent="0.25">
      <c r="X2600" s="110" t="s">
        <v>91</v>
      </c>
      <c r="Y2600" s="111">
        <v>20</v>
      </c>
      <c r="Z2600" s="111">
        <f t="shared" si="251"/>
        <v>220</v>
      </c>
      <c r="AA2600" s="38"/>
    </row>
    <row r="2601" spans="3:32" ht="8.25" customHeight="1" x14ac:dyDescent="0.25">
      <c r="X2601" s="110" t="s">
        <v>260</v>
      </c>
      <c r="Y2601" s="111">
        <v>10</v>
      </c>
      <c r="Z2601" s="111">
        <f t="shared" si="251"/>
        <v>870</v>
      </c>
      <c r="AA2601" s="112"/>
    </row>
    <row r="2602" spans="3:32" ht="8.25" customHeight="1" x14ac:dyDescent="0.25">
      <c r="X2602" s="110" t="s">
        <v>2244</v>
      </c>
      <c r="Y2602" s="111">
        <v>5</v>
      </c>
      <c r="Z2602" s="111">
        <f t="shared" si="251"/>
        <v>1610</v>
      </c>
      <c r="AA2602" s="112"/>
    </row>
    <row r="2603" spans="3:32" ht="8.25" customHeight="1" x14ac:dyDescent="0.25">
      <c r="X2603" s="269"/>
      <c r="Y2603" s="270"/>
      <c r="Z2603" s="271"/>
      <c r="AA2603" s="38"/>
    </row>
    <row r="2604" spans="3:32" ht="8.25" customHeight="1" x14ac:dyDescent="0.25">
      <c r="X2604" s="110" t="s">
        <v>2220</v>
      </c>
      <c r="Y2604" s="111">
        <v>1</v>
      </c>
      <c r="Z2604" s="111">
        <f t="shared" ref="Z2604:Z2609" si="252">X2604*Y2604</f>
        <v>1088</v>
      </c>
      <c r="AA2604" s="76"/>
    </row>
    <row r="2605" spans="3:32" ht="8.25" customHeight="1" x14ac:dyDescent="0.25">
      <c r="X2605" s="110" t="s">
        <v>259</v>
      </c>
      <c r="Y2605" s="111">
        <v>0.5</v>
      </c>
      <c r="Z2605" s="111">
        <f t="shared" si="252"/>
        <v>40</v>
      </c>
      <c r="AA2605" s="112"/>
    </row>
    <row r="2606" spans="3:32" ht="8.25" customHeight="1" x14ac:dyDescent="0.25">
      <c r="X2606" s="110" t="s">
        <v>1878</v>
      </c>
      <c r="Y2606" s="111">
        <v>0.25</v>
      </c>
      <c r="Z2606" s="111">
        <f t="shared" si="252"/>
        <v>45</v>
      </c>
      <c r="AA2606" s="113"/>
    </row>
    <row r="2607" spans="3:32" ht="8.25" customHeight="1" x14ac:dyDescent="0.25">
      <c r="X2607" s="110" t="s">
        <v>223</v>
      </c>
      <c r="Y2607" s="111">
        <v>0.1</v>
      </c>
      <c r="Z2607" s="111">
        <f t="shared" si="252"/>
        <v>0.30000000000000004</v>
      </c>
      <c r="AA2607" s="114" t="s">
        <v>219</v>
      </c>
    </row>
    <row r="2608" spans="3:32" ht="8.25" customHeight="1" thickBot="1" x14ac:dyDescent="0.3">
      <c r="X2608" s="110"/>
      <c r="Y2608" s="111">
        <v>0.05</v>
      </c>
      <c r="Z2608" s="111">
        <f t="shared" si="252"/>
        <v>0</v>
      </c>
      <c r="AA2608" s="115">
        <f>SUM(Z2597:Z2602)+Z2604+Z2605+Z2606+Z2607+Z2608+Z2609</f>
        <v>47023.32</v>
      </c>
    </row>
    <row r="2609" spans="4:32" ht="8.25" customHeight="1" thickTop="1" x14ac:dyDescent="0.25">
      <c r="X2609" s="110" t="s">
        <v>224</v>
      </c>
      <c r="Y2609" s="111">
        <v>0.01</v>
      </c>
      <c r="Z2609" s="111">
        <f t="shared" si="252"/>
        <v>0.02</v>
      </c>
    </row>
    <row r="2611" spans="4:32" ht="8.25" customHeight="1" x14ac:dyDescent="0.25">
      <c r="Z2611" s="231" t="s">
        <v>1376</v>
      </c>
      <c r="AF2611" s="76">
        <f>AF2595</f>
        <v>47023.319999999658</v>
      </c>
    </row>
    <row r="2612" spans="4:32" ht="8.25" customHeight="1" x14ac:dyDescent="0.25">
      <c r="I2612" s="52">
        <v>28</v>
      </c>
      <c r="T2612" s="33">
        <v>46128</v>
      </c>
      <c r="U2612" s="34">
        <v>2026</v>
      </c>
      <c r="V2612" s="35" t="s">
        <v>1982</v>
      </c>
      <c r="W2612" s="35" t="s">
        <v>17</v>
      </c>
      <c r="X2612" s="37" t="s">
        <v>2222</v>
      </c>
      <c r="Y2612" s="36" t="s">
        <v>1036</v>
      </c>
      <c r="Z2612" s="30" t="s">
        <v>2223</v>
      </c>
      <c r="AA2612" s="30" t="s">
        <v>1044</v>
      </c>
      <c r="AD2612" s="38">
        <v>2000</v>
      </c>
      <c r="AF2612" s="76">
        <f t="shared" ref="AF2612:AF2615" si="253">AF2611+AD2612-AE2612</f>
        <v>49023.319999999658</v>
      </c>
    </row>
    <row r="2613" spans="4:32" ht="8.25" customHeight="1" x14ac:dyDescent="0.25">
      <c r="N2613" s="52">
        <v>37</v>
      </c>
      <c r="T2613" s="33">
        <v>46128</v>
      </c>
      <c r="U2613" s="34">
        <v>2026</v>
      </c>
      <c r="V2613" s="35" t="s">
        <v>1982</v>
      </c>
      <c r="W2613" s="35" t="s">
        <v>17</v>
      </c>
      <c r="X2613" s="37" t="s">
        <v>2224</v>
      </c>
      <c r="Y2613" s="36" t="s">
        <v>2225</v>
      </c>
      <c r="Z2613" s="30" t="s">
        <v>1556</v>
      </c>
      <c r="AA2613" s="30" t="s">
        <v>3899</v>
      </c>
      <c r="AD2613" s="38">
        <v>2502.4699999999998</v>
      </c>
      <c r="AF2613" s="76">
        <f t="shared" si="253"/>
        <v>51525.789999999659</v>
      </c>
    </row>
    <row r="2614" spans="4:32" ht="8.25" customHeight="1" x14ac:dyDescent="0.15">
      <c r="N2614" s="52">
        <v>37</v>
      </c>
      <c r="T2614" s="33">
        <v>46128</v>
      </c>
      <c r="U2614" s="34">
        <v>2026</v>
      </c>
      <c r="V2614" s="35" t="s">
        <v>1982</v>
      </c>
      <c r="W2614" s="35" t="s">
        <v>17</v>
      </c>
      <c r="X2614" s="37" t="s">
        <v>2224</v>
      </c>
      <c r="Y2614" s="36" t="s">
        <v>2225</v>
      </c>
      <c r="Z2614" s="30" t="s">
        <v>1556</v>
      </c>
      <c r="AA2614" s="134" t="s">
        <v>166</v>
      </c>
      <c r="AD2614" s="38">
        <v>3057.53</v>
      </c>
      <c r="AF2614" s="76">
        <f t="shared" si="253"/>
        <v>54583.319999999658</v>
      </c>
    </row>
    <row r="2615" spans="4:32" ht="8.25" customHeight="1" x14ac:dyDescent="0.25">
      <c r="N2615" s="52">
        <v>38</v>
      </c>
      <c r="T2615" s="33">
        <v>46128</v>
      </c>
      <c r="U2615" s="34">
        <v>2026</v>
      </c>
      <c r="V2615" s="35" t="s">
        <v>1982</v>
      </c>
      <c r="W2615" s="35" t="s">
        <v>17</v>
      </c>
      <c r="X2615" s="37" t="s">
        <v>2228</v>
      </c>
      <c r="Y2615" s="36" t="s">
        <v>335</v>
      </c>
      <c r="Z2615" s="30" t="s">
        <v>334</v>
      </c>
      <c r="AA2615" s="30" t="s">
        <v>3899</v>
      </c>
      <c r="AD2615" s="38">
        <v>9165.4</v>
      </c>
      <c r="AF2615" s="76">
        <f t="shared" si="253"/>
        <v>63748.719999999659</v>
      </c>
    </row>
    <row r="2616" spans="4:32" ht="8.25" customHeight="1" x14ac:dyDescent="0.15">
      <c r="N2616" s="52">
        <v>38</v>
      </c>
      <c r="T2616" s="33">
        <v>46128</v>
      </c>
      <c r="U2616" s="34">
        <v>2026</v>
      </c>
      <c r="V2616" s="35" t="s">
        <v>1982</v>
      </c>
      <c r="W2616" s="35" t="s">
        <v>17</v>
      </c>
      <c r="X2616" s="37" t="s">
        <v>2228</v>
      </c>
      <c r="Y2616" s="36" t="s">
        <v>335</v>
      </c>
      <c r="Z2616" s="30" t="s">
        <v>334</v>
      </c>
      <c r="AA2616" s="134" t="s">
        <v>166</v>
      </c>
      <c r="AD2616" s="38">
        <v>834.6</v>
      </c>
      <c r="AF2616" s="76">
        <f>AF2615+AD2616-AE2616</f>
        <v>64583.319999999658</v>
      </c>
    </row>
    <row r="2617" spans="4:32" ht="8.25" customHeight="1" x14ac:dyDescent="0.25">
      <c r="N2617" s="52">
        <v>39</v>
      </c>
      <c r="T2617" s="33">
        <v>46128</v>
      </c>
      <c r="U2617" s="34">
        <v>2026</v>
      </c>
      <c r="V2617" s="35" t="s">
        <v>1982</v>
      </c>
      <c r="W2617" s="35" t="s">
        <v>17</v>
      </c>
      <c r="X2617" s="37" t="s">
        <v>2248</v>
      </c>
      <c r="Y2617" s="36" t="s">
        <v>1663</v>
      </c>
      <c r="Z2617" s="30" t="s">
        <v>915</v>
      </c>
      <c r="AA2617" s="30" t="s">
        <v>3899</v>
      </c>
      <c r="AD2617" s="38">
        <v>4726.3</v>
      </c>
      <c r="AF2617" s="76">
        <f t="shared" ref="AF2617:AF2620" si="254">AF2616+AD2617-AE2617</f>
        <v>69309.619999999661</v>
      </c>
    </row>
    <row r="2618" spans="4:32" ht="8.25" customHeight="1" x14ac:dyDescent="0.15">
      <c r="N2618" s="52">
        <v>39</v>
      </c>
      <c r="T2618" s="33">
        <v>46128</v>
      </c>
      <c r="U2618" s="34">
        <v>2026</v>
      </c>
      <c r="V2618" s="35" t="s">
        <v>1982</v>
      </c>
      <c r="W2618" s="35" t="s">
        <v>17</v>
      </c>
      <c r="X2618" s="37" t="s">
        <v>2248</v>
      </c>
      <c r="Y2618" s="36" t="s">
        <v>1663</v>
      </c>
      <c r="Z2618" s="30" t="s">
        <v>915</v>
      </c>
      <c r="AA2618" s="134" t="s">
        <v>166</v>
      </c>
      <c r="AD2618" s="38">
        <v>3673.7</v>
      </c>
      <c r="AF2618" s="76">
        <f t="shared" si="254"/>
        <v>72983.319999999658</v>
      </c>
    </row>
    <row r="2619" spans="4:32" ht="8.25" customHeight="1" x14ac:dyDescent="0.25">
      <c r="D2619" s="52">
        <v>2</v>
      </c>
      <c r="T2619" s="33">
        <v>46128</v>
      </c>
      <c r="U2619" s="34">
        <v>2026</v>
      </c>
      <c r="V2619" s="35" t="s">
        <v>1982</v>
      </c>
      <c r="W2619" s="35" t="s">
        <v>17</v>
      </c>
      <c r="X2619" s="36" t="s">
        <v>2245</v>
      </c>
      <c r="Y2619" s="36" t="s">
        <v>2246</v>
      </c>
      <c r="Z2619" s="30" t="s">
        <v>2247</v>
      </c>
      <c r="AA2619" s="30" t="s">
        <v>256</v>
      </c>
      <c r="AD2619" s="38">
        <v>165</v>
      </c>
      <c r="AF2619" s="76">
        <f t="shared" si="254"/>
        <v>73148.319999999658</v>
      </c>
    </row>
    <row r="2620" spans="4:32" ht="8.25" customHeight="1" x14ac:dyDescent="0.25">
      <c r="G2620" s="53">
        <v>12</v>
      </c>
      <c r="T2620" s="33">
        <v>46128</v>
      </c>
      <c r="U2620" s="34">
        <v>2026</v>
      </c>
      <c r="V2620" s="35" t="s">
        <v>1982</v>
      </c>
      <c r="W2620" s="35" t="s">
        <v>2655</v>
      </c>
      <c r="Y2620" s="36" t="s">
        <v>2226</v>
      </c>
      <c r="Z2620" s="30" t="s">
        <v>2227</v>
      </c>
      <c r="AA2620" s="30" t="s">
        <v>3945</v>
      </c>
      <c r="AE2620" s="38">
        <v>3064</v>
      </c>
      <c r="AF2620" s="76">
        <f t="shared" si="254"/>
        <v>70084.319999999658</v>
      </c>
    </row>
    <row r="2621" spans="4:32" ht="8.25" customHeight="1" thickBot="1" x14ac:dyDescent="0.3">
      <c r="AA2621" s="75" t="s">
        <v>2139</v>
      </c>
      <c r="AD2621" s="253">
        <f>SUM(AD2612:AD2620)</f>
        <v>26125</v>
      </c>
      <c r="AE2621" s="253">
        <f>SUM(AE2612:AE2620)</f>
        <v>3064</v>
      </c>
      <c r="AF2621" s="233">
        <f>AF2611+AD2621-AE2621</f>
        <v>70084.319999999658</v>
      </c>
    </row>
    <row r="2622" spans="4:32" ht="8.25" customHeight="1" thickTop="1" x14ac:dyDescent="0.25">
      <c r="X2622" s="109"/>
      <c r="Y2622" s="67" t="s">
        <v>214</v>
      </c>
      <c r="Z2622" s="68"/>
      <c r="AA2622" s="75"/>
    </row>
    <row r="2623" spans="4:32" ht="8.25" customHeight="1" x14ac:dyDescent="0.25">
      <c r="X2623" s="110" t="s">
        <v>299</v>
      </c>
      <c r="Y2623" s="111">
        <v>200</v>
      </c>
      <c r="Z2623" s="111">
        <f t="shared" ref="Z2623:Z2628" si="255">X2623*Y2623</f>
        <v>800</v>
      </c>
      <c r="AA2623" s="112"/>
    </row>
    <row r="2624" spans="4:32" ht="8.25" customHeight="1" x14ac:dyDescent="0.25">
      <c r="X2624" s="110" t="s">
        <v>2262</v>
      </c>
      <c r="Y2624" s="111">
        <v>100</v>
      </c>
      <c r="Z2624" s="111">
        <f t="shared" si="255"/>
        <v>64700</v>
      </c>
      <c r="AA2624" s="112"/>
    </row>
    <row r="2625" spans="3:32" ht="8.25" customHeight="1" x14ac:dyDescent="0.25">
      <c r="X2625" s="110" t="s">
        <v>620</v>
      </c>
      <c r="Y2625" s="111">
        <v>50</v>
      </c>
      <c r="Z2625" s="111">
        <f t="shared" si="255"/>
        <v>850</v>
      </c>
      <c r="AA2625" s="76"/>
    </row>
    <row r="2626" spans="3:32" ht="8.25" customHeight="1" x14ac:dyDescent="0.25">
      <c r="X2626" s="110" t="s">
        <v>319</v>
      </c>
      <c r="Y2626" s="111">
        <v>20</v>
      </c>
      <c r="Z2626" s="111">
        <f t="shared" si="255"/>
        <v>120</v>
      </c>
      <c r="AA2626" s="38"/>
    </row>
    <row r="2627" spans="3:32" ht="8.25" customHeight="1" x14ac:dyDescent="0.25">
      <c r="X2627" s="110" t="s">
        <v>356</v>
      </c>
      <c r="Y2627" s="111">
        <v>10</v>
      </c>
      <c r="Z2627" s="111">
        <f t="shared" si="255"/>
        <v>860</v>
      </c>
      <c r="AA2627" s="112"/>
    </row>
    <row r="2628" spans="3:32" ht="8.25" customHeight="1" x14ac:dyDescent="0.25">
      <c r="X2628" s="110" t="s">
        <v>2257</v>
      </c>
      <c r="Y2628" s="111">
        <v>5</v>
      </c>
      <c r="Z2628" s="111">
        <f t="shared" si="255"/>
        <v>1585</v>
      </c>
      <c r="AA2628" s="112"/>
    </row>
    <row r="2629" spans="3:32" ht="8.25" customHeight="1" x14ac:dyDescent="0.25">
      <c r="X2629" s="269"/>
      <c r="Y2629" s="270"/>
      <c r="Z2629" s="271"/>
      <c r="AA2629" s="38"/>
    </row>
    <row r="2630" spans="3:32" ht="8.25" customHeight="1" x14ac:dyDescent="0.25">
      <c r="X2630" s="110" t="s">
        <v>2146</v>
      </c>
      <c r="Y2630" s="111">
        <v>1</v>
      </c>
      <c r="Z2630" s="111">
        <f t="shared" ref="Z2630:Z2635" si="256">X2630*Y2630</f>
        <v>1084</v>
      </c>
      <c r="AA2630" s="76"/>
    </row>
    <row r="2631" spans="3:32" ht="8.25" customHeight="1" x14ac:dyDescent="0.25">
      <c r="X2631" s="110" t="s">
        <v>259</v>
      </c>
      <c r="Y2631" s="111">
        <v>0.5</v>
      </c>
      <c r="Z2631" s="111">
        <f t="shared" si="256"/>
        <v>40</v>
      </c>
      <c r="AA2631" s="112"/>
    </row>
    <row r="2632" spans="3:32" ht="8.25" customHeight="1" x14ac:dyDescent="0.25">
      <c r="X2632" s="110" t="s">
        <v>1878</v>
      </c>
      <c r="Y2632" s="111">
        <v>0.25</v>
      </c>
      <c r="Z2632" s="111">
        <f t="shared" si="256"/>
        <v>45</v>
      </c>
      <c r="AA2632" s="113"/>
    </row>
    <row r="2633" spans="3:32" ht="8.25" customHeight="1" x14ac:dyDescent="0.25">
      <c r="X2633" s="110" t="s">
        <v>223</v>
      </c>
      <c r="Y2633" s="111">
        <v>0.1</v>
      </c>
      <c r="Z2633" s="111">
        <f t="shared" si="256"/>
        <v>0.30000000000000004</v>
      </c>
      <c r="AA2633" s="114" t="s">
        <v>219</v>
      </c>
    </row>
    <row r="2634" spans="3:32" ht="8.25" customHeight="1" thickBot="1" x14ac:dyDescent="0.3">
      <c r="X2634" s="110"/>
      <c r="Y2634" s="111">
        <v>0.05</v>
      </c>
      <c r="Z2634" s="111">
        <f t="shared" si="256"/>
        <v>0</v>
      </c>
      <c r="AA2634" s="115">
        <f>SUM(Z2623:Z2628)+Z2630+Z2631+Z2632+Z2633+Z2634+Z2635</f>
        <v>70084.320000000007</v>
      </c>
    </row>
    <row r="2635" spans="3:32" ht="8.25" customHeight="1" thickTop="1" x14ac:dyDescent="0.25">
      <c r="X2635" s="110" t="s">
        <v>224</v>
      </c>
      <c r="Y2635" s="111">
        <v>0.01</v>
      </c>
      <c r="Z2635" s="111">
        <f t="shared" si="256"/>
        <v>0.02</v>
      </c>
    </row>
    <row r="2637" spans="3:32" ht="8.25" customHeight="1" x14ac:dyDescent="0.25">
      <c r="Z2637" s="231" t="s">
        <v>1376</v>
      </c>
      <c r="AF2637" s="76">
        <f>AF2621</f>
        <v>70084.319999999658</v>
      </c>
    </row>
    <row r="2638" spans="3:32" ht="8.25" customHeight="1" x14ac:dyDescent="0.25">
      <c r="I2638" s="52">
        <v>29</v>
      </c>
      <c r="T2638" s="33">
        <v>46129</v>
      </c>
      <c r="U2638" s="34">
        <v>2026</v>
      </c>
      <c r="V2638" s="35" t="s">
        <v>1982</v>
      </c>
      <c r="W2638" s="35" t="s">
        <v>17</v>
      </c>
      <c r="X2638" s="37" t="s">
        <v>2249</v>
      </c>
      <c r="Y2638" s="36" t="s">
        <v>115</v>
      </c>
      <c r="Z2638" s="30" t="s">
        <v>16</v>
      </c>
      <c r="AA2638" s="30" t="s">
        <v>1044</v>
      </c>
      <c r="AD2638" s="38">
        <v>2000</v>
      </c>
      <c r="AF2638" s="76">
        <f>AF2637+AD2638-AE2638</f>
        <v>72084.319999999658</v>
      </c>
    </row>
    <row r="2639" spans="3:32" ht="8.25" customHeight="1" x14ac:dyDescent="0.25">
      <c r="C2639" s="52">
        <v>5</v>
      </c>
      <c r="T2639" s="33">
        <v>46129</v>
      </c>
      <c r="U2639" s="34">
        <v>2026</v>
      </c>
      <c r="V2639" s="35" t="s">
        <v>1982</v>
      </c>
      <c r="W2639" s="35" t="s">
        <v>3620</v>
      </c>
      <c r="Y2639" s="36" t="s">
        <v>2254</v>
      </c>
      <c r="Z2639" s="30" t="s">
        <v>2255</v>
      </c>
      <c r="AA2639" s="30" t="s">
        <v>340</v>
      </c>
      <c r="AD2639" s="38">
        <v>295</v>
      </c>
      <c r="AF2639" s="76">
        <f t="shared" ref="AF2639:AF2641" si="257">AF2638+AD2639-AE2639</f>
        <v>72379.319999999658</v>
      </c>
    </row>
    <row r="2640" spans="3:32" ht="8.25" customHeight="1" x14ac:dyDescent="0.25">
      <c r="R2640" s="53">
        <v>18</v>
      </c>
      <c r="T2640" s="33">
        <v>46129</v>
      </c>
      <c r="U2640" s="34">
        <v>2026</v>
      </c>
      <c r="V2640" s="35" t="s">
        <v>1982</v>
      </c>
      <c r="W2640" s="35" t="s">
        <v>5</v>
      </c>
      <c r="X2640" s="37" t="s">
        <v>2250</v>
      </c>
      <c r="Y2640" s="36" t="s">
        <v>1906</v>
      </c>
      <c r="Z2640" s="30" t="s">
        <v>2002</v>
      </c>
      <c r="AA2640" s="30" t="s">
        <v>1050</v>
      </c>
      <c r="AE2640" s="38">
        <v>300</v>
      </c>
      <c r="AF2640" s="76">
        <f t="shared" si="257"/>
        <v>72079.319999999658</v>
      </c>
    </row>
    <row r="2641" spans="18:32" ht="8.25" customHeight="1" x14ac:dyDescent="0.25">
      <c r="R2641" s="53">
        <v>19</v>
      </c>
      <c r="T2641" s="33">
        <v>46129</v>
      </c>
      <c r="U2641" s="34">
        <v>2026</v>
      </c>
      <c r="V2641" s="35" t="s">
        <v>1982</v>
      </c>
      <c r="W2641" s="35" t="s">
        <v>5</v>
      </c>
      <c r="X2641" s="37" t="s">
        <v>2251</v>
      </c>
      <c r="Y2641" s="36" t="s">
        <v>2252</v>
      </c>
      <c r="Z2641" s="30" t="s">
        <v>2253</v>
      </c>
      <c r="AA2641" s="30" t="s">
        <v>1050</v>
      </c>
      <c r="AE2641" s="38">
        <v>228</v>
      </c>
      <c r="AF2641" s="76">
        <f t="shared" si="257"/>
        <v>71851.319999999658</v>
      </c>
    </row>
    <row r="2642" spans="18:32" ht="8.25" customHeight="1" thickBot="1" x14ac:dyDescent="0.3">
      <c r="AA2642" s="75" t="s">
        <v>2139</v>
      </c>
      <c r="AD2642" s="253">
        <f>SUM(AD2638:AD2641)</f>
        <v>2295</v>
      </c>
      <c r="AE2642" s="253">
        <f>SUM(AE2638:AE2641)</f>
        <v>528</v>
      </c>
      <c r="AF2642" s="233">
        <f>AF2637+AD2642-AE2642</f>
        <v>71851.319999999658</v>
      </c>
    </row>
    <row r="2643" spans="18:32" ht="8.25" customHeight="1" thickTop="1" x14ac:dyDescent="0.25">
      <c r="X2643" s="109"/>
      <c r="Y2643" s="67" t="s">
        <v>214</v>
      </c>
      <c r="Z2643" s="68"/>
      <c r="AA2643" s="75"/>
    </row>
    <row r="2644" spans="18:32" ht="8.25" customHeight="1" x14ac:dyDescent="0.25">
      <c r="X2644" s="110" t="s">
        <v>299</v>
      </c>
      <c r="Y2644" s="111">
        <v>200</v>
      </c>
      <c r="Z2644" s="111">
        <f t="shared" ref="Z2644:Z2649" si="258">X2644*Y2644</f>
        <v>800</v>
      </c>
      <c r="AA2644" s="112"/>
    </row>
    <row r="2645" spans="18:32" ht="8.25" customHeight="1" x14ac:dyDescent="0.25">
      <c r="X2645" s="110" t="s">
        <v>2263</v>
      </c>
      <c r="Y2645" s="111">
        <v>100</v>
      </c>
      <c r="Z2645" s="111">
        <f t="shared" si="258"/>
        <v>66400</v>
      </c>
      <c r="AA2645" s="112"/>
    </row>
    <row r="2646" spans="18:32" ht="8.25" customHeight="1" x14ac:dyDescent="0.25">
      <c r="X2646" s="110" t="s">
        <v>2256</v>
      </c>
      <c r="Y2646" s="111">
        <v>50</v>
      </c>
      <c r="Z2646" s="111">
        <f t="shared" si="258"/>
        <v>900</v>
      </c>
      <c r="AA2646" s="76"/>
    </row>
    <row r="2647" spans="18:32" ht="8.25" customHeight="1" x14ac:dyDescent="0.25">
      <c r="X2647" s="110" t="s">
        <v>319</v>
      </c>
      <c r="Y2647" s="111">
        <v>20</v>
      </c>
      <c r="Z2647" s="111">
        <f t="shared" si="258"/>
        <v>120</v>
      </c>
      <c r="AA2647" s="38"/>
    </row>
    <row r="2648" spans="18:32" ht="8.25" customHeight="1" x14ac:dyDescent="0.25">
      <c r="X2648" s="110" t="s">
        <v>260</v>
      </c>
      <c r="Y2648" s="111">
        <v>10</v>
      </c>
      <c r="Z2648" s="111">
        <f t="shared" si="258"/>
        <v>870</v>
      </c>
      <c r="AA2648" s="112"/>
    </row>
    <row r="2649" spans="18:32" ht="8.25" customHeight="1" x14ac:dyDescent="0.25">
      <c r="X2649" s="110" t="s">
        <v>2264</v>
      </c>
      <c r="Y2649" s="111">
        <v>5</v>
      </c>
      <c r="Z2649" s="111">
        <f t="shared" si="258"/>
        <v>1590</v>
      </c>
      <c r="AA2649" s="112"/>
    </row>
    <row r="2650" spans="18:32" ht="8.25" customHeight="1" x14ac:dyDescent="0.25">
      <c r="X2650" s="269"/>
      <c r="Y2650" s="270"/>
      <c r="Z2650" s="271"/>
      <c r="AA2650" s="38"/>
    </row>
    <row r="2651" spans="18:32" ht="8.25" customHeight="1" x14ac:dyDescent="0.25">
      <c r="X2651" s="110" t="s">
        <v>2258</v>
      </c>
      <c r="Y2651" s="111">
        <v>1</v>
      </c>
      <c r="Z2651" s="111">
        <f t="shared" ref="Z2651:Z2656" si="259">X2651*Y2651</f>
        <v>1086</v>
      </c>
      <c r="AA2651" s="76"/>
    </row>
    <row r="2652" spans="18:32" ht="8.25" customHeight="1" x14ac:dyDescent="0.25">
      <c r="X2652" s="110" t="s">
        <v>259</v>
      </c>
      <c r="Y2652" s="111">
        <v>0.5</v>
      </c>
      <c r="Z2652" s="111">
        <f t="shared" si="259"/>
        <v>40</v>
      </c>
      <c r="AA2652" s="112"/>
    </row>
    <row r="2653" spans="18:32" ht="8.25" customHeight="1" x14ac:dyDescent="0.25">
      <c r="X2653" s="110" t="s">
        <v>1878</v>
      </c>
      <c r="Y2653" s="111">
        <v>0.25</v>
      </c>
      <c r="Z2653" s="111">
        <f t="shared" si="259"/>
        <v>45</v>
      </c>
      <c r="AA2653" s="113"/>
    </row>
    <row r="2654" spans="18:32" ht="8.25" customHeight="1" x14ac:dyDescent="0.25">
      <c r="X2654" s="110" t="s">
        <v>223</v>
      </c>
      <c r="Y2654" s="111">
        <v>0.1</v>
      </c>
      <c r="Z2654" s="111">
        <f t="shared" si="259"/>
        <v>0.30000000000000004</v>
      </c>
      <c r="AA2654" s="114" t="s">
        <v>219</v>
      </c>
    </row>
    <row r="2655" spans="18:32" ht="8.25" customHeight="1" thickBot="1" x14ac:dyDescent="0.3">
      <c r="X2655" s="110"/>
      <c r="Y2655" s="111">
        <v>0.05</v>
      </c>
      <c r="Z2655" s="111">
        <f t="shared" si="259"/>
        <v>0</v>
      </c>
      <c r="AA2655" s="115">
        <f>SUM(Z2644:Z2649)+Z2651+Z2652+Z2653+Z2654+Z2655+Z2656</f>
        <v>71851.320000000007</v>
      </c>
    </row>
    <row r="2656" spans="18:32" ht="8.25" customHeight="1" thickTop="1" x14ac:dyDescent="0.25">
      <c r="X2656" s="110" t="s">
        <v>224</v>
      </c>
      <c r="Y2656" s="111">
        <v>0.01</v>
      </c>
      <c r="Z2656" s="111">
        <f t="shared" si="259"/>
        <v>0.02</v>
      </c>
    </row>
    <row r="2658" spans="7:32" ht="8.25" customHeight="1" x14ac:dyDescent="0.25">
      <c r="Z2658" s="231" t="s">
        <v>1376</v>
      </c>
      <c r="AF2658" s="76">
        <f>AF2642</f>
        <v>71851.319999999658</v>
      </c>
    </row>
    <row r="2659" spans="7:32" ht="8.25" customHeight="1" x14ac:dyDescent="0.25">
      <c r="I2659" s="52">
        <v>30</v>
      </c>
      <c r="T2659" s="33">
        <v>46130</v>
      </c>
      <c r="U2659" s="34">
        <v>2026</v>
      </c>
      <c r="V2659" s="35" t="s">
        <v>1982</v>
      </c>
      <c r="W2659" s="35" t="s">
        <v>17</v>
      </c>
      <c r="X2659" s="37" t="s">
        <v>2259</v>
      </c>
      <c r="Y2659" s="36" t="s">
        <v>419</v>
      </c>
      <c r="Z2659" s="30" t="s">
        <v>1565</v>
      </c>
      <c r="AA2659" s="30" t="s">
        <v>1044</v>
      </c>
      <c r="AD2659" s="38">
        <v>900</v>
      </c>
      <c r="AF2659" s="76">
        <f>AF2658+AD2659-AE2659</f>
        <v>72751.319999999658</v>
      </c>
    </row>
    <row r="2660" spans="7:32" ht="8.25" customHeight="1" x14ac:dyDescent="0.25">
      <c r="G2660" s="53">
        <v>13</v>
      </c>
      <c r="T2660" s="33">
        <v>46130</v>
      </c>
      <c r="U2660" s="34">
        <v>2026</v>
      </c>
      <c r="V2660" s="35" t="s">
        <v>1982</v>
      </c>
      <c r="W2660" s="35" t="s">
        <v>2655</v>
      </c>
      <c r="Y2660" s="36" t="s">
        <v>2260</v>
      </c>
      <c r="Z2660" s="30" t="s">
        <v>993</v>
      </c>
      <c r="AA2660" s="30" t="s">
        <v>3945</v>
      </c>
      <c r="AE2660" s="38">
        <v>696.84</v>
      </c>
      <c r="AF2660" s="76">
        <f t="shared" ref="AF2660:AF2661" si="260">AF2659+AD2660-AE2660</f>
        <v>72054.479999999661</v>
      </c>
    </row>
    <row r="2661" spans="7:32" ht="8.25" customHeight="1" x14ac:dyDescent="0.25">
      <c r="G2661" s="53">
        <v>14</v>
      </c>
      <c r="T2661" s="33">
        <v>46130</v>
      </c>
      <c r="U2661" s="34">
        <v>2026</v>
      </c>
      <c r="V2661" s="35" t="s">
        <v>1982</v>
      </c>
      <c r="W2661" s="35" t="s">
        <v>2655</v>
      </c>
      <c r="Y2661" s="36" t="s">
        <v>2261</v>
      </c>
      <c r="Z2661" s="30" t="s">
        <v>993</v>
      </c>
      <c r="AA2661" s="30" t="s">
        <v>3945</v>
      </c>
      <c r="AE2661" s="38">
        <v>1544</v>
      </c>
      <c r="AF2661" s="76">
        <f t="shared" si="260"/>
        <v>70510.479999999661</v>
      </c>
    </row>
    <row r="2662" spans="7:32" ht="8.25" customHeight="1" thickBot="1" x14ac:dyDescent="0.3">
      <c r="AA2662" s="75" t="s">
        <v>2139</v>
      </c>
      <c r="AD2662" s="91">
        <f>SUM(AD2659:AD2661)</f>
        <v>900</v>
      </c>
      <c r="AE2662" s="91">
        <f>SUM(AE2659:AE2661)</f>
        <v>2240.84</v>
      </c>
      <c r="AF2662" s="91">
        <f>AF2658+AD2662-AE2662</f>
        <v>70510.479999999661</v>
      </c>
    </row>
    <row r="2663" spans="7:32" ht="8.25" customHeight="1" thickTop="1" x14ac:dyDescent="0.25">
      <c r="X2663" s="109"/>
      <c r="Y2663" s="67" t="s">
        <v>214</v>
      </c>
      <c r="Z2663" s="68"/>
      <c r="AA2663" s="75"/>
    </row>
    <row r="2664" spans="7:32" ht="8.25" customHeight="1" x14ac:dyDescent="0.25">
      <c r="X2664" s="110" t="s">
        <v>299</v>
      </c>
      <c r="Y2664" s="111">
        <v>200</v>
      </c>
      <c r="Z2664" s="111">
        <f t="shared" ref="Z2664:Z2669" si="261">X2664*Y2664</f>
        <v>800</v>
      </c>
      <c r="AA2664" s="112"/>
    </row>
    <row r="2665" spans="7:32" ht="8.25" customHeight="1" x14ac:dyDescent="0.25">
      <c r="X2665" s="110" t="s">
        <v>2279</v>
      </c>
      <c r="Y2665" s="111">
        <v>100</v>
      </c>
      <c r="Z2665" s="111">
        <f t="shared" si="261"/>
        <v>65300</v>
      </c>
      <c r="AA2665" s="112"/>
    </row>
    <row r="2666" spans="7:32" ht="8.25" customHeight="1" x14ac:dyDescent="0.25">
      <c r="X2666" s="110" t="s">
        <v>216</v>
      </c>
      <c r="Y2666" s="111">
        <v>50</v>
      </c>
      <c r="Z2666" s="111">
        <f t="shared" si="261"/>
        <v>750</v>
      </c>
      <c r="AA2666" s="76"/>
    </row>
    <row r="2667" spans="7:32" ht="8.25" customHeight="1" x14ac:dyDescent="0.25">
      <c r="X2667" s="110" t="s">
        <v>224</v>
      </c>
      <c r="Y2667" s="111">
        <v>20</v>
      </c>
      <c r="Z2667" s="111">
        <f t="shared" si="261"/>
        <v>40</v>
      </c>
      <c r="AA2667" s="38"/>
    </row>
    <row r="2668" spans="7:32" ht="8.25" customHeight="1" x14ac:dyDescent="0.25">
      <c r="X2668" s="110" t="s">
        <v>625</v>
      </c>
      <c r="Y2668" s="111">
        <v>10</v>
      </c>
      <c r="Z2668" s="111">
        <f t="shared" si="261"/>
        <v>850</v>
      </c>
      <c r="AA2668" s="112"/>
    </row>
    <row r="2669" spans="7:32" ht="8.25" customHeight="1" x14ac:dyDescent="0.25">
      <c r="X2669" s="110" t="s">
        <v>2281</v>
      </c>
      <c r="Y2669" s="111">
        <v>5</v>
      </c>
      <c r="Z2669" s="111">
        <f t="shared" si="261"/>
        <v>1605</v>
      </c>
      <c r="AA2669" s="112"/>
    </row>
    <row r="2670" spans="7:32" ht="8.25" customHeight="1" x14ac:dyDescent="0.25">
      <c r="X2670" s="269"/>
      <c r="Y2670" s="270"/>
      <c r="Z2670" s="271"/>
      <c r="AA2670" s="38"/>
    </row>
    <row r="2671" spans="7:32" ht="8.25" customHeight="1" x14ac:dyDescent="0.25">
      <c r="X2671" s="110" t="s">
        <v>2280</v>
      </c>
      <c r="Y2671" s="111">
        <v>1</v>
      </c>
      <c r="Z2671" s="111">
        <f t="shared" ref="Z2671:Z2676" si="262">X2671*Y2671</f>
        <v>1080</v>
      </c>
      <c r="AA2671" s="76"/>
    </row>
    <row r="2672" spans="7:32" ht="8.25" customHeight="1" x14ac:dyDescent="0.25">
      <c r="X2672" s="110" t="s">
        <v>259</v>
      </c>
      <c r="Y2672" s="111">
        <v>0.5</v>
      </c>
      <c r="Z2672" s="111">
        <f t="shared" si="262"/>
        <v>40</v>
      </c>
      <c r="AA2672" s="112"/>
    </row>
    <row r="2673" spans="9:32" ht="8.25" customHeight="1" x14ac:dyDescent="0.25">
      <c r="X2673" s="110" t="s">
        <v>1878</v>
      </c>
      <c r="Y2673" s="111">
        <v>0.25</v>
      </c>
      <c r="Z2673" s="111">
        <f t="shared" si="262"/>
        <v>45</v>
      </c>
      <c r="AA2673" s="113"/>
    </row>
    <row r="2674" spans="9:32" ht="8.25" customHeight="1" x14ac:dyDescent="0.25">
      <c r="X2674" s="110" t="s">
        <v>299</v>
      </c>
      <c r="Y2674" s="111">
        <v>0.1</v>
      </c>
      <c r="Z2674" s="111">
        <f t="shared" si="262"/>
        <v>0.4</v>
      </c>
      <c r="AA2674" s="114" t="s">
        <v>219</v>
      </c>
    </row>
    <row r="2675" spans="9:32" ht="8.25" customHeight="1" thickBot="1" x14ac:dyDescent="0.3">
      <c r="X2675" s="110" t="s">
        <v>222</v>
      </c>
      <c r="Y2675" s="111">
        <v>0.05</v>
      </c>
      <c r="Z2675" s="111">
        <f t="shared" si="262"/>
        <v>0.05</v>
      </c>
      <c r="AA2675" s="115">
        <f>SUM(Z2664:Z2669)+Z2671+Z2672+Z2673+Z2674+Z2675+Z2676</f>
        <v>70510.48</v>
      </c>
    </row>
    <row r="2676" spans="9:32" ht="8.25" customHeight="1" thickTop="1" x14ac:dyDescent="0.25">
      <c r="X2676" s="110" t="s">
        <v>223</v>
      </c>
      <c r="Y2676" s="111">
        <v>0.01</v>
      </c>
      <c r="Z2676" s="111">
        <f t="shared" si="262"/>
        <v>0.03</v>
      </c>
    </row>
    <row r="2678" spans="9:32" ht="8.25" customHeight="1" x14ac:dyDescent="0.25">
      <c r="Z2678" s="231" t="s">
        <v>1376</v>
      </c>
      <c r="AF2678" s="76">
        <f>AF2662</f>
        <v>70510.479999999661</v>
      </c>
    </row>
    <row r="2679" spans="9:32" ht="8.25" customHeight="1" x14ac:dyDescent="0.25">
      <c r="N2679" s="52">
        <v>40</v>
      </c>
      <c r="T2679" s="33">
        <v>46132</v>
      </c>
      <c r="U2679" s="34">
        <v>2026</v>
      </c>
      <c r="V2679" s="35" t="s">
        <v>1982</v>
      </c>
      <c r="W2679" s="35" t="s">
        <v>17</v>
      </c>
      <c r="X2679" s="37" t="s">
        <v>2265</v>
      </c>
      <c r="Y2679" s="36" t="s">
        <v>1812</v>
      </c>
      <c r="Z2679" s="30" t="s">
        <v>1813</v>
      </c>
      <c r="AA2679" s="30" t="s">
        <v>3899</v>
      </c>
      <c r="AD2679" s="38">
        <v>9747.33</v>
      </c>
      <c r="AF2679" s="76">
        <f>AF2678+AD2679-AE2679</f>
        <v>80257.809999999663</v>
      </c>
    </row>
    <row r="2680" spans="9:32" ht="8.25" customHeight="1" x14ac:dyDescent="0.15">
      <c r="N2680" s="52">
        <v>40</v>
      </c>
      <c r="T2680" s="33">
        <v>46132</v>
      </c>
      <c r="U2680" s="34">
        <v>2026</v>
      </c>
      <c r="V2680" s="35" t="s">
        <v>1982</v>
      </c>
      <c r="W2680" s="35" t="s">
        <v>17</v>
      </c>
      <c r="X2680" s="37" t="s">
        <v>2265</v>
      </c>
      <c r="Y2680" s="36" t="s">
        <v>1812</v>
      </c>
      <c r="Z2680" s="30" t="s">
        <v>1813</v>
      </c>
      <c r="AA2680" s="134" t="s">
        <v>166</v>
      </c>
      <c r="AD2680" s="38">
        <v>7052.67</v>
      </c>
      <c r="AF2680" s="76">
        <f t="shared" ref="AF2680:AF2707" si="263">AF2679+AD2680-AE2680</f>
        <v>87310.479999999661</v>
      </c>
    </row>
    <row r="2681" spans="9:32" ht="8.25" customHeight="1" x14ac:dyDescent="0.25">
      <c r="I2681" s="52">
        <v>31</v>
      </c>
      <c r="T2681" s="33">
        <v>46132</v>
      </c>
      <c r="U2681" s="34">
        <v>2026</v>
      </c>
      <c r="V2681" s="35" t="s">
        <v>1982</v>
      </c>
      <c r="W2681" s="35" t="s">
        <v>17</v>
      </c>
      <c r="X2681" s="37" t="s">
        <v>2267</v>
      </c>
      <c r="Y2681" s="36" t="s">
        <v>744</v>
      </c>
      <c r="Z2681" s="30" t="s">
        <v>745</v>
      </c>
      <c r="AA2681" s="30" t="s">
        <v>1044</v>
      </c>
      <c r="AD2681" s="38">
        <v>200</v>
      </c>
      <c r="AF2681" s="76">
        <f t="shared" si="263"/>
        <v>87510.479999999661</v>
      </c>
    </row>
    <row r="2682" spans="9:32" ht="8.25" customHeight="1" x14ac:dyDescent="0.25">
      <c r="N2682" s="52">
        <v>41</v>
      </c>
      <c r="T2682" s="33">
        <v>46132</v>
      </c>
      <c r="U2682" s="34">
        <v>2026</v>
      </c>
      <c r="V2682" s="35" t="s">
        <v>1982</v>
      </c>
      <c r="W2682" s="35" t="s">
        <v>17</v>
      </c>
      <c r="X2682" s="37" t="s">
        <v>2268</v>
      </c>
      <c r="Y2682" s="36" t="s">
        <v>494</v>
      </c>
      <c r="Z2682" s="30" t="s">
        <v>495</v>
      </c>
      <c r="AA2682" s="30" t="s">
        <v>3899</v>
      </c>
      <c r="AD2682" s="38">
        <v>5680.81</v>
      </c>
      <c r="AF2682" s="76">
        <f t="shared" si="263"/>
        <v>93191.289999999659</v>
      </c>
    </row>
    <row r="2683" spans="9:32" ht="8.25" customHeight="1" x14ac:dyDescent="0.15">
      <c r="N2683" s="52">
        <v>41</v>
      </c>
      <c r="T2683" s="33">
        <v>46132</v>
      </c>
      <c r="U2683" s="34">
        <v>2026</v>
      </c>
      <c r="V2683" s="35" t="s">
        <v>1982</v>
      </c>
      <c r="W2683" s="35" t="s">
        <v>17</v>
      </c>
      <c r="X2683" s="37" t="s">
        <v>2268</v>
      </c>
      <c r="Y2683" s="36" t="s">
        <v>494</v>
      </c>
      <c r="Z2683" s="30" t="s">
        <v>495</v>
      </c>
      <c r="AA2683" s="134" t="s">
        <v>166</v>
      </c>
      <c r="AD2683" s="38">
        <v>5819.19</v>
      </c>
      <c r="AF2683" s="76">
        <f t="shared" si="263"/>
        <v>99010.479999999661</v>
      </c>
    </row>
    <row r="2684" spans="9:32" ht="8.25" customHeight="1" x14ac:dyDescent="0.25">
      <c r="N2684" s="52">
        <v>42</v>
      </c>
      <c r="T2684" s="33">
        <v>46132</v>
      </c>
      <c r="U2684" s="34">
        <v>2026</v>
      </c>
      <c r="V2684" s="35" t="s">
        <v>1982</v>
      </c>
      <c r="W2684" s="35" t="s">
        <v>17</v>
      </c>
      <c r="X2684" s="37" t="s">
        <v>2269</v>
      </c>
      <c r="Y2684" s="36" t="s">
        <v>486</v>
      </c>
      <c r="Z2684" s="30" t="s">
        <v>1595</v>
      </c>
      <c r="AA2684" s="30" t="s">
        <v>3899</v>
      </c>
      <c r="AD2684" s="38">
        <v>5121.75</v>
      </c>
      <c r="AF2684" s="76">
        <f t="shared" si="263"/>
        <v>104132.22999999966</v>
      </c>
    </row>
    <row r="2685" spans="9:32" ht="8.25" customHeight="1" x14ac:dyDescent="0.15">
      <c r="N2685" s="52">
        <v>42</v>
      </c>
      <c r="T2685" s="33">
        <v>46132</v>
      </c>
      <c r="U2685" s="34">
        <v>2026</v>
      </c>
      <c r="V2685" s="35" t="s">
        <v>1982</v>
      </c>
      <c r="W2685" s="35" t="s">
        <v>17</v>
      </c>
      <c r="X2685" s="37" t="s">
        <v>2269</v>
      </c>
      <c r="Y2685" s="36" t="s">
        <v>486</v>
      </c>
      <c r="Z2685" s="30" t="s">
        <v>1595</v>
      </c>
      <c r="AA2685" s="134" t="s">
        <v>166</v>
      </c>
      <c r="AD2685" s="38">
        <v>2878.25</v>
      </c>
      <c r="AF2685" s="76">
        <f t="shared" si="263"/>
        <v>107010.47999999966</v>
      </c>
    </row>
    <row r="2686" spans="9:32" ht="8.25" customHeight="1" x14ac:dyDescent="0.25">
      <c r="N2686" s="52">
        <v>43</v>
      </c>
      <c r="T2686" s="33">
        <v>46132</v>
      </c>
      <c r="U2686" s="34">
        <v>2026</v>
      </c>
      <c r="V2686" s="35" t="s">
        <v>1982</v>
      </c>
      <c r="W2686" s="35" t="s">
        <v>17</v>
      </c>
      <c r="X2686" s="37" t="s">
        <v>2270</v>
      </c>
      <c r="Y2686" s="36" t="s">
        <v>623</v>
      </c>
      <c r="Z2686" s="30" t="s">
        <v>495</v>
      </c>
      <c r="AA2686" s="30" t="s">
        <v>3899</v>
      </c>
      <c r="AD2686" s="38">
        <v>1210.5999999999999</v>
      </c>
      <c r="AF2686" s="76">
        <f t="shared" si="263"/>
        <v>108221.07999999967</v>
      </c>
    </row>
    <row r="2687" spans="9:32" ht="8.25" customHeight="1" x14ac:dyDescent="0.15">
      <c r="N2687" s="52">
        <v>43</v>
      </c>
      <c r="T2687" s="33">
        <v>46132</v>
      </c>
      <c r="U2687" s="34">
        <v>2026</v>
      </c>
      <c r="V2687" s="35" t="s">
        <v>1982</v>
      </c>
      <c r="W2687" s="35" t="s">
        <v>17</v>
      </c>
      <c r="X2687" s="37" t="s">
        <v>2270</v>
      </c>
      <c r="Y2687" s="36" t="s">
        <v>623</v>
      </c>
      <c r="Z2687" s="30" t="s">
        <v>495</v>
      </c>
      <c r="AA2687" s="134" t="s">
        <v>166</v>
      </c>
      <c r="AD2687" s="38">
        <v>1724.88</v>
      </c>
      <c r="AF2687" s="76">
        <f t="shared" si="263"/>
        <v>109945.95999999967</v>
      </c>
    </row>
    <row r="2688" spans="9:32" ht="8.25" customHeight="1" x14ac:dyDescent="0.25">
      <c r="N2688" s="52">
        <v>43</v>
      </c>
      <c r="T2688" s="33">
        <v>46132</v>
      </c>
      <c r="U2688" s="34">
        <v>2026</v>
      </c>
      <c r="V2688" s="35" t="s">
        <v>1982</v>
      </c>
      <c r="W2688" s="35" t="s">
        <v>17</v>
      </c>
      <c r="X2688" s="37" t="s">
        <v>2270</v>
      </c>
      <c r="Y2688" s="36" t="s">
        <v>623</v>
      </c>
      <c r="Z2688" s="30" t="s">
        <v>495</v>
      </c>
      <c r="AA2688" s="30" t="s">
        <v>3306</v>
      </c>
      <c r="AD2688" s="38">
        <v>15.52</v>
      </c>
      <c r="AF2688" s="76">
        <f t="shared" si="263"/>
        <v>109961.47999999968</v>
      </c>
    </row>
    <row r="2689" spans="3:32" ht="8.25" customHeight="1" x14ac:dyDescent="0.25">
      <c r="N2689" s="52">
        <v>44</v>
      </c>
      <c r="T2689" s="33">
        <v>46132</v>
      </c>
      <c r="U2689" s="34">
        <v>2026</v>
      </c>
      <c r="V2689" s="35" t="s">
        <v>1982</v>
      </c>
      <c r="W2689" s="35" t="s">
        <v>17</v>
      </c>
      <c r="X2689" s="37" t="s">
        <v>2271</v>
      </c>
      <c r="Y2689" s="36" t="s">
        <v>585</v>
      </c>
      <c r="Z2689" s="30" t="s">
        <v>584</v>
      </c>
      <c r="AA2689" s="30" t="s">
        <v>3899</v>
      </c>
      <c r="AD2689" s="38">
        <v>5872.93</v>
      </c>
      <c r="AF2689" s="76">
        <f t="shared" si="263"/>
        <v>115834.40999999968</v>
      </c>
    </row>
    <row r="2690" spans="3:32" ht="8.25" customHeight="1" x14ac:dyDescent="0.15">
      <c r="N2690" s="52">
        <v>44</v>
      </c>
      <c r="T2690" s="33">
        <v>46132</v>
      </c>
      <c r="U2690" s="34">
        <v>2026</v>
      </c>
      <c r="V2690" s="35" t="s">
        <v>1982</v>
      </c>
      <c r="W2690" s="35" t="s">
        <v>17</v>
      </c>
      <c r="X2690" s="37" t="s">
        <v>2271</v>
      </c>
      <c r="Y2690" s="36" t="s">
        <v>585</v>
      </c>
      <c r="Z2690" s="30" t="s">
        <v>584</v>
      </c>
      <c r="AA2690" s="134" t="s">
        <v>166</v>
      </c>
      <c r="AD2690" s="38">
        <v>5227.07</v>
      </c>
      <c r="AF2690" s="76">
        <f t="shared" si="263"/>
        <v>121061.47999999969</v>
      </c>
    </row>
    <row r="2691" spans="3:32" ht="8.25" customHeight="1" x14ac:dyDescent="0.25">
      <c r="N2691" s="52">
        <v>45</v>
      </c>
      <c r="T2691" s="33">
        <v>46132</v>
      </c>
      <c r="U2691" s="34">
        <v>2026</v>
      </c>
      <c r="V2691" s="35" t="s">
        <v>1982</v>
      </c>
      <c r="W2691" s="35" t="s">
        <v>17</v>
      </c>
      <c r="X2691" s="37" t="s">
        <v>2272</v>
      </c>
      <c r="Y2691" s="36" t="s">
        <v>1737</v>
      </c>
      <c r="Z2691" s="30" t="s">
        <v>1075</v>
      </c>
      <c r="AA2691" s="30" t="s">
        <v>3899</v>
      </c>
      <c r="AD2691" s="38">
        <v>6506.3</v>
      </c>
      <c r="AF2691" s="76">
        <f t="shared" si="263"/>
        <v>127567.77999999969</v>
      </c>
    </row>
    <row r="2692" spans="3:32" ht="8.25" customHeight="1" x14ac:dyDescent="0.15">
      <c r="N2692" s="52">
        <v>45</v>
      </c>
      <c r="T2692" s="33">
        <v>46132</v>
      </c>
      <c r="U2692" s="34">
        <v>2026</v>
      </c>
      <c r="V2692" s="35" t="s">
        <v>1982</v>
      </c>
      <c r="W2692" s="35" t="s">
        <v>17</v>
      </c>
      <c r="X2692" s="37" t="s">
        <v>2272</v>
      </c>
      <c r="Y2692" s="36" t="s">
        <v>1737</v>
      </c>
      <c r="Z2692" s="30" t="s">
        <v>1075</v>
      </c>
      <c r="AA2692" s="134" t="s">
        <v>166</v>
      </c>
      <c r="AD2692" s="38">
        <v>4493.7</v>
      </c>
      <c r="AF2692" s="76">
        <f t="shared" si="263"/>
        <v>132061.47999999969</v>
      </c>
    </row>
    <row r="2693" spans="3:32" ht="8.25" customHeight="1" x14ac:dyDescent="0.25">
      <c r="N2693" s="52">
        <v>46</v>
      </c>
      <c r="T2693" s="33">
        <v>46132</v>
      </c>
      <c r="U2693" s="34">
        <v>2026</v>
      </c>
      <c r="V2693" s="35" t="s">
        <v>1982</v>
      </c>
      <c r="W2693" s="35" t="s">
        <v>17</v>
      </c>
      <c r="X2693" s="37" t="s">
        <v>2273</v>
      </c>
      <c r="Y2693" s="36" t="s">
        <v>884</v>
      </c>
      <c r="Z2693" s="30" t="s">
        <v>885</v>
      </c>
      <c r="AA2693" s="30" t="s">
        <v>3899</v>
      </c>
      <c r="AD2693" s="38">
        <v>5173.3100000000004</v>
      </c>
      <c r="AF2693" s="76">
        <f t="shared" si="263"/>
        <v>137234.78999999969</v>
      </c>
    </row>
    <row r="2694" spans="3:32" ht="8.25" customHeight="1" x14ac:dyDescent="0.15">
      <c r="N2694" s="52">
        <v>46</v>
      </c>
      <c r="T2694" s="33">
        <v>46132</v>
      </c>
      <c r="U2694" s="34">
        <v>2026</v>
      </c>
      <c r="V2694" s="35" t="s">
        <v>1982</v>
      </c>
      <c r="W2694" s="35" t="s">
        <v>17</v>
      </c>
      <c r="X2694" s="37" t="s">
        <v>2273</v>
      </c>
      <c r="Y2694" s="36" t="s">
        <v>884</v>
      </c>
      <c r="Z2694" s="30" t="s">
        <v>885</v>
      </c>
      <c r="AA2694" s="134" t="s">
        <v>166</v>
      </c>
      <c r="AD2694" s="38">
        <v>1067.3900000000001</v>
      </c>
      <c r="AF2694" s="76">
        <f t="shared" si="263"/>
        <v>138302.1799999997</v>
      </c>
    </row>
    <row r="2695" spans="3:32" ht="8.25" customHeight="1" x14ac:dyDescent="0.25">
      <c r="N2695" s="52">
        <v>46</v>
      </c>
      <c r="T2695" s="33">
        <v>46132</v>
      </c>
      <c r="U2695" s="34">
        <v>2026</v>
      </c>
      <c r="V2695" s="35" t="s">
        <v>1982</v>
      </c>
      <c r="W2695" s="35" t="s">
        <v>17</v>
      </c>
      <c r="X2695" s="37" t="s">
        <v>2273</v>
      </c>
      <c r="Y2695" s="36" t="s">
        <v>884</v>
      </c>
      <c r="Z2695" s="30" t="s">
        <v>885</v>
      </c>
      <c r="AA2695" s="30" t="s">
        <v>3306</v>
      </c>
      <c r="AD2695" s="38">
        <v>759.3</v>
      </c>
      <c r="AF2695" s="76">
        <f t="shared" si="263"/>
        <v>139061.47999999969</v>
      </c>
    </row>
    <row r="2696" spans="3:32" ht="8.25" customHeight="1" x14ac:dyDescent="0.25">
      <c r="I2696" s="52">
        <v>32</v>
      </c>
      <c r="T2696" s="33">
        <v>46132</v>
      </c>
      <c r="U2696" s="34">
        <v>2026</v>
      </c>
      <c r="V2696" s="35" t="s">
        <v>1982</v>
      </c>
      <c r="W2696" s="35" t="s">
        <v>17</v>
      </c>
      <c r="X2696" s="37" t="s">
        <v>2282</v>
      </c>
      <c r="Y2696" s="36" t="s">
        <v>116</v>
      </c>
      <c r="Z2696" s="30" t="s">
        <v>1597</v>
      </c>
      <c r="AA2696" s="30" t="s">
        <v>1044</v>
      </c>
      <c r="AD2696" s="38">
        <v>13400</v>
      </c>
      <c r="AF2696" s="76">
        <f t="shared" si="263"/>
        <v>152461.47999999969</v>
      </c>
    </row>
    <row r="2697" spans="3:32" ht="8.25" customHeight="1" x14ac:dyDescent="0.25">
      <c r="N2697" s="52">
        <v>47</v>
      </c>
      <c r="T2697" s="33">
        <v>46132</v>
      </c>
      <c r="U2697" s="34">
        <v>2026</v>
      </c>
      <c r="V2697" s="35" t="s">
        <v>1982</v>
      </c>
      <c r="W2697" s="35" t="s">
        <v>17</v>
      </c>
      <c r="X2697" s="37" t="s">
        <v>2283</v>
      </c>
      <c r="Y2697" s="36" t="s">
        <v>120</v>
      </c>
      <c r="Z2697" s="30" t="s">
        <v>1597</v>
      </c>
      <c r="AA2697" s="30" t="s">
        <v>1195</v>
      </c>
      <c r="AD2697" s="38">
        <v>5</v>
      </c>
      <c r="AF2697" s="76">
        <f t="shared" si="263"/>
        <v>152466.47999999969</v>
      </c>
    </row>
    <row r="2698" spans="3:32" ht="8.25" customHeight="1" x14ac:dyDescent="0.25">
      <c r="N2698" s="52">
        <v>48</v>
      </c>
      <c r="T2698" s="33">
        <v>46132</v>
      </c>
      <c r="U2698" s="34">
        <v>2026</v>
      </c>
      <c r="V2698" s="35" t="s">
        <v>1982</v>
      </c>
      <c r="W2698" s="35" t="s">
        <v>17</v>
      </c>
      <c r="X2698" s="37" t="s">
        <v>2284</v>
      </c>
      <c r="Y2698" s="36" t="s">
        <v>884</v>
      </c>
      <c r="Z2698" s="30" t="s">
        <v>885</v>
      </c>
      <c r="AA2698" s="30" t="s">
        <v>3899</v>
      </c>
      <c r="AD2698" s="38">
        <v>18017.009999999998</v>
      </c>
      <c r="AF2698" s="76">
        <f t="shared" si="263"/>
        <v>170483.4899999997</v>
      </c>
    </row>
    <row r="2699" spans="3:32" ht="8.25" customHeight="1" x14ac:dyDescent="0.25">
      <c r="M2699" s="52">
        <v>3</v>
      </c>
      <c r="T2699" s="33">
        <v>46132</v>
      </c>
      <c r="U2699" s="34">
        <v>2026</v>
      </c>
      <c r="V2699" s="35" t="s">
        <v>1982</v>
      </c>
      <c r="W2699" s="35" t="s">
        <v>17</v>
      </c>
      <c r="X2699" s="37" t="s">
        <v>2285</v>
      </c>
      <c r="Y2699" s="36" t="s">
        <v>120</v>
      </c>
      <c r="Z2699" s="30" t="s">
        <v>885</v>
      </c>
      <c r="AA2699" s="30" t="s">
        <v>385</v>
      </c>
      <c r="AD2699" s="38">
        <v>181.99</v>
      </c>
      <c r="AF2699" s="76">
        <f t="shared" si="263"/>
        <v>170665.47999999969</v>
      </c>
    </row>
    <row r="2700" spans="3:32" ht="8.25" customHeight="1" x14ac:dyDescent="0.25">
      <c r="C2700" s="52">
        <v>6</v>
      </c>
      <c r="T2700" s="33">
        <v>46132</v>
      </c>
      <c r="U2700" s="34">
        <v>2026</v>
      </c>
      <c r="V2700" s="35" t="s">
        <v>1982</v>
      </c>
      <c r="W2700" s="35" t="s">
        <v>3620</v>
      </c>
      <c r="Y2700" s="36" t="s">
        <v>2278</v>
      </c>
      <c r="Z2700" s="30" t="s">
        <v>882</v>
      </c>
      <c r="AA2700" s="30" t="s">
        <v>340</v>
      </c>
      <c r="AD2700" s="38">
        <v>90</v>
      </c>
      <c r="AF2700" s="76">
        <f t="shared" si="263"/>
        <v>170755.47999999969</v>
      </c>
    </row>
    <row r="2701" spans="3:32" ht="8.25" customHeight="1" x14ac:dyDescent="0.25">
      <c r="C2701" s="52">
        <v>7</v>
      </c>
      <c r="T2701" s="33">
        <v>46132</v>
      </c>
      <c r="U2701" s="34">
        <v>2026</v>
      </c>
      <c r="V2701" s="35" t="s">
        <v>1982</v>
      </c>
      <c r="W2701" s="35" t="s">
        <v>3620</v>
      </c>
      <c r="Y2701" s="36" t="s">
        <v>2290</v>
      </c>
      <c r="Z2701" s="30" t="s">
        <v>423</v>
      </c>
      <c r="AA2701" s="30" t="s">
        <v>340</v>
      </c>
      <c r="AD2701" s="38">
        <v>122</v>
      </c>
      <c r="AF2701" s="76">
        <f t="shared" si="263"/>
        <v>170877.47999999969</v>
      </c>
    </row>
    <row r="2702" spans="3:32" ht="8.25" customHeight="1" x14ac:dyDescent="0.25">
      <c r="R2702" s="53">
        <v>20</v>
      </c>
      <c r="T2702" s="33">
        <v>46132</v>
      </c>
      <c r="U2702" s="34">
        <v>2026</v>
      </c>
      <c r="V2702" s="35" t="s">
        <v>1982</v>
      </c>
      <c r="W2702" s="35" t="s">
        <v>5</v>
      </c>
      <c r="X2702" s="37" t="s">
        <v>2266</v>
      </c>
      <c r="Y2702" s="36" t="s">
        <v>1142</v>
      </c>
      <c r="Z2702" s="30" t="s">
        <v>2294</v>
      </c>
      <c r="AA2702" s="30" t="s">
        <v>1050</v>
      </c>
      <c r="AE2702" s="38">
        <v>300</v>
      </c>
      <c r="AF2702" s="76">
        <f t="shared" si="263"/>
        <v>170577.47999999969</v>
      </c>
    </row>
    <row r="2703" spans="3:32" ht="8.25" customHeight="1" x14ac:dyDescent="0.25">
      <c r="R2703" s="53">
        <v>21</v>
      </c>
      <c r="T2703" s="33">
        <v>46132</v>
      </c>
      <c r="U2703" s="34">
        <v>2026</v>
      </c>
      <c r="V2703" s="35" t="s">
        <v>1982</v>
      </c>
      <c r="W2703" s="35" t="s">
        <v>5</v>
      </c>
      <c r="X2703" s="37" t="s">
        <v>2274</v>
      </c>
      <c r="Y2703" s="36" t="s">
        <v>577</v>
      </c>
      <c r="Z2703" s="30" t="s">
        <v>578</v>
      </c>
      <c r="AA2703" s="30" t="s">
        <v>1050</v>
      </c>
      <c r="AE2703" s="38">
        <v>1000</v>
      </c>
      <c r="AF2703" s="76">
        <f t="shared" si="263"/>
        <v>169577.47999999969</v>
      </c>
    </row>
    <row r="2704" spans="3:32" ht="8.25" customHeight="1" x14ac:dyDescent="0.25">
      <c r="R2704" s="53">
        <v>22</v>
      </c>
      <c r="T2704" s="33">
        <v>46132</v>
      </c>
      <c r="U2704" s="34">
        <v>2026</v>
      </c>
      <c r="V2704" s="35" t="s">
        <v>1982</v>
      </c>
      <c r="W2704" s="35" t="s">
        <v>5</v>
      </c>
      <c r="X2704" s="37" t="s">
        <v>2286</v>
      </c>
      <c r="Y2704" s="36" t="s">
        <v>2287</v>
      </c>
      <c r="Z2704" s="30" t="s">
        <v>885</v>
      </c>
      <c r="AA2704" s="30" t="s">
        <v>2288</v>
      </c>
      <c r="AE2704" s="38">
        <v>18199</v>
      </c>
      <c r="AF2704" s="76">
        <f t="shared" si="263"/>
        <v>151378.47999999969</v>
      </c>
    </row>
    <row r="2705" spans="7:32" ht="8.25" customHeight="1" x14ac:dyDescent="0.25">
      <c r="R2705" s="53">
        <v>23</v>
      </c>
      <c r="T2705" s="33">
        <v>46132</v>
      </c>
      <c r="U2705" s="34">
        <v>2026</v>
      </c>
      <c r="V2705" s="35" t="s">
        <v>1982</v>
      </c>
      <c r="W2705" s="35" t="s">
        <v>5</v>
      </c>
      <c r="X2705" s="37" t="s">
        <v>2289</v>
      </c>
      <c r="Y2705" s="36" t="s">
        <v>1056</v>
      </c>
      <c r="Z2705" s="30" t="s">
        <v>1047</v>
      </c>
      <c r="AA2705" s="30" t="s">
        <v>1050</v>
      </c>
      <c r="AE2705" s="38">
        <v>700</v>
      </c>
      <c r="AF2705" s="76">
        <f t="shared" si="263"/>
        <v>150678.47999999969</v>
      </c>
    </row>
    <row r="2706" spans="7:32" ht="8.25" customHeight="1" x14ac:dyDescent="0.25">
      <c r="G2706" s="53">
        <v>15</v>
      </c>
      <c r="T2706" s="33">
        <v>46132</v>
      </c>
      <c r="U2706" s="34">
        <v>2026</v>
      </c>
      <c r="V2706" s="35" t="s">
        <v>1982</v>
      </c>
      <c r="W2706" s="35" t="s">
        <v>5</v>
      </c>
      <c r="Y2706" s="36" t="s">
        <v>2275</v>
      </c>
      <c r="Z2706" s="30" t="s">
        <v>2276</v>
      </c>
      <c r="AA2706" s="30" t="s">
        <v>3945</v>
      </c>
      <c r="AE2706" s="38">
        <v>10710</v>
      </c>
      <c r="AF2706" s="76">
        <f t="shared" si="263"/>
        <v>139968.47999999969</v>
      </c>
    </row>
    <row r="2707" spans="7:32" ht="8.25" customHeight="1" x14ac:dyDescent="0.25">
      <c r="G2707" s="53">
        <v>16</v>
      </c>
      <c r="T2707" s="33">
        <v>46132</v>
      </c>
      <c r="U2707" s="34">
        <v>2026</v>
      </c>
      <c r="V2707" s="35" t="s">
        <v>1982</v>
      </c>
      <c r="W2707" s="35" t="s">
        <v>5</v>
      </c>
      <c r="Y2707" s="36" t="s">
        <v>2277</v>
      </c>
      <c r="Z2707" s="30" t="s">
        <v>1723</v>
      </c>
      <c r="AA2707" s="30" t="s">
        <v>3945</v>
      </c>
      <c r="AE2707" s="38">
        <v>12240</v>
      </c>
      <c r="AF2707" s="76">
        <f t="shared" si="263"/>
        <v>127728.47999999969</v>
      </c>
    </row>
    <row r="2708" spans="7:32" ht="8.25" customHeight="1" x14ac:dyDescent="0.25">
      <c r="R2708" s="53">
        <v>24</v>
      </c>
      <c r="T2708" s="33">
        <v>46132</v>
      </c>
      <c r="U2708" s="34">
        <v>2026</v>
      </c>
      <c r="V2708" s="35" t="s">
        <v>1982</v>
      </c>
      <c r="W2708" s="35" t="s">
        <v>5</v>
      </c>
      <c r="X2708" s="37" t="s">
        <v>2293</v>
      </c>
      <c r="Y2708" s="36" t="s">
        <v>411</v>
      </c>
      <c r="Z2708" s="30" t="s">
        <v>412</v>
      </c>
      <c r="AA2708" s="30" t="s">
        <v>1882</v>
      </c>
      <c r="AE2708" s="38">
        <v>70000</v>
      </c>
      <c r="AF2708" s="76">
        <f>AF2707+AD2708-AE2708</f>
        <v>57728.47999999969</v>
      </c>
    </row>
    <row r="2709" spans="7:32" ht="8.25" customHeight="1" thickBot="1" x14ac:dyDescent="0.3">
      <c r="AA2709" s="75" t="s">
        <v>2139</v>
      </c>
      <c r="AD2709" s="254">
        <f>SUM(AD2679:AD2701)</f>
        <v>100367</v>
      </c>
      <c r="AE2709" s="254">
        <f>SUM(AE2702:AE2708)</f>
        <v>113149</v>
      </c>
      <c r="AF2709" s="91">
        <f>AF2678+AD2709-AE2709</f>
        <v>57728.479999999661</v>
      </c>
    </row>
    <row r="2710" spans="7:32" ht="8.25" customHeight="1" thickTop="1" x14ac:dyDescent="0.25">
      <c r="X2710" s="109"/>
      <c r="Y2710" s="67" t="s">
        <v>214</v>
      </c>
      <c r="Z2710" s="68"/>
      <c r="AA2710" s="75"/>
    </row>
    <row r="2711" spans="7:32" ht="8.25" customHeight="1" x14ac:dyDescent="0.25">
      <c r="X2711" s="110" t="s">
        <v>1379</v>
      </c>
      <c r="Y2711" s="111">
        <v>200</v>
      </c>
      <c r="Z2711" s="111">
        <f t="shared" ref="Z2711:Z2716" si="264">X2711*Y2711</f>
        <v>4400</v>
      </c>
      <c r="AA2711" s="112"/>
    </row>
    <row r="2712" spans="7:32" ht="8.25" customHeight="1" x14ac:dyDescent="0.25">
      <c r="X2712" s="110" t="s">
        <v>2292</v>
      </c>
      <c r="Y2712" s="111">
        <v>100</v>
      </c>
      <c r="Z2712" s="111">
        <f t="shared" si="264"/>
        <v>48900</v>
      </c>
      <c r="AA2712" s="112"/>
    </row>
    <row r="2713" spans="7:32" ht="8.25" customHeight="1" x14ac:dyDescent="0.25">
      <c r="X2713" s="110" t="s">
        <v>216</v>
      </c>
      <c r="Y2713" s="111">
        <v>50</v>
      </c>
      <c r="Z2713" s="111">
        <f t="shared" si="264"/>
        <v>750</v>
      </c>
      <c r="AA2713" s="76"/>
    </row>
    <row r="2714" spans="7:32" ht="8.25" customHeight="1" x14ac:dyDescent="0.25">
      <c r="X2714" s="110" t="s">
        <v>223</v>
      </c>
      <c r="Y2714" s="111">
        <v>20</v>
      </c>
      <c r="Z2714" s="111">
        <f t="shared" si="264"/>
        <v>60</v>
      </c>
      <c r="AA2714" s="38"/>
    </row>
    <row r="2715" spans="7:32" ht="8.25" customHeight="1" x14ac:dyDescent="0.25">
      <c r="X2715" s="110" t="s">
        <v>625</v>
      </c>
      <c r="Y2715" s="111">
        <v>10</v>
      </c>
      <c r="Z2715" s="111">
        <f t="shared" si="264"/>
        <v>850</v>
      </c>
      <c r="AA2715" s="112"/>
    </row>
    <row r="2716" spans="7:32" ht="8.25" customHeight="1" x14ac:dyDescent="0.25">
      <c r="X2716" s="110" t="s">
        <v>2242</v>
      </c>
      <c r="Y2716" s="111">
        <v>5</v>
      </c>
      <c r="Z2716" s="111">
        <f t="shared" si="264"/>
        <v>1600</v>
      </c>
      <c r="AA2716" s="112"/>
    </row>
    <row r="2717" spans="7:32" ht="8.25" customHeight="1" x14ac:dyDescent="0.25">
      <c r="X2717" s="269"/>
      <c r="Y2717" s="270"/>
      <c r="Z2717" s="271"/>
      <c r="AA2717" s="38"/>
    </row>
    <row r="2718" spans="7:32" ht="8.25" customHeight="1" x14ac:dyDescent="0.25">
      <c r="X2718" s="110" t="s">
        <v>2291</v>
      </c>
      <c r="Y2718" s="111">
        <v>1</v>
      </c>
      <c r="Z2718" s="111">
        <f t="shared" ref="Z2718:Z2723" si="265">X2718*Y2718</f>
        <v>1083</v>
      </c>
      <c r="AA2718" s="76"/>
    </row>
    <row r="2719" spans="7:32" ht="8.25" customHeight="1" x14ac:dyDescent="0.25">
      <c r="X2719" s="110" t="s">
        <v>259</v>
      </c>
      <c r="Y2719" s="111">
        <v>0.5</v>
      </c>
      <c r="Z2719" s="111">
        <f t="shared" si="265"/>
        <v>40</v>
      </c>
      <c r="AA2719" s="112"/>
    </row>
    <row r="2720" spans="7:32" ht="8.25" customHeight="1" x14ac:dyDescent="0.25">
      <c r="X2720" s="110" t="s">
        <v>1878</v>
      </c>
      <c r="Y2720" s="111">
        <v>0.25</v>
      </c>
      <c r="Z2720" s="111">
        <f t="shared" si="265"/>
        <v>45</v>
      </c>
      <c r="AA2720" s="113"/>
    </row>
    <row r="2721" spans="3:32" ht="8.25" customHeight="1" x14ac:dyDescent="0.25">
      <c r="X2721" s="110" t="s">
        <v>299</v>
      </c>
      <c r="Y2721" s="111">
        <v>0.1</v>
      </c>
      <c r="Z2721" s="111">
        <f t="shared" si="265"/>
        <v>0.4</v>
      </c>
      <c r="AA2721" s="114" t="s">
        <v>219</v>
      </c>
    </row>
    <row r="2722" spans="3:32" ht="8.25" customHeight="1" thickBot="1" x14ac:dyDescent="0.3">
      <c r="X2722" s="110" t="s">
        <v>222</v>
      </c>
      <c r="Y2722" s="111">
        <v>0.05</v>
      </c>
      <c r="Z2722" s="111">
        <f t="shared" si="265"/>
        <v>0.05</v>
      </c>
      <c r="AA2722" s="115">
        <f>SUM(Z2711:Z2716)+Z2718+Z2719+Z2720+Z2721+Z2722+Z2723</f>
        <v>57728.480000000003</v>
      </c>
    </row>
    <row r="2723" spans="3:32" ht="8.25" customHeight="1" thickTop="1" x14ac:dyDescent="0.25">
      <c r="X2723" s="110" t="s">
        <v>223</v>
      </c>
      <c r="Y2723" s="111">
        <v>0.01</v>
      </c>
      <c r="Z2723" s="111">
        <f t="shared" si="265"/>
        <v>0.03</v>
      </c>
    </row>
    <row r="2725" spans="3:32" ht="8.25" customHeight="1" x14ac:dyDescent="0.25">
      <c r="Z2725" s="231" t="s">
        <v>1376</v>
      </c>
      <c r="AF2725" s="76">
        <f>AF2708</f>
        <v>57728.47999999969</v>
      </c>
    </row>
    <row r="2726" spans="3:32" ht="8.25" customHeight="1" x14ac:dyDescent="0.25">
      <c r="R2726" s="53">
        <v>25</v>
      </c>
      <c r="T2726" s="33">
        <v>46133</v>
      </c>
      <c r="U2726" s="34">
        <v>2026</v>
      </c>
      <c r="V2726" s="35" t="s">
        <v>1982</v>
      </c>
      <c r="W2726" s="35" t="s">
        <v>5</v>
      </c>
      <c r="X2726" s="37" t="s">
        <v>2295</v>
      </c>
      <c r="Y2726" s="36" t="s">
        <v>115</v>
      </c>
      <c r="Z2726" s="30" t="s">
        <v>1363</v>
      </c>
      <c r="AA2726" s="30" t="s">
        <v>1050</v>
      </c>
      <c r="AE2726" s="38">
        <v>6000</v>
      </c>
      <c r="AF2726" s="76">
        <f>AF2725+AD2726-AE2726</f>
        <v>51728.47999999969</v>
      </c>
    </row>
    <row r="2727" spans="3:32" ht="8.25" customHeight="1" x14ac:dyDescent="0.25">
      <c r="R2727" s="53">
        <v>26</v>
      </c>
      <c r="T2727" s="33">
        <v>46133</v>
      </c>
      <c r="U2727" s="34">
        <v>2026</v>
      </c>
      <c r="V2727" s="35" t="s">
        <v>1982</v>
      </c>
      <c r="W2727" s="35" t="s">
        <v>5</v>
      </c>
      <c r="X2727" s="37" t="s">
        <v>2297</v>
      </c>
      <c r="Y2727" s="36" t="s">
        <v>354</v>
      </c>
      <c r="Z2727" s="30" t="s">
        <v>2296</v>
      </c>
      <c r="AA2727" s="30" t="s">
        <v>1050</v>
      </c>
      <c r="AE2727" s="38">
        <v>5000</v>
      </c>
      <c r="AF2727" s="76">
        <f t="shared" ref="AF2727:AF2733" si="266">AF2726+AD2727-AE2727</f>
        <v>46728.47999999969</v>
      </c>
    </row>
    <row r="2728" spans="3:32" ht="8.25" customHeight="1" x14ac:dyDescent="0.25">
      <c r="R2728" s="53">
        <v>27</v>
      </c>
      <c r="T2728" s="33">
        <v>46133</v>
      </c>
      <c r="U2728" s="34">
        <v>2026</v>
      </c>
      <c r="V2728" s="35" t="s">
        <v>1982</v>
      </c>
      <c r="W2728" s="35" t="s">
        <v>5</v>
      </c>
      <c r="X2728" s="37" t="s">
        <v>2303</v>
      </c>
      <c r="Y2728" s="36" t="s">
        <v>2304</v>
      </c>
      <c r="Z2728" s="30" t="s">
        <v>429</v>
      </c>
      <c r="AA2728" s="30" t="s">
        <v>1050</v>
      </c>
      <c r="AE2728" s="38">
        <v>2000</v>
      </c>
      <c r="AF2728" s="76">
        <f t="shared" si="266"/>
        <v>44728.47999999969</v>
      </c>
    </row>
    <row r="2729" spans="3:32" ht="8.25" customHeight="1" x14ac:dyDescent="0.25">
      <c r="G2729" s="53">
        <v>17</v>
      </c>
      <c r="T2729" s="33">
        <v>46133</v>
      </c>
      <c r="U2729" s="34">
        <v>2026</v>
      </c>
      <c r="V2729" s="35" t="s">
        <v>1982</v>
      </c>
      <c r="W2729" s="35" t="s">
        <v>5</v>
      </c>
      <c r="X2729" s="37" t="s">
        <v>2305</v>
      </c>
      <c r="Y2729" s="36" t="s">
        <v>2306</v>
      </c>
      <c r="Z2729" s="30" t="s">
        <v>2307</v>
      </c>
      <c r="AA2729" s="30" t="s">
        <v>3945</v>
      </c>
      <c r="AE2729" s="38">
        <v>4584</v>
      </c>
      <c r="AF2729" s="76">
        <f t="shared" si="266"/>
        <v>40144.47999999969</v>
      </c>
    </row>
    <row r="2730" spans="3:32" ht="8.25" customHeight="1" x14ac:dyDescent="0.25">
      <c r="G2730" s="53">
        <v>18</v>
      </c>
      <c r="T2730" s="33">
        <v>46133</v>
      </c>
      <c r="U2730" s="34">
        <v>2026</v>
      </c>
      <c r="V2730" s="35" t="s">
        <v>1982</v>
      </c>
      <c r="W2730" s="35" t="s">
        <v>5</v>
      </c>
      <c r="X2730" s="37" t="s">
        <v>2308</v>
      </c>
      <c r="Y2730" s="36" t="s">
        <v>2309</v>
      </c>
      <c r="Z2730" s="30" t="s">
        <v>1359</v>
      </c>
      <c r="AA2730" s="30" t="s">
        <v>3945</v>
      </c>
      <c r="AE2730" s="38">
        <v>1508</v>
      </c>
      <c r="AF2730" s="76">
        <f t="shared" si="266"/>
        <v>38636.47999999969</v>
      </c>
    </row>
    <row r="2731" spans="3:32" ht="8.25" customHeight="1" x14ac:dyDescent="0.25">
      <c r="G2731" s="53">
        <v>19</v>
      </c>
      <c r="T2731" s="33">
        <v>46133</v>
      </c>
      <c r="U2731" s="34">
        <v>2026</v>
      </c>
      <c r="V2731" s="35" t="s">
        <v>1982</v>
      </c>
      <c r="W2731" s="35" t="s">
        <v>5</v>
      </c>
      <c r="X2731" s="37" t="s">
        <v>2310</v>
      </c>
      <c r="Y2731" s="36" t="s">
        <v>2311</v>
      </c>
      <c r="Z2731" s="30" t="s">
        <v>1947</v>
      </c>
      <c r="AA2731" s="30" t="s">
        <v>3945</v>
      </c>
      <c r="AE2731" s="38">
        <v>754.03</v>
      </c>
      <c r="AF2731" s="76">
        <f t="shared" si="266"/>
        <v>37882.449999999691</v>
      </c>
    </row>
    <row r="2732" spans="3:32" ht="8.25" customHeight="1" x14ac:dyDescent="0.25">
      <c r="C2732" s="52">
        <v>8</v>
      </c>
      <c r="T2732" s="33">
        <v>46133</v>
      </c>
      <c r="U2732" s="34">
        <v>2026</v>
      </c>
      <c r="V2732" s="35" t="s">
        <v>1982</v>
      </c>
      <c r="W2732" s="35" t="s">
        <v>3620</v>
      </c>
      <c r="X2732" s="37" t="s">
        <v>2298</v>
      </c>
      <c r="Y2732" s="36" t="s">
        <v>2299</v>
      </c>
      <c r="Z2732" s="30" t="s">
        <v>2300</v>
      </c>
      <c r="AA2732" s="30" t="s">
        <v>340</v>
      </c>
      <c r="AD2732" s="38">
        <v>52</v>
      </c>
      <c r="AF2732" s="76">
        <f t="shared" si="266"/>
        <v>37934.449999999691</v>
      </c>
    </row>
    <row r="2733" spans="3:32" ht="8.25" customHeight="1" x14ac:dyDescent="0.25">
      <c r="C2733" s="52">
        <v>9</v>
      </c>
      <c r="T2733" s="33">
        <v>46133</v>
      </c>
      <c r="U2733" s="34">
        <v>2026</v>
      </c>
      <c r="V2733" s="35" t="s">
        <v>1982</v>
      </c>
      <c r="W2733" s="35" t="s">
        <v>3620</v>
      </c>
      <c r="X2733" s="37" t="s">
        <v>2301</v>
      </c>
      <c r="Y2733" s="36" t="s">
        <v>2302</v>
      </c>
      <c r="Z2733" s="30" t="s">
        <v>2300</v>
      </c>
      <c r="AA2733" s="30" t="s">
        <v>340</v>
      </c>
      <c r="AD2733" s="38">
        <v>42</v>
      </c>
      <c r="AF2733" s="76">
        <f t="shared" si="266"/>
        <v>37976.449999999691</v>
      </c>
    </row>
    <row r="2734" spans="3:32" ht="8.25" customHeight="1" thickBot="1" x14ac:dyDescent="0.3">
      <c r="AA2734" s="75" t="s">
        <v>2139</v>
      </c>
      <c r="AB2734" s="30" t="s">
        <v>2343</v>
      </c>
      <c r="AD2734" s="91">
        <f>SUM(AD2731:AD2733)</f>
        <v>94</v>
      </c>
      <c r="AE2734" s="91">
        <f>SUM(AE2726:AE2731)</f>
        <v>19846.03</v>
      </c>
      <c r="AF2734" s="91">
        <f>AF2725+AD2734-AE2734</f>
        <v>37976.449999999691</v>
      </c>
    </row>
    <row r="2735" spans="3:32" ht="8.25" customHeight="1" thickTop="1" x14ac:dyDescent="0.25"/>
    <row r="2736" spans="3:32" ht="8.25" customHeight="1" x14ac:dyDescent="0.25">
      <c r="X2736" s="109"/>
      <c r="Y2736" s="67" t="s">
        <v>214</v>
      </c>
      <c r="Z2736" s="68"/>
      <c r="AA2736" s="75"/>
    </row>
    <row r="2737" spans="14:32" ht="8.25" customHeight="1" x14ac:dyDescent="0.25">
      <c r="X2737" s="110" t="s">
        <v>1379</v>
      </c>
      <c r="Y2737" s="111">
        <v>200</v>
      </c>
      <c r="Z2737" s="111">
        <f t="shared" ref="Z2737:Z2742" si="267">X2737*Y2737</f>
        <v>4400</v>
      </c>
      <c r="AA2737" s="112"/>
    </row>
    <row r="2738" spans="14:32" ht="8.25" customHeight="1" x14ac:dyDescent="0.25">
      <c r="X2738" s="110" t="s">
        <v>671</v>
      </c>
      <c r="Y2738" s="111">
        <v>100</v>
      </c>
      <c r="Z2738" s="111">
        <f t="shared" si="267"/>
        <v>29500</v>
      </c>
      <c r="AA2738" s="112"/>
    </row>
    <row r="2739" spans="14:32" ht="8.25" customHeight="1" x14ac:dyDescent="0.25">
      <c r="X2739" s="110" t="s">
        <v>1372</v>
      </c>
      <c r="Y2739" s="111">
        <v>50</v>
      </c>
      <c r="Z2739" s="111">
        <f t="shared" si="267"/>
        <v>450</v>
      </c>
      <c r="AA2739" s="76"/>
    </row>
    <row r="2740" spans="14:32" ht="8.25" customHeight="1" x14ac:dyDescent="0.25">
      <c r="X2740" s="110" t="s">
        <v>224</v>
      </c>
      <c r="Y2740" s="111">
        <v>20</v>
      </c>
      <c r="Z2740" s="111">
        <f t="shared" si="267"/>
        <v>40</v>
      </c>
      <c r="AA2740" s="38"/>
    </row>
    <row r="2741" spans="14:32" ht="8.25" customHeight="1" x14ac:dyDescent="0.25">
      <c r="X2741" s="110" t="s">
        <v>563</v>
      </c>
      <c r="Y2741" s="111">
        <v>10</v>
      </c>
      <c r="Z2741" s="111">
        <f t="shared" si="267"/>
        <v>840</v>
      </c>
      <c r="AA2741" s="112"/>
    </row>
    <row r="2742" spans="14:32" ht="8.25" customHeight="1" x14ac:dyDescent="0.25">
      <c r="X2742" s="110" t="s">
        <v>2264</v>
      </c>
      <c r="Y2742" s="111">
        <v>5</v>
      </c>
      <c r="Z2742" s="111">
        <f t="shared" si="267"/>
        <v>1590</v>
      </c>
      <c r="AA2742" s="112"/>
    </row>
    <row r="2743" spans="14:32" ht="8.25" customHeight="1" x14ac:dyDescent="0.25">
      <c r="X2743" s="269"/>
      <c r="Y2743" s="270"/>
      <c r="Z2743" s="271"/>
      <c r="AA2743" s="38"/>
    </row>
    <row r="2744" spans="14:32" ht="8.25" customHeight="1" x14ac:dyDescent="0.25">
      <c r="X2744" s="110" t="s">
        <v>2312</v>
      </c>
      <c r="Y2744" s="111">
        <v>1</v>
      </c>
      <c r="Z2744" s="111">
        <f t="shared" ref="Z2744:Z2749" si="268">X2744*Y2744</f>
        <v>1071</v>
      </c>
      <c r="AA2744" s="76"/>
    </row>
    <row r="2745" spans="14:32" ht="8.25" customHeight="1" x14ac:dyDescent="0.25">
      <c r="X2745" s="110" t="s">
        <v>259</v>
      </c>
      <c r="Y2745" s="111">
        <v>0.5</v>
      </c>
      <c r="Z2745" s="111">
        <f t="shared" si="268"/>
        <v>40</v>
      </c>
      <c r="AA2745" s="112"/>
    </row>
    <row r="2746" spans="14:32" ht="8.25" customHeight="1" x14ac:dyDescent="0.25">
      <c r="X2746" s="110" t="s">
        <v>1878</v>
      </c>
      <c r="Y2746" s="111">
        <v>0.25</v>
      </c>
      <c r="Z2746" s="111">
        <f t="shared" si="268"/>
        <v>45</v>
      </c>
      <c r="AA2746" s="113"/>
    </row>
    <row r="2747" spans="14:32" ht="8.25" customHeight="1" x14ac:dyDescent="0.25">
      <c r="X2747" s="110" t="s">
        <v>299</v>
      </c>
      <c r="Y2747" s="111">
        <v>0.1</v>
      </c>
      <c r="Z2747" s="111">
        <f t="shared" si="268"/>
        <v>0.4</v>
      </c>
      <c r="AA2747" s="114" t="s">
        <v>219</v>
      </c>
    </row>
    <row r="2748" spans="14:32" ht="8.25" customHeight="1" thickBot="1" x14ac:dyDescent="0.3">
      <c r="X2748" s="110" t="s">
        <v>222</v>
      </c>
      <c r="Y2748" s="111">
        <v>0.05</v>
      </c>
      <c r="Z2748" s="111">
        <f t="shared" si="268"/>
        <v>0.05</v>
      </c>
      <c r="AA2748" s="115">
        <f>SUM(Z2737:Z2742)+Z2744+Z2745+Z2746+Z2747+Z2748+Z2749</f>
        <v>37976.450000000004</v>
      </c>
    </row>
    <row r="2749" spans="14:32" ht="8.25" customHeight="1" thickTop="1" x14ac:dyDescent="0.25">
      <c r="X2749" s="110"/>
      <c r="Y2749" s="111">
        <v>0.01</v>
      </c>
      <c r="Z2749" s="111">
        <f t="shared" si="268"/>
        <v>0</v>
      </c>
    </row>
    <row r="2751" spans="14:32" ht="8.25" customHeight="1" x14ac:dyDescent="0.25">
      <c r="Z2751" s="231" t="s">
        <v>1376</v>
      </c>
      <c r="AF2751" s="76">
        <f>AF2734</f>
        <v>37976.449999999691</v>
      </c>
    </row>
    <row r="2752" spans="14:32" ht="8.25" customHeight="1" x14ac:dyDescent="0.15">
      <c r="N2752" s="52">
        <v>48</v>
      </c>
      <c r="T2752" s="33">
        <v>46134</v>
      </c>
      <c r="U2752" s="34">
        <v>2026</v>
      </c>
      <c r="V2752" s="35" t="s">
        <v>1982</v>
      </c>
      <c r="W2752" s="35" t="s">
        <v>17</v>
      </c>
      <c r="X2752" s="37" t="s">
        <v>2314</v>
      </c>
      <c r="Y2752" s="36" t="s">
        <v>1421</v>
      </c>
      <c r="Z2752" s="30" t="s">
        <v>2315</v>
      </c>
      <c r="AA2752" s="134" t="s">
        <v>166</v>
      </c>
      <c r="AD2752" s="38">
        <v>4867.37</v>
      </c>
      <c r="AF2752" s="76">
        <f>AF2751+AD2752-AE2752</f>
        <v>42843.819999999694</v>
      </c>
    </row>
    <row r="2753" spans="3:32" ht="8.25" customHeight="1" x14ac:dyDescent="0.25">
      <c r="N2753" s="52">
        <v>48</v>
      </c>
      <c r="T2753" s="33">
        <v>46134</v>
      </c>
      <c r="U2753" s="34">
        <v>2026</v>
      </c>
      <c r="V2753" s="35" t="s">
        <v>1982</v>
      </c>
      <c r="W2753" s="35" t="s">
        <v>17</v>
      </c>
      <c r="X2753" s="37" t="s">
        <v>2314</v>
      </c>
      <c r="Y2753" s="36" t="s">
        <v>1421</v>
      </c>
      <c r="Z2753" s="30" t="s">
        <v>2315</v>
      </c>
      <c r="AA2753" s="30" t="s">
        <v>3306</v>
      </c>
      <c r="AD2753" s="38">
        <v>2132.63</v>
      </c>
      <c r="AF2753" s="76">
        <f t="shared" ref="AF2753:AF2761" si="269">AF2752+AD2753-AE2753</f>
        <v>44976.449999999691</v>
      </c>
    </row>
    <row r="2754" spans="3:32" ht="8.25" customHeight="1" x14ac:dyDescent="0.15">
      <c r="N2754" s="52">
        <v>50</v>
      </c>
      <c r="T2754" s="33">
        <v>46134</v>
      </c>
      <c r="U2754" s="34">
        <v>2026</v>
      </c>
      <c r="V2754" s="35" t="s">
        <v>1982</v>
      </c>
      <c r="W2754" s="35" t="s">
        <v>17</v>
      </c>
      <c r="X2754" s="37" t="s">
        <v>2317</v>
      </c>
      <c r="Y2754" s="36" t="s">
        <v>1521</v>
      </c>
      <c r="Z2754" s="30" t="s">
        <v>2316</v>
      </c>
      <c r="AA2754" s="134" t="s">
        <v>166</v>
      </c>
      <c r="AD2754" s="38">
        <v>5334.05</v>
      </c>
      <c r="AF2754" s="76">
        <f t="shared" si="269"/>
        <v>50310.499999999694</v>
      </c>
    </row>
    <row r="2755" spans="3:32" ht="8.25" customHeight="1" x14ac:dyDescent="0.25">
      <c r="N2755" s="52">
        <v>50</v>
      </c>
      <c r="T2755" s="33">
        <v>46134</v>
      </c>
      <c r="U2755" s="34">
        <v>2026</v>
      </c>
      <c r="V2755" s="35" t="s">
        <v>1982</v>
      </c>
      <c r="W2755" s="35" t="s">
        <v>17</v>
      </c>
      <c r="X2755" s="37" t="s">
        <v>2317</v>
      </c>
      <c r="Y2755" s="36" t="s">
        <v>1521</v>
      </c>
      <c r="Z2755" s="30" t="s">
        <v>2316</v>
      </c>
      <c r="AA2755" s="30" t="s">
        <v>3304</v>
      </c>
      <c r="AD2755" s="38">
        <v>1665.95</v>
      </c>
      <c r="AF2755" s="76">
        <f t="shared" si="269"/>
        <v>51976.449999999691</v>
      </c>
    </row>
    <row r="2756" spans="3:32" ht="8.25" customHeight="1" x14ac:dyDescent="0.25">
      <c r="I2756" s="52">
        <v>33</v>
      </c>
      <c r="T2756" s="33">
        <v>46134</v>
      </c>
      <c r="U2756" s="34">
        <v>2026</v>
      </c>
      <c r="V2756" s="35" t="s">
        <v>1982</v>
      </c>
      <c r="W2756" s="35" t="s">
        <v>17</v>
      </c>
      <c r="X2756" s="37" t="s">
        <v>2313</v>
      </c>
      <c r="Y2756" s="36" t="s">
        <v>491</v>
      </c>
      <c r="Z2756" s="30" t="s">
        <v>492</v>
      </c>
      <c r="AA2756" s="30" t="s">
        <v>1044</v>
      </c>
      <c r="AD2756" s="38">
        <v>250</v>
      </c>
      <c r="AF2756" s="76">
        <f t="shared" si="269"/>
        <v>52226.449999999691</v>
      </c>
    </row>
    <row r="2757" spans="3:32" ht="8.25" customHeight="1" x14ac:dyDescent="0.25">
      <c r="C2757" s="52">
        <v>10</v>
      </c>
      <c r="T2757" s="33">
        <v>46134</v>
      </c>
      <c r="U2757" s="34">
        <v>2026</v>
      </c>
      <c r="V2757" s="35" t="s">
        <v>1982</v>
      </c>
      <c r="W2757" s="35" t="s">
        <v>3620</v>
      </c>
      <c r="X2757" s="37" t="s">
        <v>2325</v>
      </c>
      <c r="Y2757" s="36" t="s">
        <v>2326</v>
      </c>
      <c r="Z2757" s="30" t="s">
        <v>771</v>
      </c>
      <c r="AA2757" s="30" t="s">
        <v>340</v>
      </c>
      <c r="AD2757" s="38">
        <v>35</v>
      </c>
      <c r="AF2757" s="76">
        <f t="shared" si="269"/>
        <v>52261.449999999691</v>
      </c>
    </row>
    <row r="2758" spans="3:32" ht="8.25" customHeight="1" x14ac:dyDescent="0.25">
      <c r="F2758" s="53">
        <v>11</v>
      </c>
      <c r="T2758" s="33">
        <v>46134</v>
      </c>
      <c r="U2758" s="34">
        <v>2026</v>
      </c>
      <c r="V2758" s="35" t="s">
        <v>1982</v>
      </c>
      <c r="W2758" s="35" t="s">
        <v>17</v>
      </c>
      <c r="X2758" s="37" t="s">
        <v>2327</v>
      </c>
      <c r="Z2758" s="30" t="s">
        <v>2328</v>
      </c>
      <c r="AA2758" s="30" t="s">
        <v>256</v>
      </c>
      <c r="AD2758" s="38">
        <v>1000</v>
      </c>
      <c r="AF2758" s="76">
        <f t="shared" si="269"/>
        <v>53261.449999999691</v>
      </c>
    </row>
    <row r="2759" spans="3:32" ht="8.25" customHeight="1" x14ac:dyDescent="0.25">
      <c r="F2759" s="53">
        <v>12</v>
      </c>
      <c r="T2759" s="33">
        <v>46134</v>
      </c>
      <c r="U2759" s="34">
        <v>2026</v>
      </c>
      <c r="V2759" s="35" t="s">
        <v>1982</v>
      </c>
      <c r="W2759" s="35" t="s">
        <v>226</v>
      </c>
      <c r="X2759" s="37" t="s">
        <v>2318</v>
      </c>
      <c r="Z2759" s="30" t="s">
        <v>2319</v>
      </c>
      <c r="AA2759" s="30" t="s">
        <v>3939</v>
      </c>
      <c r="AE2759" s="38">
        <v>200</v>
      </c>
      <c r="AF2759" s="76">
        <f t="shared" si="269"/>
        <v>53061.449999999691</v>
      </c>
    </row>
    <row r="2760" spans="3:32" ht="8.25" customHeight="1" x14ac:dyDescent="0.25">
      <c r="F2760" s="53">
        <v>13</v>
      </c>
      <c r="T2760" s="33">
        <v>46134</v>
      </c>
      <c r="U2760" s="34">
        <v>2026</v>
      </c>
      <c r="V2760" s="35" t="s">
        <v>1982</v>
      </c>
      <c r="W2760" s="35" t="s">
        <v>226</v>
      </c>
      <c r="X2760" s="37" t="s">
        <v>2323</v>
      </c>
      <c r="Z2760" s="30" t="s">
        <v>2322</v>
      </c>
      <c r="AA2760" s="30" t="s">
        <v>3939</v>
      </c>
      <c r="AE2760" s="38">
        <v>100</v>
      </c>
      <c r="AF2760" s="76">
        <f t="shared" si="269"/>
        <v>52961.449999999691</v>
      </c>
    </row>
    <row r="2761" spans="3:32" ht="8.25" customHeight="1" x14ac:dyDescent="0.25">
      <c r="T2761" s="33">
        <v>46134</v>
      </c>
      <c r="U2761" s="34">
        <v>2026</v>
      </c>
      <c r="V2761" s="35" t="s">
        <v>1982</v>
      </c>
      <c r="W2761" s="35" t="s">
        <v>226</v>
      </c>
      <c r="X2761" s="37" t="s">
        <v>2324</v>
      </c>
      <c r="Z2761" s="30" t="s">
        <v>2320</v>
      </c>
      <c r="AA2761" s="30" t="s">
        <v>3939</v>
      </c>
      <c r="AE2761" s="38">
        <v>100</v>
      </c>
      <c r="AF2761" s="76">
        <f t="shared" si="269"/>
        <v>52861.449999999691</v>
      </c>
    </row>
    <row r="2762" spans="3:32" ht="8.25" customHeight="1" thickBot="1" x14ac:dyDescent="0.3">
      <c r="AA2762" s="75" t="s">
        <v>2337</v>
      </c>
      <c r="AD2762" s="233">
        <f>SUM(AD2752:AD2758)</f>
        <v>15285</v>
      </c>
      <c r="AE2762" s="233">
        <f>SUM(AE2759:AE2761)</f>
        <v>400</v>
      </c>
      <c r="AF2762" s="233">
        <f>AF2751+AD2762-AE2762</f>
        <v>52861.449999999691</v>
      </c>
    </row>
    <row r="2763" spans="3:32" ht="8.25" customHeight="1" thickTop="1" x14ac:dyDescent="0.25">
      <c r="Z2763" s="272" t="s">
        <v>2338</v>
      </c>
      <c r="AA2763" s="272"/>
      <c r="AB2763" s="272"/>
      <c r="AC2763" s="272"/>
      <c r="AD2763" s="76">
        <f>SUM(AD2275+AD2325+AD2364+AD2391+AD2439+AD2475+AD2503+AD2562+AD2595+AD2621+AD2642+AD2662+AD2709+AD2734+AD2762)</f>
        <v>938006.72</v>
      </c>
      <c r="AE2763" s="76">
        <f>SUM(AE2275+AE2325+AE2364+AE2391+AE2439+AE2475+AE2503+AE2562+AE2595+AE2621+AE2642+AE2662+AE2709+AE2734+AE2762)</f>
        <v>1022474.39</v>
      </c>
      <c r="AF2763" s="76">
        <f>AF2254+AD2763-AE2763</f>
        <v>52861.449999999371</v>
      </c>
    </row>
    <row r="2764" spans="3:32" ht="8.25" customHeight="1" x14ac:dyDescent="0.25">
      <c r="X2764" s="109"/>
      <c r="Y2764" s="67" t="s">
        <v>214</v>
      </c>
      <c r="Z2764" s="68"/>
      <c r="AA2764" s="75"/>
    </row>
    <row r="2765" spans="3:32" ht="8.25" customHeight="1" x14ac:dyDescent="0.25">
      <c r="X2765" s="110" t="s">
        <v>1379</v>
      </c>
      <c r="Y2765" s="111">
        <v>200</v>
      </c>
      <c r="Z2765" s="111">
        <f t="shared" ref="Z2765:Z2770" si="270">X2765*Y2765</f>
        <v>4400</v>
      </c>
      <c r="AA2765" s="112"/>
    </row>
    <row r="2766" spans="3:32" ht="8.25" customHeight="1" x14ac:dyDescent="0.25">
      <c r="X2766" s="110" t="s">
        <v>2342</v>
      </c>
      <c r="Y2766" s="111">
        <v>100</v>
      </c>
      <c r="Z2766" s="111">
        <f t="shared" si="270"/>
        <v>44300</v>
      </c>
      <c r="AA2766" s="112"/>
    </row>
    <row r="2767" spans="3:32" ht="8.25" customHeight="1" x14ac:dyDescent="0.25">
      <c r="X2767" s="110" t="s">
        <v>581</v>
      </c>
      <c r="Y2767" s="111">
        <v>50</v>
      </c>
      <c r="Z2767" s="111">
        <f t="shared" si="270"/>
        <v>500</v>
      </c>
      <c r="AA2767" s="76"/>
    </row>
    <row r="2768" spans="3:32" ht="8.25" customHeight="1" x14ac:dyDescent="0.25">
      <c r="X2768" s="110" t="s">
        <v>223</v>
      </c>
      <c r="Y2768" s="111">
        <v>20</v>
      </c>
      <c r="Z2768" s="111">
        <f t="shared" si="270"/>
        <v>60</v>
      </c>
      <c r="AA2768" s="38"/>
    </row>
    <row r="2769" spans="9:32" ht="8.25" customHeight="1" x14ac:dyDescent="0.25">
      <c r="X2769" s="110" t="s">
        <v>625</v>
      </c>
      <c r="Y2769" s="111">
        <v>10</v>
      </c>
      <c r="Z2769" s="111">
        <f t="shared" si="270"/>
        <v>850</v>
      </c>
      <c r="AA2769" s="112"/>
    </row>
    <row r="2770" spans="9:32" ht="8.25" customHeight="1" x14ac:dyDescent="0.25">
      <c r="X2770" s="110" t="s">
        <v>2341</v>
      </c>
      <c r="Y2770" s="111">
        <v>5</v>
      </c>
      <c r="Z2770" s="111">
        <f t="shared" si="270"/>
        <v>1595</v>
      </c>
      <c r="AA2770" s="112"/>
    </row>
    <row r="2771" spans="9:32" ht="8.25" customHeight="1" x14ac:dyDescent="0.25">
      <c r="X2771" s="269"/>
      <c r="Y2771" s="270"/>
      <c r="Z2771" s="271"/>
      <c r="AA2771" s="38"/>
    </row>
    <row r="2772" spans="9:32" ht="8.25" customHeight="1" x14ac:dyDescent="0.25">
      <c r="X2772" s="110" t="s">
        <v>2312</v>
      </c>
      <c r="Y2772" s="111">
        <v>1</v>
      </c>
      <c r="Z2772" s="111">
        <f t="shared" ref="Z2772:Z2777" si="271">X2772*Y2772</f>
        <v>1071</v>
      </c>
      <c r="AA2772" s="76"/>
    </row>
    <row r="2773" spans="9:32" ht="8.25" customHeight="1" x14ac:dyDescent="0.25">
      <c r="X2773" s="110" t="s">
        <v>259</v>
      </c>
      <c r="Y2773" s="111">
        <v>0.5</v>
      </c>
      <c r="Z2773" s="111">
        <f t="shared" si="271"/>
        <v>40</v>
      </c>
      <c r="AA2773" s="112"/>
    </row>
    <row r="2774" spans="9:32" ht="8.25" customHeight="1" x14ac:dyDescent="0.25">
      <c r="X2774" s="110" t="s">
        <v>1878</v>
      </c>
      <c r="Y2774" s="111">
        <v>0.25</v>
      </c>
      <c r="Z2774" s="111">
        <f t="shared" si="271"/>
        <v>45</v>
      </c>
      <c r="AA2774" s="113"/>
    </row>
    <row r="2775" spans="9:32" ht="8.25" customHeight="1" x14ac:dyDescent="0.25">
      <c r="X2775" s="110" t="s">
        <v>299</v>
      </c>
      <c r="Y2775" s="111">
        <v>0.1</v>
      </c>
      <c r="Z2775" s="111">
        <f t="shared" si="271"/>
        <v>0.4</v>
      </c>
      <c r="AA2775" s="114" t="s">
        <v>219</v>
      </c>
    </row>
    <row r="2776" spans="9:32" ht="8.25" customHeight="1" thickBot="1" x14ac:dyDescent="0.3">
      <c r="X2776" s="110" t="s">
        <v>222</v>
      </c>
      <c r="Y2776" s="111">
        <v>0.05</v>
      </c>
      <c r="Z2776" s="111">
        <f t="shared" si="271"/>
        <v>0.05</v>
      </c>
      <c r="AA2776" s="115">
        <f>SUM(Z2765:Z2770)+Z2772+Z2773+Z2774+Z2775+Z2776+Z2777</f>
        <v>52861.450000000004</v>
      </c>
    </row>
    <row r="2777" spans="9:32" ht="8.25" customHeight="1" thickTop="1" x14ac:dyDescent="0.25">
      <c r="X2777" s="110"/>
      <c r="Y2777" s="111">
        <v>0.01</v>
      </c>
      <c r="Z2777" s="111">
        <f t="shared" si="271"/>
        <v>0</v>
      </c>
    </row>
    <row r="2779" spans="9:32" ht="8.25" customHeight="1" x14ac:dyDescent="0.25">
      <c r="Z2779" s="231" t="s">
        <v>1347</v>
      </c>
      <c r="AF2779" s="76">
        <f>AF2763</f>
        <v>52861.449999999371</v>
      </c>
    </row>
    <row r="2780" spans="9:32" ht="8.25" customHeight="1" x14ac:dyDescent="0.25">
      <c r="N2780" s="52">
        <v>51</v>
      </c>
      <c r="T2780" s="33">
        <v>46135</v>
      </c>
      <c r="U2780" s="34">
        <v>2026</v>
      </c>
      <c r="V2780" s="35" t="s">
        <v>1982</v>
      </c>
      <c r="W2780" s="35" t="s">
        <v>17</v>
      </c>
      <c r="X2780" s="37" t="s">
        <v>2344</v>
      </c>
      <c r="Y2780" s="36" t="s">
        <v>2345</v>
      </c>
      <c r="Z2780" s="30" t="s">
        <v>1687</v>
      </c>
      <c r="AA2780" s="30" t="s">
        <v>3708</v>
      </c>
      <c r="AD2780" s="38">
        <v>768.37</v>
      </c>
      <c r="AF2780" s="76">
        <f>AF2779+AD2780-AE2780</f>
        <v>53629.819999999374</v>
      </c>
    </row>
    <row r="2781" spans="9:32" ht="8.25" customHeight="1" x14ac:dyDescent="0.15">
      <c r="N2781" s="52">
        <v>51</v>
      </c>
      <c r="T2781" s="33">
        <v>46135</v>
      </c>
      <c r="U2781" s="34">
        <v>2026</v>
      </c>
      <c r="V2781" s="35" t="s">
        <v>1982</v>
      </c>
      <c r="W2781" s="35" t="s">
        <v>17</v>
      </c>
      <c r="X2781" s="37" t="s">
        <v>2344</v>
      </c>
      <c r="Y2781" s="36" t="s">
        <v>2345</v>
      </c>
      <c r="Z2781" s="30" t="s">
        <v>1687</v>
      </c>
      <c r="AA2781" s="134" t="s">
        <v>183</v>
      </c>
      <c r="AD2781" s="38">
        <v>231.63</v>
      </c>
      <c r="AF2781" s="76">
        <f>AF2780+AD2781-AE2781</f>
        <v>53861.449999999371</v>
      </c>
    </row>
    <row r="2782" spans="9:32" ht="8.25" customHeight="1" x14ac:dyDescent="0.25">
      <c r="N2782" s="52">
        <v>52</v>
      </c>
      <c r="T2782" s="33">
        <v>46135</v>
      </c>
      <c r="U2782" s="34">
        <v>2026</v>
      </c>
      <c r="V2782" s="35" t="s">
        <v>1982</v>
      </c>
      <c r="W2782" s="35" t="s">
        <v>17</v>
      </c>
      <c r="X2782" s="37" t="s">
        <v>2346</v>
      </c>
      <c r="Y2782" s="36" t="s">
        <v>1691</v>
      </c>
      <c r="Z2782" s="30" t="s">
        <v>1091</v>
      </c>
      <c r="AA2782" s="30" t="s">
        <v>3708</v>
      </c>
      <c r="AD2782" s="38">
        <v>404.31</v>
      </c>
      <c r="AF2782" s="76">
        <f t="shared" ref="AF2782" si="272">AF2781+AD2782-AE2782</f>
        <v>54265.759999999369</v>
      </c>
    </row>
    <row r="2783" spans="9:32" ht="8.25" customHeight="1" x14ac:dyDescent="0.15">
      <c r="N2783" s="52">
        <v>52</v>
      </c>
      <c r="T2783" s="33">
        <v>46135</v>
      </c>
      <c r="U2783" s="34">
        <v>2026</v>
      </c>
      <c r="V2783" s="35" t="s">
        <v>1982</v>
      </c>
      <c r="W2783" s="35" t="s">
        <v>17</v>
      </c>
      <c r="X2783" s="37" t="s">
        <v>2346</v>
      </c>
      <c r="Y2783" s="36" t="s">
        <v>1691</v>
      </c>
      <c r="Z2783" s="30" t="s">
        <v>1091</v>
      </c>
      <c r="AA2783" s="134" t="s">
        <v>183</v>
      </c>
      <c r="AD2783" s="38">
        <v>9.0399999999999991</v>
      </c>
      <c r="AF2783" s="76">
        <f>AF2782+AD2783-AE2783</f>
        <v>54274.79999999937</v>
      </c>
    </row>
    <row r="2784" spans="9:32" ht="8.25" customHeight="1" x14ac:dyDescent="0.15">
      <c r="I2784" s="52">
        <v>34</v>
      </c>
      <c r="T2784" s="33">
        <v>46135</v>
      </c>
      <c r="U2784" s="34">
        <v>2026</v>
      </c>
      <c r="V2784" s="35" t="s">
        <v>1982</v>
      </c>
      <c r="W2784" s="35" t="s">
        <v>17</v>
      </c>
      <c r="X2784" s="37" t="s">
        <v>2350</v>
      </c>
      <c r="Y2784" s="36" t="s">
        <v>2213</v>
      </c>
      <c r="Z2784" s="30" t="s">
        <v>2352</v>
      </c>
      <c r="AA2784" s="134" t="s">
        <v>1044</v>
      </c>
      <c r="AD2784" s="38">
        <v>39772.720000000001</v>
      </c>
      <c r="AF2784" s="76">
        <f t="shared" ref="AF2784:AF2786" si="273">AF2783+AD2784-AE2784</f>
        <v>94047.519999999378</v>
      </c>
    </row>
    <row r="2785" spans="13:32" ht="8.25" customHeight="1" x14ac:dyDescent="0.15">
      <c r="M2785" s="52">
        <v>4</v>
      </c>
      <c r="T2785" s="33">
        <v>46135</v>
      </c>
      <c r="U2785" s="34">
        <v>2026</v>
      </c>
      <c r="V2785" s="35" t="s">
        <v>1982</v>
      </c>
      <c r="W2785" s="35" t="s">
        <v>17</v>
      </c>
      <c r="X2785" s="37" t="s">
        <v>2351</v>
      </c>
      <c r="Y2785" s="36" t="s">
        <v>120</v>
      </c>
      <c r="Z2785" s="30" t="s">
        <v>2352</v>
      </c>
      <c r="AA2785" s="134" t="s">
        <v>385</v>
      </c>
      <c r="AD2785" s="38">
        <v>7954.55</v>
      </c>
      <c r="AF2785" s="76">
        <f t="shared" si="273"/>
        <v>102002.06999999938</v>
      </c>
    </row>
    <row r="2786" spans="13:32" ht="8.25" customHeight="1" x14ac:dyDescent="0.25">
      <c r="R2786" s="53">
        <v>28</v>
      </c>
      <c r="T2786" s="33">
        <v>46135</v>
      </c>
      <c r="U2786" s="34">
        <v>2026</v>
      </c>
      <c r="V2786" s="35" t="s">
        <v>1982</v>
      </c>
      <c r="W2786" s="35" t="s">
        <v>17</v>
      </c>
      <c r="X2786" s="37" t="s">
        <v>2353</v>
      </c>
      <c r="Y2786" s="36" t="s">
        <v>411</v>
      </c>
      <c r="Z2786" s="30" t="s">
        <v>412</v>
      </c>
      <c r="AA2786" s="30" t="s">
        <v>2719</v>
      </c>
      <c r="AE2786" s="38">
        <v>47727.27</v>
      </c>
      <c r="AF2786" s="76">
        <f t="shared" si="273"/>
        <v>54274.799999999384</v>
      </c>
    </row>
    <row r="2787" spans="13:32" ht="8.25" customHeight="1" thickBot="1" x14ac:dyDescent="0.3">
      <c r="AA2787" s="75" t="s">
        <v>2139</v>
      </c>
      <c r="AD2787" s="253">
        <f>SUM(AD2779:AD2785)</f>
        <v>49140.62</v>
      </c>
      <c r="AE2787" s="253">
        <f>SUM(AE2780:AE2786)</f>
        <v>47727.27</v>
      </c>
      <c r="AF2787" s="233">
        <f>AF2779+AD2787-AE2787</f>
        <v>54274.79999999937</v>
      </c>
    </row>
    <row r="2788" spans="13:32" ht="8.25" customHeight="1" thickTop="1" x14ac:dyDescent="0.25"/>
    <row r="2789" spans="13:32" ht="8.25" customHeight="1" x14ac:dyDescent="0.25">
      <c r="X2789" s="109"/>
      <c r="Y2789" s="67" t="s">
        <v>214</v>
      </c>
      <c r="Z2789" s="68"/>
      <c r="AA2789" s="75"/>
    </row>
    <row r="2790" spans="13:32" ht="8.25" customHeight="1" x14ac:dyDescent="0.25">
      <c r="X2790" s="110" t="s">
        <v>1379</v>
      </c>
      <c r="Y2790" s="111">
        <v>200</v>
      </c>
      <c r="Z2790" s="111">
        <f t="shared" ref="Z2790:Z2795" si="274">X2790*Y2790</f>
        <v>4400</v>
      </c>
      <c r="AA2790" s="112"/>
    </row>
    <row r="2791" spans="13:32" ht="8.25" customHeight="1" x14ac:dyDescent="0.25">
      <c r="X2791" s="110" t="s">
        <v>2347</v>
      </c>
      <c r="Y2791" s="111">
        <v>100</v>
      </c>
      <c r="Z2791" s="111">
        <f t="shared" si="274"/>
        <v>45600</v>
      </c>
      <c r="AA2791" s="112"/>
    </row>
    <row r="2792" spans="13:32" ht="8.25" customHeight="1" x14ac:dyDescent="0.25">
      <c r="X2792" s="110" t="s">
        <v>2348</v>
      </c>
      <c r="Y2792" s="111">
        <v>50</v>
      </c>
      <c r="Z2792" s="111">
        <f t="shared" si="274"/>
        <v>600</v>
      </c>
      <c r="AA2792" s="76"/>
    </row>
    <row r="2793" spans="13:32" ht="8.25" customHeight="1" x14ac:dyDescent="0.25">
      <c r="X2793" s="110" t="s">
        <v>223</v>
      </c>
      <c r="Y2793" s="111">
        <v>20</v>
      </c>
      <c r="Z2793" s="111">
        <f t="shared" si="274"/>
        <v>60</v>
      </c>
      <c r="AA2793" s="38"/>
    </row>
    <row r="2794" spans="13:32" ht="8.25" customHeight="1" x14ac:dyDescent="0.25">
      <c r="X2794" s="110" t="s">
        <v>356</v>
      </c>
      <c r="Y2794" s="111">
        <v>10</v>
      </c>
      <c r="Z2794" s="111">
        <f t="shared" si="274"/>
        <v>860</v>
      </c>
      <c r="AA2794" s="112"/>
    </row>
    <row r="2795" spans="13:32" ht="8.25" customHeight="1" x14ac:dyDescent="0.25">
      <c r="X2795" s="110" t="s">
        <v>2242</v>
      </c>
      <c r="Y2795" s="111">
        <v>5</v>
      </c>
      <c r="Z2795" s="111">
        <f t="shared" si="274"/>
        <v>1600</v>
      </c>
      <c r="AA2795" s="112"/>
    </row>
    <row r="2796" spans="13:32" ht="8.25" customHeight="1" x14ac:dyDescent="0.25">
      <c r="X2796" s="269"/>
      <c r="Y2796" s="270"/>
      <c r="Z2796" s="271"/>
      <c r="AA2796" s="38"/>
    </row>
    <row r="2797" spans="13:32" ht="8.25" customHeight="1" x14ac:dyDescent="0.25">
      <c r="X2797" s="110" t="s">
        <v>2349</v>
      </c>
      <c r="Y2797" s="111">
        <v>1</v>
      </c>
      <c r="Z2797" s="111">
        <f t="shared" ref="Z2797:Z2802" si="275">X2797*Y2797</f>
        <v>1069</v>
      </c>
      <c r="AA2797" s="76"/>
    </row>
    <row r="2798" spans="13:32" ht="8.25" customHeight="1" x14ac:dyDescent="0.25">
      <c r="X2798" s="110" t="s">
        <v>1496</v>
      </c>
      <c r="Y2798" s="111">
        <v>0.5</v>
      </c>
      <c r="Z2798" s="111">
        <f t="shared" si="275"/>
        <v>40.5</v>
      </c>
      <c r="AA2798" s="112"/>
    </row>
    <row r="2799" spans="13:32" ht="8.25" customHeight="1" x14ac:dyDescent="0.25">
      <c r="X2799" s="110" t="s">
        <v>1878</v>
      </c>
      <c r="Y2799" s="111">
        <v>0.25</v>
      </c>
      <c r="Z2799" s="111">
        <f t="shared" si="275"/>
        <v>45</v>
      </c>
      <c r="AA2799" s="113"/>
    </row>
    <row r="2800" spans="13:32" ht="8.25" customHeight="1" x14ac:dyDescent="0.25">
      <c r="X2800" s="110" t="s">
        <v>223</v>
      </c>
      <c r="Y2800" s="111">
        <v>0.1</v>
      </c>
      <c r="Z2800" s="111">
        <f t="shared" si="275"/>
        <v>0.30000000000000004</v>
      </c>
      <c r="AA2800" s="114" t="s">
        <v>219</v>
      </c>
    </row>
    <row r="2801" spans="7:32" ht="8.25" customHeight="1" thickBot="1" x14ac:dyDescent="0.3">
      <c r="X2801" s="110"/>
      <c r="Y2801" s="111">
        <v>0.05</v>
      </c>
      <c r="Z2801" s="111">
        <f t="shared" si="275"/>
        <v>0</v>
      </c>
      <c r="AA2801" s="115">
        <f>SUM(Z2790:Z2795)+Z2797+Z2798+Z2799+Z2800+Z2801+Z2802</f>
        <v>54274.8</v>
      </c>
    </row>
    <row r="2802" spans="7:32" ht="8.25" customHeight="1" thickTop="1" x14ac:dyDescent="0.25">
      <c r="X2802" s="110"/>
      <c r="Y2802" s="111">
        <v>0.01</v>
      </c>
      <c r="Z2802" s="111">
        <f t="shared" si="275"/>
        <v>0</v>
      </c>
    </row>
    <row r="2804" spans="7:32" ht="8.25" customHeight="1" x14ac:dyDescent="0.25">
      <c r="Z2804" s="231" t="s">
        <v>1376</v>
      </c>
      <c r="AF2804" s="76">
        <f>AF2787</f>
        <v>54274.79999999937</v>
      </c>
    </row>
    <row r="2805" spans="7:32" ht="8.25" customHeight="1" x14ac:dyDescent="0.15">
      <c r="I2805" s="52">
        <v>35</v>
      </c>
      <c r="T2805" s="33">
        <v>46136</v>
      </c>
      <c r="U2805" s="34">
        <v>2026</v>
      </c>
      <c r="V2805" s="35" t="s">
        <v>1982</v>
      </c>
      <c r="W2805" s="35" t="s">
        <v>17</v>
      </c>
      <c r="X2805" s="37" t="s">
        <v>2354</v>
      </c>
      <c r="Y2805" s="36" t="s">
        <v>115</v>
      </c>
      <c r="Z2805" s="30" t="s">
        <v>1363</v>
      </c>
      <c r="AA2805" s="134" t="s">
        <v>1044</v>
      </c>
      <c r="AD2805" s="38">
        <v>6000</v>
      </c>
      <c r="AF2805" s="76">
        <f>AF2804+AD2805-AE2805</f>
        <v>60274.79999999937</v>
      </c>
    </row>
    <row r="2806" spans="7:32" ht="8.25" customHeight="1" x14ac:dyDescent="0.15">
      <c r="I2806" s="52">
        <v>36</v>
      </c>
      <c r="T2806" s="33">
        <v>46136</v>
      </c>
      <c r="U2806" s="34">
        <v>2026</v>
      </c>
      <c r="V2806" s="35" t="s">
        <v>1982</v>
      </c>
      <c r="W2806" s="35" t="s">
        <v>17</v>
      </c>
      <c r="X2806" s="37" t="s">
        <v>2355</v>
      </c>
      <c r="Y2806" s="36" t="s">
        <v>354</v>
      </c>
      <c r="Z2806" s="30" t="s">
        <v>1727</v>
      </c>
      <c r="AA2806" s="134" t="s">
        <v>1044</v>
      </c>
      <c r="AD2806" s="38">
        <v>5000</v>
      </c>
      <c r="AF2806" s="76">
        <f>AF2805+AD2806-AE2806</f>
        <v>65274.79999999937</v>
      </c>
    </row>
    <row r="2807" spans="7:32" ht="8.25" customHeight="1" x14ac:dyDescent="0.15">
      <c r="N2807" s="52">
        <v>53</v>
      </c>
      <c r="T2807" s="33">
        <v>46136</v>
      </c>
      <c r="U2807" s="34">
        <v>2026</v>
      </c>
      <c r="V2807" s="35" t="s">
        <v>1982</v>
      </c>
      <c r="W2807" s="35" t="s">
        <v>17</v>
      </c>
      <c r="X2807" s="37" t="s">
        <v>2359</v>
      </c>
      <c r="Y2807" s="36" t="s">
        <v>2360</v>
      </c>
      <c r="Z2807" s="30" t="s">
        <v>2361</v>
      </c>
      <c r="AA2807" s="134" t="s">
        <v>166</v>
      </c>
      <c r="AD2807" s="38">
        <v>19355.37</v>
      </c>
      <c r="AF2807" s="76">
        <f t="shared" ref="AF2807:AF2811" si="276">AF2806+AD2807-AE2807</f>
        <v>84630.169999999373</v>
      </c>
    </row>
    <row r="2808" spans="7:32" ht="8.25" customHeight="1" x14ac:dyDescent="0.25">
      <c r="N2808" s="52">
        <v>53</v>
      </c>
      <c r="T2808" s="33">
        <v>46136</v>
      </c>
      <c r="U2808" s="34">
        <v>2026</v>
      </c>
      <c r="V2808" s="35" t="s">
        <v>1982</v>
      </c>
      <c r="W2808" s="35" t="s">
        <v>17</v>
      </c>
      <c r="X2808" s="37" t="s">
        <v>2359</v>
      </c>
      <c r="Y2808" s="36" t="s">
        <v>2360</v>
      </c>
      <c r="Z2808" s="30" t="s">
        <v>2361</v>
      </c>
      <c r="AA2808" s="30" t="s">
        <v>3304</v>
      </c>
      <c r="AD2808" s="38">
        <v>770</v>
      </c>
      <c r="AF2808" s="76">
        <f t="shared" si="276"/>
        <v>85400.169999999373</v>
      </c>
    </row>
    <row r="2809" spans="7:32" ht="8.25" customHeight="1" x14ac:dyDescent="0.25">
      <c r="T2809" s="33">
        <v>46136</v>
      </c>
      <c r="U2809" s="34">
        <v>2026</v>
      </c>
      <c r="V2809" s="35" t="s">
        <v>1982</v>
      </c>
      <c r="W2809" s="35" t="s">
        <v>3620</v>
      </c>
      <c r="X2809" s="37" t="s">
        <v>2723</v>
      </c>
      <c r="Y2809" s="36" t="s">
        <v>2715</v>
      </c>
      <c r="Z2809" s="30" t="s">
        <v>1353</v>
      </c>
      <c r="AA2809" s="30" t="s">
        <v>340</v>
      </c>
      <c r="AD2809" s="38">
        <v>79</v>
      </c>
      <c r="AF2809" s="76">
        <f t="shared" si="276"/>
        <v>85479.169999999373</v>
      </c>
    </row>
    <row r="2810" spans="7:32" ht="8.25" customHeight="1" x14ac:dyDescent="0.25">
      <c r="R2810" s="53">
        <v>29</v>
      </c>
      <c r="T2810" s="33">
        <v>46136</v>
      </c>
      <c r="U2810" s="34">
        <v>2026</v>
      </c>
      <c r="V2810" s="35" t="s">
        <v>1982</v>
      </c>
      <c r="W2810" s="35" t="s">
        <v>5</v>
      </c>
      <c r="X2810" s="37" t="s">
        <v>2362</v>
      </c>
      <c r="Y2810" s="36" t="s">
        <v>2363</v>
      </c>
      <c r="Z2810" s="30" t="s">
        <v>2361</v>
      </c>
      <c r="AA2810" s="30" t="s">
        <v>92</v>
      </c>
      <c r="AE2810" s="38">
        <v>20125.37</v>
      </c>
      <c r="AF2810" s="76">
        <f t="shared" si="276"/>
        <v>65353.799999999377</v>
      </c>
    </row>
    <row r="2811" spans="7:32" ht="8.25" customHeight="1" x14ac:dyDescent="0.25">
      <c r="G2811" s="53">
        <v>20</v>
      </c>
      <c r="T2811" s="33">
        <v>46136</v>
      </c>
      <c r="U2811" s="34">
        <v>2026</v>
      </c>
      <c r="V2811" s="35" t="s">
        <v>1982</v>
      </c>
      <c r="W2811" s="35" t="s">
        <v>17</v>
      </c>
      <c r="X2811" s="37" t="s">
        <v>2356</v>
      </c>
      <c r="Y2811" s="36" t="s">
        <v>2357</v>
      </c>
      <c r="Z2811" s="30" t="s">
        <v>2358</v>
      </c>
      <c r="AA2811" s="30" t="s">
        <v>3945</v>
      </c>
      <c r="AE2811" s="38">
        <v>7650</v>
      </c>
      <c r="AF2811" s="76">
        <f t="shared" si="276"/>
        <v>57703.799999999377</v>
      </c>
    </row>
    <row r="2812" spans="7:32" ht="8.25" customHeight="1" thickBot="1" x14ac:dyDescent="0.3">
      <c r="AA2812" s="75" t="s">
        <v>2139</v>
      </c>
      <c r="AD2812" s="253">
        <f>SUM(AD2805:AD2811)</f>
        <v>31204.37</v>
      </c>
      <c r="AE2812" s="253">
        <f>SUM(AE2805:AE2811)</f>
        <v>27775.37</v>
      </c>
      <c r="AF2812" s="233">
        <f>AF2804+AD2812-AE2812</f>
        <v>57703.799999999377</v>
      </c>
    </row>
    <row r="2813" spans="7:32" ht="8.25" customHeight="1" thickTop="1" x14ac:dyDescent="0.25"/>
    <row r="2814" spans="7:32" ht="8.25" customHeight="1" x14ac:dyDescent="0.25">
      <c r="X2814" s="109"/>
      <c r="Y2814" s="67" t="s">
        <v>214</v>
      </c>
      <c r="Z2814" s="68"/>
      <c r="AA2814" s="75"/>
    </row>
    <row r="2815" spans="7:32" ht="8.25" customHeight="1" x14ac:dyDescent="0.25">
      <c r="X2815" s="110" t="s">
        <v>1379</v>
      </c>
      <c r="Y2815" s="111">
        <v>200</v>
      </c>
      <c r="Z2815" s="111">
        <f t="shared" ref="Z2815:Z2820" si="277">X2815*Y2815</f>
        <v>4400</v>
      </c>
      <c r="AA2815" s="112"/>
    </row>
    <row r="2816" spans="7:32" ht="8.25" customHeight="1" x14ac:dyDescent="0.25">
      <c r="X2816" s="110" t="s">
        <v>2364</v>
      </c>
      <c r="Y2816" s="111">
        <v>100</v>
      </c>
      <c r="Z2816" s="111">
        <f t="shared" si="277"/>
        <v>49100</v>
      </c>
      <c r="AA2816" s="112"/>
    </row>
    <row r="2817" spans="9:32" ht="8.25" customHeight="1" x14ac:dyDescent="0.25">
      <c r="X2817" s="110" t="s">
        <v>581</v>
      </c>
      <c r="Y2817" s="111">
        <v>50</v>
      </c>
      <c r="Z2817" s="111">
        <f t="shared" si="277"/>
        <v>500</v>
      </c>
      <c r="AA2817" s="76"/>
    </row>
    <row r="2818" spans="9:32" ht="8.25" customHeight="1" x14ac:dyDescent="0.25">
      <c r="X2818" s="110" t="s">
        <v>299</v>
      </c>
      <c r="Y2818" s="111">
        <v>20</v>
      </c>
      <c r="Z2818" s="111">
        <f t="shared" si="277"/>
        <v>80</v>
      </c>
      <c r="AA2818" s="38"/>
    </row>
    <row r="2819" spans="9:32" ht="8.25" customHeight="1" x14ac:dyDescent="0.25">
      <c r="X2819" s="110" t="s">
        <v>356</v>
      </c>
      <c r="Y2819" s="111">
        <v>10</v>
      </c>
      <c r="Z2819" s="111">
        <f t="shared" si="277"/>
        <v>860</v>
      </c>
      <c r="AA2819" s="112"/>
    </row>
    <row r="2820" spans="9:32" ht="8.25" customHeight="1" x14ac:dyDescent="0.25">
      <c r="X2820" s="110" t="s">
        <v>2281</v>
      </c>
      <c r="Y2820" s="111">
        <v>5</v>
      </c>
      <c r="Z2820" s="111">
        <f t="shared" si="277"/>
        <v>1605</v>
      </c>
      <c r="AA2820" s="112"/>
    </row>
    <row r="2821" spans="9:32" ht="8.25" customHeight="1" x14ac:dyDescent="0.25">
      <c r="X2821" s="269"/>
      <c r="Y2821" s="270"/>
      <c r="Z2821" s="271"/>
      <c r="AA2821" s="38"/>
    </row>
    <row r="2822" spans="9:32" ht="8.25" customHeight="1" x14ac:dyDescent="0.25">
      <c r="X2822" s="110" t="s">
        <v>2724</v>
      </c>
      <c r="Y2822" s="111">
        <v>1</v>
      </c>
      <c r="Z2822" s="111">
        <f t="shared" ref="Z2822:Z2827" si="278">X2822*Y2822</f>
        <v>1073</v>
      </c>
      <c r="AA2822" s="76"/>
    </row>
    <row r="2823" spans="9:32" ht="8.25" customHeight="1" x14ac:dyDescent="0.25">
      <c r="X2823" s="110" t="s">
        <v>1496</v>
      </c>
      <c r="Y2823" s="111">
        <v>0.5</v>
      </c>
      <c r="Z2823" s="111">
        <f t="shared" si="278"/>
        <v>40.5</v>
      </c>
      <c r="AA2823" s="112"/>
    </row>
    <row r="2824" spans="9:32" ht="8.25" customHeight="1" x14ac:dyDescent="0.25">
      <c r="X2824" s="110" t="s">
        <v>1878</v>
      </c>
      <c r="Y2824" s="111">
        <v>0.25</v>
      </c>
      <c r="Z2824" s="111">
        <f t="shared" si="278"/>
        <v>45</v>
      </c>
      <c r="AA2824" s="113"/>
    </row>
    <row r="2825" spans="9:32" ht="8.25" customHeight="1" x14ac:dyDescent="0.25">
      <c r="X2825" s="110" t="s">
        <v>223</v>
      </c>
      <c r="Y2825" s="111">
        <v>0.1</v>
      </c>
      <c r="Z2825" s="111">
        <f t="shared" si="278"/>
        <v>0.30000000000000004</v>
      </c>
      <c r="AA2825" s="114" t="s">
        <v>219</v>
      </c>
    </row>
    <row r="2826" spans="9:32" ht="8.25" customHeight="1" thickBot="1" x14ac:dyDescent="0.3">
      <c r="X2826" s="110"/>
      <c r="Y2826" s="111">
        <v>0.05</v>
      </c>
      <c r="Z2826" s="111">
        <f t="shared" si="278"/>
        <v>0</v>
      </c>
      <c r="AA2826" s="115">
        <f>SUM(Z2815:Z2820)+Z2822+Z2823+Z2824+Z2825+Z2826+Z2827</f>
        <v>57703.8</v>
      </c>
    </row>
    <row r="2827" spans="9:32" ht="8.25" customHeight="1" thickTop="1" x14ac:dyDescent="0.25">
      <c r="X2827" s="110"/>
      <c r="Y2827" s="111">
        <v>0.01</v>
      </c>
      <c r="Z2827" s="111">
        <f t="shared" si="278"/>
        <v>0</v>
      </c>
    </row>
    <row r="2829" spans="9:32" ht="8.25" customHeight="1" x14ac:dyDescent="0.25">
      <c r="Z2829" s="231" t="s">
        <v>1376</v>
      </c>
      <c r="AF2829" s="76">
        <f>AF2811</f>
        <v>57703.799999999377</v>
      </c>
    </row>
    <row r="2830" spans="9:32" ht="8.25" customHeight="1" x14ac:dyDescent="0.25">
      <c r="I2830" s="52">
        <v>37</v>
      </c>
      <c r="T2830" s="33">
        <v>46139</v>
      </c>
      <c r="U2830" s="34">
        <v>2026</v>
      </c>
      <c r="V2830" s="35" t="s">
        <v>1982</v>
      </c>
      <c r="W2830" s="35" t="s">
        <v>17</v>
      </c>
      <c r="X2830" s="37" t="s">
        <v>2365</v>
      </c>
      <c r="Y2830" s="36" t="s">
        <v>275</v>
      </c>
      <c r="Z2830" s="30" t="s">
        <v>1750</v>
      </c>
      <c r="AA2830" s="30" t="s">
        <v>1044</v>
      </c>
      <c r="AD2830" s="38">
        <v>10000</v>
      </c>
      <c r="AF2830" s="76">
        <f>AF2829+AD2830-AE2830</f>
        <v>67703.799999999377</v>
      </c>
    </row>
    <row r="2831" spans="9:32" ht="8.25" customHeight="1" x14ac:dyDescent="0.25">
      <c r="N2831" s="52">
        <v>54</v>
      </c>
      <c r="T2831" s="33">
        <v>46139</v>
      </c>
      <c r="U2831" s="34">
        <v>2026</v>
      </c>
      <c r="V2831" s="35" t="s">
        <v>1982</v>
      </c>
      <c r="W2831" s="35" t="s">
        <v>17</v>
      </c>
      <c r="X2831" s="37" t="s">
        <v>2366</v>
      </c>
      <c r="Y2831" s="36" t="s">
        <v>2367</v>
      </c>
      <c r="Z2831" s="30" t="s">
        <v>2368</v>
      </c>
      <c r="AA2831" s="30" t="s">
        <v>3899</v>
      </c>
      <c r="AD2831" s="38">
        <v>931.49</v>
      </c>
      <c r="AF2831" s="76">
        <f>AF2830+AD2831-AE2831</f>
        <v>68635.289999999382</v>
      </c>
    </row>
    <row r="2832" spans="9:32" ht="8.25" customHeight="1" x14ac:dyDescent="0.15">
      <c r="N2832" s="52">
        <v>54</v>
      </c>
      <c r="T2832" s="33">
        <v>46139</v>
      </c>
      <c r="U2832" s="34">
        <v>2026</v>
      </c>
      <c r="V2832" s="35" t="s">
        <v>1982</v>
      </c>
      <c r="W2832" s="35" t="s">
        <v>17</v>
      </c>
      <c r="X2832" s="37" t="s">
        <v>2366</v>
      </c>
      <c r="Y2832" s="36" t="s">
        <v>2367</v>
      </c>
      <c r="Z2832" s="30" t="s">
        <v>2368</v>
      </c>
      <c r="AA2832" s="134" t="s">
        <v>166</v>
      </c>
      <c r="AD2832" s="38">
        <v>1068.51</v>
      </c>
      <c r="AF2832" s="76">
        <f t="shared" ref="AF2832:AF2847" si="279">AF2831+AD2832-AE2832</f>
        <v>69703.799999999377</v>
      </c>
    </row>
    <row r="2833" spans="4:32" ht="8.25" customHeight="1" x14ac:dyDescent="0.25">
      <c r="N2833" s="52">
        <v>55</v>
      </c>
      <c r="T2833" s="33">
        <v>46139</v>
      </c>
      <c r="U2833" s="34">
        <v>2026</v>
      </c>
      <c r="V2833" s="35" t="s">
        <v>1982</v>
      </c>
      <c r="W2833" s="35" t="s">
        <v>17</v>
      </c>
      <c r="X2833" s="37" t="s">
        <v>2369</v>
      </c>
      <c r="Y2833" s="36" t="s">
        <v>983</v>
      </c>
      <c r="Z2833" s="30" t="s">
        <v>1504</v>
      </c>
      <c r="AA2833" s="30" t="s">
        <v>3899</v>
      </c>
      <c r="AD2833" s="38">
        <v>9546.82</v>
      </c>
      <c r="AF2833" s="76">
        <f t="shared" si="279"/>
        <v>79250.619999999384</v>
      </c>
    </row>
    <row r="2834" spans="4:32" ht="8.25" customHeight="1" x14ac:dyDescent="0.15">
      <c r="N2834" s="52">
        <v>55</v>
      </c>
      <c r="T2834" s="33">
        <v>46139</v>
      </c>
      <c r="U2834" s="34">
        <v>2026</v>
      </c>
      <c r="V2834" s="35" t="s">
        <v>1982</v>
      </c>
      <c r="W2834" s="35" t="s">
        <v>17</v>
      </c>
      <c r="X2834" s="37" t="s">
        <v>2369</v>
      </c>
      <c r="Y2834" s="36" t="s">
        <v>983</v>
      </c>
      <c r="Z2834" s="30" t="s">
        <v>1504</v>
      </c>
      <c r="AA2834" s="134" t="s">
        <v>166</v>
      </c>
      <c r="AD2834" s="38">
        <v>453.18</v>
      </c>
      <c r="AF2834" s="76">
        <f t="shared" si="279"/>
        <v>79703.799999999377</v>
      </c>
    </row>
    <row r="2835" spans="4:32" ht="8.25" customHeight="1" x14ac:dyDescent="0.15">
      <c r="N2835" s="52">
        <v>56</v>
      </c>
      <c r="T2835" s="33">
        <v>46139</v>
      </c>
      <c r="U2835" s="34">
        <v>2026</v>
      </c>
      <c r="V2835" s="35" t="s">
        <v>1982</v>
      </c>
      <c r="W2835" s="35" t="s">
        <v>17</v>
      </c>
      <c r="X2835" s="37" t="s">
        <v>2370</v>
      </c>
      <c r="Y2835" s="36" t="s">
        <v>2371</v>
      </c>
      <c r="Z2835" s="30" t="s">
        <v>2372</v>
      </c>
      <c r="AA2835" s="134" t="s">
        <v>166</v>
      </c>
      <c r="AD2835" s="38">
        <v>14845</v>
      </c>
      <c r="AF2835" s="76">
        <f t="shared" si="279"/>
        <v>94548.799999999377</v>
      </c>
    </row>
    <row r="2836" spans="4:32" ht="8.25" customHeight="1" x14ac:dyDescent="0.25">
      <c r="N2836" s="52">
        <v>56</v>
      </c>
      <c r="T2836" s="33">
        <v>46139</v>
      </c>
      <c r="U2836" s="34">
        <v>2026</v>
      </c>
      <c r="V2836" s="35" t="s">
        <v>1982</v>
      </c>
      <c r="W2836" s="35" t="s">
        <v>17</v>
      </c>
      <c r="X2836" s="37" t="s">
        <v>2370</v>
      </c>
      <c r="Y2836" s="36" t="s">
        <v>2371</v>
      </c>
      <c r="Z2836" s="30" t="s">
        <v>2372</v>
      </c>
      <c r="AA2836" s="30" t="s">
        <v>3304</v>
      </c>
      <c r="AD2836" s="38">
        <v>155</v>
      </c>
      <c r="AF2836" s="76">
        <f t="shared" si="279"/>
        <v>94703.799999999377</v>
      </c>
    </row>
    <row r="2837" spans="4:32" ht="8.25" customHeight="1" x14ac:dyDescent="0.25">
      <c r="N2837" s="52">
        <v>57</v>
      </c>
      <c r="T2837" s="33">
        <v>46139</v>
      </c>
      <c r="U2837" s="34">
        <v>2026</v>
      </c>
      <c r="V2837" s="35" t="s">
        <v>1982</v>
      </c>
      <c r="W2837" s="35" t="s">
        <v>17</v>
      </c>
      <c r="X2837" s="37" t="s">
        <v>2373</v>
      </c>
      <c r="Y2837" s="36" t="s">
        <v>120</v>
      </c>
      <c r="Z2837" s="30" t="s">
        <v>2374</v>
      </c>
      <c r="AA2837" s="30" t="s">
        <v>2375</v>
      </c>
      <c r="AD2837" s="38">
        <v>15</v>
      </c>
      <c r="AF2837" s="76">
        <f t="shared" si="279"/>
        <v>94718.799999999377</v>
      </c>
    </row>
    <row r="2838" spans="4:32" ht="8.25" customHeight="1" x14ac:dyDescent="0.25">
      <c r="N2838" s="52">
        <v>58</v>
      </c>
      <c r="T2838" s="33">
        <v>46139</v>
      </c>
      <c r="U2838" s="34">
        <v>2026</v>
      </c>
      <c r="V2838" s="35" t="s">
        <v>1982</v>
      </c>
      <c r="W2838" s="35" t="s">
        <v>17</v>
      </c>
      <c r="X2838" s="37" t="s">
        <v>2376</v>
      </c>
      <c r="Y2838" s="36" t="s">
        <v>1411</v>
      </c>
      <c r="Z2838" s="30" t="s">
        <v>1412</v>
      </c>
      <c r="AA2838" s="30" t="s">
        <v>3899</v>
      </c>
      <c r="AD2838" s="38">
        <v>2703.99</v>
      </c>
      <c r="AF2838" s="76">
        <f t="shared" si="279"/>
        <v>97422.789999999382</v>
      </c>
    </row>
    <row r="2839" spans="4:32" ht="8.25" customHeight="1" x14ac:dyDescent="0.15">
      <c r="N2839" s="52">
        <v>58</v>
      </c>
      <c r="T2839" s="33">
        <v>46139</v>
      </c>
      <c r="U2839" s="34">
        <v>2026</v>
      </c>
      <c r="V2839" s="35" t="s">
        <v>1982</v>
      </c>
      <c r="W2839" s="35" t="s">
        <v>17</v>
      </c>
      <c r="X2839" s="37" t="s">
        <v>2376</v>
      </c>
      <c r="Y2839" s="36" t="s">
        <v>1411</v>
      </c>
      <c r="Z2839" s="30" t="s">
        <v>1412</v>
      </c>
      <c r="AA2839" s="134" t="s">
        <v>166</v>
      </c>
      <c r="AD2839" s="38">
        <v>796.01</v>
      </c>
      <c r="AF2839" s="76">
        <f t="shared" si="279"/>
        <v>98218.799999999377</v>
      </c>
    </row>
    <row r="2840" spans="4:32" ht="8.25" customHeight="1" x14ac:dyDescent="0.25">
      <c r="D2840" s="52">
        <v>3</v>
      </c>
      <c r="T2840" s="33">
        <v>46139</v>
      </c>
      <c r="U2840" s="34">
        <v>2026</v>
      </c>
      <c r="V2840" s="35" t="s">
        <v>1982</v>
      </c>
      <c r="W2840" s="35" t="s">
        <v>17</v>
      </c>
      <c r="X2840" s="37" t="s">
        <v>2379</v>
      </c>
      <c r="Y2840" s="36" t="s">
        <v>2380</v>
      </c>
      <c r="Z2840" s="30" t="s">
        <v>1750</v>
      </c>
      <c r="AA2840" s="30" t="s">
        <v>256</v>
      </c>
      <c r="AD2840" s="38">
        <v>2970</v>
      </c>
      <c r="AF2840" s="76">
        <f t="shared" si="279"/>
        <v>101188.79999999938</v>
      </c>
    </row>
    <row r="2841" spans="4:32" ht="8.25" customHeight="1" x14ac:dyDescent="0.25">
      <c r="D2841" s="52">
        <v>4</v>
      </c>
      <c r="T2841" s="33">
        <v>46139</v>
      </c>
      <c r="U2841" s="34">
        <v>2026</v>
      </c>
      <c r="V2841" s="35" t="s">
        <v>1982</v>
      </c>
      <c r="W2841" s="35" t="s">
        <v>17</v>
      </c>
      <c r="X2841" s="37" t="s">
        <v>2393</v>
      </c>
      <c r="Y2841" s="36" t="s">
        <v>2380</v>
      </c>
      <c r="Z2841" s="30" t="s">
        <v>1750</v>
      </c>
      <c r="AA2841" s="30" t="s">
        <v>256</v>
      </c>
      <c r="AD2841" s="38">
        <v>10000</v>
      </c>
      <c r="AF2841" s="76">
        <f t="shared" si="279"/>
        <v>111188.79999999938</v>
      </c>
    </row>
    <row r="2842" spans="4:32" ht="8.25" customHeight="1" x14ac:dyDescent="0.25">
      <c r="R2842" s="53">
        <v>30</v>
      </c>
      <c r="T2842" s="33">
        <v>46139</v>
      </c>
      <c r="U2842" s="34">
        <v>2026</v>
      </c>
      <c r="V2842" s="35" t="s">
        <v>1982</v>
      </c>
      <c r="W2842" s="35" t="s">
        <v>5</v>
      </c>
      <c r="X2842" s="37" t="s">
        <v>2377</v>
      </c>
      <c r="Y2842" s="36" t="s">
        <v>2378</v>
      </c>
      <c r="Z2842" s="30" t="s">
        <v>2374</v>
      </c>
      <c r="AA2842" s="30" t="s">
        <v>92</v>
      </c>
      <c r="AE2842" s="38">
        <v>150</v>
      </c>
      <c r="AF2842" s="76">
        <f t="shared" si="279"/>
        <v>111038.79999999938</v>
      </c>
    </row>
    <row r="2843" spans="4:32" ht="8.25" customHeight="1" x14ac:dyDescent="0.25">
      <c r="G2843" s="53">
        <v>21</v>
      </c>
      <c r="T2843" s="33">
        <v>46139</v>
      </c>
      <c r="U2843" s="34">
        <v>2026</v>
      </c>
      <c r="V2843" s="35" t="s">
        <v>1982</v>
      </c>
      <c r="W2843" s="35" t="s">
        <v>5</v>
      </c>
      <c r="X2843" s="37" t="s">
        <v>2381</v>
      </c>
      <c r="Y2843" s="36" t="s">
        <v>2382</v>
      </c>
      <c r="Z2843" s="30" t="s">
        <v>2383</v>
      </c>
      <c r="AA2843" s="30" t="s">
        <v>3945</v>
      </c>
      <c r="AE2843" s="38">
        <v>682.51</v>
      </c>
      <c r="AF2843" s="76">
        <f t="shared" si="279"/>
        <v>110356.28999999938</v>
      </c>
    </row>
    <row r="2844" spans="4:32" ht="8.25" customHeight="1" x14ac:dyDescent="0.25">
      <c r="G2844" s="53">
        <v>22</v>
      </c>
      <c r="T2844" s="33">
        <v>46139</v>
      </c>
      <c r="U2844" s="34">
        <v>2026</v>
      </c>
      <c r="V2844" s="35" t="s">
        <v>1982</v>
      </c>
      <c r="W2844" s="35" t="s">
        <v>5</v>
      </c>
      <c r="X2844" s="37" t="s">
        <v>2386</v>
      </c>
      <c r="Y2844" s="36" t="s">
        <v>2385</v>
      </c>
      <c r="Z2844" s="30" t="s">
        <v>2384</v>
      </c>
      <c r="AA2844" s="30" t="s">
        <v>3945</v>
      </c>
      <c r="AE2844" s="38">
        <v>3157.16</v>
      </c>
      <c r="AF2844" s="76">
        <f t="shared" si="279"/>
        <v>107199.12999999938</v>
      </c>
    </row>
    <row r="2845" spans="4:32" ht="8.25" customHeight="1" x14ac:dyDescent="0.25">
      <c r="G2845" s="53">
        <v>23</v>
      </c>
      <c r="T2845" s="33">
        <v>46139</v>
      </c>
      <c r="U2845" s="34">
        <v>2026</v>
      </c>
      <c r="V2845" s="35" t="s">
        <v>1982</v>
      </c>
      <c r="W2845" s="35" t="s">
        <v>5</v>
      </c>
      <c r="X2845" s="37" t="s">
        <v>2387</v>
      </c>
      <c r="Y2845" s="36" t="s">
        <v>2388</v>
      </c>
      <c r="Z2845" s="30" t="s">
        <v>1357</v>
      </c>
      <c r="AA2845" s="30" t="s">
        <v>3945</v>
      </c>
      <c r="AE2845" s="38">
        <v>696.84</v>
      </c>
      <c r="AF2845" s="76">
        <f t="shared" si="279"/>
        <v>106502.28999999938</v>
      </c>
    </row>
    <row r="2846" spans="4:32" ht="8.25" customHeight="1" x14ac:dyDescent="0.25">
      <c r="G2846" s="53">
        <v>24</v>
      </c>
      <c r="T2846" s="33">
        <v>46139</v>
      </c>
      <c r="U2846" s="34">
        <v>2026</v>
      </c>
      <c r="V2846" s="35" t="s">
        <v>1982</v>
      </c>
      <c r="W2846" s="35" t="s">
        <v>5</v>
      </c>
      <c r="X2846" s="37" t="s">
        <v>2390</v>
      </c>
      <c r="Y2846" s="36" t="s">
        <v>2389</v>
      </c>
      <c r="Z2846" s="30" t="s">
        <v>1357</v>
      </c>
      <c r="AA2846" s="30" t="s">
        <v>3945</v>
      </c>
      <c r="AE2846" s="38">
        <v>1744.41</v>
      </c>
      <c r="AF2846" s="76">
        <f t="shared" si="279"/>
        <v>104757.87999999938</v>
      </c>
    </row>
    <row r="2847" spans="4:32" ht="8.25" customHeight="1" x14ac:dyDescent="0.25">
      <c r="G2847" s="53">
        <v>25</v>
      </c>
      <c r="T2847" s="33">
        <v>46139</v>
      </c>
      <c r="U2847" s="34">
        <v>2026</v>
      </c>
      <c r="V2847" s="35" t="s">
        <v>1982</v>
      </c>
      <c r="W2847" s="35" t="s">
        <v>5</v>
      </c>
      <c r="X2847" s="37" t="s">
        <v>2391</v>
      </c>
      <c r="Y2847" s="36" t="s">
        <v>2392</v>
      </c>
      <c r="Z2847" s="30" t="s">
        <v>1949</v>
      </c>
      <c r="AA2847" s="30" t="s">
        <v>3945</v>
      </c>
      <c r="AE2847" s="38">
        <v>3003.33</v>
      </c>
      <c r="AF2847" s="76">
        <f t="shared" si="279"/>
        <v>101754.54999999938</v>
      </c>
    </row>
    <row r="2848" spans="4:32" ht="8.25" customHeight="1" thickBot="1" x14ac:dyDescent="0.3">
      <c r="AA2848" s="75" t="s">
        <v>2139</v>
      </c>
      <c r="AD2848" s="253">
        <f>SUM(AD2830:AD2847)</f>
        <v>53485</v>
      </c>
      <c r="AE2848" s="253">
        <f>SUM(AE2830:AE2847)</f>
        <v>9434.25</v>
      </c>
      <c r="AF2848" s="233">
        <f>AF2829+AD2848-AE2848</f>
        <v>101754.54999999938</v>
      </c>
    </row>
    <row r="2849" spans="24:27" ht="8.25" customHeight="1" thickTop="1" x14ac:dyDescent="0.25"/>
    <row r="2850" spans="24:27" ht="8.25" customHeight="1" x14ac:dyDescent="0.25">
      <c r="X2850" s="109"/>
      <c r="Y2850" s="67" t="s">
        <v>214</v>
      </c>
      <c r="Z2850" s="68"/>
      <c r="AA2850" s="75"/>
    </row>
    <row r="2851" spans="24:27" ht="8.25" customHeight="1" x14ac:dyDescent="0.25">
      <c r="X2851" s="110" t="s">
        <v>2394</v>
      </c>
      <c r="Y2851" s="111">
        <v>200</v>
      </c>
      <c r="Z2851" s="111">
        <f t="shared" ref="Z2851:Z2856" si="280">X2851*Y2851</f>
        <v>5000</v>
      </c>
      <c r="AA2851" s="112"/>
    </row>
    <row r="2852" spans="24:27" ht="8.25" customHeight="1" x14ac:dyDescent="0.25">
      <c r="X2852" s="110" t="s">
        <v>2395</v>
      </c>
      <c r="Y2852" s="111">
        <v>100</v>
      </c>
      <c r="Z2852" s="111">
        <f t="shared" si="280"/>
        <v>92500</v>
      </c>
      <c r="AA2852" s="112"/>
    </row>
    <row r="2853" spans="24:27" ht="8.25" customHeight="1" x14ac:dyDescent="0.25">
      <c r="X2853" s="110" t="s">
        <v>91</v>
      </c>
      <c r="Y2853" s="111">
        <v>50</v>
      </c>
      <c r="Z2853" s="111">
        <f t="shared" si="280"/>
        <v>550</v>
      </c>
      <c r="AA2853" s="76"/>
    </row>
    <row r="2854" spans="24:27" ht="8.25" customHeight="1" x14ac:dyDescent="0.25">
      <c r="X2854" s="110" t="s">
        <v>299</v>
      </c>
      <c r="Y2854" s="111">
        <v>20</v>
      </c>
      <c r="Z2854" s="111">
        <f t="shared" si="280"/>
        <v>80</v>
      </c>
      <c r="AA2854" s="38"/>
    </row>
    <row r="2855" spans="24:27" ht="8.25" customHeight="1" x14ac:dyDescent="0.25">
      <c r="X2855" s="110" t="s">
        <v>298</v>
      </c>
      <c r="Y2855" s="111">
        <v>10</v>
      </c>
      <c r="Z2855" s="111">
        <f t="shared" si="280"/>
        <v>880</v>
      </c>
      <c r="AA2855" s="112"/>
    </row>
    <row r="2856" spans="24:27" ht="8.25" customHeight="1" x14ac:dyDescent="0.25">
      <c r="X2856" s="110" t="s">
        <v>2242</v>
      </c>
      <c r="Y2856" s="111">
        <v>5</v>
      </c>
      <c r="Z2856" s="111">
        <f t="shared" si="280"/>
        <v>1600</v>
      </c>
      <c r="AA2856" s="112"/>
    </row>
    <row r="2857" spans="24:27" ht="8.25" customHeight="1" x14ac:dyDescent="0.25">
      <c r="X2857" s="269"/>
      <c r="Y2857" s="270"/>
      <c r="Z2857" s="271"/>
      <c r="AA2857" s="38"/>
    </row>
    <row r="2858" spans="24:27" ht="8.25" customHeight="1" x14ac:dyDescent="0.25">
      <c r="X2858" s="110" t="s">
        <v>2725</v>
      </c>
      <c r="Y2858" s="111">
        <v>1</v>
      </c>
      <c r="Z2858" s="111">
        <f t="shared" ref="Z2858:Z2863" si="281">X2858*Y2858</f>
        <v>1066</v>
      </c>
      <c r="AA2858" s="76"/>
    </row>
    <row r="2859" spans="24:27" ht="8.25" customHeight="1" x14ac:dyDescent="0.25">
      <c r="X2859" s="110" t="s">
        <v>1496</v>
      </c>
      <c r="Y2859" s="111">
        <v>0.5</v>
      </c>
      <c r="Z2859" s="111">
        <f t="shared" si="281"/>
        <v>40.5</v>
      </c>
      <c r="AA2859" s="112"/>
    </row>
    <row r="2860" spans="24:27" ht="8.25" customHeight="1" x14ac:dyDescent="0.25">
      <c r="X2860" s="110" t="s">
        <v>259</v>
      </c>
      <c r="Y2860" s="111">
        <v>0.25</v>
      </c>
      <c r="Z2860" s="111">
        <f t="shared" si="281"/>
        <v>20</v>
      </c>
      <c r="AA2860" s="113"/>
    </row>
    <row r="2861" spans="24:27" ht="8.25" customHeight="1" x14ac:dyDescent="0.25">
      <c r="X2861" s="110" t="s">
        <v>1878</v>
      </c>
      <c r="Y2861" s="111">
        <v>0.1</v>
      </c>
      <c r="Z2861" s="111">
        <f t="shared" si="281"/>
        <v>18</v>
      </c>
      <c r="AA2861" s="114" t="s">
        <v>219</v>
      </c>
    </row>
    <row r="2862" spans="24:27" ht="8.25" customHeight="1" thickBot="1" x14ac:dyDescent="0.3">
      <c r="X2862" s="110" t="s">
        <v>222</v>
      </c>
      <c r="Y2862" s="111">
        <v>0.05</v>
      </c>
      <c r="Z2862" s="111">
        <f t="shared" si="281"/>
        <v>0.05</v>
      </c>
      <c r="AA2862" s="115">
        <f>SUM(Z2851:Z2856)+Z2858+Z2859+Z2860+Z2861+Z2862+Z2863</f>
        <v>101754.55</v>
      </c>
    </row>
    <row r="2863" spans="24:27" ht="8.25" customHeight="1" thickTop="1" x14ac:dyDescent="0.25">
      <c r="X2863" s="110"/>
      <c r="Y2863" s="111">
        <v>0.01</v>
      </c>
      <c r="Z2863" s="111">
        <f t="shared" si="281"/>
        <v>0</v>
      </c>
    </row>
    <row r="2865" spans="4:33" ht="8.25" customHeight="1" x14ac:dyDescent="0.25">
      <c r="Z2865" s="231" t="s">
        <v>1376</v>
      </c>
      <c r="AF2865" s="76">
        <f>AF2848</f>
        <v>101754.54999999938</v>
      </c>
    </row>
    <row r="2866" spans="4:33" ht="8.25" customHeight="1" x14ac:dyDescent="0.25">
      <c r="N2866" s="52">
        <v>59</v>
      </c>
      <c r="T2866" s="33">
        <v>46140</v>
      </c>
      <c r="U2866" s="34">
        <v>2026</v>
      </c>
      <c r="V2866" s="35" t="s">
        <v>1982</v>
      </c>
      <c r="W2866" s="35" t="s">
        <v>17</v>
      </c>
      <c r="X2866" s="37" t="s">
        <v>2396</v>
      </c>
      <c r="Y2866" s="36" t="s">
        <v>679</v>
      </c>
      <c r="Z2866" s="30" t="s">
        <v>1818</v>
      </c>
      <c r="AA2866" s="30" t="s">
        <v>3899</v>
      </c>
      <c r="AD2866" s="38">
        <v>7820.8</v>
      </c>
      <c r="AF2866" s="76">
        <f>AF2865+AD2866-AE2866</f>
        <v>109575.34999999938</v>
      </c>
      <c r="AG2866" s="30" t="s">
        <v>1</v>
      </c>
    </row>
    <row r="2867" spans="4:33" ht="8.25" customHeight="1" x14ac:dyDescent="0.15">
      <c r="N2867" s="52">
        <v>59</v>
      </c>
      <c r="T2867" s="33">
        <v>46140</v>
      </c>
      <c r="U2867" s="34">
        <v>2026</v>
      </c>
      <c r="V2867" s="35" t="s">
        <v>1982</v>
      </c>
      <c r="W2867" s="35" t="s">
        <v>17</v>
      </c>
      <c r="X2867" s="37" t="s">
        <v>2396</v>
      </c>
      <c r="Y2867" s="36" t="s">
        <v>679</v>
      </c>
      <c r="Z2867" s="30" t="s">
        <v>1818</v>
      </c>
      <c r="AA2867" s="134" t="s">
        <v>166</v>
      </c>
      <c r="AD2867" s="38">
        <v>4179.2</v>
      </c>
      <c r="AF2867" s="76">
        <f>AF2866+AD2867-AE2867</f>
        <v>113754.54999999938</v>
      </c>
    </row>
    <row r="2868" spans="4:33" ht="8.25" customHeight="1" x14ac:dyDescent="0.25">
      <c r="N2868" s="52">
        <v>60</v>
      </c>
      <c r="T2868" s="33">
        <v>46140</v>
      </c>
      <c r="U2868" s="34">
        <v>2026</v>
      </c>
      <c r="V2868" s="35" t="s">
        <v>1982</v>
      </c>
      <c r="W2868" s="35" t="s">
        <v>17</v>
      </c>
      <c r="X2868" s="37" t="s">
        <v>2397</v>
      </c>
      <c r="Y2868" s="36" t="s">
        <v>682</v>
      </c>
      <c r="Z2868" s="30" t="s">
        <v>683</v>
      </c>
      <c r="AA2868" s="30" t="s">
        <v>3899</v>
      </c>
      <c r="AD2868" s="38">
        <v>6164.72</v>
      </c>
      <c r="AF2868" s="76">
        <f t="shared" ref="AF2868:AF2883" si="282">AF2867+AD2868-AE2868</f>
        <v>119919.26999999938</v>
      </c>
    </row>
    <row r="2869" spans="4:33" ht="8.25" customHeight="1" x14ac:dyDescent="0.15">
      <c r="N2869" s="52">
        <v>60</v>
      </c>
      <c r="T2869" s="33">
        <v>46140</v>
      </c>
      <c r="U2869" s="34">
        <v>2026</v>
      </c>
      <c r="V2869" s="35" t="s">
        <v>1982</v>
      </c>
      <c r="W2869" s="35" t="s">
        <v>17</v>
      </c>
      <c r="X2869" s="37" t="s">
        <v>2397</v>
      </c>
      <c r="Y2869" s="36" t="s">
        <v>682</v>
      </c>
      <c r="Z2869" s="30" t="s">
        <v>683</v>
      </c>
      <c r="AA2869" s="134" t="s">
        <v>166</v>
      </c>
      <c r="AD2869" s="38">
        <v>4835.28</v>
      </c>
      <c r="AF2869" s="76">
        <f t="shared" si="282"/>
        <v>124754.54999999938</v>
      </c>
    </row>
    <row r="2870" spans="4:33" ht="8.25" customHeight="1" x14ac:dyDescent="0.25">
      <c r="N2870" s="52">
        <v>61</v>
      </c>
      <c r="T2870" s="33">
        <v>46140</v>
      </c>
      <c r="U2870" s="34">
        <v>2026</v>
      </c>
      <c r="V2870" s="35" t="s">
        <v>1982</v>
      </c>
      <c r="W2870" s="35" t="s">
        <v>17</v>
      </c>
      <c r="X2870" s="37" t="s">
        <v>2398</v>
      </c>
      <c r="Y2870" s="36" t="s">
        <v>734</v>
      </c>
      <c r="Z2870" s="30" t="s">
        <v>1808</v>
      </c>
      <c r="AA2870" s="30" t="s">
        <v>3899</v>
      </c>
      <c r="AD2870" s="38">
        <v>8362.89</v>
      </c>
      <c r="AF2870" s="76">
        <f t="shared" si="282"/>
        <v>133117.43999999936</v>
      </c>
    </row>
    <row r="2871" spans="4:33" ht="8.25" customHeight="1" x14ac:dyDescent="0.15">
      <c r="N2871" s="52">
        <v>61</v>
      </c>
      <c r="T2871" s="33">
        <v>46140</v>
      </c>
      <c r="U2871" s="34">
        <v>2026</v>
      </c>
      <c r="V2871" s="35" t="s">
        <v>1982</v>
      </c>
      <c r="W2871" s="35" t="s">
        <v>17</v>
      </c>
      <c r="X2871" s="37" t="s">
        <v>2398</v>
      </c>
      <c r="Y2871" s="36" t="s">
        <v>734</v>
      </c>
      <c r="Z2871" s="30" t="s">
        <v>1808</v>
      </c>
      <c r="AA2871" s="134" t="s">
        <v>166</v>
      </c>
      <c r="AD2871" s="38">
        <v>7637.11</v>
      </c>
      <c r="AF2871" s="76">
        <f t="shared" si="282"/>
        <v>140754.54999999935</v>
      </c>
    </row>
    <row r="2872" spans="4:33" ht="8.25" customHeight="1" x14ac:dyDescent="0.25">
      <c r="N2872" s="52">
        <v>62</v>
      </c>
      <c r="T2872" s="33">
        <v>46140</v>
      </c>
      <c r="U2872" s="34">
        <v>2026</v>
      </c>
      <c r="V2872" s="35" t="s">
        <v>1982</v>
      </c>
      <c r="W2872" s="35" t="s">
        <v>17</v>
      </c>
      <c r="X2872" s="37" t="s">
        <v>2399</v>
      </c>
      <c r="Y2872" s="36" t="s">
        <v>673</v>
      </c>
      <c r="Z2872" s="30" t="s">
        <v>674</v>
      </c>
      <c r="AA2872" s="30" t="s">
        <v>3899</v>
      </c>
      <c r="AD2872" s="38">
        <v>6282.95</v>
      </c>
      <c r="AF2872" s="76">
        <f t="shared" si="282"/>
        <v>147037.49999999936</v>
      </c>
    </row>
    <row r="2873" spans="4:33" ht="8.25" customHeight="1" x14ac:dyDescent="0.15">
      <c r="N2873" s="52">
        <v>62</v>
      </c>
      <c r="T2873" s="33">
        <v>46140</v>
      </c>
      <c r="U2873" s="34">
        <v>2026</v>
      </c>
      <c r="V2873" s="35" t="s">
        <v>1982</v>
      </c>
      <c r="W2873" s="35" t="s">
        <v>17</v>
      </c>
      <c r="X2873" s="37" t="s">
        <v>2399</v>
      </c>
      <c r="Y2873" s="36" t="s">
        <v>673</v>
      </c>
      <c r="Z2873" s="30" t="s">
        <v>674</v>
      </c>
      <c r="AA2873" s="134" t="s">
        <v>166</v>
      </c>
      <c r="AD2873" s="38">
        <v>3717.05</v>
      </c>
      <c r="AF2873" s="76">
        <f t="shared" si="282"/>
        <v>150754.54999999935</v>
      </c>
    </row>
    <row r="2874" spans="4:33" ht="8.25" customHeight="1" x14ac:dyDescent="0.25">
      <c r="N2874" s="52">
        <v>63</v>
      </c>
      <c r="T2874" s="33">
        <v>46140</v>
      </c>
      <c r="U2874" s="34">
        <v>2026</v>
      </c>
      <c r="V2874" s="35" t="s">
        <v>1982</v>
      </c>
      <c r="W2874" s="35" t="s">
        <v>17</v>
      </c>
      <c r="X2874" s="37" t="s">
        <v>2400</v>
      </c>
      <c r="Y2874" s="36" t="s">
        <v>676</v>
      </c>
      <c r="Z2874" s="30" t="s">
        <v>1820</v>
      </c>
      <c r="AA2874" s="30" t="s">
        <v>3899</v>
      </c>
      <c r="AD2874" s="38">
        <v>7391.87</v>
      </c>
      <c r="AF2874" s="76">
        <f t="shared" si="282"/>
        <v>158146.41999999934</v>
      </c>
    </row>
    <row r="2875" spans="4:33" ht="8.25" customHeight="1" x14ac:dyDescent="0.15">
      <c r="N2875" s="52">
        <v>63</v>
      </c>
      <c r="T2875" s="33">
        <v>46140</v>
      </c>
      <c r="U2875" s="34">
        <v>2026</v>
      </c>
      <c r="V2875" s="35" t="s">
        <v>1982</v>
      </c>
      <c r="W2875" s="35" t="s">
        <v>17</v>
      </c>
      <c r="X2875" s="37" t="s">
        <v>2400</v>
      </c>
      <c r="Y2875" s="36" t="s">
        <v>676</v>
      </c>
      <c r="Z2875" s="30" t="s">
        <v>1820</v>
      </c>
      <c r="AA2875" s="134" t="s">
        <v>166</v>
      </c>
      <c r="AD2875" s="38">
        <v>5608.13</v>
      </c>
      <c r="AF2875" s="76">
        <f t="shared" si="282"/>
        <v>163754.54999999935</v>
      </c>
    </row>
    <row r="2876" spans="4:33" ht="8.25" customHeight="1" x14ac:dyDescent="0.25">
      <c r="N2876" s="52">
        <v>64</v>
      </c>
      <c r="T2876" s="33">
        <v>46140</v>
      </c>
      <c r="U2876" s="34">
        <v>2026</v>
      </c>
      <c r="V2876" s="35" t="s">
        <v>1982</v>
      </c>
      <c r="W2876" s="35" t="s">
        <v>17</v>
      </c>
      <c r="X2876" s="37" t="s">
        <v>2401</v>
      </c>
      <c r="Y2876" s="36" t="s">
        <v>688</v>
      </c>
      <c r="Z2876" s="30" t="s">
        <v>1831</v>
      </c>
      <c r="AA2876" s="30" t="s">
        <v>3899</v>
      </c>
      <c r="AD2876" s="38">
        <v>7133.53</v>
      </c>
      <c r="AF2876" s="76">
        <f t="shared" si="282"/>
        <v>170888.07999999935</v>
      </c>
    </row>
    <row r="2877" spans="4:33" ht="8.25" customHeight="1" x14ac:dyDescent="0.15">
      <c r="N2877" s="52">
        <v>64</v>
      </c>
      <c r="T2877" s="33">
        <v>46140</v>
      </c>
      <c r="U2877" s="34">
        <v>2026</v>
      </c>
      <c r="V2877" s="35" t="s">
        <v>1982</v>
      </c>
      <c r="W2877" s="35" t="s">
        <v>17</v>
      </c>
      <c r="X2877" s="37" t="s">
        <v>2401</v>
      </c>
      <c r="Y2877" s="36" t="s">
        <v>688</v>
      </c>
      <c r="Z2877" s="30" t="s">
        <v>1831</v>
      </c>
      <c r="AA2877" s="134" t="s">
        <v>166</v>
      </c>
      <c r="AD2877" s="38">
        <v>866.47</v>
      </c>
      <c r="AF2877" s="76">
        <f t="shared" si="282"/>
        <v>171754.54999999935</v>
      </c>
    </row>
    <row r="2878" spans="4:33" ht="8.25" customHeight="1" x14ac:dyDescent="0.25">
      <c r="D2878" s="52">
        <v>5</v>
      </c>
      <c r="T2878" s="33">
        <v>46140</v>
      </c>
      <c r="U2878" s="34">
        <v>2026</v>
      </c>
      <c r="V2878" s="35" t="s">
        <v>1982</v>
      </c>
      <c r="W2878" s="35" t="s">
        <v>2405</v>
      </c>
      <c r="X2878" s="37" t="s">
        <v>2404</v>
      </c>
      <c r="Y2878" s="36" t="s">
        <v>2403</v>
      </c>
      <c r="Z2878" s="30" t="s">
        <v>2402</v>
      </c>
      <c r="AA2878" s="30" t="s">
        <v>256</v>
      </c>
      <c r="AD2878" s="38">
        <v>170</v>
      </c>
      <c r="AF2878" s="76">
        <f t="shared" si="282"/>
        <v>171924.54999999935</v>
      </c>
    </row>
    <row r="2879" spans="4:33" ht="8.25" customHeight="1" x14ac:dyDescent="0.25">
      <c r="N2879" s="52">
        <v>65</v>
      </c>
      <c r="T2879" s="33">
        <v>46140</v>
      </c>
      <c r="U2879" s="34">
        <v>2026</v>
      </c>
      <c r="V2879" s="35" t="s">
        <v>1982</v>
      </c>
      <c r="W2879" s="35" t="s">
        <v>17</v>
      </c>
      <c r="X2879" s="37" t="s">
        <v>2406</v>
      </c>
      <c r="Y2879" s="36" t="s">
        <v>1783</v>
      </c>
      <c r="Z2879" s="30" t="s">
        <v>2407</v>
      </c>
      <c r="AA2879" s="30" t="s">
        <v>3899</v>
      </c>
      <c r="AD2879" s="38">
        <v>7208.49</v>
      </c>
      <c r="AF2879" s="76">
        <f t="shared" si="282"/>
        <v>179133.03999999934</v>
      </c>
    </row>
    <row r="2880" spans="4:33" ht="8.25" customHeight="1" x14ac:dyDescent="0.15">
      <c r="N2880" s="52">
        <v>65</v>
      </c>
      <c r="T2880" s="33">
        <v>46140</v>
      </c>
      <c r="U2880" s="34">
        <v>2026</v>
      </c>
      <c r="V2880" s="35" t="s">
        <v>1982</v>
      </c>
      <c r="W2880" s="35" t="s">
        <v>17</v>
      </c>
      <c r="X2880" s="37" t="s">
        <v>2406</v>
      </c>
      <c r="Y2880" s="36" t="s">
        <v>1783</v>
      </c>
      <c r="Z2880" s="30" t="s">
        <v>2407</v>
      </c>
      <c r="AA2880" s="134" t="s">
        <v>166</v>
      </c>
      <c r="AD2880" s="38">
        <v>6791.51</v>
      </c>
      <c r="AF2880" s="76">
        <f t="shared" si="282"/>
        <v>185924.54999999935</v>
      </c>
    </row>
    <row r="2881" spans="14:32" ht="8.25" customHeight="1" x14ac:dyDescent="0.25">
      <c r="N2881" s="52">
        <v>66</v>
      </c>
      <c r="T2881" s="33">
        <v>46140</v>
      </c>
      <c r="U2881" s="34">
        <v>2026</v>
      </c>
      <c r="V2881" s="35" t="s">
        <v>1982</v>
      </c>
      <c r="W2881" s="35" t="s">
        <v>17</v>
      </c>
      <c r="X2881" s="37" t="s">
        <v>2411</v>
      </c>
      <c r="Y2881" s="36" t="s">
        <v>1833</v>
      </c>
      <c r="Z2881" s="30" t="s">
        <v>1333</v>
      </c>
      <c r="AA2881" s="30" t="s">
        <v>3899</v>
      </c>
      <c r="AD2881" s="38">
        <v>1195.93</v>
      </c>
      <c r="AF2881" s="76">
        <f t="shared" si="282"/>
        <v>187120.47999999934</v>
      </c>
    </row>
    <row r="2882" spans="14:32" ht="8.25" customHeight="1" x14ac:dyDescent="0.15">
      <c r="N2882" s="52">
        <v>66</v>
      </c>
      <c r="T2882" s="33">
        <v>46140</v>
      </c>
      <c r="U2882" s="34">
        <v>2026</v>
      </c>
      <c r="V2882" s="35" t="s">
        <v>1982</v>
      </c>
      <c r="W2882" s="35" t="s">
        <v>17</v>
      </c>
      <c r="X2882" s="37" t="s">
        <v>2411</v>
      </c>
      <c r="Y2882" s="36" t="s">
        <v>1833</v>
      </c>
      <c r="Z2882" s="30" t="s">
        <v>1333</v>
      </c>
      <c r="AA2882" s="134" t="s">
        <v>166</v>
      </c>
      <c r="AD2882" s="38">
        <v>554.07000000000005</v>
      </c>
      <c r="AF2882" s="76">
        <f t="shared" si="282"/>
        <v>187674.54999999935</v>
      </c>
    </row>
    <row r="2883" spans="14:32" ht="8.25" customHeight="1" x14ac:dyDescent="0.25">
      <c r="R2883" s="53">
        <v>31</v>
      </c>
      <c r="T2883" s="33">
        <v>46140</v>
      </c>
      <c r="U2883" s="34">
        <v>2026</v>
      </c>
      <c r="V2883" s="35" t="s">
        <v>1982</v>
      </c>
      <c r="W2883" s="36" t="s">
        <v>5</v>
      </c>
      <c r="X2883" s="37" t="s">
        <v>2408</v>
      </c>
      <c r="Y2883" s="36" t="s">
        <v>2409</v>
      </c>
      <c r="Z2883" s="30" t="s">
        <v>2410</v>
      </c>
      <c r="AA2883" s="30" t="s">
        <v>92</v>
      </c>
      <c r="AE2883" s="38">
        <v>2300</v>
      </c>
      <c r="AF2883" s="76">
        <f t="shared" si="282"/>
        <v>185374.54999999935</v>
      </c>
    </row>
    <row r="2884" spans="14:32" ht="8.25" customHeight="1" thickBot="1" x14ac:dyDescent="0.3">
      <c r="W2884" s="36"/>
      <c r="AA2884" s="75" t="s">
        <v>2139</v>
      </c>
      <c r="AC2884" s="38"/>
      <c r="AD2884" s="253">
        <f>SUM(AD2866:AD2883)</f>
        <v>85920</v>
      </c>
      <c r="AE2884" s="253">
        <f>SUM(AE2866:AE2883)</f>
        <v>2300</v>
      </c>
      <c r="AF2884" s="233">
        <f>AF2865+AD2884-AE2884</f>
        <v>185374.54999999938</v>
      </c>
    </row>
    <row r="2885" spans="14:32" ht="8.25" customHeight="1" thickTop="1" x14ac:dyDescent="0.25"/>
    <row r="2886" spans="14:32" ht="8.25" customHeight="1" x14ac:dyDescent="0.25">
      <c r="X2886" s="109"/>
      <c r="Y2886" s="67" t="s">
        <v>214</v>
      </c>
      <c r="Z2886" s="68"/>
      <c r="AA2886" s="75"/>
    </row>
    <row r="2887" spans="14:32" ht="8.25" customHeight="1" x14ac:dyDescent="0.25">
      <c r="X2887" s="110" t="s">
        <v>2394</v>
      </c>
      <c r="Y2887" s="111">
        <v>200</v>
      </c>
      <c r="Z2887" s="111">
        <f t="shared" ref="Z2887:Z2892" si="283">X2887*Y2887</f>
        <v>5000</v>
      </c>
      <c r="AA2887" s="112"/>
    </row>
    <row r="2888" spans="14:32" ht="8.25" customHeight="1" x14ac:dyDescent="0.25">
      <c r="X2888" s="110" t="s">
        <v>2413</v>
      </c>
      <c r="Y2888" s="111">
        <v>100</v>
      </c>
      <c r="Z2888" s="111">
        <f t="shared" si="283"/>
        <v>176200</v>
      </c>
      <c r="AA2888" s="112"/>
    </row>
    <row r="2889" spans="14:32" ht="8.25" customHeight="1" x14ac:dyDescent="0.25">
      <c r="X2889" s="110" t="s">
        <v>581</v>
      </c>
      <c r="Y2889" s="111">
        <v>50</v>
      </c>
      <c r="Z2889" s="111">
        <f t="shared" si="283"/>
        <v>500</v>
      </c>
      <c r="AA2889" s="76"/>
    </row>
    <row r="2890" spans="14:32" ht="8.25" customHeight="1" x14ac:dyDescent="0.25">
      <c r="X2890" s="110" t="s">
        <v>223</v>
      </c>
      <c r="Y2890" s="111">
        <v>20</v>
      </c>
      <c r="Z2890" s="111">
        <f t="shared" si="283"/>
        <v>60</v>
      </c>
      <c r="AA2890" s="38"/>
    </row>
    <row r="2891" spans="14:32" ht="8.25" customHeight="1" x14ac:dyDescent="0.25">
      <c r="X2891" s="110" t="s">
        <v>298</v>
      </c>
      <c r="Y2891" s="111">
        <v>10</v>
      </c>
      <c r="Z2891" s="111">
        <f t="shared" si="283"/>
        <v>880</v>
      </c>
      <c r="AA2891" s="112"/>
    </row>
    <row r="2892" spans="14:32" ht="8.25" customHeight="1" x14ac:dyDescent="0.25">
      <c r="X2892" s="110" t="s">
        <v>2242</v>
      </c>
      <c r="Y2892" s="111">
        <v>5</v>
      </c>
      <c r="Z2892" s="111">
        <f t="shared" si="283"/>
        <v>1600</v>
      </c>
      <c r="AA2892" s="112"/>
    </row>
    <row r="2893" spans="14:32" ht="8.25" customHeight="1" x14ac:dyDescent="0.25">
      <c r="X2893" s="269"/>
      <c r="Y2893" s="270"/>
      <c r="Z2893" s="271"/>
      <c r="AA2893" s="38"/>
    </row>
    <row r="2894" spans="14:32" ht="8.25" customHeight="1" x14ac:dyDescent="0.25">
      <c r="X2894" s="110" t="s">
        <v>2726</v>
      </c>
      <c r="Y2894" s="111">
        <v>1</v>
      </c>
      <c r="Z2894" s="111">
        <f t="shared" ref="Z2894:Z2899" si="284">X2894*Y2894</f>
        <v>1074</v>
      </c>
      <c r="AA2894" s="76"/>
    </row>
    <row r="2895" spans="14:32" ht="8.25" customHeight="1" x14ac:dyDescent="0.25">
      <c r="X2895" s="110" t="s">
        <v>1496</v>
      </c>
      <c r="Y2895" s="111">
        <v>0.5</v>
      </c>
      <c r="Z2895" s="111">
        <f t="shared" si="284"/>
        <v>40.5</v>
      </c>
      <c r="AA2895" s="112"/>
    </row>
    <row r="2896" spans="14:32" ht="8.25" customHeight="1" x14ac:dyDescent="0.25">
      <c r="X2896" s="110" t="s">
        <v>259</v>
      </c>
      <c r="Y2896" s="111">
        <v>0.25</v>
      </c>
      <c r="Z2896" s="111">
        <f t="shared" si="284"/>
        <v>20</v>
      </c>
      <c r="AA2896" s="113"/>
    </row>
    <row r="2897" spans="9:34" ht="8.25" customHeight="1" x14ac:dyDescent="0.25">
      <c r="X2897" s="110"/>
      <c r="Y2897" s="111">
        <v>0.1</v>
      </c>
      <c r="Z2897" s="111">
        <f t="shared" si="284"/>
        <v>0</v>
      </c>
      <c r="AA2897" s="114" t="s">
        <v>219</v>
      </c>
      <c r="AH2897" s="257"/>
    </row>
    <row r="2898" spans="9:34" ht="8.25" customHeight="1" thickBot="1" x14ac:dyDescent="0.3">
      <c r="X2898" s="110" t="s">
        <v>222</v>
      </c>
      <c r="Y2898" s="111">
        <v>0.05</v>
      </c>
      <c r="Z2898" s="111">
        <f t="shared" si="284"/>
        <v>0.05</v>
      </c>
      <c r="AA2898" s="115">
        <f>SUM(Z2887:Z2892)+Z2894+Z2895+Z2896+Z2897+Z2898+Z2899</f>
        <v>185374.55</v>
      </c>
    </row>
    <row r="2899" spans="9:34" ht="8.25" customHeight="1" thickTop="1" x14ac:dyDescent="0.25">
      <c r="X2899" s="110"/>
      <c r="Y2899" s="111">
        <v>0.01</v>
      </c>
      <c r="Z2899" s="111">
        <f t="shared" si="284"/>
        <v>0</v>
      </c>
    </row>
    <row r="2900" spans="9:34" ht="8.25" customHeight="1" x14ac:dyDescent="0.25">
      <c r="AH2900" s="258"/>
    </row>
    <row r="2901" spans="9:34" ht="8.25" customHeight="1" x14ac:dyDescent="0.25">
      <c r="Z2901" s="231" t="s">
        <v>1376</v>
      </c>
      <c r="AF2901" s="76">
        <f>AF2884</f>
        <v>185374.54999999938</v>
      </c>
    </row>
    <row r="2902" spans="9:34" ht="8.25" customHeight="1" x14ac:dyDescent="0.25">
      <c r="N2902" s="52">
        <v>67</v>
      </c>
      <c r="T2902" s="33">
        <v>46141</v>
      </c>
      <c r="U2902" s="34">
        <v>2026</v>
      </c>
      <c r="V2902" s="35" t="s">
        <v>1982</v>
      </c>
      <c r="W2902" s="35" t="s">
        <v>17</v>
      </c>
      <c r="X2902" s="37" t="s">
        <v>2414</v>
      </c>
      <c r="Y2902" s="36" t="s">
        <v>1744</v>
      </c>
      <c r="Z2902" s="30" t="s">
        <v>1745</v>
      </c>
      <c r="AA2902" s="30" t="s">
        <v>3708</v>
      </c>
      <c r="AD2902" s="38">
        <v>829.28</v>
      </c>
      <c r="AF2902" s="76">
        <f>AF2901+AD2902-AE2902</f>
        <v>186203.82999999938</v>
      </c>
    </row>
    <row r="2903" spans="9:34" ht="8.25" customHeight="1" x14ac:dyDescent="0.15">
      <c r="N2903" s="52">
        <v>67</v>
      </c>
      <c r="T2903" s="33">
        <v>46141</v>
      </c>
      <c r="U2903" s="34">
        <v>2026</v>
      </c>
      <c r="V2903" s="35" t="s">
        <v>1982</v>
      </c>
      <c r="W2903" s="35" t="s">
        <v>17</v>
      </c>
      <c r="X2903" s="37" t="s">
        <v>2414</v>
      </c>
      <c r="Y2903" s="36" t="s">
        <v>1744</v>
      </c>
      <c r="Z2903" s="30" t="s">
        <v>1745</v>
      </c>
      <c r="AA2903" s="134" t="s">
        <v>183</v>
      </c>
      <c r="AD2903" s="38">
        <v>191.72</v>
      </c>
      <c r="AF2903" s="76">
        <f>AF2902+AD2903-AE2903</f>
        <v>186395.54999999938</v>
      </c>
    </row>
    <row r="2904" spans="9:34" ht="8.25" customHeight="1" x14ac:dyDescent="0.25">
      <c r="K2904" s="52">
        <v>13</v>
      </c>
      <c r="T2904" s="33">
        <v>46141</v>
      </c>
      <c r="U2904" s="34">
        <v>2026</v>
      </c>
      <c r="V2904" s="35" t="s">
        <v>1982</v>
      </c>
      <c r="W2904" s="35" t="s">
        <v>17</v>
      </c>
      <c r="X2904" s="37" t="s">
        <v>2415</v>
      </c>
      <c r="Y2904" s="36" t="s">
        <v>2416</v>
      </c>
      <c r="Z2904" s="30" t="s">
        <v>2417</v>
      </c>
      <c r="AA2904" s="30" t="s">
        <v>1788</v>
      </c>
      <c r="AD2904" s="38">
        <v>100</v>
      </c>
      <c r="AF2904" s="76">
        <f t="shared" ref="AF2904:AF2917" si="285">AF2903+AD2904-AE2904</f>
        <v>186495.54999999938</v>
      </c>
    </row>
    <row r="2905" spans="9:34" ht="8.25" customHeight="1" x14ac:dyDescent="0.25">
      <c r="L2905" s="52">
        <v>13</v>
      </c>
      <c r="T2905" s="33">
        <v>46141</v>
      </c>
      <c r="U2905" s="34">
        <v>2026</v>
      </c>
      <c r="V2905" s="35" t="s">
        <v>1982</v>
      </c>
      <c r="W2905" s="35" t="s">
        <v>17</v>
      </c>
      <c r="X2905" s="37" t="s">
        <v>2418</v>
      </c>
      <c r="Y2905" s="36" t="s">
        <v>120</v>
      </c>
      <c r="Z2905" s="30" t="s">
        <v>2417</v>
      </c>
      <c r="AA2905" s="30" t="s">
        <v>373</v>
      </c>
      <c r="AD2905" s="38">
        <v>50</v>
      </c>
      <c r="AF2905" s="76">
        <f t="shared" si="285"/>
        <v>186545.54999999938</v>
      </c>
    </row>
    <row r="2906" spans="9:34" ht="8.25" customHeight="1" x14ac:dyDescent="0.25">
      <c r="K2906" s="52">
        <v>14</v>
      </c>
      <c r="T2906" s="33">
        <v>46141</v>
      </c>
      <c r="U2906" s="34">
        <v>2026</v>
      </c>
      <c r="V2906" s="35" t="s">
        <v>1982</v>
      </c>
      <c r="W2906" s="35" t="s">
        <v>17</v>
      </c>
      <c r="X2906" s="37" t="s">
        <v>2419</v>
      </c>
      <c r="Y2906" s="36" t="s">
        <v>2420</v>
      </c>
      <c r="Z2906" s="30" t="s">
        <v>2421</v>
      </c>
      <c r="AA2906" s="30" t="s">
        <v>1788</v>
      </c>
      <c r="AD2906" s="38">
        <v>100</v>
      </c>
      <c r="AF2906" s="76">
        <f t="shared" si="285"/>
        <v>186645.54999999938</v>
      </c>
    </row>
    <row r="2907" spans="9:34" ht="8.25" customHeight="1" x14ac:dyDescent="0.25">
      <c r="L2907" s="52">
        <v>14</v>
      </c>
      <c r="T2907" s="33">
        <v>46141</v>
      </c>
      <c r="U2907" s="34">
        <v>2026</v>
      </c>
      <c r="V2907" s="35" t="s">
        <v>1982</v>
      </c>
      <c r="W2907" s="35" t="s">
        <v>17</v>
      </c>
      <c r="X2907" s="37" t="s">
        <v>2422</v>
      </c>
      <c r="Y2907" s="36" t="s">
        <v>120</v>
      </c>
      <c r="Z2907" s="30" t="s">
        <v>2421</v>
      </c>
      <c r="AA2907" s="30" t="s">
        <v>373</v>
      </c>
      <c r="AD2907" s="38">
        <v>50</v>
      </c>
      <c r="AF2907" s="76">
        <f t="shared" si="285"/>
        <v>186695.54999999938</v>
      </c>
    </row>
    <row r="2908" spans="9:34" ht="8.25" customHeight="1" x14ac:dyDescent="0.25">
      <c r="I2908" s="52">
        <v>38</v>
      </c>
      <c r="T2908" s="33">
        <v>46141</v>
      </c>
      <c r="U2908" s="34">
        <v>2026</v>
      </c>
      <c r="V2908" s="35" t="s">
        <v>1982</v>
      </c>
      <c r="W2908" s="35" t="s">
        <v>17</v>
      </c>
      <c r="X2908" s="37" t="s">
        <v>2423</v>
      </c>
      <c r="Y2908" s="36" t="s">
        <v>2034</v>
      </c>
      <c r="Z2908" s="30" t="s">
        <v>2031</v>
      </c>
      <c r="AA2908" s="30" t="s">
        <v>1044</v>
      </c>
      <c r="AD2908" s="38">
        <v>2500</v>
      </c>
      <c r="AF2908" s="76">
        <f t="shared" si="285"/>
        <v>189195.54999999938</v>
      </c>
    </row>
    <row r="2909" spans="9:34" ht="8.25" customHeight="1" x14ac:dyDescent="0.25">
      <c r="N2909" s="52">
        <v>68</v>
      </c>
      <c r="T2909" s="33">
        <v>46141</v>
      </c>
      <c r="U2909" s="34">
        <v>2026</v>
      </c>
      <c r="V2909" s="35" t="s">
        <v>1982</v>
      </c>
      <c r="W2909" s="35" t="s">
        <v>17</v>
      </c>
      <c r="X2909" s="37" t="s">
        <v>2431</v>
      </c>
      <c r="Y2909" s="36" t="s">
        <v>2432</v>
      </c>
      <c r="Z2909" s="30" t="s">
        <v>1646</v>
      </c>
      <c r="AA2909" s="30" t="s">
        <v>3708</v>
      </c>
      <c r="AD2909" s="38">
        <v>499.95</v>
      </c>
      <c r="AF2909" s="76">
        <f t="shared" si="285"/>
        <v>189695.49999999939</v>
      </c>
    </row>
    <row r="2910" spans="9:34" ht="8.25" customHeight="1" x14ac:dyDescent="0.15">
      <c r="N2910" s="52">
        <v>68</v>
      </c>
      <c r="T2910" s="33">
        <v>46141</v>
      </c>
      <c r="U2910" s="34">
        <v>2026</v>
      </c>
      <c r="V2910" s="35" t="s">
        <v>1982</v>
      </c>
      <c r="W2910" s="35" t="s">
        <v>17</v>
      </c>
      <c r="X2910" s="37" t="s">
        <v>2431</v>
      </c>
      <c r="Y2910" s="36" t="s">
        <v>2432</v>
      </c>
      <c r="Z2910" s="30" t="s">
        <v>1646</v>
      </c>
      <c r="AA2910" s="134" t="s">
        <v>183</v>
      </c>
      <c r="AD2910" s="38">
        <v>155.05000000000001</v>
      </c>
      <c r="AF2910" s="76">
        <f t="shared" si="285"/>
        <v>189850.54999999938</v>
      </c>
    </row>
    <row r="2911" spans="9:34" ht="8.25" customHeight="1" x14ac:dyDescent="0.25">
      <c r="N2911" s="52">
        <v>68</v>
      </c>
      <c r="T2911" s="33">
        <v>46141</v>
      </c>
      <c r="U2911" s="34">
        <v>2026</v>
      </c>
      <c r="V2911" s="35" t="s">
        <v>1982</v>
      </c>
      <c r="W2911" s="35" t="s">
        <v>17</v>
      </c>
      <c r="X2911" s="37" t="s">
        <v>2431</v>
      </c>
      <c r="Y2911" s="36" t="s">
        <v>2432</v>
      </c>
      <c r="Z2911" s="30" t="s">
        <v>1646</v>
      </c>
      <c r="AA2911" s="30" t="s">
        <v>3306</v>
      </c>
      <c r="AD2911" s="38">
        <v>25</v>
      </c>
      <c r="AF2911" s="76">
        <f t="shared" si="285"/>
        <v>189875.54999999938</v>
      </c>
    </row>
    <row r="2912" spans="9:34" ht="8.25" customHeight="1" x14ac:dyDescent="0.25">
      <c r="I2912" s="52">
        <v>39</v>
      </c>
      <c r="T2912" s="33">
        <v>46141</v>
      </c>
      <c r="U2912" s="34">
        <v>2026</v>
      </c>
      <c r="V2912" s="35" t="s">
        <v>1982</v>
      </c>
      <c r="W2912" s="35" t="s">
        <v>17</v>
      </c>
      <c r="X2912" s="37" t="s">
        <v>2434</v>
      </c>
      <c r="Y2912" s="36" t="s">
        <v>2435</v>
      </c>
      <c r="Z2912" s="30" t="s">
        <v>2417</v>
      </c>
      <c r="AA2912" s="30" t="s">
        <v>1044</v>
      </c>
      <c r="AD2912" s="38">
        <v>17045.46</v>
      </c>
      <c r="AF2912" s="76">
        <f t="shared" si="285"/>
        <v>206921.00999999937</v>
      </c>
    </row>
    <row r="2913" spans="3:32" ht="8.25" customHeight="1" x14ac:dyDescent="0.25">
      <c r="M2913" s="52">
        <v>6</v>
      </c>
      <c r="T2913" s="33">
        <v>46141</v>
      </c>
      <c r="U2913" s="34">
        <v>2026</v>
      </c>
      <c r="V2913" s="35" t="s">
        <v>1982</v>
      </c>
      <c r="W2913" s="35" t="s">
        <v>17</v>
      </c>
      <c r="X2913" s="37" t="s">
        <v>2487</v>
      </c>
      <c r="Y2913" s="36" t="s">
        <v>120</v>
      </c>
      <c r="Z2913" s="30" t="s">
        <v>2417</v>
      </c>
      <c r="AA2913" s="30" t="s">
        <v>385</v>
      </c>
      <c r="AD2913" s="38">
        <v>3409.09</v>
      </c>
      <c r="AF2913" s="76">
        <f t="shared" si="285"/>
        <v>210330.09999999937</v>
      </c>
    </row>
    <row r="2914" spans="3:32" ht="8.25" customHeight="1" x14ac:dyDescent="0.25">
      <c r="C2914" s="52">
        <v>11</v>
      </c>
      <c r="T2914" s="33">
        <v>46141</v>
      </c>
      <c r="U2914" s="34">
        <v>2026</v>
      </c>
      <c r="V2914" s="35" t="s">
        <v>1982</v>
      </c>
      <c r="W2914" s="35" t="s">
        <v>3620</v>
      </c>
      <c r="X2914" s="37" t="s">
        <v>2424</v>
      </c>
      <c r="Y2914" s="36" t="s">
        <v>2425</v>
      </c>
      <c r="Z2914" s="30" t="s">
        <v>2426</v>
      </c>
      <c r="AA2914" s="30" t="s">
        <v>340</v>
      </c>
      <c r="AD2914" s="38">
        <v>20</v>
      </c>
      <c r="AF2914" s="76">
        <f t="shared" si="285"/>
        <v>210350.09999999937</v>
      </c>
    </row>
    <row r="2915" spans="3:32" ht="8.25" customHeight="1" x14ac:dyDescent="0.25">
      <c r="C2915" s="52">
        <v>12</v>
      </c>
      <c r="T2915" s="33">
        <v>46141</v>
      </c>
      <c r="U2915" s="34">
        <v>2026</v>
      </c>
      <c r="V2915" s="35" t="s">
        <v>1982</v>
      </c>
      <c r="W2915" s="35" t="s">
        <v>3620</v>
      </c>
      <c r="X2915" s="37" t="s">
        <v>2429</v>
      </c>
      <c r="Y2915" s="36" t="s">
        <v>2428</v>
      </c>
      <c r="Z2915" s="30" t="s">
        <v>2427</v>
      </c>
      <c r="AA2915" s="30" t="s">
        <v>340</v>
      </c>
      <c r="AD2915" s="38">
        <v>115</v>
      </c>
      <c r="AF2915" s="76">
        <f t="shared" si="285"/>
        <v>210465.09999999937</v>
      </c>
    </row>
    <row r="2916" spans="3:32" ht="8.25" customHeight="1" x14ac:dyDescent="0.25">
      <c r="R2916" s="53">
        <v>32</v>
      </c>
      <c r="T2916" s="33">
        <v>46141</v>
      </c>
      <c r="U2916" s="34">
        <v>2026</v>
      </c>
      <c r="V2916" s="35" t="s">
        <v>1982</v>
      </c>
      <c r="W2916" s="35" t="s">
        <v>17</v>
      </c>
      <c r="X2916" s="37" t="s">
        <v>2436</v>
      </c>
      <c r="Y2916" s="36" t="s">
        <v>411</v>
      </c>
      <c r="Z2916" s="30" t="s">
        <v>412</v>
      </c>
      <c r="AA2916" s="30" t="s">
        <v>2719</v>
      </c>
      <c r="AE2916" s="38">
        <v>20454.55</v>
      </c>
      <c r="AF2916" s="76">
        <f t="shared" si="285"/>
        <v>190010.54999999938</v>
      </c>
    </row>
    <row r="2917" spans="3:32" ht="8.25" customHeight="1" x14ac:dyDescent="0.25">
      <c r="R2917" s="53">
        <v>33</v>
      </c>
      <c r="T2917" s="33">
        <v>46141</v>
      </c>
      <c r="U2917" s="34">
        <v>2026</v>
      </c>
      <c r="V2917" s="35" t="s">
        <v>1982</v>
      </c>
      <c r="W2917" s="35" t="s">
        <v>17</v>
      </c>
      <c r="X2917" s="37" t="s">
        <v>2430</v>
      </c>
      <c r="Y2917" s="36" t="s">
        <v>411</v>
      </c>
      <c r="Z2917" s="30" t="s">
        <v>412</v>
      </c>
      <c r="AA2917" s="30" t="s">
        <v>1882</v>
      </c>
      <c r="AE2917" s="38">
        <v>70000</v>
      </c>
      <c r="AF2917" s="76">
        <f t="shared" si="285"/>
        <v>120010.54999999938</v>
      </c>
    </row>
    <row r="2918" spans="3:32" ht="8.25" customHeight="1" thickBot="1" x14ac:dyDescent="0.3">
      <c r="AA2918" s="75" t="s">
        <v>2139</v>
      </c>
      <c r="AD2918" s="253">
        <f>SUM(AD2902:AD2917)</f>
        <v>25090.55</v>
      </c>
      <c r="AE2918" s="253">
        <f>SUM(AE2902:AE2917)</f>
        <v>90454.55</v>
      </c>
      <c r="AF2918" s="233">
        <f>AF2901+AD2918-AE2918</f>
        <v>120010.54999999936</v>
      </c>
    </row>
    <row r="2919" spans="3:32" ht="8.25" customHeight="1" thickTop="1" x14ac:dyDescent="0.25"/>
    <row r="2920" spans="3:32" ht="8.25" customHeight="1" x14ac:dyDescent="0.25">
      <c r="X2920" s="109"/>
      <c r="Y2920" s="67" t="s">
        <v>214</v>
      </c>
      <c r="Z2920" s="68"/>
      <c r="AA2920" s="75"/>
    </row>
    <row r="2921" spans="3:32" ht="8.25" customHeight="1" x14ac:dyDescent="0.25">
      <c r="X2921" s="110" t="s">
        <v>2394</v>
      </c>
      <c r="Y2921" s="111">
        <v>200</v>
      </c>
      <c r="Z2921" s="111">
        <f t="shared" ref="Z2921:Z2926" si="286">X2921*Y2921</f>
        <v>5000</v>
      </c>
      <c r="AA2921" s="112"/>
    </row>
    <row r="2922" spans="3:32" ht="8.25" customHeight="1" x14ac:dyDescent="0.25">
      <c r="X2922" s="110" t="s">
        <v>2433</v>
      </c>
      <c r="Y2922" s="111">
        <v>100</v>
      </c>
      <c r="Z2922" s="111">
        <f t="shared" si="286"/>
        <v>110900</v>
      </c>
      <c r="AA2922" s="112"/>
    </row>
    <row r="2923" spans="3:32" ht="8.25" customHeight="1" x14ac:dyDescent="0.25">
      <c r="X2923" s="110" t="s">
        <v>1372</v>
      </c>
      <c r="Y2923" s="111">
        <v>50</v>
      </c>
      <c r="Z2923" s="111">
        <f t="shared" si="286"/>
        <v>450</v>
      </c>
      <c r="AA2923" s="76"/>
    </row>
    <row r="2924" spans="3:32" ht="8.25" customHeight="1" x14ac:dyDescent="0.25">
      <c r="X2924" s="110" t="s">
        <v>223</v>
      </c>
      <c r="Y2924" s="111">
        <v>20</v>
      </c>
      <c r="Z2924" s="111">
        <f t="shared" si="286"/>
        <v>60</v>
      </c>
      <c r="AA2924" s="38"/>
    </row>
    <row r="2925" spans="3:32" ht="8.25" customHeight="1" x14ac:dyDescent="0.25">
      <c r="X2925" s="110" t="s">
        <v>260</v>
      </c>
      <c r="Y2925" s="111">
        <v>10</v>
      </c>
      <c r="Z2925" s="111">
        <f t="shared" si="286"/>
        <v>870</v>
      </c>
      <c r="AA2925" s="112"/>
    </row>
    <row r="2926" spans="3:32" ht="8.25" customHeight="1" x14ac:dyDescent="0.25">
      <c r="X2926" s="110" t="s">
        <v>2341</v>
      </c>
      <c r="Y2926" s="111">
        <v>5</v>
      </c>
      <c r="Z2926" s="111">
        <f t="shared" si="286"/>
        <v>1595</v>
      </c>
      <c r="AA2926" s="112"/>
    </row>
    <row r="2927" spans="3:32" ht="8.25" customHeight="1" x14ac:dyDescent="0.25">
      <c r="X2927" s="269"/>
      <c r="Y2927" s="270"/>
      <c r="Z2927" s="271"/>
      <c r="AA2927" s="38"/>
    </row>
    <row r="2928" spans="3:32" ht="8.25" customHeight="1" x14ac:dyDescent="0.25">
      <c r="X2928" s="110" t="s">
        <v>2412</v>
      </c>
      <c r="Y2928" s="111">
        <v>1</v>
      </c>
      <c r="Z2928" s="111">
        <f t="shared" ref="Z2928:Z2933" si="287">X2928*Y2928</f>
        <v>1075</v>
      </c>
      <c r="AA2928" s="76"/>
    </row>
    <row r="2929" spans="9:32" ht="8.25" customHeight="1" x14ac:dyDescent="0.25">
      <c r="X2929" s="110" t="s">
        <v>1496</v>
      </c>
      <c r="Y2929" s="111">
        <v>0.5</v>
      </c>
      <c r="Z2929" s="111">
        <f t="shared" si="287"/>
        <v>40.5</v>
      </c>
      <c r="AA2929" s="112"/>
    </row>
    <row r="2930" spans="9:32" ht="8.25" customHeight="1" x14ac:dyDescent="0.25">
      <c r="X2930" s="110" t="s">
        <v>259</v>
      </c>
      <c r="Y2930" s="111">
        <v>0.25</v>
      </c>
      <c r="Z2930" s="111">
        <f t="shared" si="287"/>
        <v>20</v>
      </c>
      <c r="AA2930" s="113"/>
    </row>
    <row r="2931" spans="9:32" ht="8.25" customHeight="1" x14ac:dyDescent="0.25">
      <c r="X2931" s="110"/>
      <c r="Y2931" s="111">
        <v>0.1</v>
      </c>
      <c r="Z2931" s="111">
        <f t="shared" si="287"/>
        <v>0</v>
      </c>
      <c r="AA2931" s="114" t="s">
        <v>219</v>
      </c>
    </row>
    <row r="2932" spans="9:32" ht="8.25" customHeight="1" thickBot="1" x14ac:dyDescent="0.3">
      <c r="X2932" s="110" t="s">
        <v>222</v>
      </c>
      <c r="Y2932" s="111">
        <v>0.05</v>
      </c>
      <c r="Z2932" s="111">
        <f t="shared" si="287"/>
        <v>0.05</v>
      </c>
      <c r="AA2932" s="115">
        <f>SUM(Z2921:Z2926)+Z2928+Z2929+Z2930+Z2931+Z2932+Z2933</f>
        <v>120010.55</v>
      </c>
    </row>
    <row r="2933" spans="9:32" ht="8.25" customHeight="1" thickTop="1" x14ac:dyDescent="0.25">
      <c r="X2933" s="110"/>
      <c r="Y2933" s="111">
        <v>0.01</v>
      </c>
      <c r="Z2933" s="111">
        <f t="shared" si="287"/>
        <v>0</v>
      </c>
    </row>
    <row r="2935" spans="9:32" ht="8.25" customHeight="1" x14ac:dyDescent="0.25">
      <c r="Z2935" s="231" t="s">
        <v>1376</v>
      </c>
      <c r="AF2935" s="76">
        <f>AF2918</f>
        <v>120010.54999999936</v>
      </c>
    </row>
    <row r="2936" spans="9:32" ht="8.25" customHeight="1" x14ac:dyDescent="0.25">
      <c r="N2936" s="52">
        <v>69</v>
      </c>
      <c r="T2936" s="33">
        <v>46142</v>
      </c>
      <c r="U2936" s="34">
        <v>2026</v>
      </c>
      <c r="V2936" s="35" t="s">
        <v>1982</v>
      </c>
      <c r="W2936" s="35" t="s">
        <v>17</v>
      </c>
      <c r="X2936" s="37" t="s">
        <v>2437</v>
      </c>
      <c r="Y2936" s="36" t="s">
        <v>120</v>
      </c>
      <c r="Z2936" s="30" t="s">
        <v>2438</v>
      </c>
      <c r="AA2936" s="30" t="s">
        <v>1195</v>
      </c>
      <c r="AD2936" s="38">
        <v>5</v>
      </c>
      <c r="AF2936" s="76">
        <f>AF2935+AD2936-AE2936</f>
        <v>120015.54999999936</v>
      </c>
    </row>
    <row r="2937" spans="9:32" ht="8.25" customHeight="1" x14ac:dyDescent="0.25">
      <c r="I2937" s="52">
        <v>40</v>
      </c>
      <c r="T2937" s="33">
        <v>46142</v>
      </c>
      <c r="U2937" s="34">
        <v>2026</v>
      </c>
      <c r="V2937" s="35" t="s">
        <v>1982</v>
      </c>
      <c r="W2937" s="35" t="s">
        <v>17</v>
      </c>
      <c r="X2937" s="37" t="s">
        <v>2440</v>
      </c>
      <c r="Y2937" s="36" t="s">
        <v>2441</v>
      </c>
      <c r="Z2937" s="30" t="s">
        <v>2421</v>
      </c>
      <c r="AA2937" s="30" t="s">
        <v>1044</v>
      </c>
      <c r="AD2937" s="38">
        <v>100</v>
      </c>
      <c r="AF2937" s="76">
        <f>AF2936+AD2937-AE2937</f>
        <v>120115.54999999936</v>
      </c>
    </row>
    <row r="2938" spans="9:32" ht="8.25" customHeight="1" x14ac:dyDescent="0.25">
      <c r="I2938" s="52">
        <v>41</v>
      </c>
      <c r="T2938" s="33">
        <v>46142</v>
      </c>
      <c r="U2938" s="34">
        <v>2026</v>
      </c>
      <c r="V2938" s="35" t="s">
        <v>1982</v>
      </c>
      <c r="W2938" s="35" t="s">
        <v>17</v>
      </c>
      <c r="X2938" s="37" t="s">
        <v>2442</v>
      </c>
      <c r="Y2938" s="36" t="s">
        <v>738</v>
      </c>
      <c r="Z2938" s="30" t="s">
        <v>645</v>
      </c>
      <c r="AA2938" s="30" t="s">
        <v>1044</v>
      </c>
      <c r="AD2938" s="38">
        <v>100</v>
      </c>
      <c r="AF2938" s="76">
        <f t="shared" ref="AF2938:AF2946" si="288">AF2937+AD2938-AE2938</f>
        <v>120215.54999999936</v>
      </c>
    </row>
    <row r="2939" spans="9:32" ht="8.25" customHeight="1" x14ac:dyDescent="0.25">
      <c r="I2939" s="52">
        <v>42</v>
      </c>
      <c r="T2939" s="33">
        <v>46142</v>
      </c>
      <c r="U2939" s="34">
        <v>2026</v>
      </c>
      <c r="V2939" s="35" t="s">
        <v>1982</v>
      </c>
      <c r="W2939" s="35" t="s">
        <v>17</v>
      </c>
      <c r="X2939" s="37" t="s">
        <v>2443</v>
      </c>
      <c r="Y2939" s="36" t="s">
        <v>1142</v>
      </c>
      <c r="Z2939" s="30" t="s">
        <v>2294</v>
      </c>
      <c r="AA2939" s="30" t="s">
        <v>1044</v>
      </c>
      <c r="AD2939" s="38">
        <v>300</v>
      </c>
      <c r="AF2939" s="76">
        <f t="shared" si="288"/>
        <v>120515.54999999936</v>
      </c>
    </row>
    <row r="2940" spans="9:32" ht="8.25" customHeight="1" x14ac:dyDescent="0.25">
      <c r="N2940" s="52">
        <v>70</v>
      </c>
      <c r="T2940" s="33">
        <v>46142</v>
      </c>
      <c r="U2940" s="34">
        <v>2026</v>
      </c>
      <c r="V2940" s="35" t="s">
        <v>1982</v>
      </c>
      <c r="W2940" s="35" t="s">
        <v>17</v>
      </c>
      <c r="X2940" s="37" t="s">
        <v>2444</v>
      </c>
      <c r="Y2940" s="36" t="s">
        <v>1424</v>
      </c>
      <c r="Z2940" s="30" t="s">
        <v>1425</v>
      </c>
      <c r="AA2940" s="30" t="s">
        <v>3899</v>
      </c>
      <c r="AD2940" s="38">
        <v>1271.73</v>
      </c>
      <c r="AF2940" s="76">
        <f t="shared" si="288"/>
        <v>121787.27999999936</v>
      </c>
    </row>
    <row r="2941" spans="9:32" ht="8.25" customHeight="1" x14ac:dyDescent="0.15">
      <c r="N2941" s="52">
        <v>70</v>
      </c>
      <c r="T2941" s="33">
        <v>46142</v>
      </c>
      <c r="U2941" s="34">
        <v>2026</v>
      </c>
      <c r="V2941" s="35" t="s">
        <v>1982</v>
      </c>
      <c r="W2941" s="35" t="s">
        <v>17</v>
      </c>
      <c r="X2941" s="37" t="s">
        <v>2444</v>
      </c>
      <c r="Y2941" s="36" t="s">
        <v>1424</v>
      </c>
      <c r="Z2941" s="30" t="s">
        <v>1425</v>
      </c>
      <c r="AA2941" s="134" t="s">
        <v>166</v>
      </c>
      <c r="AD2941" s="38">
        <v>728.27</v>
      </c>
      <c r="AF2941" s="76">
        <f t="shared" si="288"/>
        <v>122515.54999999936</v>
      </c>
    </row>
    <row r="2942" spans="9:32" ht="8.25" customHeight="1" x14ac:dyDescent="0.25">
      <c r="N2942" s="52">
        <v>71</v>
      </c>
      <c r="T2942" s="33">
        <v>46142</v>
      </c>
      <c r="U2942" s="34">
        <v>2026</v>
      </c>
      <c r="V2942" s="35" t="s">
        <v>1982</v>
      </c>
      <c r="W2942" s="35" t="s">
        <v>17</v>
      </c>
      <c r="X2942" s="37" t="s">
        <v>2446</v>
      </c>
      <c r="Y2942" s="36" t="s">
        <v>1387</v>
      </c>
      <c r="Z2942" s="30" t="s">
        <v>645</v>
      </c>
      <c r="AA2942" s="30" t="s">
        <v>3708</v>
      </c>
      <c r="AD2942" s="38">
        <v>2615.6</v>
      </c>
      <c r="AF2942" s="76">
        <f t="shared" si="288"/>
        <v>125131.14999999937</v>
      </c>
    </row>
    <row r="2943" spans="9:32" ht="8.25" customHeight="1" x14ac:dyDescent="0.15">
      <c r="N2943" s="52">
        <v>71</v>
      </c>
      <c r="T2943" s="33">
        <v>46142</v>
      </c>
      <c r="U2943" s="34">
        <v>2026</v>
      </c>
      <c r="V2943" s="35" t="s">
        <v>1982</v>
      </c>
      <c r="W2943" s="35" t="s">
        <v>17</v>
      </c>
      <c r="X2943" s="37" t="s">
        <v>2446</v>
      </c>
      <c r="Y2943" s="36" t="s">
        <v>1387</v>
      </c>
      <c r="Z2943" s="30" t="s">
        <v>645</v>
      </c>
      <c r="AA2943" s="134" t="s">
        <v>183</v>
      </c>
      <c r="AD2943" s="38">
        <v>484.4</v>
      </c>
      <c r="AF2943" s="76">
        <f t="shared" si="288"/>
        <v>125615.54999999936</v>
      </c>
    </row>
    <row r="2944" spans="9:32" ht="8.25" customHeight="1" x14ac:dyDescent="0.25">
      <c r="R2944" s="53">
        <v>34</v>
      </c>
      <c r="T2944" s="33">
        <v>46142</v>
      </c>
      <c r="U2944" s="34">
        <v>2026</v>
      </c>
      <c r="V2944" s="35" t="s">
        <v>1982</v>
      </c>
      <c r="W2944" s="35" t="s">
        <v>17</v>
      </c>
      <c r="X2944" s="37" t="s">
        <v>2447</v>
      </c>
      <c r="Y2944" s="36" t="s">
        <v>411</v>
      </c>
      <c r="Z2944" s="30" t="s">
        <v>412</v>
      </c>
      <c r="AA2944" s="30" t="s">
        <v>2719</v>
      </c>
      <c r="AE2944" s="38">
        <v>3100</v>
      </c>
      <c r="AF2944" s="76">
        <f t="shared" si="288"/>
        <v>122515.54999999936</v>
      </c>
    </row>
    <row r="2945" spans="18:32" ht="8.25" customHeight="1" x14ac:dyDescent="0.25">
      <c r="R2945" s="53">
        <v>35</v>
      </c>
      <c r="T2945" s="33">
        <v>46142</v>
      </c>
      <c r="U2945" s="34">
        <v>2026</v>
      </c>
      <c r="V2945" s="35" t="s">
        <v>1982</v>
      </c>
      <c r="W2945" s="35" t="s">
        <v>5</v>
      </c>
      <c r="X2945" s="37" t="s">
        <v>2439</v>
      </c>
      <c r="Y2945" s="36" t="s">
        <v>367</v>
      </c>
      <c r="Z2945" s="30" t="s">
        <v>2438</v>
      </c>
      <c r="AA2945" s="30" t="s">
        <v>92</v>
      </c>
      <c r="AE2945" s="38">
        <v>1000</v>
      </c>
      <c r="AF2945" s="76">
        <f t="shared" si="288"/>
        <v>121515.54999999936</v>
      </c>
    </row>
    <row r="2946" spans="18:32" ht="8.25" customHeight="1" x14ac:dyDescent="0.25">
      <c r="R2946" s="53">
        <v>36</v>
      </c>
      <c r="T2946" s="33">
        <v>46142</v>
      </c>
      <c r="U2946" s="34">
        <v>2026</v>
      </c>
      <c r="V2946" s="35" t="s">
        <v>1982</v>
      </c>
      <c r="W2946" s="35" t="s">
        <v>5</v>
      </c>
      <c r="X2946" s="37" t="s">
        <v>2445</v>
      </c>
      <c r="Y2946" s="36" t="s">
        <v>1056</v>
      </c>
      <c r="Z2946" s="30" t="s">
        <v>1425</v>
      </c>
      <c r="AA2946" s="30" t="s">
        <v>92</v>
      </c>
      <c r="AE2946" s="38">
        <v>2000</v>
      </c>
      <c r="AF2946" s="76">
        <f t="shared" si="288"/>
        <v>119515.54999999936</v>
      </c>
    </row>
    <row r="2947" spans="18:32" ht="8.25" customHeight="1" thickBot="1" x14ac:dyDescent="0.3">
      <c r="AA2947" s="75" t="s">
        <v>2139</v>
      </c>
      <c r="AD2947" s="253">
        <f>SUM(AD2936:AD2946)</f>
        <v>5605</v>
      </c>
      <c r="AE2947" s="253">
        <f>SUM(AE2936:AE2946)</f>
        <v>6100</v>
      </c>
      <c r="AF2947" s="233">
        <f>AF2935+AD2947-AE2947</f>
        <v>119515.54999999936</v>
      </c>
    </row>
    <row r="2948" spans="18:32" ht="8.25" customHeight="1" thickTop="1" x14ac:dyDescent="0.25"/>
    <row r="2949" spans="18:32" ht="8.25" customHeight="1" x14ac:dyDescent="0.25">
      <c r="AA2949" s="261" t="s">
        <v>3425</v>
      </c>
      <c r="AD2949" s="38">
        <f>AD2787+AD2812+AD2848+AD2884+AD2918+AD2947</f>
        <v>250445.53999999998</v>
      </c>
      <c r="AE2949" s="38">
        <f>SUM(AE2787+AE2812+AE2848+AE2884+AE2918+AE2947)</f>
        <v>183791.44</v>
      </c>
      <c r="AF2949" s="76">
        <f>AF2763+AD2949-AE2949</f>
        <v>119515.54999999935</v>
      </c>
    </row>
    <row r="2950" spans="18:32" ht="8.25" customHeight="1" x14ac:dyDescent="0.25">
      <c r="X2950" s="109"/>
      <c r="Y2950" s="67" t="s">
        <v>214</v>
      </c>
      <c r="Z2950" s="68"/>
      <c r="AA2950" s="75"/>
    </row>
    <row r="2951" spans="18:32" ht="8.25" customHeight="1" x14ac:dyDescent="0.25">
      <c r="X2951" s="110" t="s">
        <v>1117</v>
      </c>
      <c r="Y2951" s="111">
        <v>200</v>
      </c>
      <c r="Z2951" s="111">
        <f t="shared" ref="Z2951:Z2956" si="289">X2951*Y2951</f>
        <v>5600</v>
      </c>
      <c r="AA2951" s="112"/>
    </row>
    <row r="2952" spans="18:32" ht="8.25" customHeight="1" x14ac:dyDescent="0.25">
      <c r="X2952" s="110" t="s">
        <v>1915</v>
      </c>
      <c r="Y2952" s="111">
        <v>100</v>
      </c>
      <c r="Z2952" s="111">
        <f t="shared" si="289"/>
        <v>110300</v>
      </c>
      <c r="AA2952" s="112"/>
    </row>
    <row r="2953" spans="18:32" ht="8.25" customHeight="1" x14ac:dyDescent="0.25">
      <c r="X2953" s="110" t="s">
        <v>581</v>
      </c>
      <c r="Y2953" s="111">
        <v>50</v>
      </c>
      <c r="Z2953" s="111">
        <f t="shared" si="289"/>
        <v>500</v>
      </c>
      <c r="AA2953" s="76"/>
    </row>
    <row r="2954" spans="18:32" ht="8.25" customHeight="1" x14ac:dyDescent="0.25">
      <c r="X2954" s="110" t="s">
        <v>224</v>
      </c>
      <c r="Y2954" s="111">
        <v>20</v>
      </c>
      <c r="Z2954" s="111">
        <f t="shared" si="289"/>
        <v>40</v>
      </c>
      <c r="AA2954" s="38"/>
    </row>
    <row r="2955" spans="18:32" ht="8.25" customHeight="1" x14ac:dyDescent="0.25">
      <c r="X2955" s="110" t="s">
        <v>875</v>
      </c>
      <c r="Y2955" s="111">
        <v>10</v>
      </c>
      <c r="Z2955" s="111">
        <f t="shared" si="289"/>
        <v>820</v>
      </c>
      <c r="AA2955" s="112"/>
    </row>
    <row r="2956" spans="18:32" ht="8.25" customHeight="1" x14ac:dyDescent="0.25">
      <c r="X2956" s="110" t="s">
        <v>2242</v>
      </c>
      <c r="Y2956" s="111">
        <v>5</v>
      </c>
      <c r="Z2956" s="111">
        <f t="shared" si="289"/>
        <v>1600</v>
      </c>
      <c r="AA2956" s="112"/>
    </row>
    <row r="2957" spans="18:32" ht="8.25" customHeight="1" x14ac:dyDescent="0.25">
      <c r="X2957" s="269"/>
      <c r="Y2957" s="270"/>
      <c r="Z2957" s="271"/>
      <c r="AA2957" s="38"/>
    </row>
    <row r="2958" spans="18:32" ht="8.25" customHeight="1" x14ac:dyDescent="0.25">
      <c r="X2958" s="110" t="s">
        <v>2486</v>
      </c>
      <c r="Y2958" s="111">
        <v>1</v>
      </c>
      <c r="Z2958" s="111">
        <f t="shared" ref="Z2958:Z2963" si="290">X2958*Y2958</f>
        <v>570</v>
      </c>
      <c r="AA2958" s="76"/>
    </row>
    <row r="2959" spans="18:32" ht="8.25" customHeight="1" x14ac:dyDescent="0.25">
      <c r="X2959" s="110" t="s">
        <v>1496</v>
      </c>
      <c r="Y2959" s="111">
        <v>0.5</v>
      </c>
      <c r="Z2959" s="111">
        <f t="shared" si="290"/>
        <v>40.5</v>
      </c>
      <c r="AA2959" s="112"/>
    </row>
    <row r="2960" spans="18:32" ht="8.25" customHeight="1" x14ac:dyDescent="0.25">
      <c r="X2960" s="110" t="s">
        <v>1878</v>
      </c>
      <c r="Y2960" s="111">
        <v>0.25</v>
      </c>
      <c r="Z2960" s="111">
        <f t="shared" si="290"/>
        <v>45</v>
      </c>
      <c r="AA2960" s="113"/>
    </row>
    <row r="2961" spans="9:32" ht="8.25" customHeight="1" x14ac:dyDescent="0.25">
      <c r="X2961" s="110"/>
      <c r="Y2961" s="111">
        <v>0.1</v>
      </c>
      <c r="Z2961" s="111">
        <f t="shared" si="290"/>
        <v>0</v>
      </c>
      <c r="AA2961" s="114" t="s">
        <v>219</v>
      </c>
    </row>
    <row r="2962" spans="9:32" ht="8.25" customHeight="1" thickBot="1" x14ac:dyDescent="0.3">
      <c r="X2962" s="110" t="s">
        <v>222</v>
      </c>
      <c r="Y2962" s="111">
        <v>0.05</v>
      </c>
      <c r="Z2962" s="111">
        <f t="shared" si="290"/>
        <v>0.05</v>
      </c>
      <c r="AA2962" s="115">
        <f>SUM(Z2951:Z2956)+Z2958+Z2959+Z2960+Z2961+Z2962+Z2963</f>
        <v>119515.55</v>
      </c>
    </row>
    <row r="2963" spans="9:32" ht="8.25" customHeight="1" thickTop="1" x14ac:dyDescent="0.25">
      <c r="X2963" s="110"/>
      <c r="Y2963" s="111">
        <v>0.01</v>
      </c>
      <c r="Z2963" s="111">
        <f t="shared" si="290"/>
        <v>0</v>
      </c>
    </row>
    <row r="2965" spans="9:32" ht="8.25" customHeight="1" x14ac:dyDescent="0.25">
      <c r="Z2965" s="231" t="s">
        <v>1376</v>
      </c>
      <c r="AF2965" s="76">
        <f>AF2947</f>
        <v>119515.54999999936</v>
      </c>
    </row>
    <row r="2966" spans="9:32" ht="8.25" customHeight="1" x14ac:dyDescent="0.25">
      <c r="N2966" s="52">
        <v>1</v>
      </c>
      <c r="T2966" s="33">
        <v>46144</v>
      </c>
      <c r="U2966" s="34">
        <v>2026</v>
      </c>
      <c r="V2966" s="35" t="s">
        <v>2448</v>
      </c>
      <c r="W2966" s="35" t="s">
        <v>17</v>
      </c>
      <c r="X2966" s="37" t="s">
        <v>2449</v>
      </c>
      <c r="Y2966" s="36" t="s">
        <v>1180</v>
      </c>
      <c r="Z2966" s="30" t="s">
        <v>1030</v>
      </c>
      <c r="AA2966" s="30" t="s">
        <v>3899</v>
      </c>
      <c r="AD2966" s="38">
        <v>3279.52</v>
      </c>
      <c r="AF2966" s="76">
        <f>AF2965+AD2966-AE2966</f>
        <v>122795.06999999937</v>
      </c>
    </row>
    <row r="2967" spans="9:32" ht="8.25" customHeight="1" x14ac:dyDescent="0.15">
      <c r="N2967" s="52">
        <v>1</v>
      </c>
      <c r="T2967" s="33">
        <v>46144</v>
      </c>
      <c r="U2967" s="34">
        <v>2026</v>
      </c>
      <c r="V2967" s="35" t="s">
        <v>2448</v>
      </c>
      <c r="W2967" s="35" t="s">
        <v>17</v>
      </c>
      <c r="X2967" s="37" t="s">
        <v>2449</v>
      </c>
      <c r="Y2967" s="36" t="s">
        <v>1180</v>
      </c>
      <c r="Z2967" s="30" t="s">
        <v>1030</v>
      </c>
      <c r="AA2967" s="134" t="s">
        <v>166</v>
      </c>
      <c r="AD2967" s="38">
        <v>3120.48</v>
      </c>
      <c r="AF2967" s="76">
        <f>AF2966+AD2967-AE2967</f>
        <v>125915.54999999936</v>
      </c>
    </row>
    <row r="2968" spans="9:32" ht="8.25" customHeight="1" x14ac:dyDescent="0.25">
      <c r="I2968" s="52">
        <v>1</v>
      </c>
      <c r="T2968" s="33">
        <v>46144</v>
      </c>
      <c r="U2968" s="34">
        <v>2026</v>
      </c>
      <c r="V2968" s="35" t="s">
        <v>2448</v>
      </c>
      <c r="W2968" s="35" t="s">
        <v>17</v>
      </c>
      <c r="X2968" s="37" t="s">
        <v>2450</v>
      </c>
      <c r="Y2968" s="36" t="s">
        <v>825</v>
      </c>
      <c r="Z2968" s="30" t="s">
        <v>1049</v>
      </c>
      <c r="AA2968" s="30" t="s">
        <v>1044</v>
      </c>
      <c r="AD2968" s="38">
        <v>22000</v>
      </c>
      <c r="AF2968" s="76">
        <f t="shared" ref="AF2968:AF2989" si="291">AF2967+AD2968-AE2968</f>
        <v>147915.54999999935</v>
      </c>
    </row>
    <row r="2969" spans="9:32" ht="8.25" customHeight="1" x14ac:dyDescent="0.25">
      <c r="K2969" s="52">
        <v>1</v>
      </c>
      <c r="T2969" s="33">
        <v>46144</v>
      </c>
      <c r="U2969" s="34">
        <v>2026</v>
      </c>
      <c r="V2969" s="35" t="s">
        <v>2448</v>
      </c>
      <c r="W2969" s="35" t="s">
        <v>17</v>
      </c>
      <c r="X2969" s="37" t="s">
        <v>2451</v>
      </c>
      <c r="Y2969" s="36" t="s">
        <v>2452</v>
      </c>
      <c r="Z2969" s="30" t="s">
        <v>2453</v>
      </c>
      <c r="AA2969" s="30" t="s">
        <v>1787</v>
      </c>
      <c r="AD2969" s="38">
        <v>100</v>
      </c>
      <c r="AF2969" s="76">
        <f t="shared" si="291"/>
        <v>148015.54999999935</v>
      </c>
    </row>
    <row r="2970" spans="9:32" ht="8.25" customHeight="1" x14ac:dyDescent="0.25">
      <c r="L2970" s="52">
        <v>1</v>
      </c>
      <c r="T2970" s="33">
        <v>46144</v>
      </c>
      <c r="U2970" s="34">
        <v>2026</v>
      </c>
      <c r="V2970" s="35" t="s">
        <v>2448</v>
      </c>
      <c r="W2970" s="35" t="s">
        <v>17</v>
      </c>
      <c r="X2970" s="37" t="s">
        <v>2454</v>
      </c>
      <c r="Y2970" s="36" t="s">
        <v>120</v>
      </c>
      <c r="Z2970" s="30" t="s">
        <v>2453</v>
      </c>
      <c r="AA2970" s="30" t="s">
        <v>373</v>
      </c>
      <c r="AD2970" s="38">
        <v>50</v>
      </c>
      <c r="AF2970" s="76">
        <f t="shared" si="291"/>
        <v>148065.54999999935</v>
      </c>
    </row>
    <row r="2971" spans="9:32" ht="8.25" customHeight="1" x14ac:dyDescent="0.25">
      <c r="T2971" s="33">
        <v>46144</v>
      </c>
      <c r="U2971" s="34">
        <v>2026</v>
      </c>
      <c r="V2971" s="35" t="s">
        <v>2448</v>
      </c>
      <c r="W2971" s="35" t="s">
        <v>17</v>
      </c>
      <c r="X2971" s="37" t="s">
        <v>2455</v>
      </c>
      <c r="Z2971" s="30" t="s">
        <v>2456</v>
      </c>
      <c r="AF2971" s="76">
        <f t="shared" si="291"/>
        <v>148065.54999999935</v>
      </c>
    </row>
    <row r="2972" spans="9:32" ht="8.25" customHeight="1" x14ac:dyDescent="0.25">
      <c r="I2972" s="52">
        <v>2</v>
      </c>
      <c r="T2972" s="33">
        <v>46144</v>
      </c>
      <c r="U2972" s="34">
        <v>2026</v>
      </c>
      <c r="V2972" s="35" t="s">
        <v>2448</v>
      </c>
      <c r="W2972" s="35" t="s">
        <v>17</v>
      </c>
      <c r="X2972" s="37" t="s">
        <v>2457</v>
      </c>
      <c r="Y2972" s="36" t="s">
        <v>2458</v>
      </c>
      <c r="Z2972" s="30" t="s">
        <v>2453</v>
      </c>
      <c r="AA2972" s="30" t="s">
        <v>1044</v>
      </c>
      <c r="AD2972" s="38">
        <v>480.11</v>
      </c>
      <c r="AF2972" s="76">
        <f t="shared" si="291"/>
        <v>148545.65999999933</v>
      </c>
    </row>
    <row r="2973" spans="9:32" ht="8.25" customHeight="1" x14ac:dyDescent="0.25">
      <c r="I2973" s="52">
        <v>3</v>
      </c>
      <c r="M2973" s="52">
        <v>1</v>
      </c>
      <c r="T2973" s="33">
        <v>46144</v>
      </c>
      <c r="U2973" s="34">
        <v>2026</v>
      </c>
      <c r="V2973" s="35" t="s">
        <v>2448</v>
      </c>
      <c r="W2973" s="35" t="s">
        <v>17</v>
      </c>
      <c r="X2973" s="37" t="s">
        <v>2459</v>
      </c>
      <c r="Y2973" s="36" t="s">
        <v>120</v>
      </c>
      <c r="Z2973" s="30" t="s">
        <v>2453</v>
      </c>
      <c r="AA2973" s="30" t="s">
        <v>1058</v>
      </c>
      <c r="AD2973" s="38">
        <v>96.03</v>
      </c>
      <c r="AF2973" s="76">
        <f t="shared" si="291"/>
        <v>148641.68999999933</v>
      </c>
    </row>
    <row r="2974" spans="9:32" ht="8.25" customHeight="1" x14ac:dyDescent="0.25">
      <c r="I2974" s="52">
        <v>4</v>
      </c>
      <c r="T2974" s="33">
        <v>46144</v>
      </c>
      <c r="U2974" s="34">
        <v>2026</v>
      </c>
      <c r="V2974" s="35" t="s">
        <v>2448</v>
      </c>
      <c r="W2974" s="35" t="s">
        <v>17</v>
      </c>
      <c r="X2974" s="37" t="s">
        <v>2460</v>
      </c>
      <c r="Y2974" s="36" t="s">
        <v>1056</v>
      </c>
      <c r="Z2974" s="30" t="s">
        <v>1047</v>
      </c>
      <c r="AA2974" s="30" t="s">
        <v>1044</v>
      </c>
      <c r="AD2974" s="38">
        <v>1000</v>
      </c>
      <c r="AF2974" s="76">
        <f t="shared" si="291"/>
        <v>149641.68999999933</v>
      </c>
    </row>
    <row r="2975" spans="9:32" ht="8.25" customHeight="1" x14ac:dyDescent="0.25">
      <c r="I2975" s="52">
        <v>5</v>
      </c>
      <c r="T2975" s="33">
        <v>46144</v>
      </c>
      <c r="U2975" s="34">
        <v>2026</v>
      </c>
      <c r="V2975" s="35" t="s">
        <v>2448</v>
      </c>
      <c r="W2975" s="35" t="s">
        <v>17</v>
      </c>
      <c r="X2975" s="37" t="s">
        <v>2462</v>
      </c>
      <c r="Y2975" s="36" t="s">
        <v>2012</v>
      </c>
      <c r="Z2975" s="30" t="s">
        <v>2461</v>
      </c>
      <c r="AA2975" s="30" t="s">
        <v>1044</v>
      </c>
      <c r="AD2975" s="38">
        <v>500</v>
      </c>
      <c r="AF2975" s="76">
        <f t="shared" si="291"/>
        <v>150141.68999999933</v>
      </c>
    </row>
    <row r="2976" spans="9:32" ht="8.25" customHeight="1" x14ac:dyDescent="0.25">
      <c r="N2976" s="52">
        <v>2</v>
      </c>
      <c r="T2976" s="33">
        <v>46144</v>
      </c>
      <c r="U2976" s="34">
        <v>2026</v>
      </c>
      <c r="V2976" s="35" t="s">
        <v>2448</v>
      </c>
      <c r="W2976" s="35" t="s">
        <v>17</v>
      </c>
      <c r="X2976" s="37" t="s">
        <v>2463</v>
      </c>
      <c r="Y2976" s="36" t="s">
        <v>1424</v>
      </c>
      <c r="Z2976" s="30" t="s">
        <v>1047</v>
      </c>
      <c r="AA2976" s="30" t="s">
        <v>3899</v>
      </c>
      <c r="AD2976" s="38">
        <v>453.12</v>
      </c>
      <c r="AF2976" s="76">
        <f t="shared" si="291"/>
        <v>150594.80999999933</v>
      </c>
    </row>
    <row r="2977" spans="3:32" ht="8.25" customHeight="1" x14ac:dyDescent="0.15">
      <c r="N2977" s="52">
        <v>2</v>
      </c>
      <c r="T2977" s="33">
        <v>46144</v>
      </c>
      <c r="U2977" s="34">
        <v>2026</v>
      </c>
      <c r="V2977" s="35" t="s">
        <v>2448</v>
      </c>
      <c r="W2977" s="35" t="s">
        <v>17</v>
      </c>
      <c r="X2977" s="37" t="s">
        <v>2463</v>
      </c>
      <c r="Y2977" s="36" t="s">
        <v>1424</v>
      </c>
      <c r="Z2977" s="30" t="s">
        <v>1047</v>
      </c>
      <c r="AA2977" s="134" t="s">
        <v>166</v>
      </c>
      <c r="AD2977" s="38">
        <v>46.88</v>
      </c>
      <c r="AF2977" s="76">
        <f t="shared" si="291"/>
        <v>150641.68999999933</v>
      </c>
    </row>
    <row r="2978" spans="3:32" ht="8.25" customHeight="1" x14ac:dyDescent="0.25">
      <c r="I2978" s="52">
        <v>6</v>
      </c>
      <c r="T2978" s="33">
        <v>46144</v>
      </c>
      <c r="U2978" s="34">
        <v>2026</v>
      </c>
      <c r="V2978" s="35" t="s">
        <v>2448</v>
      </c>
      <c r="W2978" s="35" t="s">
        <v>17</v>
      </c>
      <c r="X2978" s="37" t="s">
        <v>2464</v>
      </c>
      <c r="Y2978" s="36" t="s">
        <v>978</v>
      </c>
      <c r="Z2978" s="30" t="s">
        <v>1587</v>
      </c>
      <c r="AA2978" s="30" t="s">
        <v>1044</v>
      </c>
      <c r="AD2978" s="38">
        <v>576.70000000000005</v>
      </c>
      <c r="AF2978" s="76">
        <f t="shared" si="291"/>
        <v>151218.38999999934</v>
      </c>
    </row>
    <row r="2979" spans="3:32" ht="8.25" customHeight="1" x14ac:dyDescent="0.25">
      <c r="M2979" s="52">
        <v>2</v>
      </c>
      <c r="T2979" s="33">
        <v>46144</v>
      </c>
      <c r="U2979" s="34">
        <v>2026</v>
      </c>
      <c r="V2979" s="35" t="s">
        <v>2448</v>
      </c>
      <c r="W2979" s="35" t="s">
        <v>17</v>
      </c>
      <c r="X2979" s="37" t="s">
        <v>2465</v>
      </c>
      <c r="Y2979" s="36" t="s">
        <v>120</v>
      </c>
      <c r="Z2979" s="30" t="s">
        <v>1587</v>
      </c>
      <c r="AA2979" s="30" t="s">
        <v>1058</v>
      </c>
      <c r="AD2979" s="38">
        <v>115.34</v>
      </c>
      <c r="AF2979" s="76">
        <f t="shared" si="291"/>
        <v>151333.72999999934</v>
      </c>
    </row>
    <row r="2980" spans="3:32" ht="8.25" customHeight="1" x14ac:dyDescent="0.25">
      <c r="C2980" s="52">
        <v>1</v>
      </c>
      <c r="T2980" s="33">
        <v>46144</v>
      </c>
      <c r="U2980" s="34">
        <v>2026</v>
      </c>
      <c r="V2980" s="35" t="s">
        <v>2448</v>
      </c>
      <c r="W2980" s="35" t="s">
        <v>3620</v>
      </c>
      <c r="X2980" s="37" t="s">
        <v>2466</v>
      </c>
      <c r="Y2980" s="36" t="s">
        <v>2467</v>
      </c>
      <c r="Z2980" s="30" t="s">
        <v>2468</v>
      </c>
      <c r="AA2980" s="30" t="s">
        <v>340</v>
      </c>
      <c r="AD2980" s="38">
        <v>849</v>
      </c>
      <c r="AF2980" s="76">
        <f t="shared" si="291"/>
        <v>152182.72999999934</v>
      </c>
    </row>
    <row r="2981" spans="3:32" ht="8.25" customHeight="1" x14ac:dyDescent="0.25">
      <c r="I2981" s="52">
        <v>7</v>
      </c>
      <c r="T2981" s="33">
        <v>46144</v>
      </c>
      <c r="U2981" s="34">
        <v>2026</v>
      </c>
      <c r="V2981" s="35" t="s">
        <v>2448</v>
      </c>
      <c r="W2981" s="35" t="s">
        <v>17</v>
      </c>
      <c r="X2981" s="37" t="s">
        <v>2481</v>
      </c>
      <c r="Y2981" s="36" t="s">
        <v>2483</v>
      </c>
      <c r="Z2981" s="30" t="s">
        <v>1860</v>
      </c>
      <c r="AA2981" s="30" t="s">
        <v>2485</v>
      </c>
      <c r="AD2981" s="38">
        <v>1000</v>
      </c>
      <c r="AF2981" s="76">
        <f t="shared" si="291"/>
        <v>153182.72999999934</v>
      </c>
    </row>
    <row r="2982" spans="3:32" ht="8.25" customHeight="1" x14ac:dyDescent="0.25">
      <c r="I2982" s="52">
        <v>8</v>
      </c>
      <c r="T2982" s="33">
        <v>46144</v>
      </c>
      <c r="U2982" s="34">
        <v>2026</v>
      </c>
      <c r="V2982" s="35" t="s">
        <v>2448</v>
      </c>
      <c r="W2982" s="35" t="s">
        <v>17</v>
      </c>
      <c r="X2982" s="37" t="s">
        <v>2482</v>
      </c>
      <c r="Y2982" s="36" t="s">
        <v>2484</v>
      </c>
      <c r="Z2982" s="30" t="s">
        <v>1860</v>
      </c>
      <c r="AA2982" s="30" t="s">
        <v>1044</v>
      </c>
      <c r="AD2982" s="38">
        <v>1000</v>
      </c>
      <c r="AF2982" s="76">
        <f t="shared" si="291"/>
        <v>154182.72999999934</v>
      </c>
    </row>
    <row r="2983" spans="3:32" ht="8.25" customHeight="1" x14ac:dyDescent="0.25">
      <c r="R2983" s="53">
        <v>1</v>
      </c>
      <c r="T2983" s="33">
        <v>46144</v>
      </c>
      <c r="U2983" s="34">
        <v>2026</v>
      </c>
      <c r="V2983" s="35" t="s">
        <v>2448</v>
      </c>
      <c r="W2983" s="35" t="s">
        <v>5</v>
      </c>
      <c r="X2983" s="259" t="s">
        <v>2469</v>
      </c>
      <c r="Y2983" s="36" t="s">
        <v>577</v>
      </c>
      <c r="Z2983" s="30" t="s">
        <v>1030</v>
      </c>
      <c r="AA2983" s="30" t="s">
        <v>92</v>
      </c>
      <c r="AE2983" s="38">
        <v>500</v>
      </c>
      <c r="AF2983" s="76">
        <f t="shared" si="291"/>
        <v>153682.72999999934</v>
      </c>
    </row>
    <row r="2984" spans="3:32" ht="8.25" customHeight="1" x14ac:dyDescent="0.25">
      <c r="R2984" s="53">
        <v>2</v>
      </c>
      <c r="T2984" s="33">
        <v>46144</v>
      </c>
      <c r="U2984" s="34">
        <v>2026</v>
      </c>
      <c r="V2984" s="35" t="s">
        <v>2448</v>
      </c>
      <c r="W2984" s="35" t="s">
        <v>5</v>
      </c>
      <c r="X2984" s="37" t="s">
        <v>2470</v>
      </c>
      <c r="Y2984" s="36" t="s">
        <v>713</v>
      </c>
      <c r="Z2984" s="30" t="s">
        <v>1129</v>
      </c>
      <c r="AA2984" s="30" t="s">
        <v>92</v>
      </c>
      <c r="AE2984" s="38">
        <v>1000</v>
      </c>
      <c r="AF2984" s="76">
        <f t="shared" si="291"/>
        <v>152682.72999999934</v>
      </c>
    </row>
    <row r="2985" spans="3:32" ht="8.25" customHeight="1" x14ac:dyDescent="0.25">
      <c r="R2985" s="53">
        <v>3</v>
      </c>
      <c r="T2985" s="33">
        <v>46144</v>
      </c>
      <c r="U2985" s="34">
        <v>2026</v>
      </c>
      <c r="V2985" s="35" t="s">
        <v>2448</v>
      </c>
      <c r="W2985" s="35" t="s">
        <v>5</v>
      </c>
      <c r="X2985" s="37" t="s">
        <v>2471</v>
      </c>
      <c r="Y2985" s="36" t="s">
        <v>349</v>
      </c>
      <c r="Z2985" s="30" t="s">
        <v>2473</v>
      </c>
      <c r="AA2985" s="30" t="s">
        <v>92</v>
      </c>
      <c r="AE2985" s="38">
        <v>900</v>
      </c>
      <c r="AF2985" s="76">
        <f t="shared" si="291"/>
        <v>151782.72999999934</v>
      </c>
    </row>
    <row r="2986" spans="3:32" ht="8.25" customHeight="1" x14ac:dyDescent="0.25">
      <c r="Q2986" s="52">
        <v>1</v>
      </c>
      <c r="T2986" s="33">
        <v>46144</v>
      </c>
      <c r="U2986" s="34">
        <v>2026</v>
      </c>
      <c r="V2986" s="35" t="s">
        <v>2448</v>
      </c>
      <c r="W2986" s="35" t="s">
        <v>5</v>
      </c>
      <c r="X2986" s="37" t="s">
        <v>2472</v>
      </c>
      <c r="Y2986" s="36" t="s">
        <v>2474</v>
      </c>
      <c r="Z2986" s="30" t="s">
        <v>2453</v>
      </c>
      <c r="AA2986" s="30" t="s">
        <v>1509</v>
      </c>
      <c r="AE2986" s="38">
        <v>4801.1400000000003</v>
      </c>
      <c r="AF2986" s="76">
        <f t="shared" si="291"/>
        <v>146981.58999999933</v>
      </c>
    </row>
    <row r="2987" spans="3:32" ht="8.25" customHeight="1" x14ac:dyDescent="0.25">
      <c r="Q2987" s="52">
        <v>2</v>
      </c>
      <c r="T2987" s="33">
        <v>46144</v>
      </c>
      <c r="U2987" s="34">
        <v>2026</v>
      </c>
      <c r="V2987" s="35" t="s">
        <v>2448</v>
      </c>
      <c r="W2987" s="35" t="s">
        <v>5</v>
      </c>
      <c r="X2987" s="37" t="s">
        <v>2475</v>
      </c>
      <c r="Y2987" s="36" t="s">
        <v>2476</v>
      </c>
      <c r="Z2987" s="30" t="s">
        <v>1587</v>
      </c>
      <c r="AA2987" s="30" t="s">
        <v>1509</v>
      </c>
      <c r="AE2987" s="38">
        <v>5767.04</v>
      </c>
      <c r="AF2987" s="76">
        <f t="shared" si="291"/>
        <v>141214.54999999932</v>
      </c>
    </row>
    <row r="2988" spans="3:32" ht="8.25" customHeight="1" x14ac:dyDescent="0.25">
      <c r="R2988" s="53">
        <v>4</v>
      </c>
      <c r="T2988" s="33">
        <v>46144</v>
      </c>
      <c r="U2988" s="34">
        <v>2026</v>
      </c>
      <c r="V2988" s="35" t="s">
        <v>2448</v>
      </c>
      <c r="W2988" s="35" t="s">
        <v>5</v>
      </c>
      <c r="X2988" s="37" t="s">
        <v>2477</v>
      </c>
      <c r="Y2988" s="36" t="s">
        <v>738</v>
      </c>
      <c r="Z2988" s="30" t="s">
        <v>1060</v>
      </c>
      <c r="AA2988" s="30" t="s">
        <v>92</v>
      </c>
      <c r="AE2988" s="38">
        <v>1000</v>
      </c>
      <c r="AF2988" s="76">
        <f t="shared" si="291"/>
        <v>140214.54999999932</v>
      </c>
    </row>
    <row r="2989" spans="3:32" ht="8.25" customHeight="1" x14ac:dyDescent="0.25">
      <c r="G2989" s="53">
        <v>1</v>
      </c>
      <c r="T2989" s="33">
        <v>46144</v>
      </c>
      <c r="U2989" s="34">
        <v>2026</v>
      </c>
      <c r="V2989" s="35" t="s">
        <v>2448</v>
      </c>
      <c r="W2989" s="35" t="s">
        <v>226</v>
      </c>
      <c r="X2989" s="37" t="s">
        <v>2478</v>
      </c>
      <c r="Y2989" s="36" t="s">
        <v>2479</v>
      </c>
      <c r="Z2989" s="30" t="s">
        <v>2480</v>
      </c>
      <c r="AA2989" s="30" t="s">
        <v>3945</v>
      </c>
      <c r="AE2989" s="38">
        <v>5239.91</v>
      </c>
      <c r="AF2989" s="76">
        <f t="shared" si="291"/>
        <v>134974.63999999932</v>
      </c>
    </row>
    <row r="2990" spans="3:32" ht="8.25" customHeight="1" thickBot="1" x14ac:dyDescent="0.3">
      <c r="AA2990" s="75" t="s">
        <v>2139</v>
      </c>
      <c r="AD2990" s="253">
        <f>SUM(AD2965:AD2988)</f>
        <v>34667.18</v>
      </c>
      <c r="AE2990" s="253">
        <f>SUM(AE2966:AE2989)</f>
        <v>19208.09</v>
      </c>
      <c r="AF2990" s="233">
        <f>AF2965+AD2990-AE2990</f>
        <v>134974.63999999937</v>
      </c>
    </row>
    <row r="2991" spans="3:32" ht="8.25" customHeight="1" thickTop="1" x14ac:dyDescent="0.25">
      <c r="X2991" s="109"/>
      <c r="Y2991" s="67" t="s">
        <v>214</v>
      </c>
      <c r="Z2991" s="68"/>
      <c r="AA2991" s="75"/>
    </row>
    <row r="2992" spans="3:32" ht="8.25" customHeight="1" x14ac:dyDescent="0.25">
      <c r="X2992" s="110" t="s">
        <v>1117</v>
      </c>
      <c r="Y2992" s="111">
        <v>200</v>
      </c>
      <c r="Z2992" s="111">
        <f t="shared" ref="Z2992:Z2997" si="292">X2992*Y2992</f>
        <v>5600</v>
      </c>
      <c r="AA2992" s="112"/>
    </row>
    <row r="2993" spans="9:32" ht="8.25" customHeight="1" x14ac:dyDescent="0.25">
      <c r="X2993" s="110" t="s">
        <v>2558</v>
      </c>
      <c r="Y2993" s="111">
        <v>100</v>
      </c>
      <c r="Z2993" s="111">
        <f t="shared" si="292"/>
        <v>125900</v>
      </c>
      <c r="AA2993" s="112"/>
    </row>
    <row r="2994" spans="9:32" ht="8.25" customHeight="1" x14ac:dyDescent="0.25">
      <c r="X2994" s="110" t="s">
        <v>652</v>
      </c>
      <c r="Y2994" s="111">
        <v>50</v>
      </c>
      <c r="Z2994" s="111">
        <f t="shared" si="292"/>
        <v>400</v>
      </c>
      <c r="AA2994" s="76"/>
    </row>
    <row r="2995" spans="9:32" ht="8.25" customHeight="1" x14ac:dyDescent="0.25">
      <c r="X2995" s="110" t="s">
        <v>222</v>
      </c>
      <c r="Y2995" s="111">
        <v>20</v>
      </c>
      <c r="Z2995" s="111">
        <f t="shared" si="292"/>
        <v>20</v>
      </c>
      <c r="AA2995" s="38"/>
    </row>
    <row r="2996" spans="9:32" ht="8.25" customHeight="1" x14ac:dyDescent="0.25">
      <c r="X2996" s="110" t="s">
        <v>875</v>
      </c>
      <c r="Y2996" s="111">
        <v>10</v>
      </c>
      <c r="Z2996" s="111">
        <f t="shared" si="292"/>
        <v>820</v>
      </c>
      <c r="AA2996" s="112"/>
    </row>
    <row r="2997" spans="9:32" ht="8.25" customHeight="1" x14ac:dyDescent="0.25">
      <c r="X2997" s="110" t="s">
        <v>2281</v>
      </c>
      <c r="Y2997" s="111">
        <v>5</v>
      </c>
      <c r="Z2997" s="111">
        <f t="shared" si="292"/>
        <v>1605</v>
      </c>
      <c r="AA2997" s="112"/>
    </row>
    <row r="2998" spans="9:32" ht="8.25" customHeight="1" x14ac:dyDescent="0.25">
      <c r="X2998" s="269"/>
      <c r="Y2998" s="270"/>
      <c r="Z2998" s="271"/>
      <c r="AA2998" s="38"/>
    </row>
    <row r="2999" spans="9:32" ht="8.25" customHeight="1" x14ac:dyDescent="0.25">
      <c r="X2999" s="110" t="s">
        <v>2727</v>
      </c>
      <c r="Y2999" s="111">
        <v>1</v>
      </c>
      <c r="Z2999" s="111">
        <f t="shared" ref="Z2999:Z3004" si="293">X2999*Y2999</f>
        <v>569</v>
      </c>
      <c r="AA2999" s="76"/>
    </row>
    <row r="3000" spans="9:32" ht="8.25" customHeight="1" x14ac:dyDescent="0.25">
      <c r="X3000" s="110" t="s">
        <v>1496</v>
      </c>
      <c r="Y3000" s="111">
        <v>0.5</v>
      </c>
      <c r="Z3000" s="111">
        <f t="shared" si="293"/>
        <v>40.5</v>
      </c>
      <c r="AA3000" s="112"/>
    </row>
    <row r="3001" spans="9:32" ht="8.25" customHeight="1" x14ac:dyDescent="0.25">
      <c r="X3001" s="110" t="s">
        <v>259</v>
      </c>
      <c r="Y3001" s="111">
        <v>0.25</v>
      </c>
      <c r="Z3001" s="111">
        <f t="shared" si="293"/>
        <v>20</v>
      </c>
      <c r="AA3001" s="113"/>
    </row>
    <row r="3002" spans="9:32" ht="8.25" customHeight="1" x14ac:dyDescent="0.25">
      <c r="X3002" s="110" t="s">
        <v>222</v>
      </c>
      <c r="Y3002" s="111">
        <v>0.1</v>
      </c>
      <c r="Z3002" s="111">
        <f t="shared" si="293"/>
        <v>0.1</v>
      </c>
      <c r="AA3002" s="114" t="s">
        <v>219</v>
      </c>
    </row>
    <row r="3003" spans="9:32" ht="8.25" customHeight="1" thickBot="1" x14ac:dyDescent="0.3">
      <c r="X3003" s="110"/>
      <c r="Y3003" s="111">
        <v>0.05</v>
      </c>
      <c r="Z3003" s="111">
        <f t="shared" si="293"/>
        <v>0</v>
      </c>
      <c r="AA3003" s="115">
        <f>SUM(Z2992:Z2997)+Z2999+Z3000+Z3001+Z3002+Z3003+Z3004</f>
        <v>134974.64000000001</v>
      </c>
    </row>
    <row r="3004" spans="9:32" ht="8.25" customHeight="1" thickTop="1" x14ac:dyDescent="0.25">
      <c r="X3004" s="110" t="s">
        <v>299</v>
      </c>
      <c r="Y3004" s="111">
        <v>0.01</v>
      </c>
      <c r="Z3004" s="111">
        <f t="shared" si="293"/>
        <v>0.04</v>
      </c>
    </row>
    <row r="3006" spans="9:32" ht="8.25" customHeight="1" x14ac:dyDescent="0.25">
      <c r="Z3006" s="231" t="s">
        <v>1376</v>
      </c>
      <c r="AF3006" s="76">
        <f>AF2989</f>
        <v>134974.63999999932</v>
      </c>
    </row>
    <row r="3007" spans="9:32" ht="8.25" customHeight="1" x14ac:dyDescent="0.25">
      <c r="I3007" s="52">
        <v>9</v>
      </c>
      <c r="T3007" s="33">
        <v>46146</v>
      </c>
      <c r="U3007" s="34">
        <v>2026</v>
      </c>
      <c r="V3007" s="35" t="s">
        <v>2448</v>
      </c>
      <c r="W3007" s="35" t="s">
        <v>17</v>
      </c>
      <c r="X3007" s="37" t="s">
        <v>2488</v>
      </c>
      <c r="Y3007" s="36" t="s">
        <v>2012</v>
      </c>
      <c r="Z3007" s="30" t="s">
        <v>1942</v>
      </c>
      <c r="AA3007" s="30" t="s">
        <v>1044</v>
      </c>
      <c r="AD3007" s="38">
        <v>500</v>
      </c>
      <c r="AF3007" s="76">
        <f>AF3006+AD3007-AE3007</f>
        <v>135474.63999999932</v>
      </c>
    </row>
    <row r="3008" spans="9:32" ht="8.25" customHeight="1" x14ac:dyDescent="0.25">
      <c r="N3008" s="52">
        <v>3</v>
      </c>
      <c r="T3008" s="33">
        <v>46146</v>
      </c>
      <c r="U3008" s="34">
        <v>2026</v>
      </c>
      <c r="V3008" s="35" t="s">
        <v>2448</v>
      </c>
      <c r="W3008" s="35" t="s">
        <v>17</v>
      </c>
      <c r="X3008" s="37" t="s">
        <v>2503</v>
      </c>
      <c r="Y3008" s="36" t="s">
        <v>931</v>
      </c>
      <c r="Z3008" s="30" t="s">
        <v>932</v>
      </c>
      <c r="AA3008" s="30" t="s">
        <v>3899</v>
      </c>
      <c r="AD3008" s="38">
        <v>3019.87</v>
      </c>
      <c r="AF3008" s="76">
        <f>AF3007+AD3008-AE3008</f>
        <v>138494.50999999931</v>
      </c>
    </row>
    <row r="3009" spans="4:32" ht="8.25" customHeight="1" x14ac:dyDescent="0.15">
      <c r="N3009" s="52">
        <v>3</v>
      </c>
      <c r="T3009" s="33">
        <v>46146</v>
      </c>
      <c r="U3009" s="34">
        <v>2026</v>
      </c>
      <c r="V3009" s="35" t="s">
        <v>2448</v>
      </c>
      <c r="W3009" s="35" t="s">
        <v>17</v>
      </c>
      <c r="X3009" s="37" t="s">
        <v>2503</v>
      </c>
      <c r="Y3009" s="36" t="s">
        <v>931</v>
      </c>
      <c r="Z3009" s="30" t="s">
        <v>932</v>
      </c>
      <c r="AA3009" s="134" t="s">
        <v>166</v>
      </c>
      <c r="AD3009" s="38">
        <v>1193.1300000000001</v>
      </c>
      <c r="AF3009" s="76">
        <f>AF3008+AD3009-AE3009</f>
        <v>139687.63999999932</v>
      </c>
    </row>
    <row r="3010" spans="4:32" ht="8.25" customHeight="1" x14ac:dyDescent="0.25">
      <c r="N3010" s="52">
        <v>3</v>
      </c>
      <c r="T3010" s="33">
        <v>46146</v>
      </c>
      <c r="U3010" s="34">
        <v>2026</v>
      </c>
      <c r="V3010" s="35" t="s">
        <v>2448</v>
      </c>
      <c r="W3010" s="35" t="s">
        <v>17</v>
      </c>
      <c r="X3010" s="37" t="s">
        <v>2503</v>
      </c>
      <c r="Y3010" s="36" t="s">
        <v>931</v>
      </c>
      <c r="Z3010" s="30" t="s">
        <v>932</v>
      </c>
      <c r="AA3010" s="30" t="s">
        <v>3304</v>
      </c>
      <c r="AD3010" s="38">
        <v>145</v>
      </c>
      <c r="AF3010" s="76">
        <f t="shared" ref="AF3010:AF3025" si="294">AF3009+AD3010-AE3010</f>
        <v>139832.63999999932</v>
      </c>
    </row>
    <row r="3011" spans="4:32" ht="8.25" customHeight="1" x14ac:dyDescent="0.25">
      <c r="N3011" s="52">
        <v>4</v>
      </c>
      <c r="T3011" s="33">
        <v>46146</v>
      </c>
      <c r="U3011" s="34">
        <v>2026</v>
      </c>
      <c r="V3011" s="35" t="s">
        <v>2448</v>
      </c>
      <c r="W3011" s="35" t="s">
        <v>17</v>
      </c>
      <c r="X3011" s="37" t="s">
        <v>2512</v>
      </c>
      <c r="Y3011" s="36" t="s">
        <v>225</v>
      </c>
      <c r="Z3011" s="30" t="s">
        <v>119</v>
      </c>
      <c r="AA3011" s="30" t="s">
        <v>3899</v>
      </c>
      <c r="AD3011" s="38">
        <v>10143.52</v>
      </c>
      <c r="AF3011" s="76">
        <f t="shared" si="294"/>
        <v>149976.15999999931</v>
      </c>
    </row>
    <row r="3012" spans="4:32" ht="8.25" customHeight="1" x14ac:dyDescent="0.15">
      <c r="N3012" s="52">
        <v>4</v>
      </c>
      <c r="T3012" s="33">
        <v>46146</v>
      </c>
      <c r="U3012" s="34">
        <v>2026</v>
      </c>
      <c r="V3012" s="35" t="s">
        <v>2448</v>
      </c>
      <c r="W3012" s="35" t="s">
        <v>17</v>
      </c>
      <c r="X3012" s="37" t="s">
        <v>2512</v>
      </c>
      <c r="Y3012" s="36" t="s">
        <v>225</v>
      </c>
      <c r="Z3012" s="30" t="s">
        <v>119</v>
      </c>
      <c r="AA3012" s="134" t="s">
        <v>166</v>
      </c>
      <c r="AD3012" s="38">
        <v>3056.48</v>
      </c>
      <c r="AF3012" s="76">
        <f t="shared" si="294"/>
        <v>153032.63999999932</v>
      </c>
    </row>
    <row r="3013" spans="4:32" ht="8.25" customHeight="1" x14ac:dyDescent="0.25">
      <c r="N3013" s="52">
        <v>4</v>
      </c>
      <c r="T3013" s="33">
        <v>46146</v>
      </c>
      <c r="U3013" s="34">
        <v>2026</v>
      </c>
      <c r="V3013" s="35" t="s">
        <v>2448</v>
      </c>
      <c r="W3013" s="35" t="s">
        <v>17</v>
      </c>
      <c r="X3013" s="37" t="s">
        <v>2512</v>
      </c>
      <c r="Y3013" s="36" t="s">
        <v>225</v>
      </c>
      <c r="Z3013" s="30" t="s">
        <v>119</v>
      </c>
      <c r="AA3013" s="30" t="s">
        <v>3304</v>
      </c>
      <c r="AD3013" s="38">
        <v>40</v>
      </c>
      <c r="AF3013" s="76">
        <f t="shared" si="294"/>
        <v>153072.63999999932</v>
      </c>
    </row>
    <row r="3014" spans="4:32" ht="8.25" customHeight="1" x14ac:dyDescent="0.25">
      <c r="N3014" s="52">
        <v>5</v>
      </c>
      <c r="T3014" s="33">
        <v>46146</v>
      </c>
      <c r="U3014" s="34">
        <v>2026</v>
      </c>
      <c r="V3014" s="35" t="s">
        <v>2448</v>
      </c>
      <c r="W3014" s="35" t="s">
        <v>17</v>
      </c>
      <c r="X3014" s="37" t="s">
        <v>2513</v>
      </c>
      <c r="Y3014" s="36" t="s">
        <v>1374</v>
      </c>
      <c r="Z3014" s="30" t="s">
        <v>1801</v>
      </c>
      <c r="AA3014" s="30" t="s">
        <v>3899</v>
      </c>
      <c r="AD3014" s="38">
        <v>1557.53</v>
      </c>
      <c r="AF3014" s="76">
        <f t="shared" si="294"/>
        <v>154630.16999999931</v>
      </c>
    </row>
    <row r="3015" spans="4:32" ht="8.25" customHeight="1" x14ac:dyDescent="0.15">
      <c r="N3015" s="52">
        <v>5</v>
      </c>
      <c r="T3015" s="33">
        <v>46146</v>
      </c>
      <c r="U3015" s="34">
        <v>2026</v>
      </c>
      <c r="V3015" s="35" t="s">
        <v>2448</v>
      </c>
      <c r="W3015" s="35" t="s">
        <v>17</v>
      </c>
      <c r="X3015" s="37" t="s">
        <v>2513</v>
      </c>
      <c r="Y3015" s="36" t="s">
        <v>1374</v>
      </c>
      <c r="Z3015" s="30" t="s">
        <v>1801</v>
      </c>
      <c r="AA3015" s="134" t="s">
        <v>166</v>
      </c>
      <c r="AD3015" s="38">
        <v>15465.47</v>
      </c>
      <c r="AF3015" s="76">
        <f t="shared" si="294"/>
        <v>170095.63999999932</v>
      </c>
    </row>
    <row r="3016" spans="4:32" ht="8.25" customHeight="1" x14ac:dyDescent="0.25">
      <c r="D3016" s="52">
        <v>1</v>
      </c>
      <c r="T3016" s="33">
        <v>46146</v>
      </c>
      <c r="U3016" s="34">
        <v>2026</v>
      </c>
      <c r="V3016" s="35" t="s">
        <v>2448</v>
      </c>
      <c r="W3016" s="35" t="s">
        <v>17</v>
      </c>
      <c r="X3016" s="37" t="s">
        <v>2491</v>
      </c>
      <c r="Y3016" s="36" t="s">
        <v>2490</v>
      </c>
      <c r="Z3016" s="30" t="s">
        <v>2489</v>
      </c>
      <c r="AA3016" s="30" t="s">
        <v>256</v>
      </c>
      <c r="AD3016" s="38">
        <v>20000</v>
      </c>
      <c r="AF3016" s="76">
        <f t="shared" si="294"/>
        <v>190095.63999999932</v>
      </c>
    </row>
    <row r="3017" spans="4:32" ht="8.25" customHeight="1" x14ac:dyDescent="0.25">
      <c r="R3017" s="53">
        <v>5</v>
      </c>
      <c r="T3017" s="33">
        <v>46146</v>
      </c>
      <c r="U3017" s="34">
        <v>2026</v>
      </c>
      <c r="V3017" s="35" t="s">
        <v>2448</v>
      </c>
      <c r="W3017" s="35" t="s">
        <v>5</v>
      </c>
      <c r="X3017" s="37" t="s">
        <v>2492</v>
      </c>
      <c r="Y3017" s="36" t="s">
        <v>1680</v>
      </c>
      <c r="Z3017" s="30" t="s">
        <v>1681</v>
      </c>
      <c r="AA3017" s="30" t="s">
        <v>92</v>
      </c>
      <c r="AE3017" s="38">
        <v>1000</v>
      </c>
      <c r="AF3017" s="76">
        <f t="shared" si="294"/>
        <v>189095.63999999932</v>
      </c>
    </row>
    <row r="3018" spans="4:32" ht="8.25" customHeight="1" x14ac:dyDescent="0.25">
      <c r="R3018" s="53">
        <v>6</v>
      </c>
      <c r="T3018" s="33">
        <v>46146</v>
      </c>
      <c r="U3018" s="34">
        <v>2026</v>
      </c>
      <c r="V3018" s="35" t="s">
        <v>2448</v>
      </c>
      <c r="W3018" s="35" t="s">
        <v>5</v>
      </c>
      <c r="X3018" s="37" t="s">
        <v>2500</v>
      </c>
      <c r="Y3018" s="36" t="s">
        <v>2501</v>
      </c>
      <c r="Z3018" s="30" t="s">
        <v>2502</v>
      </c>
      <c r="AA3018" s="30" t="s">
        <v>92</v>
      </c>
      <c r="AE3018" s="38">
        <v>200</v>
      </c>
      <c r="AF3018" s="76">
        <f t="shared" si="294"/>
        <v>188895.63999999932</v>
      </c>
    </row>
    <row r="3019" spans="4:32" ht="8.25" customHeight="1" x14ac:dyDescent="0.25">
      <c r="G3019" s="53">
        <v>2</v>
      </c>
      <c r="T3019" s="33">
        <v>46146</v>
      </c>
      <c r="U3019" s="34">
        <v>2026</v>
      </c>
      <c r="V3019" s="35" t="s">
        <v>2448</v>
      </c>
      <c r="W3019" s="35" t="s">
        <v>5</v>
      </c>
      <c r="X3019" s="37" t="s">
        <v>2491</v>
      </c>
      <c r="Y3019" s="36" t="s">
        <v>2490</v>
      </c>
      <c r="Z3019" s="30" t="s">
        <v>1619</v>
      </c>
      <c r="AA3019" s="30" t="s">
        <v>3945</v>
      </c>
      <c r="AE3019" s="38">
        <v>7650</v>
      </c>
      <c r="AF3019" s="76">
        <f t="shared" si="294"/>
        <v>181245.63999999932</v>
      </c>
    </row>
    <row r="3020" spans="4:32" ht="8.25" customHeight="1" x14ac:dyDescent="0.25">
      <c r="G3020" s="53">
        <v>3</v>
      </c>
      <c r="T3020" s="33">
        <v>46146</v>
      </c>
      <c r="U3020" s="34">
        <v>2026</v>
      </c>
      <c r="V3020" s="35" t="s">
        <v>2448</v>
      </c>
      <c r="W3020" s="35" t="s">
        <v>5</v>
      </c>
      <c r="X3020" s="37" t="s">
        <v>2495</v>
      </c>
      <c r="Y3020" s="36" t="s">
        <v>2494</v>
      </c>
      <c r="Z3020" s="30" t="s">
        <v>2493</v>
      </c>
      <c r="AA3020" s="30" t="s">
        <v>3945</v>
      </c>
      <c r="AE3020" s="38">
        <v>1516</v>
      </c>
      <c r="AF3020" s="76">
        <f t="shared" si="294"/>
        <v>179729.63999999932</v>
      </c>
    </row>
    <row r="3021" spans="4:32" ht="8.25" customHeight="1" x14ac:dyDescent="0.25">
      <c r="G3021" s="53">
        <v>4</v>
      </c>
      <c r="T3021" s="33">
        <v>46146</v>
      </c>
      <c r="U3021" s="34">
        <v>2026</v>
      </c>
      <c r="V3021" s="35" t="s">
        <v>2448</v>
      </c>
      <c r="W3021" s="35" t="s">
        <v>5</v>
      </c>
      <c r="X3021" s="37" t="s">
        <v>2496</v>
      </c>
      <c r="Y3021" s="36" t="s">
        <v>2497</v>
      </c>
      <c r="Z3021" s="30" t="s">
        <v>1147</v>
      </c>
      <c r="AA3021" s="30" t="s">
        <v>3945</v>
      </c>
      <c r="AE3021" s="38">
        <v>1520</v>
      </c>
      <c r="AF3021" s="76">
        <f t="shared" si="294"/>
        <v>178209.63999999932</v>
      </c>
    </row>
    <row r="3022" spans="4:32" ht="8.25" customHeight="1" x14ac:dyDescent="0.25">
      <c r="G3022" s="53">
        <v>5</v>
      </c>
      <c r="T3022" s="33">
        <v>46146</v>
      </c>
      <c r="U3022" s="34">
        <v>2026</v>
      </c>
      <c r="V3022" s="35" t="s">
        <v>2448</v>
      </c>
      <c r="W3022" s="35" t="s">
        <v>5</v>
      </c>
      <c r="X3022" s="37" t="s">
        <v>2499</v>
      </c>
      <c r="Y3022" s="36" t="s">
        <v>2498</v>
      </c>
      <c r="Z3022" s="30" t="s">
        <v>1147</v>
      </c>
      <c r="AA3022" s="30" t="s">
        <v>3945</v>
      </c>
      <c r="AE3022" s="38">
        <v>1000</v>
      </c>
      <c r="AF3022" s="76">
        <f t="shared" si="294"/>
        <v>177209.63999999932</v>
      </c>
    </row>
    <row r="3023" spans="4:32" ht="8.25" customHeight="1" x14ac:dyDescent="0.25">
      <c r="G3023" s="53">
        <v>6</v>
      </c>
      <c r="T3023" s="33">
        <v>46146</v>
      </c>
      <c r="U3023" s="34">
        <v>2026</v>
      </c>
      <c r="V3023" s="35" t="s">
        <v>2448</v>
      </c>
      <c r="W3023" s="35" t="s">
        <v>5</v>
      </c>
      <c r="X3023" s="37" t="s">
        <v>2506</v>
      </c>
      <c r="Y3023" s="36" t="s">
        <v>2505</v>
      </c>
      <c r="Z3023" s="30" t="s">
        <v>2504</v>
      </c>
      <c r="AA3023" s="30" t="s">
        <v>3945</v>
      </c>
      <c r="AE3023" s="38">
        <v>10453.1</v>
      </c>
      <c r="AF3023" s="76">
        <f t="shared" si="294"/>
        <v>166756.53999999931</v>
      </c>
    </row>
    <row r="3024" spans="4:32" ht="8.25" customHeight="1" x14ac:dyDescent="0.25">
      <c r="G3024" s="53">
        <v>7</v>
      </c>
      <c r="T3024" s="33">
        <v>46146</v>
      </c>
      <c r="U3024" s="34">
        <v>2026</v>
      </c>
      <c r="V3024" s="35" t="s">
        <v>2448</v>
      </c>
      <c r="W3024" s="35" t="s">
        <v>5</v>
      </c>
      <c r="X3024" s="37" t="s">
        <v>2509</v>
      </c>
      <c r="Y3024" s="36" t="s">
        <v>2508</v>
      </c>
      <c r="Z3024" s="30" t="s">
        <v>1359</v>
      </c>
      <c r="AA3024" s="30" t="s">
        <v>3945</v>
      </c>
      <c r="AE3024" s="38">
        <v>6786</v>
      </c>
      <c r="AF3024" s="76">
        <f t="shared" si="294"/>
        <v>159970.53999999931</v>
      </c>
    </row>
    <row r="3025" spans="7:32" ht="8.25" customHeight="1" x14ac:dyDescent="0.25">
      <c r="G3025" s="53">
        <v>8</v>
      </c>
      <c r="T3025" s="33">
        <v>46146</v>
      </c>
      <c r="U3025" s="34">
        <v>2026</v>
      </c>
      <c r="V3025" s="35" t="s">
        <v>2448</v>
      </c>
      <c r="W3025" s="35" t="s">
        <v>5</v>
      </c>
      <c r="X3025" s="37" t="s">
        <v>2510</v>
      </c>
      <c r="Y3025" s="36" t="s">
        <v>2511</v>
      </c>
      <c r="Z3025" s="30" t="s">
        <v>119</v>
      </c>
      <c r="AA3025" s="30" t="s">
        <v>3945</v>
      </c>
      <c r="AE3025" s="38">
        <v>8240</v>
      </c>
      <c r="AF3025" s="76">
        <f t="shared" si="294"/>
        <v>151730.53999999931</v>
      </c>
    </row>
    <row r="3026" spans="7:32" ht="8.25" customHeight="1" thickBot="1" x14ac:dyDescent="0.3">
      <c r="AA3026" s="75" t="s">
        <v>2139</v>
      </c>
      <c r="AD3026" s="253">
        <f>SUM(AD3007:AD3025)</f>
        <v>55121</v>
      </c>
      <c r="AE3026" s="253">
        <f>SUM(AE3007:AE3025)</f>
        <v>38365.1</v>
      </c>
      <c r="AF3026" s="233">
        <f>AF3006+AD3026-AE3026</f>
        <v>151730.53999999931</v>
      </c>
    </row>
    <row r="3027" spans="7:32" ht="8.25" customHeight="1" thickTop="1" x14ac:dyDescent="0.25"/>
    <row r="3028" spans="7:32" ht="8.25" customHeight="1" x14ac:dyDescent="0.25">
      <c r="X3028" s="109"/>
      <c r="Y3028" s="67" t="s">
        <v>214</v>
      </c>
      <c r="Z3028" s="68"/>
      <c r="AA3028" s="75"/>
    </row>
    <row r="3029" spans="7:32" ht="8.25" customHeight="1" x14ac:dyDescent="0.25">
      <c r="X3029" s="110" t="s">
        <v>2507</v>
      </c>
      <c r="Y3029" s="111">
        <v>200</v>
      </c>
      <c r="Z3029" s="111">
        <f t="shared" ref="Z3029:Z3034" si="295">X3029*Y3029</f>
        <v>6000</v>
      </c>
      <c r="AA3029" s="112"/>
    </row>
    <row r="3030" spans="7:32" ht="8.25" customHeight="1" x14ac:dyDescent="0.25">
      <c r="X3030" s="110" t="s">
        <v>2559</v>
      </c>
      <c r="Y3030" s="111">
        <v>100</v>
      </c>
      <c r="Z3030" s="111">
        <f t="shared" si="295"/>
        <v>142700</v>
      </c>
      <c r="AA3030" s="112"/>
    </row>
    <row r="3031" spans="7:32" ht="8.25" customHeight="1" x14ac:dyDescent="0.25">
      <c r="X3031" s="110" t="s">
        <v>224</v>
      </c>
      <c r="Y3031" s="111">
        <v>50</v>
      </c>
      <c r="Z3031" s="111">
        <f t="shared" si="295"/>
        <v>100</v>
      </c>
      <c r="AA3031" s="76"/>
    </row>
    <row r="3032" spans="7:32" ht="8.25" customHeight="1" x14ac:dyDescent="0.25">
      <c r="X3032" s="110" t="s">
        <v>222</v>
      </c>
      <c r="Y3032" s="111">
        <v>20</v>
      </c>
      <c r="Z3032" s="111">
        <f t="shared" si="295"/>
        <v>20</v>
      </c>
      <c r="AA3032" s="38"/>
    </row>
    <row r="3033" spans="7:32" ht="8.25" customHeight="1" x14ac:dyDescent="0.25">
      <c r="X3033" s="110" t="s">
        <v>517</v>
      </c>
      <c r="Y3033" s="111">
        <v>10</v>
      </c>
      <c r="Z3033" s="111">
        <f t="shared" si="295"/>
        <v>670</v>
      </c>
      <c r="AA3033" s="112"/>
    </row>
    <row r="3034" spans="7:32" ht="8.25" customHeight="1" x14ac:dyDescent="0.25">
      <c r="X3034" s="110" t="s">
        <v>2341</v>
      </c>
      <c r="Y3034" s="111">
        <v>5</v>
      </c>
      <c r="Z3034" s="111">
        <f t="shared" si="295"/>
        <v>1595</v>
      </c>
      <c r="AA3034" s="112"/>
    </row>
    <row r="3035" spans="7:32" ht="8.25" customHeight="1" x14ac:dyDescent="0.25">
      <c r="X3035" s="269"/>
      <c r="Y3035" s="270"/>
      <c r="Z3035" s="271"/>
      <c r="AA3035" s="38"/>
    </row>
    <row r="3036" spans="7:32" ht="8.25" customHeight="1" x14ac:dyDescent="0.25">
      <c r="X3036" s="110" t="s">
        <v>2728</v>
      </c>
      <c r="Y3036" s="111">
        <v>1</v>
      </c>
      <c r="Z3036" s="111">
        <f t="shared" ref="Z3036:Z3041" si="296">X3036*Y3036</f>
        <v>560</v>
      </c>
      <c r="AA3036" s="76"/>
    </row>
    <row r="3037" spans="7:32" ht="8.25" customHeight="1" x14ac:dyDescent="0.25">
      <c r="X3037" s="110" t="s">
        <v>1496</v>
      </c>
      <c r="Y3037" s="111">
        <v>0.5</v>
      </c>
      <c r="Z3037" s="111">
        <f t="shared" si="296"/>
        <v>40.5</v>
      </c>
      <c r="AA3037" s="112"/>
    </row>
    <row r="3038" spans="7:32" ht="8.25" customHeight="1" x14ac:dyDescent="0.25">
      <c r="X3038" s="110" t="s">
        <v>1878</v>
      </c>
      <c r="Y3038" s="111">
        <v>0.25</v>
      </c>
      <c r="Z3038" s="111">
        <f t="shared" si="296"/>
        <v>45</v>
      </c>
      <c r="AA3038" s="113"/>
    </row>
    <row r="3039" spans="7:32" ht="8.25" customHeight="1" x14ac:dyDescent="0.25">
      <c r="X3039" s="110"/>
      <c r="Y3039" s="111">
        <v>0.1</v>
      </c>
      <c r="Z3039" s="111">
        <f t="shared" si="296"/>
        <v>0</v>
      </c>
      <c r="AA3039" s="114" t="s">
        <v>219</v>
      </c>
    </row>
    <row r="3040" spans="7:32" ht="8.25" customHeight="1" thickBot="1" x14ac:dyDescent="0.3">
      <c r="X3040" s="110"/>
      <c r="Y3040" s="111">
        <v>0.05</v>
      </c>
      <c r="Z3040" s="111">
        <f t="shared" si="296"/>
        <v>0</v>
      </c>
      <c r="AA3040" s="115">
        <f>SUM(Z3029:Z3034)+Z3036+Z3037+Z3038+Z3039+Z3040+Z3041</f>
        <v>151730.54</v>
      </c>
    </row>
    <row r="3041" spans="9:32" ht="8.25" customHeight="1" thickTop="1" x14ac:dyDescent="0.25">
      <c r="X3041" s="110" t="s">
        <v>299</v>
      </c>
      <c r="Y3041" s="111">
        <v>0.01</v>
      </c>
      <c r="Z3041" s="111">
        <f t="shared" si="296"/>
        <v>0.04</v>
      </c>
    </row>
    <row r="3043" spans="9:32" ht="8.25" customHeight="1" x14ac:dyDescent="0.25">
      <c r="Z3043" s="231" t="s">
        <v>1376</v>
      </c>
      <c r="AF3043" s="76">
        <f>AF3026</f>
        <v>151730.53999999931</v>
      </c>
    </row>
    <row r="3044" spans="9:32" ht="8.25" customHeight="1" x14ac:dyDescent="0.25">
      <c r="N3044" s="52">
        <v>6</v>
      </c>
      <c r="T3044" s="33">
        <v>46147</v>
      </c>
      <c r="U3044" s="34">
        <v>2026</v>
      </c>
      <c r="V3044" s="35" t="s">
        <v>2448</v>
      </c>
      <c r="W3044" s="35" t="s">
        <v>17</v>
      </c>
      <c r="X3044" s="37" t="s">
        <v>2514</v>
      </c>
      <c r="Y3044" s="36" t="s">
        <v>1396</v>
      </c>
      <c r="Z3044" s="30" t="s">
        <v>2515</v>
      </c>
      <c r="AA3044" s="30" t="s">
        <v>3899</v>
      </c>
      <c r="AD3044" s="38">
        <v>7104.69</v>
      </c>
      <c r="AF3044" s="76">
        <f>SUM(AF3043+AD3044-AE3044)</f>
        <v>158835.22999999931</v>
      </c>
    </row>
    <row r="3045" spans="9:32" ht="8.25" customHeight="1" x14ac:dyDescent="0.15">
      <c r="N3045" s="52">
        <v>6</v>
      </c>
      <c r="T3045" s="33">
        <v>46147</v>
      </c>
      <c r="U3045" s="34">
        <v>2026</v>
      </c>
      <c r="V3045" s="35" t="s">
        <v>2448</v>
      </c>
      <c r="W3045" s="35" t="s">
        <v>17</v>
      </c>
      <c r="X3045" s="37" t="s">
        <v>2514</v>
      </c>
      <c r="Y3045" s="36" t="s">
        <v>1396</v>
      </c>
      <c r="Z3045" s="30" t="s">
        <v>2515</v>
      </c>
      <c r="AA3045" s="134" t="s">
        <v>166</v>
      </c>
      <c r="AD3045" s="38">
        <v>6442.31</v>
      </c>
      <c r="AF3045" s="76">
        <f>AF3044+AD3045-AE3045</f>
        <v>165277.53999999931</v>
      </c>
    </row>
    <row r="3046" spans="9:32" ht="8.25" customHeight="1" x14ac:dyDescent="0.25">
      <c r="N3046" s="52">
        <v>7</v>
      </c>
      <c r="T3046" s="33">
        <v>46147</v>
      </c>
      <c r="U3046" s="34">
        <v>2026</v>
      </c>
      <c r="V3046" s="35" t="s">
        <v>2448</v>
      </c>
      <c r="W3046" s="35" t="s">
        <v>17</v>
      </c>
      <c r="X3046" s="37" t="s">
        <v>2516</v>
      </c>
      <c r="Y3046" s="36" t="s">
        <v>765</v>
      </c>
      <c r="Z3046" s="30" t="s">
        <v>1355</v>
      </c>
      <c r="AA3046" s="30" t="s">
        <v>3899</v>
      </c>
      <c r="AD3046" s="38">
        <v>2481.6</v>
      </c>
      <c r="AF3046" s="76">
        <f t="shared" ref="AF3046:AF3059" si="297">AF3045+AD3046-AE3046</f>
        <v>167759.13999999932</v>
      </c>
    </row>
    <row r="3047" spans="9:32" ht="8.25" customHeight="1" x14ac:dyDescent="0.15">
      <c r="N3047" s="52">
        <v>7</v>
      </c>
      <c r="T3047" s="33">
        <v>46147</v>
      </c>
      <c r="U3047" s="34">
        <v>2026</v>
      </c>
      <c r="V3047" s="35" t="s">
        <v>2448</v>
      </c>
      <c r="W3047" s="35" t="s">
        <v>17</v>
      </c>
      <c r="X3047" s="37" t="s">
        <v>2516</v>
      </c>
      <c r="Y3047" s="36" t="s">
        <v>765</v>
      </c>
      <c r="Z3047" s="30" t="s">
        <v>1355</v>
      </c>
      <c r="AA3047" s="134" t="s">
        <v>166</v>
      </c>
      <c r="AD3047" s="38">
        <v>463.4</v>
      </c>
      <c r="AF3047" s="76">
        <f t="shared" si="297"/>
        <v>168222.53999999931</v>
      </c>
    </row>
    <row r="3048" spans="9:32" ht="8.25" customHeight="1" x14ac:dyDescent="0.25">
      <c r="N3048" s="52">
        <v>7</v>
      </c>
      <c r="T3048" s="33">
        <v>46147</v>
      </c>
      <c r="U3048" s="34">
        <v>2026</v>
      </c>
      <c r="V3048" s="35" t="s">
        <v>2448</v>
      </c>
      <c r="W3048" s="35" t="s">
        <v>17</v>
      </c>
      <c r="X3048" s="37" t="s">
        <v>2516</v>
      </c>
      <c r="Y3048" s="36" t="s">
        <v>765</v>
      </c>
      <c r="Z3048" s="30" t="s">
        <v>1355</v>
      </c>
      <c r="AA3048" s="30" t="s">
        <v>3304</v>
      </c>
      <c r="AD3048" s="38">
        <v>55</v>
      </c>
      <c r="AF3048" s="76">
        <f t="shared" si="297"/>
        <v>168277.53999999931</v>
      </c>
    </row>
    <row r="3049" spans="9:32" ht="8.25" customHeight="1" x14ac:dyDescent="0.25">
      <c r="I3049" s="52">
        <v>10</v>
      </c>
      <c r="T3049" s="33">
        <v>46147</v>
      </c>
      <c r="U3049" s="34">
        <v>2026</v>
      </c>
      <c r="V3049" s="35" t="s">
        <v>2448</v>
      </c>
      <c r="W3049" s="35" t="s">
        <v>17</v>
      </c>
      <c r="X3049" s="37" t="s">
        <v>2517</v>
      </c>
      <c r="Y3049" s="36" t="s">
        <v>115</v>
      </c>
      <c r="Z3049" s="30" t="s">
        <v>16</v>
      </c>
      <c r="AA3049" s="30" t="s">
        <v>1044</v>
      </c>
      <c r="AD3049" s="38">
        <v>7000</v>
      </c>
      <c r="AF3049" s="76">
        <f t="shared" si="297"/>
        <v>175277.53999999931</v>
      </c>
    </row>
    <row r="3050" spans="9:32" ht="8.25" customHeight="1" x14ac:dyDescent="0.25">
      <c r="I3050" s="52">
        <v>11</v>
      </c>
      <c r="T3050" s="33">
        <v>46147</v>
      </c>
      <c r="U3050" s="34">
        <v>2026</v>
      </c>
      <c r="V3050" s="35" t="s">
        <v>2448</v>
      </c>
      <c r="W3050" s="35" t="s">
        <v>17</v>
      </c>
      <c r="X3050" s="37" t="s">
        <v>2519</v>
      </c>
      <c r="Y3050" s="36" t="s">
        <v>1292</v>
      </c>
      <c r="Z3050" s="30" t="s">
        <v>2518</v>
      </c>
      <c r="AA3050" s="30" t="s">
        <v>1044</v>
      </c>
      <c r="AD3050" s="38">
        <v>300</v>
      </c>
      <c r="AF3050" s="76">
        <f t="shared" si="297"/>
        <v>175577.53999999931</v>
      </c>
    </row>
    <row r="3051" spans="9:32" ht="8.25" customHeight="1" x14ac:dyDescent="0.25">
      <c r="I3051" s="52">
        <v>12</v>
      </c>
      <c r="T3051" s="33">
        <v>46147</v>
      </c>
      <c r="U3051" s="34">
        <v>2026</v>
      </c>
      <c r="V3051" s="35" t="s">
        <v>2448</v>
      </c>
      <c r="W3051" s="35" t="s">
        <v>17</v>
      </c>
      <c r="X3051" s="37" t="s">
        <v>2520</v>
      </c>
      <c r="Y3051" s="36" t="s">
        <v>2521</v>
      </c>
      <c r="Z3051" s="30" t="s">
        <v>2522</v>
      </c>
      <c r="AA3051" s="30" t="s">
        <v>1044</v>
      </c>
      <c r="AD3051" s="38">
        <v>2272.7199999999998</v>
      </c>
      <c r="AF3051" s="76">
        <f t="shared" si="297"/>
        <v>177850.25999999931</v>
      </c>
    </row>
    <row r="3052" spans="9:32" ht="8.25" customHeight="1" x14ac:dyDescent="0.25">
      <c r="M3052" s="52">
        <v>3</v>
      </c>
      <c r="T3052" s="33">
        <v>46147</v>
      </c>
      <c r="U3052" s="34">
        <v>2026</v>
      </c>
      <c r="V3052" s="35" t="s">
        <v>2448</v>
      </c>
      <c r="W3052" s="35" t="s">
        <v>17</v>
      </c>
      <c r="X3052" s="37" t="s">
        <v>2523</v>
      </c>
      <c r="Y3052" s="36" t="s">
        <v>120</v>
      </c>
      <c r="Z3052" s="30" t="s">
        <v>2522</v>
      </c>
      <c r="AA3052" s="30" t="s">
        <v>385</v>
      </c>
      <c r="AD3052" s="38">
        <v>454.55</v>
      </c>
      <c r="AF3052" s="76">
        <f t="shared" si="297"/>
        <v>178304.8099999993</v>
      </c>
    </row>
    <row r="3053" spans="9:32" ht="8.25" customHeight="1" x14ac:dyDescent="0.25">
      <c r="N3053" s="52">
        <v>8</v>
      </c>
      <c r="T3053" s="33">
        <v>46147</v>
      </c>
      <c r="U3053" s="34">
        <v>2026</v>
      </c>
      <c r="V3053" s="35" t="s">
        <v>2448</v>
      </c>
      <c r="W3053" s="35" t="s">
        <v>17</v>
      </c>
      <c r="X3053" s="37" t="s">
        <v>2524</v>
      </c>
      <c r="Y3053" s="36" t="s">
        <v>252</v>
      </c>
      <c r="Z3053" s="30" t="s">
        <v>2522</v>
      </c>
      <c r="AA3053" s="30" t="s">
        <v>3899</v>
      </c>
      <c r="AD3053" s="38">
        <v>652.70000000000005</v>
      </c>
      <c r="AF3053" s="76">
        <f t="shared" si="297"/>
        <v>178957.50999999931</v>
      </c>
    </row>
    <row r="3054" spans="9:32" ht="8.25" customHeight="1" x14ac:dyDescent="0.15">
      <c r="N3054" s="52">
        <v>8</v>
      </c>
      <c r="T3054" s="33">
        <v>46147</v>
      </c>
      <c r="U3054" s="34">
        <v>2026</v>
      </c>
      <c r="V3054" s="35" t="s">
        <v>2448</v>
      </c>
      <c r="W3054" s="35" t="s">
        <v>17</v>
      </c>
      <c r="X3054" s="37" t="s">
        <v>2524</v>
      </c>
      <c r="Y3054" s="36" t="s">
        <v>252</v>
      </c>
      <c r="Z3054" s="30" t="s">
        <v>2522</v>
      </c>
      <c r="AA3054" s="134" t="s">
        <v>166</v>
      </c>
      <c r="AD3054" s="38">
        <v>47.3</v>
      </c>
      <c r="AF3054" s="76">
        <f t="shared" si="297"/>
        <v>179004.8099999993</v>
      </c>
    </row>
    <row r="3055" spans="9:32" ht="8.25" customHeight="1" x14ac:dyDescent="0.25">
      <c r="N3055" s="52">
        <v>9</v>
      </c>
      <c r="T3055" s="33">
        <v>46147</v>
      </c>
      <c r="U3055" s="34">
        <v>2026</v>
      </c>
      <c r="V3055" s="35" t="s">
        <v>2448</v>
      </c>
      <c r="W3055" s="35" t="s">
        <v>17</v>
      </c>
      <c r="X3055" s="37" t="s">
        <v>2525</v>
      </c>
      <c r="Y3055" s="36" t="s">
        <v>2526</v>
      </c>
      <c r="Z3055" s="30" t="s">
        <v>2557</v>
      </c>
      <c r="AA3055" s="30" t="s">
        <v>3899</v>
      </c>
      <c r="AD3055" s="38">
        <v>2525.25</v>
      </c>
      <c r="AF3055" s="76">
        <f t="shared" si="297"/>
        <v>181530.0599999993</v>
      </c>
    </row>
    <row r="3056" spans="9:32" ht="8.25" customHeight="1" x14ac:dyDescent="0.15">
      <c r="N3056" s="52">
        <v>9</v>
      </c>
      <c r="T3056" s="33">
        <v>46147</v>
      </c>
      <c r="U3056" s="34">
        <v>2026</v>
      </c>
      <c r="V3056" s="35" t="s">
        <v>2448</v>
      </c>
      <c r="W3056" s="35" t="s">
        <v>17</v>
      </c>
      <c r="X3056" s="37" t="s">
        <v>2525</v>
      </c>
      <c r="Y3056" s="36" t="s">
        <v>2526</v>
      </c>
      <c r="Z3056" s="30" t="s">
        <v>2557</v>
      </c>
      <c r="AA3056" s="134" t="s">
        <v>166</v>
      </c>
      <c r="AD3056" s="38">
        <v>2929.02</v>
      </c>
      <c r="AF3056" s="76">
        <f t="shared" si="297"/>
        <v>184459.07999999929</v>
      </c>
    </row>
    <row r="3057" spans="6:32" ht="8.25" customHeight="1" x14ac:dyDescent="0.25">
      <c r="N3057" s="52">
        <v>9</v>
      </c>
      <c r="T3057" s="33">
        <v>46147</v>
      </c>
      <c r="U3057" s="34">
        <v>2026</v>
      </c>
      <c r="V3057" s="35" t="s">
        <v>2448</v>
      </c>
      <c r="W3057" s="35" t="s">
        <v>17</v>
      </c>
      <c r="X3057" s="37" t="s">
        <v>2525</v>
      </c>
      <c r="Y3057" s="36" t="s">
        <v>2526</v>
      </c>
      <c r="Z3057" s="30" t="s">
        <v>2557</v>
      </c>
      <c r="AA3057" s="30" t="s">
        <v>3304</v>
      </c>
      <c r="AD3057" s="38">
        <v>90</v>
      </c>
      <c r="AF3057" s="76">
        <f t="shared" si="297"/>
        <v>184549.07999999929</v>
      </c>
    </row>
    <row r="3058" spans="6:32" ht="8.25" customHeight="1" x14ac:dyDescent="0.25">
      <c r="I3058" s="52">
        <v>13</v>
      </c>
      <c r="T3058" s="33">
        <v>46147</v>
      </c>
      <c r="U3058" s="34">
        <v>2026</v>
      </c>
      <c r="V3058" s="35" t="s">
        <v>2448</v>
      </c>
      <c r="W3058" s="35" t="s">
        <v>17</v>
      </c>
      <c r="X3058" s="37" t="s">
        <v>2539</v>
      </c>
      <c r="Y3058" s="36" t="s">
        <v>1142</v>
      </c>
      <c r="Z3058" s="30" t="s">
        <v>2294</v>
      </c>
      <c r="AA3058" s="30" t="s">
        <v>1044</v>
      </c>
      <c r="AD3058" s="38">
        <v>15500</v>
      </c>
      <c r="AF3058" s="76">
        <f t="shared" si="297"/>
        <v>200049.07999999929</v>
      </c>
    </row>
    <row r="3059" spans="6:32" ht="8.25" customHeight="1" x14ac:dyDescent="0.25">
      <c r="N3059" s="52">
        <v>10</v>
      </c>
      <c r="T3059" s="33">
        <v>46147</v>
      </c>
      <c r="U3059" s="34">
        <v>2026</v>
      </c>
      <c r="V3059" s="35" t="s">
        <v>2448</v>
      </c>
      <c r="W3059" s="35" t="s">
        <v>17</v>
      </c>
      <c r="X3059" s="37" t="s">
        <v>2540</v>
      </c>
      <c r="Y3059" s="36" t="s">
        <v>931</v>
      </c>
      <c r="Z3059" s="30" t="s">
        <v>932</v>
      </c>
      <c r="AA3059" s="30" t="s">
        <v>3899</v>
      </c>
      <c r="AD3059" s="38">
        <v>175.8</v>
      </c>
      <c r="AF3059" s="76">
        <f t="shared" si="297"/>
        <v>200224.87999999928</v>
      </c>
    </row>
    <row r="3060" spans="6:32" ht="8.25" customHeight="1" x14ac:dyDescent="0.15">
      <c r="N3060" s="52">
        <v>10</v>
      </c>
      <c r="T3060" s="33">
        <v>46147</v>
      </c>
      <c r="U3060" s="34">
        <v>2026</v>
      </c>
      <c r="V3060" s="35" t="s">
        <v>2448</v>
      </c>
      <c r="W3060" s="35" t="s">
        <v>17</v>
      </c>
      <c r="X3060" s="37" t="s">
        <v>2540</v>
      </c>
      <c r="Y3060" s="36" t="s">
        <v>931</v>
      </c>
      <c r="Z3060" s="30" t="s">
        <v>932</v>
      </c>
      <c r="AA3060" s="134" t="s">
        <v>166</v>
      </c>
      <c r="AD3060" s="38">
        <v>39.159999999999997</v>
      </c>
      <c r="AF3060" s="76">
        <f>AF3059+AD3060-AE3060</f>
        <v>200264.03999999928</v>
      </c>
    </row>
    <row r="3061" spans="6:32" ht="8.25" customHeight="1" x14ac:dyDescent="0.25">
      <c r="I3061" s="52">
        <v>14</v>
      </c>
      <c r="T3061" s="33">
        <v>46147</v>
      </c>
      <c r="U3061" s="34">
        <v>2026</v>
      </c>
      <c r="V3061" s="35" t="s">
        <v>2448</v>
      </c>
      <c r="W3061" s="35" t="s">
        <v>17</v>
      </c>
      <c r="X3061" s="37" t="s">
        <v>2542</v>
      </c>
      <c r="Y3061" s="36" t="s">
        <v>2543</v>
      </c>
      <c r="Z3061" s="30" t="s">
        <v>2544</v>
      </c>
      <c r="AA3061" s="30" t="s">
        <v>1044</v>
      </c>
      <c r="AD3061" s="38">
        <v>200</v>
      </c>
      <c r="AF3061" s="76">
        <f t="shared" ref="AF3061:AF3069" si="298">AF3060+AD3061-AE3061</f>
        <v>200464.03999999928</v>
      </c>
    </row>
    <row r="3062" spans="6:32" ht="8.25" customHeight="1" x14ac:dyDescent="0.25">
      <c r="R3062" s="53">
        <v>7</v>
      </c>
      <c r="T3062" s="33">
        <v>46147</v>
      </c>
      <c r="U3062" s="34">
        <v>2026</v>
      </c>
      <c r="V3062" s="35" t="s">
        <v>2448</v>
      </c>
      <c r="W3062" s="35" t="s">
        <v>5</v>
      </c>
      <c r="X3062" s="37" t="s">
        <v>2529</v>
      </c>
      <c r="Y3062" s="36" t="s">
        <v>717</v>
      </c>
      <c r="Z3062" s="30" t="s">
        <v>699</v>
      </c>
      <c r="AA3062" s="30" t="s">
        <v>92</v>
      </c>
      <c r="AE3062" s="38">
        <v>70000</v>
      </c>
      <c r="AF3062" s="76">
        <f t="shared" si="298"/>
        <v>130464.03999999928</v>
      </c>
    </row>
    <row r="3063" spans="6:32" ht="8.25" customHeight="1" x14ac:dyDescent="0.25">
      <c r="Q3063" s="52">
        <v>3</v>
      </c>
      <c r="R3063" s="53">
        <v>8</v>
      </c>
      <c r="T3063" s="33">
        <v>46147</v>
      </c>
      <c r="U3063" s="34">
        <v>2026</v>
      </c>
      <c r="V3063" s="35" t="s">
        <v>2448</v>
      </c>
      <c r="W3063" s="35" t="s">
        <v>5</v>
      </c>
      <c r="X3063" s="37" t="s">
        <v>2527</v>
      </c>
      <c r="Y3063" s="36" t="s">
        <v>2530</v>
      </c>
      <c r="Z3063" s="30" t="s">
        <v>2522</v>
      </c>
      <c r="AA3063" s="30" t="s">
        <v>1509</v>
      </c>
      <c r="AE3063" s="38">
        <v>22727.27</v>
      </c>
      <c r="AF3063" s="76">
        <f t="shared" si="298"/>
        <v>107736.76999999928</v>
      </c>
    </row>
    <row r="3064" spans="6:32" ht="8.25" customHeight="1" x14ac:dyDescent="0.25">
      <c r="R3064" s="53">
        <v>9</v>
      </c>
      <c r="T3064" s="33">
        <v>46147</v>
      </c>
      <c r="U3064" s="34">
        <v>2026</v>
      </c>
      <c r="V3064" s="35" t="s">
        <v>2448</v>
      </c>
      <c r="W3064" s="35" t="s">
        <v>5</v>
      </c>
      <c r="X3064" s="37" t="s">
        <v>2528</v>
      </c>
      <c r="Y3064" s="36" t="s">
        <v>1623</v>
      </c>
      <c r="Z3064" s="30" t="s">
        <v>2557</v>
      </c>
      <c r="AA3064" s="30" t="s">
        <v>92</v>
      </c>
      <c r="AE3064" s="38">
        <v>1144.27</v>
      </c>
      <c r="AF3064" s="76">
        <f t="shared" si="298"/>
        <v>106592.49999999927</v>
      </c>
    </row>
    <row r="3065" spans="6:32" ht="8.25" customHeight="1" x14ac:dyDescent="0.25">
      <c r="T3065" s="33">
        <v>46147</v>
      </c>
      <c r="U3065" s="34">
        <v>2026</v>
      </c>
      <c r="V3065" s="35" t="s">
        <v>2448</v>
      </c>
      <c r="W3065" s="35" t="s">
        <v>5</v>
      </c>
      <c r="X3065" s="37" t="s">
        <v>2541</v>
      </c>
      <c r="Y3065" s="36" t="s">
        <v>691</v>
      </c>
      <c r="Z3065" s="30" t="s">
        <v>692</v>
      </c>
      <c r="AA3065" s="30" t="s">
        <v>92</v>
      </c>
      <c r="AE3065" s="38">
        <v>2000</v>
      </c>
      <c r="AF3065" s="76">
        <f t="shared" si="298"/>
        <v>104592.49999999927</v>
      </c>
    </row>
    <row r="3066" spans="6:32" ht="8.25" customHeight="1" x14ac:dyDescent="0.25">
      <c r="G3066" s="53">
        <v>9</v>
      </c>
      <c r="T3066" s="33">
        <v>46147</v>
      </c>
      <c r="U3066" s="34">
        <v>2026</v>
      </c>
      <c r="V3066" s="35" t="s">
        <v>2448</v>
      </c>
      <c r="W3066" s="35" t="s">
        <v>5</v>
      </c>
      <c r="X3066" s="37" t="s">
        <v>2533</v>
      </c>
      <c r="Y3066" s="36" t="s">
        <v>2536</v>
      </c>
      <c r="Z3066" s="30" t="s">
        <v>2518</v>
      </c>
      <c r="AA3066" s="30" t="s">
        <v>3945</v>
      </c>
      <c r="AE3066" s="38">
        <v>1833</v>
      </c>
      <c r="AF3066" s="76">
        <f t="shared" si="298"/>
        <v>102759.49999999927</v>
      </c>
    </row>
    <row r="3067" spans="6:32" ht="8.25" customHeight="1" x14ac:dyDescent="0.25">
      <c r="G3067" s="53">
        <v>10</v>
      </c>
      <c r="T3067" s="33">
        <v>46147</v>
      </c>
      <c r="U3067" s="34">
        <v>2026</v>
      </c>
      <c r="V3067" s="35" t="s">
        <v>2448</v>
      </c>
      <c r="W3067" s="35" t="s">
        <v>5</v>
      </c>
      <c r="X3067" s="37" t="s">
        <v>2534</v>
      </c>
      <c r="Y3067" s="36" t="s">
        <v>2537</v>
      </c>
      <c r="Z3067" s="30" t="s">
        <v>2531</v>
      </c>
      <c r="AA3067" s="30" t="s">
        <v>3945</v>
      </c>
      <c r="AE3067" s="38">
        <v>4602</v>
      </c>
      <c r="AF3067" s="76">
        <f t="shared" si="298"/>
        <v>98157.499999999272</v>
      </c>
    </row>
    <row r="3068" spans="6:32" ht="8.25" customHeight="1" x14ac:dyDescent="0.25">
      <c r="F3068" s="53">
        <v>1</v>
      </c>
      <c r="T3068" s="33">
        <v>46147</v>
      </c>
      <c r="U3068" s="34">
        <v>2026</v>
      </c>
      <c r="V3068" s="35" t="s">
        <v>2448</v>
      </c>
      <c r="W3068" s="35" t="s">
        <v>5</v>
      </c>
      <c r="X3068" s="37" t="s">
        <v>2535</v>
      </c>
      <c r="Y3068" s="36" t="s">
        <v>2538</v>
      </c>
      <c r="Z3068" s="30" t="s">
        <v>2532</v>
      </c>
      <c r="AA3068" s="30" t="s">
        <v>3939</v>
      </c>
      <c r="AE3068" s="38">
        <v>2000</v>
      </c>
      <c r="AF3068" s="76">
        <f t="shared" si="298"/>
        <v>96157.499999999272</v>
      </c>
    </row>
    <row r="3069" spans="6:32" ht="8.25" customHeight="1" x14ac:dyDescent="0.25">
      <c r="T3069" s="33">
        <v>46147</v>
      </c>
      <c r="U3069" s="34">
        <v>2026</v>
      </c>
      <c r="V3069" s="35" t="s">
        <v>2448</v>
      </c>
      <c r="W3069" s="35" t="s">
        <v>5</v>
      </c>
      <c r="X3069" s="37" t="s">
        <v>2547</v>
      </c>
      <c r="Y3069" s="36" t="s">
        <v>2546</v>
      </c>
      <c r="Z3069" s="30" t="s">
        <v>2545</v>
      </c>
      <c r="AA3069" s="30" t="s">
        <v>3939</v>
      </c>
      <c r="AE3069" s="38">
        <v>17976.96</v>
      </c>
      <c r="AF3069" s="76">
        <f t="shared" si="298"/>
        <v>78180.539999999281</v>
      </c>
    </row>
    <row r="3070" spans="6:32" ht="8.25" customHeight="1" thickBot="1" x14ac:dyDescent="0.3">
      <c r="AA3070" s="75" t="s">
        <v>2139</v>
      </c>
      <c r="AD3070" s="253">
        <f>SUM(AD3044:AD3068)</f>
        <v>48733.500000000007</v>
      </c>
      <c r="AE3070" s="253">
        <f>SUM(AE3044:AE3069)</f>
        <v>122283.5</v>
      </c>
      <c r="AF3070" s="233">
        <f>AF3043+AD3070-AE3070</f>
        <v>78180.53999999931</v>
      </c>
    </row>
    <row r="3071" spans="6:32" ht="8.25" customHeight="1" thickTop="1" x14ac:dyDescent="0.25">
      <c r="X3071" s="109"/>
      <c r="Y3071" s="67" t="s">
        <v>214</v>
      </c>
      <c r="Z3071" s="68"/>
      <c r="AA3071" s="75"/>
    </row>
    <row r="3072" spans="6:32" ht="8.25" customHeight="1" x14ac:dyDescent="0.25">
      <c r="X3072" s="110" t="s">
        <v>1012</v>
      </c>
      <c r="Y3072" s="111">
        <v>200</v>
      </c>
      <c r="Z3072" s="111">
        <f t="shared" ref="Z3072:Z3077" si="299">X3072*Y3072</f>
        <v>9800</v>
      </c>
      <c r="AA3072" s="112"/>
    </row>
    <row r="3073" spans="14:32" ht="8.25" customHeight="1" x14ac:dyDescent="0.25">
      <c r="X3073" s="110" t="s">
        <v>2567</v>
      </c>
      <c r="Y3073" s="111">
        <v>100</v>
      </c>
      <c r="Z3073" s="111">
        <f t="shared" si="299"/>
        <v>65700</v>
      </c>
      <c r="AA3073" s="112"/>
    </row>
    <row r="3074" spans="14:32" ht="8.25" customHeight="1" x14ac:dyDescent="0.25">
      <c r="X3074" s="110" t="s">
        <v>222</v>
      </c>
      <c r="Y3074" s="111">
        <v>50</v>
      </c>
      <c r="Z3074" s="111">
        <f t="shared" si="299"/>
        <v>50</v>
      </c>
      <c r="AA3074" s="76"/>
    </row>
    <row r="3075" spans="14:32" ht="8.25" customHeight="1" x14ac:dyDescent="0.25">
      <c r="X3075" s="110" t="s">
        <v>222</v>
      </c>
      <c r="Y3075" s="111">
        <v>20</v>
      </c>
      <c r="Z3075" s="111">
        <f t="shared" si="299"/>
        <v>20</v>
      </c>
      <c r="AA3075" s="38"/>
    </row>
    <row r="3076" spans="14:32" ht="8.25" customHeight="1" x14ac:dyDescent="0.25">
      <c r="X3076" s="110" t="s">
        <v>1111</v>
      </c>
      <c r="Y3076" s="111">
        <v>10</v>
      </c>
      <c r="Z3076" s="111">
        <f t="shared" si="299"/>
        <v>420</v>
      </c>
      <c r="AA3076" s="112"/>
    </row>
    <row r="3077" spans="14:32" ht="8.25" customHeight="1" x14ac:dyDescent="0.25">
      <c r="X3077" s="110" t="s">
        <v>2548</v>
      </c>
      <c r="Y3077" s="111">
        <v>5</v>
      </c>
      <c r="Z3077" s="111">
        <f t="shared" si="299"/>
        <v>1565</v>
      </c>
      <c r="AA3077" s="112"/>
    </row>
    <row r="3078" spans="14:32" ht="8.25" customHeight="1" x14ac:dyDescent="0.25">
      <c r="X3078" s="269"/>
      <c r="Y3078" s="270"/>
      <c r="Z3078" s="271"/>
      <c r="AA3078" s="38"/>
    </row>
    <row r="3079" spans="14:32" ht="8.25" customHeight="1" x14ac:dyDescent="0.25">
      <c r="X3079" s="110" t="s">
        <v>2729</v>
      </c>
      <c r="Y3079" s="111">
        <v>1</v>
      </c>
      <c r="Z3079" s="111">
        <f t="shared" ref="Z3079:Z3084" si="300">X3079*Y3079</f>
        <v>540</v>
      </c>
      <c r="AA3079" s="76"/>
    </row>
    <row r="3080" spans="14:32" ht="8.25" customHeight="1" x14ac:dyDescent="0.25">
      <c r="X3080" s="110" t="s">
        <v>1496</v>
      </c>
      <c r="Y3080" s="111">
        <v>0.5</v>
      </c>
      <c r="Z3080" s="111">
        <f t="shared" si="300"/>
        <v>40.5</v>
      </c>
      <c r="AA3080" s="112"/>
    </row>
    <row r="3081" spans="14:32" ht="8.25" customHeight="1" x14ac:dyDescent="0.25">
      <c r="X3081" s="110" t="s">
        <v>1878</v>
      </c>
      <c r="Y3081" s="111">
        <v>0.25</v>
      </c>
      <c r="Z3081" s="111">
        <f t="shared" si="300"/>
        <v>45</v>
      </c>
      <c r="AA3081" s="113"/>
    </row>
    <row r="3082" spans="14:32" ht="8.25" customHeight="1" x14ac:dyDescent="0.25">
      <c r="X3082" s="110"/>
      <c r="Y3082" s="111">
        <v>0.1</v>
      </c>
      <c r="Z3082" s="111">
        <f t="shared" si="300"/>
        <v>0</v>
      </c>
      <c r="AA3082" s="114" t="s">
        <v>219</v>
      </c>
    </row>
    <row r="3083" spans="14:32" ht="8.25" customHeight="1" thickBot="1" x14ac:dyDescent="0.3">
      <c r="X3083" s="110"/>
      <c r="Y3083" s="111">
        <v>0.05</v>
      </c>
      <c r="Z3083" s="111">
        <f t="shared" si="300"/>
        <v>0</v>
      </c>
      <c r="AA3083" s="115">
        <f>SUM(Z3072:Z3077)+Z3079+Z3080+Z3081+Z3082+Z3083+Z3084</f>
        <v>78180.539999999994</v>
      </c>
    </row>
    <row r="3084" spans="14:32" ht="8.25" customHeight="1" thickTop="1" x14ac:dyDescent="0.25">
      <c r="X3084" s="110" t="s">
        <v>299</v>
      </c>
      <c r="Y3084" s="111">
        <v>0.01</v>
      </c>
      <c r="Z3084" s="111">
        <f t="shared" si="300"/>
        <v>0.04</v>
      </c>
    </row>
    <row r="3086" spans="14:32" ht="8.25" customHeight="1" x14ac:dyDescent="0.25">
      <c r="Z3086" s="231" t="s">
        <v>1376</v>
      </c>
      <c r="AF3086" s="76">
        <f>AF3070</f>
        <v>78180.53999999931</v>
      </c>
    </row>
    <row r="3087" spans="14:32" ht="8.25" customHeight="1" x14ac:dyDescent="0.25">
      <c r="N3087" s="52">
        <v>11</v>
      </c>
      <c r="T3087" s="33">
        <v>46148</v>
      </c>
      <c r="U3087" s="34">
        <v>2026</v>
      </c>
      <c r="V3087" s="35" t="s">
        <v>2448</v>
      </c>
      <c r="W3087" s="35" t="s">
        <v>17</v>
      </c>
      <c r="X3087" s="37" t="s">
        <v>2549</v>
      </c>
      <c r="Y3087" s="36" t="s">
        <v>347</v>
      </c>
      <c r="Z3087" s="30" t="s">
        <v>1461</v>
      </c>
      <c r="AA3087" s="30" t="s">
        <v>3899</v>
      </c>
      <c r="AD3087" s="38">
        <v>6121.8</v>
      </c>
      <c r="AF3087" s="76">
        <f>AF3086+AD3087-AE3087</f>
        <v>84302.339999999313</v>
      </c>
    </row>
    <row r="3088" spans="14:32" ht="8.25" customHeight="1" x14ac:dyDescent="0.15">
      <c r="N3088" s="52">
        <v>11</v>
      </c>
      <c r="T3088" s="33">
        <v>46148</v>
      </c>
      <c r="U3088" s="34">
        <v>2026</v>
      </c>
      <c r="V3088" s="35" t="s">
        <v>2448</v>
      </c>
      <c r="W3088" s="35" t="s">
        <v>17</v>
      </c>
      <c r="X3088" s="37" t="s">
        <v>2549</v>
      </c>
      <c r="Y3088" s="36" t="s">
        <v>347</v>
      </c>
      <c r="Z3088" s="30" t="s">
        <v>1461</v>
      </c>
      <c r="AA3088" s="134" t="s">
        <v>166</v>
      </c>
      <c r="AD3088" s="38">
        <v>4878.2</v>
      </c>
      <c r="AF3088" s="76">
        <f>AF3087+AD3088-AE3088</f>
        <v>89180.53999999931</v>
      </c>
    </row>
    <row r="3089" spans="11:32" ht="8.25" customHeight="1" x14ac:dyDescent="0.25">
      <c r="N3089" s="52">
        <v>12</v>
      </c>
      <c r="T3089" s="33">
        <v>46148</v>
      </c>
      <c r="U3089" s="34">
        <v>2026</v>
      </c>
      <c r="V3089" s="35" t="s">
        <v>2448</v>
      </c>
      <c r="W3089" s="35" t="s">
        <v>17</v>
      </c>
      <c r="X3089" s="37" t="s">
        <v>2550</v>
      </c>
      <c r="Y3089" s="36" t="s">
        <v>1546</v>
      </c>
      <c r="Z3089" s="30" t="s">
        <v>1547</v>
      </c>
      <c r="AA3089" s="30" t="s">
        <v>3899</v>
      </c>
      <c r="AD3089" s="38">
        <v>7606.9</v>
      </c>
      <c r="AF3089" s="76">
        <f t="shared" ref="AF3089:AF3102" si="301">AF3088+AD3089-AE3089</f>
        <v>96787.439999999304</v>
      </c>
    </row>
    <row r="3090" spans="11:32" ht="8.25" customHeight="1" x14ac:dyDescent="0.15">
      <c r="N3090" s="52">
        <v>12</v>
      </c>
      <c r="T3090" s="33">
        <v>46148</v>
      </c>
      <c r="U3090" s="34">
        <v>2026</v>
      </c>
      <c r="V3090" s="35" t="s">
        <v>2448</v>
      </c>
      <c r="W3090" s="35" t="s">
        <v>17</v>
      </c>
      <c r="X3090" s="37" t="s">
        <v>2550</v>
      </c>
      <c r="Y3090" s="36" t="s">
        <v>1546</v>
      </c>
      <c r="Z3090" s="30" t="s">
        <v>1547</v>
      </c>
      <c r="AA3090" s="134" t="s">
        <v>166</v>
      </c>
      <c r="AD3090" s="38">
        <v>6393.1</v>
      </c>
      <c r="AF3090" s="76">
        <f t="shared" si="301"/>
        <v>103180.53999999931</v>
      </c>
    </row>
    <row r="3091" spans="11:32" ht="8.25" customHeight="1" x14ac:dyDescent="0.25">
      <c r="N3091" s="52">
        <v>13</v>
      </c>
      <c r="T3091" s="33">
        <v>46148</v>
      </c>
      <c r="U3091" s="34">
        <v>2026</v>
      </c>
      <c r="V3091" s="35" t="s">
        <v>2448</v>
      </c>
      <c r="W3091" s="35" t="s">
        <v>17</v>
      </c>
      <c r="X3091" s="37" t="s">
        <v>2551</v>
      </c>
      <c r="Y3091" s="36" t="s">
        <v>1990</v>
      </c>
      <c r="Z3091" s="30" t="s">
        <v>1991</v>
      </c>
      <c r="AA3091" s="30" t="s">
        <v>3899</v>
      </c>
      <c r="AD3091" s="38">
        <v>8434.0300000000007</v>
      </c>
      <c r="AF3091" s="76">
        <f t="shared" si="301"/>
        <v>111614.56999999931</v>
      </c>
    </row>
    <row r="3092" spans="11:32" ht="8.25" customHeight="1" x14ac:dyDescent="0.15">
      <c r="N3092" s="52">
        <v>13</v>
      </c>
      <c r="T3092" s="33">
        <v>46148</v>
      </c>
      <c r="U3092" s="34">
        <v>2026</v>
      </c>
      <c r="V3092" s="35" t="s">
        <v>2448</v>
      </c>
      <c r="W3092" s="35" t="s">
        <v>17</v>
      </c>
      <c r="X3092" s="37" t="s">
        <v>2551</v>
      </c>
      <c r="Y3092" s="36" t="s">
        <v>1990</v>
      </c>
      <c r="Z3092" s="30" t="s">
        <v>1991</v>
      </c>
      <c r="AA3092" s="134" t="s">
        <v>166</v>
      </c>
      <c r="AD3092" s="38">
        <v>6565.97</v>
      </c>
      <c r="AF3092" s="76">
        <f t="shared" si="301"/>
        <v>118180.53999999931</v>
      </c>
    </row>
    <row r="3093" spans="11:32" ht="8.25" customHeight="1" x14ac:dyDescent="0.25">
      <c r="N3093" s="52">
        <v>14</v>
      </c>
      <c r="T3093" s="33">
        <v>46148</v>
      </c>
      <c r="U3093" s="34">
        <v>2026</v>
      </c>
      <c r="V3093" s="35" t="s">
        <v>2448</v>
      </c>
      <c r="W3093" s="35" t="s">
        <v>17</v>
      </c>
      <c r="X3093" s="37" t="s">
        <v>2552</v>
      </c>
      <c r="Y3093" s="36" t="s">
        <v>346</v>
      </c>
      <c r="Z3093" s="30" t="s">
        <v>1483</v>
      </c>
      <c r="AA3093" s="30" t="s">
        <v>3899</v>
      </c>
      <c r="AD3093" s="38">
        <v>7161.2</v>
      </c>
      <c r="AF3093" s="76">
        <f t="shared" si="301"/>
        <v>125341.73999999931</v>
      </c>
    </row>
    <row r="3094" spans="11:32" ht="8.25" customHeight="1" x14ac:dyDescent="0.15">
      <c r="N3094" s="52">
        <v>14</v>
      </c>
      <c r="T3094" s="33">
        <v>46148</v>
      </c>
      <c r="U3094" s="34">
        <v>2026</v>
      </c>
      <c r="V3094" s="35" t="s">
        <v>2448</v>
      </c>
      <c r="W3094" s="35" t="s">
        <v>17</v>
      </c>
      <c r="X3094" s="37" t="s">
        <v>2552</v>
      </c>
      <c r="Y3094" s="36" t="s">
        <v>346</v>
      </c>
      <c r="Z3094" s="30" t="s">
        <v>1483</v>
      </c>
      <c r="AA3094" s="134" t="s">
        <v>166</v>
      </c>
      <c r="AD3094" s="38">
        <v>5838.8</v>
      </c>
      <c r="AF3094" s="76">
        <f t="shared" si="301"/>
        <v>131180.53999999931</v>
      </c>
    </row>
    <row r="3095" spans="11:32" ht="8.25" customHeight="1" x14ac:dyDescent="0.25">
      <c r="N3095" s="52">
        <v>15</v>
      </c>
      <c r="T3095" s="33">
        <v>46148</v>
      </c>
      <c r="U3095" s="34">
        <v>2026</v>
      </c>
      <c r="V3095" s="35" t="s">
        <v>2448</v>
      </c>
      <c r="W3095" s="35" t="s">
        <v>17</v>
      </c>
      <c r="X3095" s="37" t="s">
        <v>2553</v>
      </c>
      <c r="Y3095" s="36" t="s">
        <v>1549</v>
      </c>
      <c r="Z3095" s="30" t="s">
        <v>1550</v>
      </c>
      <c r="AA3095" s="30" t="s">
        <v>3899</v>
      </c>
      <c r="AD3095" s="38">
        <v>7606.9</v>
      </c>
      <c r="AF3095" s="76">
        <f t="shared" si="301"/>
        <v>138787.4399999993</v>
      </c>
    </row>
    <row r="3096" spans="11:32" ht="8.25" customHeight="1" x14ac:dyDescent="0.15">
      <c r="N3096" s="52">
        <v>15</v>
      </c>
      <c r="T3096" s="33">
        <v>46148</v>
      </c>
      <c r="U3096" s="34">
        <v>2026</v>
      </c>
      <c r="V3096" s="35" t="s">
        <v>2448</v>
      </c>
      <c r="W3096" s="35" t="s">
        <v>17</v>
      </c>
      <c r="X3096" s="37" t="s">
        <v>2553</v>
      </c>
      <c r="Y3096" s="36" t="s">
        <v>2554</v>
      </c>
      <c r="Z3096" s="30" t="s">
        <v>1550</v>
      </c>
      <c r="AA3096" s="134" t="s">
        <v>166</v>
      </c>
      <c r="AD3096" s="38">
        <v>6393.1</v>
      </c>
      <c r="AF3096" s="76">
        <f t="shared" si="301"/>
        <v>145180.53999999931</v>
      </c>
    </row>
    <row r="3097" spans="11:32" ht="8.25" customHeight="1" x14ac:dyDescent="0.25">
      <c r="K3097" s="52">
        <v>2</v>
      </c>
      <c r="T3097" s="33">
        <v>46148</v>
      </c>
      <c r="U3097" s="34">
        <v>2026</v>
      </c>
      <c r="V3097" s="35" t="s">
        <v>2448</v>
      </c>
      <c r="W3097" s="35" t="s">
        <v>17</v>
      </c>
      <c r="X3097" s="37" t="s">
        <v>2560</v>
      </c>
      <c r="Y3097" s="36" t="s">
        <v>2563</v>
      </c>
      <c r="Z3097" s="30" t="s">
        <v>2564</v>
      </c>
      <c r="AA3097" s="30" t="s">
        <v>1787</v>
      </c>
      <c r="AD3097" s="38">
        <v>100</v>
      </c>
      <c r="AF3097" s="76">
        <f t="shared" si="301"/>
        <v>145280.53999999931</v>
      </c>
    </row>
    <row r="3098" spans="11:32" ht="8.25" customHeight="1" x14ac:dyDescent="0.25">
      <c r="L3098" s="52">
        <v>2</v>
      </c>
      <c r="T3098" s="33">
        <v>46148</v>
      </c>
      <c r="U3098" s="34">
        <v>2026</v>
      </c>
      <c r="V3098" s="35" t="s">
        <v>2448</v>
      </c>
      <c r="W3098" s="35" t="s">
        <v>17</v>
      </c>
      <c r="X3098" s="37" t="s">
        <v>2561</v>
      </c>
      <c r="Y3098" s="36" t="s">
        <v>120</v>
      </c>
      <c r="Z3098" s="30" t="s">
        <v>2564</v>
      </c>
      <c r="AA3098" s="30" t="s">
        <v>373</v>
      </c>
      <c r="AD3098" s="38">
        <v>50</v>
      </c>
      <c r="AF3098" s="76">
        <f t="shared" si="301"/>
        <v>145330.53999999931</v>
      </c>
    </row>
    <row r="3099" spans="11:32" ht="8.25" customHeight="1" x14ac:dyDescent="0.25">
      <c r="K3099" s="52">
        <v>3</v>
      </c>
      <c r="T3099" s="33">
        <v>46148</v>
      </c>
      <c r="U3099" s="34">
        <v>2026</v>
      </c>
      <c r="V3099" s="35" t="s">
        <v>2448</v>
      </c>
      <c r="W3099" s="35" t="s">
        <v>17</v>
      </c>
      <c r="X3099" s="37" t="s">
        <v>2562</v>
      </c>
      <c r="Y3099" s="36" t="s">
        <v>2565</v>
      </c>
      <c r="Z3099" s="30" t="s">
        <v>2566</v>
      </c>
      <c r="AA3099" s="30" t="s">
        <v>1787</v>
      </c>
      <c r="AD3099" s="38">
        <v>100</v>
      </c>
      <c r="AF3099" s="76">
        <f t="shared" si="301"/>
        <v>145430.53999999931</v>
      </c>
    </row>
    <row r="3100" spans="11:32" ht="8.25" customHeight="1" x14ac:dyDescent="0.25">
      <c r="L3100" s="52">
        <v>3</v>
      </c>
      <c r="T3100" s="33">
        <v>46148</v>
      </c>
      <c r="U3100" s="34">
        <v>2026</v>
      </c>
      <c r="V3100" s="35" t="s">
        <v>2448</v>
      </c>
      <c r="W3100" s="35" t="s">
        <v>17</v>
      </c>
      <c r="X3100" s="37" t="s">
        <v>2569</v>
      </c>
      <c r="Z3100" s="30" t="s">
        <v>2566</v>
      </c>
      <c r="AA3100" s="30" t="s">
        <v>373</v>
      </c>
      <c r="AD3100" s="38">
        <v>50</v>
      </c>
      <c r="AF3100" s="76">
        <f t="shared" si="301"/>
        <v>145480.53999999931</v>
      </c>
    </row>
    <row r="3101" spans="11:32" ht="8.25" customHeight="1" x14ac:dyDescent="0.25">
      <c r="Q3101" s="52">
        <v>4</v>
      </c>
      <c r="T3101" s="33">
        <v>46148</v>
      </c>
      <c r="U3101" s="34">
        <v>2026</v>
      </c>
      <c r="V3101" s="35" t="s">
        <v>2448</v>
      </c>
      <c r="W3101" s="35" t="s">
        <v>5</v>
      </c>
      <c r="Y3101" s="37" t="s">
        <v>411</v>
      </c>
      <c r="Z3101" s="30" t="s">
        <v>412</v>
      </c>
      <c r="AA3101" s="30" t="s">
        <v>1882</v>
      </c>
      <c r="AE3101" s="38">
        <v>100000</v>
      </c>
      <c r="AF3101" s="76">
        <f t="shared" si="301"/>
        <v>45480.53999999931</v>
      </c>
    </row>
    <row r="3102" spans="11:32" ht="8.25" customHeight="1" x14ac:dyDescent="0.25">
      <c r="R3102" s="53">
        <v>10</v>
      </c>
      <c r="T3102" s="33">
        <v>46148</v>
      </c>
      <c r="U3102" s="34">
        <v>2026</v>
      </c>
      <c r="V3102" s="35" t="s">
        <v>2448</v>
      </c>
      <c r="W3102" s="35" t="s">
        <v>5</v>
      </c>
      <c r="X3102" s="37" t="s">
        <v>2555</v>
      </c>
      <c r="Y3102" s="36" t="s">
        <v>2012</v>
      </c>
      <c r="Z3102" s="30" t="s">
        <v>2556</v>
      </c>
      <c r="AA3102" s="30" t="s">
        <v>92</v>
      </c>
      <c r="AE3102" s="38">
        <v>600</v>
      </c>
      <c r="AF3102" s="76">
        <f t="shared" si="301"/>
        <v>44880.53999999931</v>
      </c>
    </row>
    <row r="3103" spans="11:32" ht="8.25" customHeight="1" thickBot="1" x14ac:dyDescent="0.3">
      <c r="AA3103" s="75" t="s">
        <v>2139</v>
      </c>
      <c r="AD3103" s="253">
        <f>SUM(AD3087:AD3102)</f>
        <v>67300</v>
      </c>
      <c r="AE3103" s="253">
        <f>SUM(AE3087:AE3102)</f>
        <v>100600</v>
      </c>
      <c r="AF3103" s="233">
        <f>AF3086+AD3103-AE3103</f>
        <v>44880.53999999931</v>
      </c>
    </row>
    <row r="3104" spans="11:32" ht="8.25" customHeight="1" thickTop="1" x14ac:dyDescent="0.25"/>
    <row r="3105" spans="24:33" ht="8.25" customHeight="1" x14ac:dyDescent="0.25">
      <c r="X3105" s="109"/>
      <c r="Y3105" s="67" t="s">
        <v>214</v>
      </c>
      <c r="Z3105" s="68"/>
      <c r="AA3105" s="75"/>
      <c r="AG3105" s="124"/>
    </row>
    <row r="3106" spans="24:33" ht="8.25" customHeight="1" x14ac:dyDescent="0.25">
      <c r="X3106" s="110" t="s">
        <v>1012</v>
      </c>
      <c r="Y3106" s="111">
        <v>200</v>
      </c>
      <c r="Z3106" s="111">
        <f t="shared" ref="Z3106:Z3111" si="302">X3106*Y3106</f>
        <v>9800</v>
      </c>
      <c r="AA3106" s="112"/>
    </row>
    <row r="3107" spans="24:33" ht="8.25" customHeight="1" x14ac:dyDescent="0.25">
      <c r="X3107" s="110" t="s">
        <v>2568</v>
      </c>
      <c r="Y3107" s="111">
        <v>100</v>
      </c>
      <c r="Z3107" s="111">
        <f t="shared" si="302"/>
        <v>32700</v>
      </c>
      <c r="AA3107" s="112"/>
    </row>
    <row r="3108" spans="24:33" ht="8.25" customHeight="1" x14ac:dyDescent="0.25">
      <c r="X3108" s="110" t="s">
        <v>222</v>
      </c>
      <c r="Y3108" s="111">
        <v>50</v>
      </c>
      <c r="Z3108" s="111">
        <f t="shared" si="302"/>
        <v>50</v>
      </c>
      <c r="AA3108" s="76"/>
    </row>
    <row r="3109" spans="24:33" ht="8.25" customHeight="1" x14ac:dyDescent="0.25">
      <c r="X3109" s="110" t="s">
        <v>222</v>
      </c>
      <c r="Y3109" s="111">
        <v>20</v>
      </c>
      <c r="Z3109" s="111">
        <f t="shared" si="302"/>
        <v>20</v>
      </c>
      <c r="AA3109" s="38"/>
    </row>
    <row r="3110" spans="24:33" ht="8.25" customHeight="1" x14ac:dyDescent="0.25">
      <c r="X3110" s="110" t="s">
        <v>2348</v>
      </c>
      <c r="Y3110" s="111">
        <v>10</v>
      </c>
      <c r="Z3110" s="111">
        <f t="shared" si="302"/>
        <v>120</v>
      </c>
      <c r="AA3110" s="112"/>
    </row>
    <row r="3111" spans="24:33" ht="8.25" customHeight="1" x14ac:dyDescent="0.25">
      <c r="X3111" s="110" t="s">
        <v>2548</v>
      </c>
      <c r="Y3111" s="111">
        <v>5</v>
      </c>
      <c r="Z3111" s="111">
        <f t="shared" si="302"/>
        <v>1565</v>
      </c>
      <c r="AA3111" s="112"/>
    </row>
    <row r="3112" spans="24:33" ht="8.25" customHeight="1" x14ac:dyDescent="0.25">
      <c r="X3112" s="269"/>
      <c r="Y3112" s="270"/>
      <c r="Z3112" s="271"/>
      <c r="AA3112" s="38"/>
    </row>
    <row r="3113" spans="24:33" ht="8.25" customHeight="1" x14ac:dyDescent="0.25">
      <c r="X3113" s="110" t="s">
        <v>2729</v>
      </c>
      <c r="Y3113" s="111">
        <v>1</v>
      </c>
      <c r="Z3113" s="111">
        <f t="shared" ref="Z3113:Z3118" si="303">X3113*Y3113</f>
        <v>540</v>
      </c>
      <c r="AA3113" s="76"/>
    </row>
    <row r="3114" spans="24:33" ht="8.25" customHeight="1" x14ac:dyDescent="0.25">
      <c r="X3114" s="110" t="s">
        <v>1496</v>
      </c>
      <c r="Y3114" s="111">
        <v>0.5</v>
      </c>
      <c r="Z3114" s="111">
        <f t="shared" si="303"/>
        <v>40.5</v>
      </c>
      <c r="AA3114" s="112"/>
    </row>
    <row r="3115" spans="24:33" ht="8.25" customHeight="1" x14ac:dyDescent="0.25">
      <c r="X3115" s="110" t="s">
        <v>1878</v>
      </c>
      <c r="Y3115" s="111">
        <v>0.25</v>
      </c>
      <c r="Z3115" s="111">
        <f t="shared" si="303"/>
        <v>45</v>
      </c>
      <c r="AA3115" s="113"/>
    </row>
    <row r="3116" spans="24:33" ht="8.25" customHeight="1" x14ac:dyDescent="0.25">
      <c r="X3116" s="110"/>
      <c r="Y3116" s="111">
        <v>0.1</v>
      </c>
      <c r="Z3116" s="111">
        <f t="shared" si="303"/>
        <v>0</v>
      </c>
      <c r="AA3116" s="114" t="s">
        <v>219</v>
      </c>
    </row>
    <row r="3117" spans="24:33" ht="8.25" customHeight="1" thickBot="1" x14ac:dyDescent="0.3">
      <c r="X3117" s="110"/>
      <c r="Y3117" s="111">
        <v>0.05</v>
      </c>
      <c r="Z3117" s="111">
        <f t="shared" si="303"/>
        <v>0</v>
      </c>
      <c r="AA3117" s="115">
        <f>SUM(Z3106:Z3111)+Z3113+Z3114+Z3115+Z3116+Z3117+Z3118</f>
        <v>44880.54</v>
      </c>
    </row>
    <row r="3118" spans="24:33" ht="8.25" customHeight="1" thickTop="1" x14ac:dyDescent="0.25">
      <c r="X3118" s="110" t="s">
        <v>299</v>
      </c>
      <c r="Y3118" s="111">
        <v>0.01</v>
      </c>
      <c r="Z3118" s="111">
        <f t="shared" si="303"/>
        <v>0.04</v>
      </c>
    </row>
    <row r="3120" spans="24:33" ht="8.25" customHeight="1" x14ac:dyDescent="0.25">
      <c r="Z3120" s="231" t="s">
        <v>1376</v>
      </c>
      <c r="AF3120" s="76">
        <f>AF3103</f>
        <v>44880.53999999931</v>
      </c>
    </row>
    <row r="3121" spans="3:32" ht="8.25" customHeight="1" x14ac:dyDescent="0.25">
      <c r="K3121" s="52">
        <v>4</v>
      </c>
      <c r="T3121" s="33">
        <v>46149</v>
      </c>
      <c r="U3121" s="34">
        <v>2026</v>
      </c>
      <c r="V3121" s="35" t="s">
        <v>2448</v>
      </c>
      <c r="W3121" s="35" t="s">
        <v>17</v>
      </c>
      <c r="X3121" s="37" t="s">
        <v>2570</v>
      </c>
      <c r="Y3121" s="36" t="s">
        <v>2575</v>
      </c>
      <c r="Z3121" s="30" t="s">
        <v>2576</v>
      </c>
      <c r="AA3121" s="30" t="s">
        <v>1787</v>
      </c>
      <c r="AD3121" s="38">
        <v>100</v>
      </c>
      <c r="AF3121" s="76">
        <f>AF3120+AD3121-AE3121</f>
        <v>44980.53999999931</v>
      </c>
    </row>
    <row r="3122" spans="3:32" ht="8.25" customHeight="1" x14ac:dyDescent="0.25">
      <c r="L3122" s="52">
        <v>4</v>
      </c>
      <c r="T3122" s="33">
        <v>46149</v>
      </c>
      <c r="U3122" s="34">
        <v>2026</v>
      </c>
      <c r="V3122" s="35" t="s">
        <v>2448</v>
      </c>
      <c r="W3122" s="35" t="s">
        <v>17</v>
      </c>
      <c r="X3122" s="37" t="s">
        <v>2571</v>
      </c>
      <c r="Y3122" s="36" t="s">
        <v>120</v>
      </c>
      <c r="Z3122" s="30" t="s">
        <v>2576</v>
      </c>
      <c r="AA3122" s="30" t="s">
        <v>373</v>
      </c>
      <c r="AD3122" s="38">
        <v>50</v>
      </c>
      <c r="AF3122" s="76">
        <f>AF3121+AD3122-AE3122</f>
        <v>45030.53999999931</v>
      </c>
    </row>
    <row r="3123" spans="3:32" ht="8.25" customHeight="1" x14ac:dyDescent="0.25">
      <c r="K3123" s="52">
        <v>5</v>
      </c>
      <c r="T3123" s="33">
        <v>46149</v>
      </c>
      <c r="U3123" s="34">
        <v>2026</v>
      </c>
      <c r="V3123" s="35" t="s">
        <v>2448</v>
      </c>
      <c r="W3123" s="35" t="s">
        <v>17</v>
      </c>
      <c r="X3123" s="37" t="s">
        <v>2572</v>
      </c>
      <c r="Y3123" s="36" t="s">
        <v>2577</v>
      </c>
      <c r="Z3123" s="30" t="s">
        <v>2578</v>
      </c>
      <c r="AA3123" s="30" t="s">
        <v>1787</v>
      </c>
      <c r="AD3123" s="38">
        <v>100</v>
      </c>
      <c r="AF3123" s="76">
        <f t="shared" ref="AF3123:AF3160" si="304">AF3122+AD3123-AE3123</f>
        <v>45130.53999999931</v>
      </c>
    </row>
    <row r="3124" spans="3:32" ht="8.25" customHeight="1" x14ac:dyDescent="0.25">
      <c r="L3124" s="52">
        <v>5</v>
      </c>
      <c r="T3124" s="33">
        <v>46149</v>
      </c>
      <c r="U3124" s="34">
        <v>2026</v>
      </c>
      <c r="V3124" s="35" t="s">
        <v>2448</v>
      </c>
      <c r="W3124" s="35" t="s">
        <v>17</v>
      </c>
      <c r="X3124" s="37" t="s">
        <v>2573</v>
      </c>
      <c r="Y3124" s="36" t="s">
        <v>120</v>
      </c>
      <c r="Z3124" s="30" t="s">
        <v>2578</v>
      </c>
      <c r="AA3124" s="30" t="s">
        <v>373</v>
      </c>
      <c r="AD3124" s="38">
        <v>50</v>
      </c>
      <c r="AF3124" s="76">
        <f t="shared" si="304"/>
        <v>45180.53999999931</v>
      </c>
    </row>
    <row r="3125" spans="3:32" ht="8.25" customHeight="1" x14ac:dyDescent="0.25">
      <c r="N3125" s="52">
        <v>16</v>
      </c>
      <c r="T3125" s="33">
        <v>46149</v>
      </c>
      <c r="U3125" s="34">
        <v>2026</v>
      </c>
      <c r="V3125" s="35" t="s">
        <v>2448</v>
      </c>
      <c r="W3125" s="35" t="s">
        <v>17</v>
      </c>
      <c r="X3125" s="37" t="s">
        <v>2574</v>
      </c>
      <c r="Y3125" s="36" t="s">
        <v>322</v>
      </c>
      <c r="Z3125" s="30" t="s">
        <v>1740</v>
      </c>
      <c r="AA3125" s="30" t="s">
        <v>3899</v>
      </c>
      <c r="AD3125" s="38">
        <v>9674.4599999999991</v>
      </c>
      <c r="AF3125" s="76">
        <f t="shared" si="304"/>
        <v>54854.999999999309</v>
      </c>
    </row>
    <row r="3126" spans="3:32" ht="8.25" customHeight="1" x14ac:dyDescent="0.15">
      <c r="N3126" s="52">
        <v>16</v>
      </c>
      <c r="T3126" s="33">
        <v>46149</v>
      </c>
      <c r="U3126" s="34">
        <v>2026</v>
      </c>
      <c r="V3126" s="35" t="s">
        <v>2448</v>
      </c>
      <c r="W3126" s="35" t="s">
        <v>17</v>
      </c>
      <c r="X3126" s="37" t="s">
        <v>2574</v>
      </c>
      <c r="Y3126" s="36" t="s">
        <v>322</v>
      </c>
      <c r="Z3126" s="30" t="s">
        <v>1740</v>
      </c>
      <c r="AA3126" s="134" t="s">
        <v>166</v>
      </c>
      <c r="AD3126" s="38">
        <v>7925.54</v>
      </c>
      <c r="AF3126" s="76">
        <f t="shared" si="304"/>
        <v>62780.53999999931</v>
      </c>
    </row>
    <row r="3127" spans="3:32" ht="8.25" customHeight="1" x14ac:dyDescent="0.25">
      <c r="N3127" s="52">
        <v>17</v>
      </c>
      <c r="T3127" s="33">
        <v>46149</v>
      </c>
      <c r="U3127" s="34">
        <v>2026</v>
      </c>
      <c r="V3127" s="35" t="s">
        <v>2448</v>
      </c>
      <c r="W3127" s="35" t="s">
        <v>17</v>
      </c>
      <c r="X3127" s="37" t="s">
        <v>2584</v>
      </c>
      <c r="Y3127" s="36" t="s">
        <v>325</v>
      </c>
      <c r="Z3127" s="30" t="s">
        <v>1758</v>
      </c>
      <c r="AA3127" s="30" t="s">
        <v>3899</v>
      </c>
      <c r="AD3127" s="38">
        <v>5101.46</v>
      </c>
      <c r="AF3127" s="76">
        <f t="shared" si="304"/>
        <v>67881.999999999316</v>
      </c>
    </row>
    <row r="3128" spans="3:32" ht="8.25" customHeight="1" x14ac:dyDescent="0.15">
      <c r="N3128" s="52">
        <v>17</v>
      </c>
      <c r="T3128" s="33">
        <v>46149</v>
      </c>
      <c r="U3128" s="34">
        <v>2026</v>
      </c>
      <c r="V3128" s="35" t="s">
        <v>2448</v>
      </c>
      <c r="W3128" s="35" t="s">
        <v>17</v>
      </c>
      <c r="X3128" s="37" t="s">
        <v>2584</v>
      </c>
      <c r="Y3128" s="36" t="s">
        <v>325</v>
      </c>
      <c r="Z3128" s="30" t="s">
        <v>1758</v>
      </c>
      <c r="AA3128" s="134" t="s">
        <v>166</v>
      </c>
      <c r="AD3128" s="38">
        <v>4398.54</v>
      </c>
      <c r="AF3128" s="76">
        <f t="shared" si="304"/>
        <v>72280.53999999931</v>
      </c>
    </row>
    <row r="3129" spans="3:32" ht="8.25" customHeight="1" x14ac:dyDescent="0.25">
      <c r="D3129" s="52">
        <v>2</v>
      </c>
      <c r="T3129" s="33">
        <v>46149</v>
      </c>
      <c r="U3129" s="34">
        <v>2026</v>
      </c>
      <c r="V3129" s="35" t="s">
        <v>2448</v>
      </c>
      <c r="W3129" s="35" t="s">
        <v>17</v>
      </c>
      <c r="X3129" s="37" t="s">
        <v>2582</v>
      </c>
      <c r="Y3129" s="36" t="s">
        <v>2581</v>
      </c>
      <c r="Z3129" s="30" t="s">
        <v>2580</v>
      </c>
      <c r="AA3129" s="30" t="s">
        <v>256</v>
      </c>
      <c r="AD3129" s="38">
        <v>2500</v>
      </c>
      <c r="AF3129" s="76">
        <f t="shared" si="304"/>
        <v>74780.53999999931</v>
      </c>
    </row>
    <row r="3130" spans="3:32" ht="8.25" customHeight="1" x14ac:dyDescent="0.25">
      <c r="C3130" s="52">
        <v>2</v>
      </c>
      <c r="T3130" s="33">
        <v>46149</v>
      </c>
      <c r="U3130" s="34">
        <v>2026</v>
      </c>
      <c r="V3130" s="35" t="s">
        <v>2448</v>
      </c>
      <c r="W3130" s="35" t="s">
        <v>3620</v>
      </c>
      <c r="X3130" s="37" t="s">
        <v>2585</v>
      </c>
      <c r="Y3130" s="36" t="s">
        <v>2586</v>
      </c>
      <c r="Z3130" s="30" t="s">
        <v>1467</v>
      </c>
      <c r="AA3130" s="30" t="s">
        <v>340</v>
      </c>
      <c r="AD3130" s="38">
        <v>725</v>
      </c>
      <c r="AF3130" s="76">
        <f t="shared" si="304"/>
        <v>75505.53999999931</v>
      </c>
    </row>
    <row r="3131" spans="3:32" ht="8.25" customHeight="1" x14ac:dyDescent="0.25">
      <c r="N3131" s="52">
        <v>18</v>
      </c>
      <c r="T3131" s="33">
        <v>46149</v>
      </c>
      <c r="U3131" s="34">
        <v>2026</v>
      </c>
      <c r="V3131" s="35" t="s">
        <v>2448</v>
      </c>
      <c r="W3131" s="35" t="s">
        <v>17</v>
      </c>
      <c r="X3131" s="37" t="s">
        <v>2587</v>
      </c>
      <c r="Y3131" s="36" t="s">
        <v>2588</v>
      </c>
      <c r="Z3131" s="30" t="s">
        <v>2589</v>
      </c>
      <c r="AA3131" s="30" t="s">
        <v>3708</v>
      </c>
      <c r="AD3131" s="38">
        <v>428.34</v>
      </c>
      <c r="AF3131" s="76">
        <f t="shared" si="304"/>
        <v>75933.879999999306</v>
      </c>
    </row>
    <row r="3132" spans="3:32" ht="8.25" customHeight="1" x14ac:dyDescent="0.15">
      <c r="N3132" s="52">
        <v>18</v>
      </c>
      <c r="T3132" s="33">
        <v>46149</v>
      </c>
      <c r="U3132" s="34">
        <v>2026</v>
      </c>
      <c r="V3132" s="35" t="s">
        <v>2448</v>
      </c>
      <c r="W3132" s="35" t="s">
        <v>17</v>
      </c>
      <c r="X3132" s="37" t="s">
        <v>2587</v>
      </c>
      <c r="Y3132" s="36" t="s">
        <v>2588</v>
      </c>
      <c r="Z3132" s="30" t="s">
        <v>2589</v>
      </c>
      <c r="AA3132" s="134" t="s">
        <v>183</v>
      </c>
      <c r="AD3132" s="38">
        <v>520.72</v>
      </c>
      <c r="AF3132" s="76">
        <f t="shared" si="304"/>
        <v>76454.599999999307</v>
      </c>
    </row>
    <row r="3133" spans="3:32" ht="8.25" customHeight="1" x14ac:dyDescent="0.25">
      <c r="N3133" s="52">
        <v>18</v>
      </c>
      <c r="T3133" s="33">
        <v>46149</v>
      </c>
      <c r="U3133" s="34">
        <v>2026</v>
      </c>
      <c r="V3133" s="35" t="s">
        <v>2448</v>
      </c>
      <c r="W3133" s="35" t="s">
        <v>17</v>
      </c>
      <c r="X3133" s="37" t="s">
        <v>2587</v>
      </c>
      <c r="Y3133" s="36" t="s">
        <v>2588</v>
      </c>
      <c r="Z3133" s="30" t="s">
        <v>2589</v>
      </c>
      <c r="AA3133" s="30" t="s">
        <v>3306</v>
      </c>
      <c r="AD3133" s="38">
        <v>205</v>
      </c>
      <c r="AF3133" s="76">
        <f t="shared" si="304"/>
        <v>76659.599999999307</v>
      </c>
    </row>
    <row r="3134" spans="3:32" ht="8.25" customHeight="1" x14ac:dyDescent="0.25">
      <c r="N3134" s="52">
        <v>19</v>
      </c>
      <c r="T3134" s="33">
        <v>46149</v>
      </c>
      <c r="U3134" s="34">
        <v>2026</v>
      </c>
      <c r="V3134" s="35" t="s">
        <v>2448</v>
      </c>
      <c r="W3134" s="35" t="s">
        <v>17</v>
      </c>
      <c r="X3134" s="37" t="s">
        <v>2590</v>
      </c>
      <c r="Y3134" s="36" t="s">
        <v>2591</v>
      </c>
      <c r="Z3134" s="30" t="s">
        <v>1273</v>
      </c>
      <c r="AA3134" s="30" t="s">
        <v>3708</v>
      </c>
      <c r="AD3134" s="38">
        <v>428.34</v>
      </c>
      <c r="AF3134" s="76">
        <f t="shared" si="304"/>
        <v>77087.939999999304</v>
      </c>
    </row>
    <row r="3135" spans="3:32" ht="8.25" customHeight="1" x14ac:dyDescent="0.15">
      <c r="N3135" s="52">
        <v>19</v>
      </c>
      <c r="T3135" s="33">
        <v>46149</v>
      </c>
      <c r="U3135" s="34">
        <v>2026</v>
      </c>
      <c r="V3135" s="35" t="s">
        <v>2448</v>
      </c>
      <c r="W3135" s="35" t="s">
        <v>17</v>
      </c>
      <c r="X3135" s="37" t="s">
        <v>2590</v>
      </c>
      <c r="Y3135" s="36" t="s">
        <v>2591</v>
      </c>
      <c r="Z3135" s="30" t="s">
        <v>1273</v>
      </c>
      <c r="AA3135" s="134" t="s">
        <v>183</v>
      </c>
      <c r="AD3135" s="38">
        <v>520.72</v>
      </c>
      <c r="AF3135" s="76">
        <f t="shared" si="304"/>
        <v>77608.659999999305</v>
      </c>
    </row>
    <row r="3136" spans="3:32" ht="8.25" customHeight="1" x14ac:dyDescent="0.25">
      <c r="N3136" s="52">
        <v>19</v>
      </c>
      <c r="T3136" s="33">
        <v>46149</v>
      </c>
      <c r="U3136" s="34">
        <v>2026</v>
      </c>
      <c r="V3136" s="35" t="s">
        <v>2448</v>
      </c>
      <c r="W3136" s="35" t="s">
        <v>17</v>
      </c>
      <c r="X3136" s="37" t="s">
        <v>2590</v>
      </c>
      <c r="Y3136" s="36" t="s">
        <v>2591</v>
      </c>
      <c r="Z3136" s="30" t="s">
        <v>1273</v>
      </c>
      <c r="AA3136" s="30" t="s">
        <v>3306</v>
      </c>
      <c r="AD3136" s="38">
        <v>205</v>
      </c>
      <c r="AF3136" s="76">
        <f t="shared" si="304"/>
        <v>77813.659999999305</v>
      </c>
    </row>
    <row r="3137" spans="9:32" ht="8.25" customHeight="1" x14ac:dyDescent="0.25">
      <c r="N3137" s="52">
        <v>20</v>
      </c>
      <c r="T3137" s="33">
        <v>46149</v>
      </c>
      <c r="U3137" s="34">
        <v>2026</v>
      </c>
      <c r="V3137" s="35" t="s">
        <v>2448</v>
      </c>
      <c r="W3137" s="35" t="s">
        <v>17</v>
      </c>
      <c r="X3137" s="37" t="s">
        <v>2592</v>
      </c>
      <c r="Y3137" s="36" t="s">
        <v>2593</v>
      </c>
      <c r="Z3137" s="30" t="s">
        <v>1489</v>
      </c>
      <c r="AA3137" s="30" t="s">
        <v>3708</v>
      </c>
      <c r="AD3137" s="38">
        <v>579.20000000000005</v>
      </c>
      <c r="AF3137" s="76">
        <f t="shared" si="304"/>
        <v>78392.859999999302</v>
      </c>
    </row>
    <row r="3138" spans="9:32" ht="8.25" customHeight="1" x14ac:dyDescent="0.15">
      <c r="N3138" s="52">
        <v>20</v>
      </c>
      <c r="T3138" s="33">
        <v>46149</v>
      </c>
      <c r="U3138" s="34">
        <v>2026</v>
      </c>
      <c r="V3138" s="35" t="s">
        <v>2448</v>
      </c>
      <c r="W3138" s="35" t="s">
        <v>17</v>
      </c>
      <c r="X3138" s="37" t="s">
        <v>2592</v>
      </c>
      <c r="Y3138" s="36" t="s">
        <v>2593</v>
      </c>
      <c r="Z3138" s="30" t="s">
        <v>1489</v>
      </c>
      <c r="AA3138" s="134" t="s">
        <v>183</v>
      </c>
      <c r="AD3138" s="38">
        <v>437.71</v>
      </c>
      <c r="AF3138" s="76">
        <f t="shared" si="304"/>
        <v>78830.569999999308</v>
      </c>
    </row>
    <row r="3139" spans="9:32" ht="8.25" customHeight="1" x14ac:dyDescent="0.25">
      <c r="N3139" s="52">
        <v>20</v>
      </c>
      <c r="T3139" s="33">
        <v>46149</v>
      </c>
      <c r="U3139" s="34">
        <v>2026</v>
      </c>
      <c r="V3139" s="35" t="s">
        <v>2448</v>
      </c>
      <c r="W3139" s="35" t="s">
        <v>17</v>
      </c>
      <c r="X3139" s="37" t="s">
        <v>2592</v>
      </c>
      <c r="Y3139" s="36" t="s">
        <v>2593</v>
      </c>
      <c r="Z3139" s="30" t="s">
        <v>1489</v>
      </c>
      <c r="AA3139" s="30" t="s">
        <v>3306</v>
      </c>
      <c r="AD3139" s="38">
        <v>135</v>
      </c>
      <c r="AF3139" s="76">
        <f t="shared" si="304"/>
        <v>78965.569999999308</v>
      </c>
    </row>
    <row r="3140" spans="9:32" ht="8.25" customHeight="1" x14ac:dyDescent="0.15">
      <c r="N3140" s="52">
        <v>21</v>
      </c>
      <c r="T3140" s="33">
        <v>46149</v>
      </c>
      <c r="U3140" s="34">
        <v>2026</v>
      </c>
      <c r="V3140" s="35" t="s">
        <v>2448</v>
      </c>
      <c r="W3140" s="35" t="s">
        <v>17</v>
      </c>
      <c r="X3140" s="37" t="s">
        <v>2594</v>
      </c>
      <c r="Y3140" s="36" t="s">
        <v>1126</v>
      </c>
      <c r="Z3140" s="30" t="s">
        <v>520</v>
      </c>
      <c r="AA3140" s="134" t="s">
        <v>166</v>
      </c>
      <c r="AD3140" s="38">
        <v>16242</v>
      </c>
      <c r="AF3140" s="76">
        <f t="shared" si="304"/>
        <v>95207.569999999308</v>
      </c>
    </row>
    <row r="3141" spans="9:32" ht="8.25" customHeight="1" x14ac:dyDescent="0.25">
      <c r="N3141" s="52">
        <v>21</v>
      </c>
      <c r="T3141" s="33">
        <v>46149</v>
      </c>
      <c r="U3141" s="34">
        <v>2026</v>
      </c>
      <c r="V3141" s="35" t="s">
        <v>2448</v>
      </c>
      <c r="W3141" s="35" t="s">
        <v>17</v>
      </c>
      <c r="X3141" s="37" t="s">
        <v>2594</v>
      </c>
      <c r="Y3141" s="36" t="s">
        <v>1126</v>
      </c>
      <c r="Z3141" s="30" t="s">
        <v>520</v>
      </c>
      <c r="AA3141" s="30" t="s">
        <v>3304</v>
      </c>
      <c r="AD3141" s="38">
        <v>85</v>
      </c>
      <c r="AF3141" s="76">
        <f t="shared" si="304"/>
        <v>95292.569999999308</v>
      </c>
    </row>
    <row r="3142" spans="9:32" ht="8.25" customHeight="1" x14ac:dyDescent="0.25">
      <c r="N3142" s="52">
        <v>22</v>
      </c>
      <c r="T3142" s="33">
        <v>46149</v>
      </c>
      <c r="U3142" s="34">
        <v>2026</v>
      </c>
      <c r="V3142" s="35" t="s">
        <v>2448</v>
      </c>
      <c r="W3142" s="35" t="s">
        <v>17</v>
      </c>
      <c r="X3142" s="37" t="s">
        <v>2595</v>
      </c>
      <c r="Y3142" s="36" t="s">
        <v>2596</v>
      </c>
      <c r="Z3142" s="30" t="s">
        <v>1401</v>
      </c>
      <c r="AA3142" s="30" t="s">
        <v>3708</v>
      </c>
      <c r="AD3142" s="38">
        <v>517.42999999999995</v>
      </c>
      <c r="AF3142" s="76">
        <f t="shared" si="304"/>
        <v>95809.999999999302</v>
      </c>
    </row>
    <row r="3143" spans="9:32" ht="8.25" customHeight="1" x14ac:dyDescent="0.15">
      <c r="N3143" s="52">
        <v>22</v>
      </c>
      <c r="T3143" s="33">
        <v>46149</v>
      </c>
      <c r="U3143" s="34">
        <v>2026</v>
      </c>
      <c r="V3143" s="35" t="s">
        <v>2448</v>
      </c>
      <c r="W3143" s="35" t="s">
        <v>17</v>
      </c>
      <c r="X3143" s="37" t="s">
        <v>2595</v>
      </c>
      <c r="Y3143" s="36" t="s">
        <v>2596</v>
      </c>
      <c r="Z3143" s="30" t="s">
        <v>1401</v>
      </c>
      <c r="AA3143" s="134" t="s">
        <v>183</v>
      </c>
      <c r="AD3143" s="38">
        <v>475.44</v>
      </c>
      <c r="AF3143" s="76">
        <f t="shared" si="304"/>
        <v>96285.439999999304</v>
      </c>
    </row>
    <row r="3144" spans="9:32" ht="8.25" customHeight="1" x14ac:dyDescent="0.25">
      <c r="N3144" s="52">
        <v>22</v>
      </c>
      <c r="T3144" s="33">
        <v>46149</v>
      </c>
      <c r="U3144" s="34">
        <v>2026</v>
      </c>
      <c r="V3144" s="35" t="s">
        <v>2448</v>
      </c>
      <c r="W3144" s="35" t="s">
        <v>17</v>
      </c>
      <c r="X3144" s="37" t="s">
        <v>2595</v>
      </c>
      <c r="Y3144" s="36" t="s">
        <v>2596</v>
      </c>
      <c r="Z3144" s="30" t="s">
        <v>1401</v>
      </c>
      <c r="AA3144" s="30" t="s">
        <v>3306</v>
      </c>
      <c r="AD3144" s="38">
        <v>160</v>
      </c>
      <c r="AF3144" s="76">
        <f t="shared" si="304"/>
        <v>96445.439999999304</v>
      </c>
    </row>
    <row r="3145" spans="9:32" ht="8.25" customHeight="1" x14ac:dyDescent="0.25">
      <c r="N3145" s="52">
        <v>23</v>
      </c>
      <c r="T3145" s="33">
        <v>46149</v>
      </c>
      <c r="U3145" s="34">
        <v>2026</v>
      </c>
      <c r="V3145" s="35" t="s">
        <v>2448</v>
      </c>
      <c r="W3145" s="35" t="s">
        <v>17</v>
      </c>
      <c r="X3145" s="37" t="s">
        <v>2611</v>
      </c>
      <c r="Y3145" s="36" t="s">
        <v>348</v>
      </c>
      <c r="Z3145" s="30" t="s">
        <v>307</v>
      </c>
      <c r="AA3145" s="30" t="s">
        <v>3899</v>
      </c>
      <c r="AD3145" s="38">
        <v>175969.67</v>
      </c>
      <c r="AF3145" s="76">
        <f t="shared" si="304"/>
        <v>272415.10999999929</v>
      </c>
    </row>
    <row r="3146" spans="9:32" ht="8.25" customHeight="1" x14ac:dyDescent="0.15">
      <c r="N3146" s="52">
        <v>23</v>
      </c>
      <c r="T3146" s="33">
        <v>46149</v>
      </c>
      <c r="U3146" s="34">
        <v>2026</v>
      </c>
      <c r="V3146" s="35" t="s">
        <v>2448</v>
      </c>
      <c r="W3146" s="35" t="s">
        <v>17</v>
      </c>
      <c r="X3146" s="37" t="s">
        <v>2611</v>
      </c>
      <c r="Y3146" s="36" t="s">
        <v>348</v>
      </c>
      <c r="Z3146" s="30" t="s">
        <v>307</v>
      </c>
      <c r="AA3146" s="134" t="s">
        <v>166</v>
      </c>
      <c r="AD3146" s="38">
        <v>5206.7700000000004</v>
      </c>
      <c r="AF3146" s="76">
        <f t="shared" si="304"/>
        <v>277621.87999999931</v>
      </c>
    </row>
    <row r="3147" spans="9:32" ht="8.25" customHeight="1" x14ac:dyDescent="0.25">
      <c r="I3147" s="52">
        <v>15</v>
      </c>
      <c r="T3147" s="33">
        <v>46149</v>
      </c>
      <c r="U3147" s="34">
        <v>2026</v>
      </c>
      <c r="V3147" s="35" t="s">
        <v>2448</v>
      </c>
      <c r="W3147" s="35" t="s">
        <v>17</v>
      </c>
      <c r="X3147" s="37" t="s">
        <v>1983</v>
      </c>
      <c r="Y3147" s="36" t="s">
        <v>2612</v>
      </c>
      <c r="Z3147" s="30" t="s">
        <v>307</v>
      </c>
      <c r="AA3147" s="30" t="s">
        <v>1044</v>
      </c>
      <c r="AD3147" s="38">
        <v>54679.14</v>
      </c>
      <c r="AF3147" s="76">
        <f t="shared" si="304"/>
        <v>332301.01999999932</v>
      </c>
    </row>
    <row r="3148" spans="9:32" ht="8.25" customHeight="1" x14ac:dyDescent="0.25">
      <c r="M3148" s="52">
        <v>4</v>
      </c>
      <c r="T3148" s="33">
        <v>46149</v>
      </c>
      <c r="U3148" s="34">
        <v>2026</v>
      </c>
      <c r="V3148" s="35" t="s">
        <v>2448</v>
      </c>
      <c r="W3148" s="35" t="s">
        <v>17</v>
      </c>
      <c r="X3148" s="37" t="s">
        <v>2613</v>
      </c>
      <c r="Y3148" s="36" t="s">
        <v>120</v>
      </c>
      <c r="Z3148" s="30" t="s">
        <v>307</v>
      </c>
      <c r="AA3148" s="30" t="s">
        <v>1058</v>
      </c>
      <c r="AD3148" s="38">
        <v>10935.83</v>
      </c>
      <c r="AF3148" s="76">
        <f t="shared" si="304"/>
        <v>343236.84999999934</v>
      </c>
    </row>
    <row r="3149" spans="9:32" ht="8.25" customHeight="1" x14ac:dyDescent="0.25">
      <c r="T3149" s="33">
        <v>46149</v>
      </c>
      <c r="U3149" s="34">
        <v>2026</v>
      </c>
      <c r="V3149" s="35" t="s">
        <v>2448</v>
      </c>
      <c r="W3149" s="35" t="s">
        <v>5</v>
      </c>
      <c r="X3149" s="37" t="s">
        <v>2614</v>
      </c>
      <c r="Y3149" s="37" t="s">
        <v>411</v>
      </c>
      <c r="Z3149" s="30" t="s">
        <v>412</v>
      </c>
      <c r="AA3149" s="30" t="s">
        <v>2719</v>
      </c>
      <c r="AE3149" s="38">
        <v>181176.44</v>
      </c>
      <c r="AF3149" s="76">
        <f t="shared" si="304"/>
        <v>162060.40999999933</v>
      </c>
    </row>
    <row r="3150" spans="9:32" ht="8.25" customHeight="1" x14ac:dyDescent="0.25">
      <c r="T3150" s="33">
        <v>46149</v>
      </c>
      <c r="U3150" s="34">
        <v>2026</v>
      </c>
      <c r="V3150" s="35" t="s">
        <v>2448</v>
      </c>
      <c r="W3150" s="35" t="s">
        <v>5</v>
      </c>
      <c r="X3150" s="37" t="s">
        <v>2615</v>
      </c>
      <c r="Y3150" s="37" t="s">
        <v>411</v>
      </c>
      <c r="Z3150" s="30" t="s">
        <v>412</v>
      </c>
      <c r="AA3150" s="30" t="s">
        <v>2719</v>
      </c>
      <c r="AE3150" s="38">
        <v>65614.97</v>
      </c>
      <c r="AF3150" s="76">
        <f t="shared" si="304"/>
        <v>96445.439999999333</v>
      </c>
    </row>
    <row r="3151" spans="9:32" ht="8.25" customHeight="1" x14ac:dyDescent="0.25">
      <c r="R3151" s="53">
        <v>11</v>
      </c>
      <c r="T3151" s="33">
        <v>46149</v>
      </c>
      <c r="U3151" s="34">
        <v>2026</v>
      </c>
      <c r="V3151" s="35" t="s">
        <v>2448</v>
      </c>
      <c r="W3151" s="35" t="s">
        <v>5</v>
      </c>
      <c r="X3151" s="37" t="s">
        <v>2579</v>
      </c>
      <c r="Y3151" s="36" t="s">
        <v>577</v>
      </c>
      <c r="Z3151" s="30" t="s">
        <v>578</v>
      </c>
      <c r="AA3151" s="30" t="s">
        <v>1050</v>
      </c>
      <c r="AE3151" s="38">
        <v>1000</v>
      </c>
      <c r="AF3151" s="76">
        <f t="shared" si="304"/>
        <v>95445.439999999333</v>
      </c>
    </row>
    <row r="3152" spans="9:32" ht="8.25" customHeight="1" x14ac:dyDescent="0.25">
      <c r="R3152" s="53">
        <v>12</v>
      </c>
      <c r="T3152" s="33">
        <v>46149</v>
      </c>
      <c r="U3152" s="34">
        <v>2026</v>
      </c>
      <c r="V3152" s="35" t="s">
        <v>2448</v>
      </c>
      <c r="W3152" s="35" t="s">
        <v>5</v>
      </c>
      <c r="X3152" s="37" t="s">
        <v>2583</v>
      </c>
      <c r="Y3152" s="36" t="s">
        <v>354</v>
      </c>
      <c r="Z3152" s="30" t="s">
        <v>2522</v>
      </c>
      <c r="AA3152" s="30" t="s">
        <v>1050</v>
      </c>
      <c r="AE3152" s="38">
        <v>3000</v>
      </c>
      <c r="AF3152" s="76">
        <f t="shared" si="304"/>
        <v>92445.439999999333</v>
      </c>
    </row>
    <row r="3153" spans="7:32" ht="8.25" customHeight="1" x14ac:dyDescent="0.25">
      <c r="R3153" s="53">
        <v>13</v>
      </c>
      <c r="T3153" s="33">
        <v>46149</v>
      </c>
      <c r="U3153" s="34">
        <v>2026</v>
      </c>
      <c r="V3153" s="35" t="s">
        <v>2448</v>
      </c>
      <c r="W3153" s="35" t="s">
        <v>5</v>
      </c>
      <c r="X3153" s="37" t="s">
        <v>2597</v>
      </c>
      <c r="Y3153" s="36" t="s">
        <v>2598</v>
      </c>
      <c r="Z3153" s="30" t="s">
        <v>1270</v>
      </c>
      <c r="AA3153" s="30" t="s">
        <v>1050</v>
      </c>
      <c r="AE3153" s="38">
        <v>1154.06</v>
      </c>
      <c r="AF3153" s="76">
        <f t="shared" si="304"/>
        <v>91291.379999999335</v>
      </c>
    </row>
    <row r="3154" spans="7:32" ht="8.25" customHeight="1" x14ac:dyDescent="0.25">
      <c r="R3154" s="53">
        <v>14</v>
      </c>
      <c r="T3154" s="33">
        <v>46149</v>
      </c>
      <c r="U3154" s="34">
        <v>2026</v>
      </c>
      <c r="V3154" s="35" t="s">
        <v>2448</v>
      </c>
      <c r="W3154" s="35" t="s">
        <v>5</v>
      </c>
      <c r="X3154" s="37" t="s">
        <v>2599</v>
      </c>
      <c r="Y3154" s="36" t="s">
        <v>1279</v>
      </c>
      <c r="Z3154" s="30" t="s">
        <v>1273</v>
      </c>
      <c r="AA3154" s="30" t="s">
        <v>1050</v>
      </c>
      <c r="AE3154" s="38">
        <v>1154.06</v>
      </c>
      <c r="AF3154" s="76">
        <f t="shared" si="304"/>
        <v>90137.319999999338</v>
      </c>
    </row>
    <row r="3155" spans="7:32" ht="8.25" customHeight="1" x14ac:dyDescent="0.25">
      <c r="R3155" s="53">
        <v>15</v>
      </c>
      <c r="T3155" s="33">
        <v>46149</v>
      </c>
      <c r="U3155" s="34">
        <v>2026</v>
      </c>
      <c r="V3155" s="35" t="s">
        <v>2448</v>
      </c>
      <c r="W3155" s="35" t="s">
        <v>5</v>
      </c>
      <c r="X3155" s="37" t="s">
        <v>2600</v>
      </c>
      <c r="Y3155" s="36" t="s">
        <v>1501</v>
      </c>
      <c r="Z3155" s="30" t="s">
        <v>1508</v>
      </c>
      <c r="AA3155" s="30" t="s">
        <v>1050</v>
      </c>
      <c r="AE3155" s="38">
        <v>1151.9100000000001</v>
      </c>
      <c r="AF3155" s="76">
        <f t="shared" si="304"/>
        <v>88985.409999999334</v>
      </c>
    </row>
    <row r="3156" spans="7:32" ht="8.25" customHeight="1" x14ac:dyDescent="0.25">
      <c r="R3156" s="53">
        <v>16</v>
      </c>
      <c r="T3156" s="33">
        <v>46149</v>
      </c>
      <c r="U3156" s="34">
        <v>2026</v>
      </c>
      <c r="V3156" s="35" t="s">
        <v>2448</v>
      </c>
      <c r="W3156" s="35" t="s">
        <v>5</v>
      </c>
      <c r="X3156" s="37" t="s">
        <v>2601</v>
      </c>
      <c r="Y3156" s="36" t="s">
        <v>1418</v>
      </c>
      <c r="Z3156" s="30" t="s">
        <v>1401</v>
      </c>
      <c r="AA3156" s="30" t="s">
        <v>1050</v>
      </c>
      <c r="AE3156" s="38">
        <v>1152.8699999999999</v>
      </c>
      <c r="AF3156" s="76">
        <f t="shared" si="304"/>
        <v>87832.539999999339</v>
      </c>
    </row>
    <row r="3157" spans="7:32" ht="8.25" customHeight="1" x14ac:dyDescent="0.25">
      <c r="R3157" s="53">
        <v>17</v>
      </c>
      <c r="T3157" s="33">
        <v>46149</v>
      </c>
      <c r="U3157" s="34">
        <v>2026</v>
      </c>
      <c r="V3157" s="35" t="s">
        <v>2448</v>
      </c>
      <c r="W3157" s="35" t="s">
        <v>5</v>
      </c>
      <c r="X3157" s="37" t="s">
        <v>2602</v>
      </c>
      <c r="Y3157" s="36" t="s">
        <v>738</v>
      </c>
      <c r="Z3157" s="30" t="s">
        <v>1060</v>
      </c>
      <c r="AA3157" s="30" t="s">
        <v>1050</v>
      </c>
      <c r="AE3157" s="38">
        <v>1000</v>
      </c>
      <c r="AF3157" s="76">
        <f t="shared" si="304"/>
        <v>86832.539999999339</v>
      </c>
    </row>
    <row r="3158" spans="7:32" ht="8.25" customHeight="1" x14ac:dyDescent="0.25">
      <c r="R3158" s="53">
        <v>18</v>
      </c>
      <c r="T3158" s="33">
        <v>46149</v>
      </c>
      <c r="U3158" s="34">
        <v>2026</v>
      </c>
      <c r="V3158" s="35" t="s">
        <v>2448</v>
      </c>
      <c r="W3158" s="35" t="s">
        <v>5</v>
      </c>
      <c r="X3158" s="37" t="s">
        <v>2610</v>
      </c>
      <c r="Y3158" s="36" t="s">
        <v>1142</v>
      </c>
      <c r="Z3158" s="30" t="s">
        <v>2294</v>
      </c>
      <c r="AA3158" s="30" t="s">
        <v>1050</v>
      </c>
      <c r="AE3158" s="38">
        <v>500</v>
      </c>
      <c r="AF3158" s="76">
        <f t="shared" si="304"/>
        <v>86332.539999999339</v>
      </c>
    </row>
    <row r="3159" spans="7:32" ht="8.25" customHeight="1" x14ac:dyDescent="0.25">
      <c r="G3159" s="53">
        <v>11</v>
      </c>
      <c r="T3159" s="33">
        <v>46149</v>
      </c>
      <c r="U3159" s="34">
        <v>2026</v>
      </c>
      <c r="V3159" s="35" t="s">
        <v>2448</v>
      </c>
      <c r="W3159" s="35" t="s">
        <v>5</v>
      </c>
      <c r="X3159" s="37" t="s">
        <v>2603</v>
      </c>
      <c r="Y3159" s="36" t="s">
        <v>2604</v>
      </c>
      <c r="Z3159" s="30" t="s">
        <v>2605</v>
      </c>
      <c r="AA3159" s="30" t="s">
        <v>3945</v>
      </c>
      <c r="AE3159" s="38">
        <v>24352</v>
      </c>
      <c r="AF3159" s="76">
        <f t="shared" si="304"/>
        <v>61980.539999999339</v>
      </c>
    </row>
    <row r="3160" spans="7:32" ht="8.25" customHeight="1" x14ac:dyDescent="0.25">
      <c r="G3160" s="53">
        <v>12</v>
      </c>
      <c r="T3160" s="33">
        <v>46149</v>
      </c>
      <c r="U3160" s="34">
        <v>2026</v>
      </c>
      <c r="V3160" s="35" t="s">
        <v>2448</v>
      </c>
      <c r="W3160" s="35" t="s">
        <v>5</v>
      </c>
      <c r="X3160" s="37" t="s">
        <v>2608</v>
      </c>
      <c r="Y3160" s="36" t="s">
        <v>2609</v>
      </c>
      <c r="Z3160" s="30" t="s">
        <v>2206</v>
      </c>
      <c r="AA3160" s="30" t="s">
        <v>3945</v>
      </c>
      <c r="AE3160" s="38">
        <v>1540</v>
      </c>
      <c r="AF3160" s="76">
        <f t="shared" si="304"/>
        <v>60440.539999999339</v>
      </c>
    </row>
    <row r="3161" spans="7:32" ht="8.25" customHeight="1" thickBot="1" x14ac:dyDescent="0.3">
      <c r="AA3161" s="75" t="s">
        <v>2139</v>
      </c>
      <c r="AD3161" s="253">
        <f>SUM(AD3121:AD3159)</f>
        <v>298356.31</v>
      </c>
      <c r="AE3161" s="253">
        <f>SUM(AE3121:AE3160)</f>
        <v>282796.31</v>
      </c>
      <c r="AF3161" s="233">
        <f>AF3120+AD3161-AE3161</f>
        <v>60440.539999999281</v>
      </c>
    </row>
    <row r="3162" spans="7:32" ht="8.25" customHeight="1" thickTop="1" x14ac:dyDescent="0.25">
      <c r="X3162" s="109"/>
      <c r="Y3162" s="67" t="s">
        <v>214</v>
      </c>
      <c r="Z3162" s="68"/>
      <c r="AA3162" s="75"/>
    </row>
    <row r="3163" spans="7:32" ht="8.25" customHeight="1" x14ac:dyDescent="0.25">
      <c r="X3163" s="110" t="s">
        <v>2024</v>
      </c>
      <c r="Y3163" s="111">
        <v>200</v>
      </c>
      <c r="Z3163" s="111">
        <f t="shared" ref="Z3163:Z3168" si="305">X3163*Y3163</f>
        <v>38800</v>
      </c>
      <c r="AA3163" s="112"/>
    </row>
    <row r="3164" spans="7:32" ht="8.25" customHeight="1" x14ac:dyDescent="0.25">
      <c r="X3164" s="110" t="s">
        <v>2607</v>
      </c>
      <c r="Y3164" s="111">
        <v>100</v>
      </c>
      <c r="Z3164" s="111">
        <f t="shared" si="305"/>
        <v>19300</v>
      </c>
      <c r="AA3164" s="112"/>
    </row>
    <row r="3165" spans="7:32" ht="8.25" customHeight="1" x14ac:dyDescent="0.25">
      <c r="X3165" s="110" t="s">
        <v>222</v>
      </c>
      <c r="Y3165" s="111">
        <v>50</v>
      </c>
      <c r="Z3165" s="111">
        <f t="shared" si="305"/>
        <v>50</v>
      </c>
      <c r="AA3165" s="76"/>
    </row>
    <row r="3166" spans="7:32" ht="8.25" customHeight="1" x14ac:dyDescent="0.25">
      <c r="X3166" s="110" t="s">
        <v>224</v>
      </c>
      <c r="Y3166" s="111">
        <v>20</v>
      </c>
      <c r="Z3166" s="111">
        <f t="shared" si="305"/>
        <v>40</v>
      </c>
      <c r="AA3166" s="38"/>
    </row>
    <row r="3167" spans="7:32" ht="8.25" customHeight="1" x14ac:dyDescent="0.25">
      <c r="X3167" s="110" t="s">
        <v>319</v>
      </c>
      <c r="Y3167" s="111">
        <v>10</v>
      </c>
      <c r="Z3167" s="111">
        <f t="shared" si="305"/>
        <v>60</v>
      </c>
      <c r="AA3167" s="112"/>
    </row>
    <row r="3168" spans="7:32" ht="8.25" customHeight="1" x14ac:dyDescent="0.25">
      <c r="X3168" s="110" t="s">
        <v>2606</v>
      </c>
      <c r="Y3168" s="111">
        <v>5</v>
      </c>
      <c r="Z3168" s="111">
        <f t="shared" si="305"/>
        <v>1580</v>
      </c>
      <c r="AA3168" s="112"/>
    </row>
    <row r="3169" spans="9:33" ht="8.25" customHeight="1" x14ac:dyDescent="0.25">
      <c r="X3169" s="269"/>
      <c r="Y3169" s="270"/>
      <c r="Z3169" s="271"/>
      <c r="AA3169" s="38"/>
      <c r="AG3169" s="258"/>
    </row>
    <row r="3170" spans="9:33" ht="8.25" customHeight="1" x14ac:dyDescent="0.25">
      <c r="X3170" s="110" t="s">
        <v>2730</v>
      </c>
      <c r="Y3170" s="111">
        <v>1</v>
      </c>
      <c r="Z3170" s="111">
        <f t="shared" ref="Z3170:Z3175" si="306">X3170*Y3170</f>
        <v>525</v>
      </c>
      <c r="AA3170" s="76"/>
    </row>
    <row r="3171" spans="9:33" ht="8.25" customHeight="1" x14ac:dyDescent="0.25">
      <c r="X3171" s="110" t="s">
        <v>1496</v>
      </c>
      <c r="Y3171" s="111">
        <v>0.5</v>
      </c>
      <c r="Z3171" s="111">
        <f t="shared" si="306"/>
        <v>40.5</v>
      </c>
      <c r="AA3171" s="112"/>
    </row>
    <row r="3172" spans="9:33" ht="8.25" customHeight="1" x14ac:dyDescent="0.25">
      <c r="X3172" s="110" t="s">
        <v>1878</v>
      </c>
      <c r="Y3172" s="111">
        <v>0.25</v>
      </c>
      <c r="Z3172" s="111">
        <f t="shared" si="306"/>
        <v>45</v>
      </c>
      <c r="AA3172" s="113"/>
    </row>
    <row r="3173" spans="9:33" ht="8.25" customHeight="1" x14ac:dyDescent="0.25">
      <c r="X3173" s="110"/>
      <c r="Y3173" s="111">
        <v>0.1</v>
      </c>
      <c r="Z3173" s="111">
        <f t="shared" si="306"/>
        <v>0</v>
      </c>
      <c r="AA3173" s="114" t="s">
        <v>219</v>
      </c>
    </row>
    <row r="3174" spans="9:33" ht="8.25" customHeight="1" thickBot="1" x14ac:dyDescent="0.3">
      <c r="X3174" s="110"/>
      <c r="Y3174" s="111">
        <v>0.05</v>
      </c>
      <c r="Z3174" s="111">
        <f t="shared" si="306"/>
        <v>0</v>
      </c>
      <c r="AA3174" s="115">
        <f>SUM(Z3163:Z3168)+Z3170+Z3171+Z3172+Z3173+Z3174+Z3175</f>
        <v>60440.54</v>
      </c>
    </row>
    <row r="3175" spans="9:33" ht="8.25" customHeight="1" thickTop="1" x14ac:dyDescent="0.25">
      <c r="X3175" s="110" t="s">
        <v>299</v>
      </c>
      <c r="Y3175" s="111">
        <v>0.01</v>
      </c>
      <c r="Z3175" s="111">
        <f t="shared" si="306"/>
        <v>0.04</v>
      </c>
    </row>
    <row r="3177" spans="9:33" ht="8.25" customHeight="1" x14ac:dyDescent="0.25">
      <c r="Z3177" s="231" t="s">
        <v>1376</v>
      </c>
      <c r="AF3177" s="76">
        <f>AF3161</f>
        <v>60440.539999999281</v>
      </c>
    </row>
    <row r="3178" spans="9:33" ht="8.25" customHeight="1" x14ac:dyDescent="0.25">
      <c r="N3178" s="52">
        <v>24</v>
      </c>
      <c r="T3178" s="33">
        <v>46150</v>
      </c>
      <c r="U3178" s="34">
        <v>2026</v>
      </c>
      <c r="V3178" s="35" t="s">
        <v>2448</v>
      </c>
      <c r="W3178" s="35" t="s">
        <v>17</v>
      </c>
      <c r="X3178" s="37" t="s">
        <v>2616</v>
      </c>
      <c r="Y3178" s="36" t="s">
        <v>331</v>
      </c>
      <c r="Z3178" s="30" t="s">
        <v>332</v>
      </c>
      <c r="AA3178" s="30" t="s">
        <v>3899</v>
      </c>
      <c r="AD3178" s="38">
        <v>3066.47</v>
      </c>
      <c r="AF3178" s="76">
        <f>AF3177+AD3178-AE3178</f>
        <v>63507.009999999282</v>
      </c>
    </row>
    <row r="3179" spans="9:33" ht="8.25" customHeight="1" x14ac:dyDescent="0.15">
      <c r="N3179" s="52">
        <v>24</v>
      </c>
      <c r="T3179" s="33">
        <v>46150</v>
      </c>
      <c r="U3179" s="34">
        <v>2026</v>
      </c>
      <c r="V3179" s="35" t="s">
        <v>2448</v>
      </c>
      <c r="W3179" s="35" t="s">
        <v>17</v>
      </c>
      <c r="X3179" s="37" t="s">
        <v>2616</v>
      </c>
      <c r="Y3179" s="36" t="s">
        <v>331</v>
      </c>
      <c r="Z3179" s="30" t="s">
        <v>332</v>
      </c>
      <c r="AA3179" s="134" t="s">
        <v>166</v>
      </c>
      <c r="AD3179" s="38">
        <v>2533.5300000000002</v>
      </c>
      <c r="AF3179" s="76">
        <f t="shared" ref="AF3179:AF3184" si="307">AF3178+AD3179-AE3179</f>
        <v>66040.539999999281</v>
      </c>
    </row>
    <row r="3180" spans="9:33" ht="8.25" customHeight="1" x14ac:dyDescent="0.25">
      <c r="N3180" s="52">
        <v>25</v>
      </c>
      <c r="T3180" s="33">
        <v>46150</v>
      </c>
      <c r="U3180" s="34">
        <v>2026</v>
      </c>
      <c r="V3180" s="35" t="s">
        <v>2448</v>
      </c>
      <c r="W3180" s="35" t="s">
        <v>17</v>
      </c>
      <c r="X3180" s="37" t="s">
        <v>2617</v>
      </c>
      <c r="Y3180" s="36" t="s">
        <v>2083</v>
      </c>
      <c r="Z3180" s="30" t="s">
        <v>1641</v>
      </c>
      <c r="AA3180" s="30" t="s">
        <v>3899</v>
      </c>
      <c r="AD3180" s="38">
        <v>6936.26</v>
      </c>
      <c r="AF3180" s="76">
        <f t="shared" si="307"/>
        <v>72976.799999999275</v>
      </c>
    </row>
    <row r="3181" spans="9:33" ht="8.25" customHeight="1" x14ac:dyDescent="0.15">
      <c r="N3181" s="52">
        <v>25</v>
      </c>
      <c r="T3181" s="33">
        <v>46150</v>
      </c>
      <c r="U3181" s="34">
        <v>2026</v>
      </c>
      <c r="V3181" s="35" t="s">
        <v>2448</v>
      </c>
      <c r="W3181" s="35" t="s">
        <v>17</v>
      </c>
      <c r="X3181" s="37" t="s">
        <v>2617</v>
      </c>
      <c r="Y3181" s="36" t="s">
        <v>2083</v>
      </c>
      <c r="Z3181" s="30" t="s">
        <v>1641</v>
      </c>
      <c r="AA3181" s="134" t="s">
        <v>166</v>
      </c>
      <c r="AD3181" s="38">
        <v>7407.74</v>
      </c>
      <c r="AF3181" s="76">
        <f t="shared" si="307"/>
        <v>80384.539999999281</v>
      </c>
    </row>
    <row r="3182" spans="9:33" ht="8.25" customHeight="1" x14ac:dyDescent="0.25">
      <c r="N3182" s="52">
        <v>26</v>
      </c>
      <c r="T3182" s="33">
        <v>46150</v>
      </c>
      <c r="U3182" s="34">
        <v>2026</v>
      </c>
      <c r="V3182" s="35" t="s">
        <v>2448</v>
      </c>
      <c r="W3182" s="35" t="s">
        <v>17</v>
      </c>
      <c r="X3182" s="37" t="s">
        <v>2618</v>
      </c>
      <c r="Y3182" s="36" t="s">
        <v>345</v>
      </c>
      <c r="Z3182" s="30" t="s">
        <v>301</v>
      </c>
      <c r="AA3182" s="30" t="s">
        <v>3899</v>
      </c>
      <c r="AD3182" s="38">
        <v>9922.3700000000008</v>
      </c>
      <c r="AF3182" s="76">
        <f t="shared" si="307"/>
        <v>90306.909999999276</v>
      </c>
    </row>
    <row r="3183" spans="9:33" ht="8.25" customHeight="1" x14ac:dyDescent="0.15">
      <c r="N3183" s="52">
        <v>26</v>
      </c>
      <c r="T3183" s="33">
        <v>46150</v>
      </c>
      <c r="U3183" s="34">
        <v>2026</v>
      </c>
      <c r="V3183" s="35" t="s">
        <v>2448</v>
      </c>
      <c r="W3183" s="35" t="s">
        <v>17</v>
      </c>
      <c r="X3183" s="37" t="s">
        <v>2618</v>
      </c>
      <c r="Y3183" s="36" t="s">
        <v>345</v>
      </c>
      <c r="Z3183" s="30" t="s">
        <v>301</v>
      </c>
      <c r="AA3183" s="134" t="s">
        <v>166</v>
      </c>
      <c r="AD3183" s="38">
        <v>5077.63</v>
      </c>
      <c r="AF3183" s="76">
        <f t="shared" si="307"/>
        <v>95384.539999999281</v>
      </c>
    </row>
    <row r="3184" spans="9:33" ht="8.25" customHeight="1" x14ac:dyDescent="0.25">
      <c r="I3184" s="52">
        <v>16</v>
      </c>
      <c r="T3184" s="33">
        <v>46150</v>
      </c>
      <c r="U3184" s="34">
        <v>2026</v>
      </c>
      <c r="V3184" s="35" t="s">
        <v>2448</v>
      </c>
      <c r="W3184" s="35" t="s">
        <v>17</v>
      </c>
      <c r="X3184" s="37" t="s">
        <v>2621</v>
      </c>
      <c r="Y3184" s="36" t="s">
        <v>2622</v>
      </c>
      <c r="Z3184" s="30" t="s">
        <v>2623</v>
      </c>
      <c r="AA3184" s="30" t="s">
        <v>1044</v>
      </c>
      <c r="AD3184" s="38">
        <v>20</v>
      </c>
      <c r="AF3184" s="76">
        <f t="shared" si="307"/>
        <v>95404.539999999281</v>
      </c>
    </row>
    <row r="3185" spans="4:32" ht="8.25" customHeight="1" x14ac:dyDescent="0.25">
      <c r="I3185" s="52">
        <v>17</v>
      </c>
      <c r="T3185" s="33">
        <v>46150</v>
      </c>
      <c r="U3185" s="34">
        <v>2026</v>
      </c>
      <c r="V3185" s="35" t="s">
        <v>2448</v>
      </c>
      <c r="W3185" s="35" t="s">
        <v>17</v>
      </c>
      <c r="X3185" s="37" t="s">
        <v>2625</v>
      </c>
      <c r="Y3185" s="36" t="s">
        <v>2624</v>
      </c>
      <c r="Z3185" s="30" t="s">
        <v>2637</v>
      </c>
      <c r="AA3185" s="30" t="s">
        <v>1044</v>
      </c>
      <c r="AD3185" s="38">
        <v>100</v>
      </c>
      <c r="AF3185" s="76">
        <f>AF3184+AD3185-AE3185</f>
        <v>95504.539999999281</v>
      </c>
    </row>
    <row r="3186" spans="4:32" ht="8.25" customHeight="1" x14ac:dyDescent="0.25">
      <c r="I3186" s="52">
        <v>18</v>
      </c>
      <c r="T3186" s="33">
        <v>46150</v>
      </c>
      <c r="U3186" s="34">
        <v>2026</v>
      </c>
      <c r="V3186" s="35" t="s">
        <v>2448</v>
      </c>
      <c r="W3186" s="35" t="s">
        <v>17</v>
      </c>
      <c r="X3186" s="37" t="s">
        <v>2626</v>
      </c>
      <c r="Y3186" s="36" t="s">
        <v>2627</v>
      </c>
      <c r="Z3186" s="30" t="s">
        <v>2628</v>
      </c>
      <c r="AA3186" s="30" t="s">
        <v>1044</v>
      </c>
      <c r="AD3186" s="38">
        <v>200</v>
      </c>
      <c r="AF3186" s="76">
        <f t="shared" ref="AF3186:AF3198" si="308">AF3185+AD3186-AE3186</f>
        <v>95704.539999999281</v>
      </c>
    </row>
    <row r="3187" spans="4:32" ht="8.25" customHeight="1" x14ac:dyDescent="0.25">
      <c r="I3187" s="52">
        <v>19</v>
      </c>
      <c r="T3187" s="33">
        <v>46150</v>
      </c>
      <c r="U3187" s="34">
        <v>2026</v>
      </c>
      <c r="V3187" s="35" t="s">
        <v>2448</v>
      </c>
      <c r="W3187" s="35" t="s">
        <v>17</v>
      </c>
      <c r="X3187" s="37" t="s">
        <v>2642</v>
      </c>
      <c r="Y3187" s="36" t="s">
        <v>2630</v>
      </c>
      <c r="Z3187" s="30" t="s">
        <v>2631</v>
      </c>
      <c r="AA3187" s="30" t="s">
        <v>1044</v>
      </c>
      <c r="AD3187" s="38">
        <v>250</v>
      </c>
      <c r="AF3187" s="76">
        <f t="shared" si="308"/>
        <v>95954.539999999281</v>
      </c>
    </row>
    <row r="3188" spans="4:32" ht="8.25" customHeight="1" x14ac:dyDescent="0.25">
      <c r="N3188" s="52">
        <v>27</v>
      </c>
      <c r="T3188" s="33">
        <v>46150</v>
      </c>
      <c r="U3188" s="34">
        <v>2026</v>
      </c>
      <c r="V3188" s="35" t="s">
        <v>2448</v>
      </c>
      <c r="W3188" s="35" t="s">
        <v>17</v>
      </c>
      <c r="X3188" s="37" t="s">
        <v>2643</v>
      </c>
      <c r="Y3188" s="36" t="s">
        <v>2644</v>
      </c>
      <c r="Z3188" s="30" t="s">
        <v>1869</v>
      </c>
      <c r="AA3188" s="30" t="s">
        <v>3899</v>
      </c>
      <c r="AD3188" s="38">
        <v>99.42</v>
      </c>
      <c r="AF3188" s="76">
        <f t="shared" si="308"/>
        <v>96053.959999999279</v>
      </c>
    </row>
    <row r="3189" spans="4:32" ht="8.25" customHeight="1" x14ac:dyDescent="0.15">
      <c r="N3189" s="52">
        <v>27</v>
      </c>
      <c r="T3189" s="33">
        <v>46150</v>
      </c>
      <c r="U3189" s="34">
        <v>2026</v>
      </c>
      <c r="V3189" s="35" t="s">
        <v>2448</v>
      </c>
      <c r="W3189" s="35" t="s">
        <v>17</v>
      </c>
      <c r="X3189" s="37" t="s">
        <v>2643</v>
      </c>
      <c r="Y3189" s="36" t="s">
        <v>2644</v>
      </c>
      <c r="Z3189" s="30" t="s">
        <v>1869</v>
      </c>
      <c r="AA3189" s="134" t="s">
        <v>166</v>
      </c>
      <c r="AD3189" s="38">
        <v>7845.58</v>
      </c>
      <c r="AF3189" s="76">
        <f t="shared" si="308"/>
        <v>103899.53999999928</v>
      </c>
    </row>
    <row r="3190" spans="4:32" ht="8.25" customHeight="1" x14ac:dyDescent="0.25">
      <c r="N3190" s="52">
        <v>27</v>
      </c>
      <c r="T3190" s="33">
        <v>46150</v>
      </c>
      <c r="U3190" s="34">
        <v>2026</v>
      </c>
      <c r="V3190" s="35" t="s">
        <v>2448</v>
      </c>
      <c r="W3190" s="35" t="s">
        <v>17</v>
      </c>
      <c r="X3190" s="37" t="s">
        <v>2643</v>
      </c>
      <c r="Y3190" s="36" t="s">
        <v>2644</v>
      </c>
      <c r="Z3190" s="30" t="s">
        <v>1869</v>
      </c>
      <c r="AA3190" s="30" t="s">
        <v>3304</v>
      </c>
      <c r="AD3190" s="38">
        <v>55</v>
      </c>
      <c r="AF3190" s="76">
        <f t="shared" si="308"/>
        <v>103954.53999999928</v>
      </c>
    </row>
    <row r="3191" spans="4:32" ht="8.25" customHeight="1" x14ac:dyDescent="0.25">
      <c r="I3191" s="52">
        <v>20</v>
      </c>
      <c r="T3191" s="33">
        <v>46150</v>
      </c>
      <c r="U3191" s="34">
        <v>2026</v>
      </c>
      <c r="V3191" s="35" t="s">
        <v>2448</v>
      </c>
      <c r="W3191" s="35" t="s">
        <v>17</v>
      </c>
      <c r="X3191" s="37" t="s">
        <v>2646</v>
      </c>
      <c r="Y3191" s="36" t="s">
        <v>783</v>
      </c>
      <c r="Z3191" s="30" t="s">
        <v>2645</v>
      </c>
      <c r="AA3191" s="30" t="s">
        <v>1044</v>
      </c>
      <c r="AD3191" s="38">
        <v>75</v>
      </c>
      <c r="AF3191" s="76">
        <f t="shared" si="308"/>
        <v>104029.53999999928</v>
      </c>
    </row>
    <row r="3192" spans="4:32" ht="8.25" customHeight="1" x14ac:dyDescent="0.25">
      <c r="D3192" s="52">
        <v>3</v>
      </c>
      <c r="T3192" s="33">
        <v>46150</v>
      </c>
      <c r="U3192" s="34">
        <v>2026</v>
      </c>
      <c r="V3192" s="35" t="s">
        <v>2448</v>
      </c>
      <c r="W3192" s="35" t="s">
        <v>17</v>
      </c>
      <c r="X3192" s="37" t="s">
        <v>2638</v>
      </c>
      <c r="Y3192" s="36" t="s">
        <v>2639</v>
      </c>
      <c r="Z3192" s="30" t="s">
        <v>2640</v>
      </c>
      <c r="AA3192" s="30" t="s">
        <v>256</v>
      </c>
      <c r="AD3192" s="38">
        <v>12000</v>
      </c>
      <c r="AF3192" s="76">
        <f t="shared" si="308"/>
        <v>116029.53999999928</v>
      </c>
    </row>
    <row r="3193" spans="4:32" ht="8.25" customHeight="1" x14ac:dyDescent="0.25">
      <c r="G3193" s="53">
        <v>13</v>
      </c>
      <c r="T3193" s="33">
        <v>46150</v>
      </c>
      <c r="U3193" s="34">
        <v>2026</v>
      </c>
      <c r="V3193" s="35" t="s">
        <v>2448</v>
      </c>
      <c r="W3193" s="35" t="s">
        <v>5</v>
      </c>
      <c r="X3193" s="37" t="s">
        <v>2619</v>
      </c>
      <c r="Y3193" s="36" t="s">
        <v>2620</v>
      </c>
      <c r="Z3193" s="30" t="s">
        <v>1454</v>
      </c>
      <c r="AA3193" s="30" t="s">
        <v>3945</v>
      </c>
      <c r="AE3193" s="38">
        <v>696.84</v>
      </c>
      <c r="AF3193" s="76">
        <f t="shared" si="308"/>
        <v>115332.69999999928</v>
      </c>
    </row>
    <row r="3194" spans="4:32" ht="8.25" customHeight="1" x14ac:dyDescent="0.25">
      <c r="G3194" s="53">
        <v>14</v>
      </c>
      <c r="T3194" s="33">
        <v>46150</v>
      </c>
      <c r="U3194" s="34">
        <v>2026</v>
      </c>
      <c r="V3194" s="35" t="s">
        <v>2448</v>
      </c>
      <c r="W3194" s="35" t="s">
        <v>5</v>
      </c>
      <c r="X3194" s="37" t="s">
        <v>2636</v>
      </c>
      <c r="Y3194" s="36" t="s">
        <v>2635</v>
      </c>
      <c r="Z3194" s="30" t="s">
        <v>1147</v>
      </c>
      <c r="AA3194" s="30" t="s">
        <v>3945</v>
      </c>
      <c r="AE3194" s="38">
        <v>2004.58</v>
      </c>
      <c r="AF3194" s="76">
        <f t="shared" si="308"/>
        <v>113328.11999999928</v>
      </c>
    </row>
    <row r="3195" spans="4:32" ht="8.25" customHeight="1" x14ac:dyDescent="0.25">
      <c r="R3195" s="53">
        <v>19</v>
      </c>
      <c r="T3195" s="33">
        <v>46150</v>
      </c>
      <c r="U3195" s="34">
        <v>2026</v>
      </c>
      <c r="V3195" s="35" t="s">
        <v>2448</v>
      </c>
      <c r="W3195" s="35" t="s">
        <v>5</v>
      </c>
      <c r="X3195" s="37" t="s">
        <v>2629</v>
      </c>
      <c r="Y3195" s="36" t="s">
        <v>349</v>
      </c>
      <c r="Z3195" s="30" t="s">
        <v>740</v>
      </c>
      <c r="AA3195" s="30" t="s">
        <v>1050</v>
      </c>
      <c r="AE3195" s="38">
        <v>200</v>
      </c>
      <c r="AF3195" s="76">
        <f t="shared" si="308"/>
        <v>113128.11999999928</v>
      </c>
    </row>
    <row r="3196" spans="4:32" ht="8.25" customHeight="1" x14ac:dyDescent="0.25">
      <c r="R3196" s="53">
        <v>20</v>
      </c>
      <c r="T3196" s="33">
        <v>46150</v>
      </c>
      <c r="U3196" s="34">
        <v>2026</v>
      </c>
      <c r="V3196" s="35" t="s">
        <v>2448</v>
      </c>
      <c r="W3196" s="35" t="s">
        <v>5</v>
      </c>
      <c r="X3196" s="37" t="s">
        <v>2633</v>
      </c>
      <c r="Y3196" s="36" t="s">
        <v>2034</v>
      </c>
      <c r="Z3196" s="30" t="s">
        <v>2634</v>
      </c>
      <c r="AA3196" s="30" t="s">
        <v>1050</v>
      </c>
      <c r="AE3196" s="38">
        <v>500</v>
      </c>
      <c r="AF3196" s="76">
        <f t="shared" si="308"/>
        <v>112628.11999999928</v>
      </c>
    </row>
    <row r="3197" spans="4:32" ht="8.25" customHeight="1" x14ac:dyDescent="0.25">
      <c r="R3197" s="53">
        <v>21</v>
      </c>
      <c r="T3197" s="33">
        <v>46150</v>
      </c>
      <c r="U3197" s="34">
        <v>2026</v>
      </c>
      <c r="V3197" s="35" t="s">
        <v>2448</v>
      </c>
      <c r="W3197" s="35" t="s">
        <v>5</v>
      </c>
      <c r="X3197" s="37" t="s">
        <v>2632</v>
      </c>
      <c r="Y3197" s="36" t="s">
        <v>770</v>
      </c>
      <c r="Z3197" s="30" t="s">
        <v>771</v>
      </c>
      <c r="AA3197" s="30" t="s">
        <v>1050</v>
      </c>
      <c r="AE3197" s="38">
        <v>1000</v>
      </c>
      <c r="AF3197" s="76">
        <f t="shared" si="308"/>
        <v>111628.11999999928</v>
      </c>
    </row>
    <row r="3198" spans="4:32" ht="8.25" customHeight="1" x14ac:dyDescent="0.25">
      <c r="R3198" s="53">
        <v>22</v>
      </c>
      <c r="T3198" s="33">
        <v>46150</v>
      </c>
      <c r="U3198" s="34">
        <v>2026</v>
      </c>
      <c r="V3198" s="35" t="s">
        <v>2448</v>
      </c>
      <c r="W3198" s="35" t="s">
        <v>5</v>
      </c>
      <c r="X3198" s="37" t="s">
        <v>2641</v>
      </c>
      <c r="Y3198" s="36" t="s">
        <v>1435</v>
      </c>
      <c r="Z3198" s="30" t="s">
        <v>845</v>
      </c>
      <c r="AA3198" s="30" t="s">
        <v>1050</v>
      </c>
      <c r="AE3198" s="38">
        <v>12000</v>
      </c>
      <c r="AF3198" s="76">
        <f t="shared" si="308"/>
        <v>99628.119999999282</v>
      </c>
    </row>
    <row r="3199" spans="4:32" ht="8.25" customHeight="1" thickBot="1" x14ac:dyDescent="0.3">
      <c r="AA3199" s="75" t="s">
        <v>2139</v>
      </c>
      <c r="AD3199" s="253">
        <f>SUM(AD3178:AD3197)</f>
        <v>55589</v>
      </c>
      <c r="AE3199" s="253">
        <f>SUM(AE3178:AE3198)</f>
        <v>16401.419999999998</v>
      </c>
      <c r="AF3199" s="233">
        <f>AF3177+AD3199-AE3199</f>
        <v>99628.119999999282</v>
      </c>
    </row>
    <row r="3200" spans="4:32" ht="8.25" customHeight="1" thickTop="1" x14ac:dyDescent="0.25">
      <c r="X3200" s="109"/>
      <c r="Y3200" s="67" t="s">
        <v>214</v>
      </c>
      <c r="Z3200" s="68"/>
      <c r="AA3200" s="75"/>
    </row>
    <row r="3201" spans="3:32" ht="8.25" customHeight="1" x14ac:dyDescent="0.25">
      <c r="X3201" s="110" t="s">
        <v>2024</v>
      </c>
      <c r="Y3201" s="111">
        <v>200</v>
      </c>
      <c r="Z3201" s="111">
        <f>X3201*Y3201</f>
        <v>38800</v>
      </c>
      <c r="AA3201" s="112"/>
    </row>
    <row r="3202" spans="3:32" ht="8.25" customHeight="1" x14ac:dyDescent="0.25">
      <c r="X3202" s="110" t="s">
        <v>2647</v>
      </c>
      <c r="Y3202" s="111">
        <v>100</v>
      </c>
      <c r="Z3202" s="111">
        <f>X3202*Y3202</f>
        <v>58500</v>
      </c>
      <c r="AA3202" s="112"/>
    </row>
    <row r="3203" spans="3:32" ht="8.25" customHeight="1" x14ac:dyDescent="0.25">
      <c r="X3203" s="110" t="s">
        <v>221</v>
      </c>
      <c r="Y3203" s="111">
        <v>20</v>
      </c>
      <c r="Z3203" s="111">
        <f>X3203*Y3203</f>
        <v>140</v>
      </c>
      <c r="AA3203" s="38"/>
    </row>
    <row r="3204" spans="3:32" ht="8.25" customHeight="1" x14ac:dyDescent="0.25">
      <c r="X3204" s="110" t="s">
        <v>319</v>
      </c>
      <c r="Y3204" s="111">
        <v>10</v>
      </c>
      <c r="Z3204" s="111">
        <f>X3204*Y3204</f>
        <v>60</v>
      </c>
      <c r="AA3204" s="112"/>
    </row>
    <row r="3205" spans="3:32" ht="8.25" customHeight="1" x14ac:dyDescent="0.25">
      <c r="X3205" s="110" t="s">
        <v>2648</v>
      </c>
      <c r="Y3205" s="111">
        <v>5</v>
      </c>
      <c r="Z3205" s="111">
        <f>X3205*Y3205</f>
        <v>1515</v>
      </c>
      <c r="AA3205" s="112"/>
    </row>
    <row r="3206" spans="3:32" ht="8.25" customHeight="1" x14ac:dyDescent="0.25">
      <c r="X3206" s="269"/>
      <c r="Y3206" s="270"/>
      <c r="Z3206" s="271"/>
      <c r="AA3206" s="38"/>
    </row>
    <row r="3207" spans="3:32" ht="8.25" customHeight="1" x14ac:dyDescent="0.25">
      <c r="X3207" s="110" t="s">
        <v>1028</v>
      </c>
      <c r="Y3207" s="111">
        <v>1</v>
      </c>
      <c r="Z3207" s="111">
        <f t="shared" ref="Z3207:Z3212" si="309">X3207*Y3207</f>
        <v>528</v>
      </c>
      <c r="AA3207" s="76"/>
    </row>
    <row r="3208" spans="3:32" ht="8.25" customHeight="1" x14ac:dyDescent="0.25">
      <c r="X3208" s="110" t="s">
        <v>259</v>
      </c>
      <c r="Y3208" s="111">
        <v>0.5</v>
      </c>
      <c r="Z3208" s="111">
        <f t="shared" si="309"/>
        <v>40</v>
      </c>
      <c r="AA3208" s="112"/>
    </row>
    <row r="3209" spans="3:32" ht="8.25" customHeight="1" x14ac:dyDescent="0.25">
      <c r="X3209" s="110" t="s">
        <v>1878</v>
      </c>
      <c r="Y3209" s="111">
        <v>0.25</v>
      </c>
      <c r="Z3209" s="111">
        <f t="shared" si="309"/>
        <v>45</v>
      </c>
      <c r="AA3209" s="113"/>
    </row>
    <row r="3210" spans="3:32" ht="8.25" customHeight="1" x14ac:dyDescent="0.25">
      <c r="X3210" s="110" t="s">
        <v>222</v>
      </c>
      <c r="Y3210" s="111">
        <v>0.1</v>
      </c>
      <c r="Z3210" s="111">
        <f t="shared" si="309"/>
        <v>0.1</v>
      </c>
      <c r="AA3210" s="114" t="s">
        <v>219</v>
      </c>
    </row>
    <row r="3211" spans="3:32" ht="8.25" customHeight="1" thickBot="1" x14ac:dyDescent="0.3">
      <c r="X3211" s="110"/>
      <c r="Y3211" s="111">
        <v>0.05</v>
      </c>
      <c r="Z3211" s="111">
        <f t="shared" si="309"/>
        <v>0</v>
      </c>
      <c r="AA3211" s="115">
        <f>SUM(Z3201:Z3205)+Z3207+Z3208+Z3209+Z3210+Z3211+Z3212</f>
        <v>99628.12000000001</v>
      </c>
    </row>
    <row r="3212" spans="3:32" ht="8.25" customHeight="1" thickTop="1" x14ac:dyDescent="0.25">
      <c r="X3212" s="110" t="s">
        <v>224</v>
      </c>
      <c r="Y3212" s="111">
        <v>0.01</v>
      </c>
      <c r="Z3212" s="111">
        <f t="shared" si="309"/>
        <v>0.02</v>
      </c>
    </row>
    <row r="3213" spans="3:32" ht="8.25" customHeight="1" x14ac:dyDescent="0.25">
      <c r="Z3213" s="231"/>
    </row>
    <row r="3214" spans="3:32" ht="8.25" customHeight="1" x14ac:dyDescent="0.25">
      <c r="Z3214" s="231" t="s">
        <v>1376</v>
      </c>
      <c r="AF3214" s="76">
        <f>AF3199</f>
        <v>99628.119999999282</v>
      </c>
    </row>
    <row r="3215" spans="3:32" ht="8.25" customHeight="1" x14ac:dyDescent="0.25">
      <c r="D3215" s="52">
        <v>4</v>
      </c>
      <c r="T3215" s="33">
        <v>46151</v>
      </c>
      <c r="U3215" s="34">
        <v>2026</v>
      </c>
      <c r="V3215" s="35" t="s">
        <v>2448</v>
      </c>
      <c r="W3215" s="35" t="s">
        <v>2405</v>
      </c>
      <c r="X3215" s="37" t="s">
        <v>2654</v>
      </c>
      <c r="Y3215" s="36" t="s">
        <v>2653</v>
      </c>
      <c r="Z3215" s="30" t="s">
        <v>2652</v>
      </c>
      <c r="AA3215" s="30" t="s">
        <v>256</v>
      </c>
      <c r="AD3215" s="38">
        <v>1200</v>
      </c>
      <c r="AF3215" s="76">
        <f>AF3214+AD3215-AE3215</f>
        <v>100828.11999999928</v>
      </c>
    </row>
    <row r="3216" spans="3:32" ht="8.25" customHeight="1" x14ac:dyDescent="0.25">
      <c r="C3216" s="52">
        <v>3</v>
      </c>
      <c r="T3216" s="33">
        <v>46151</v>
      </c>
      <c r="U3216" s="34">
        <v>2026</v>
      </c>
      <c r="V3216" s="35" t="s">
        <v>2448</v>
      </c>
      <c r="W3216" s="35" t="s">
        <v>3620</v>
      </c>
      <c r="X3216" s="37" t="s">
        <v>2656</v>
      </c>
      <c r="Y3216" s="36" t="s">
        <v>2657</v>
      </c>
      <c r="Z3216" s="30" t="s">
        <v>2192</v>
      </c>
      <c r="AA3216" s="30" t="s">
        <v>340</v>
      </c>
      <c r="AD3216" s="38">
        <v>274</v>
      </c>
      <c r="AF3216" s="76">
        <f t="shared" ref="AF3216:AF3221" si="310">AF3215+AD3216-AE3216</f>
        <v>101102.11999999928</v>
      </c>
    </row>
    <row r="3217" spans="7:33" ht="8.25" customHeight="1" x14ac:dyDescent="0.25">
      <c r="R3217" s="53">
        <v>23</v>
      </c>
      <c r="T3217" s="33">
        <v>46151</v>
      </c>
      <c r="U3217" s="34">
        <v>2026</v>
      </c>
      <c r="V3217" s="35" t="s">
        <v>2448</v>
      </c>
      <c r="W3217" s="35" t="s">
        <v>544</v>
      </c>
      <c r="X3217" s="37" t="s">
        <v>2667</v>
      </c>
      <c r="Y3217" s="36" t="s">
        <v>1142</v>
      </c>
      <c r="Z3217" s="30" t="s">
        <v>2294</v>
      </c>
      <c r="AA3217" s="30" t="s">
        <v>1050</v>
      </c>
      <c r="AE3217" s="38">
        <v>200</v>
      </c>
      <c r="AF3217" s="76">
        <f t="shared" si="310"/>
        <v>100902.11999999928</v>
      </c>
    </row>
    <row r="3218" spans="7:33" ht="8.25" customHeight="1" x14ac:dyDescent="0.25">
      <c r="G3218" s="53">
        <v>15</v>
      </c>
      <c r="T3218" s="33">
        <v>46151</v>
      </c>
      <c r="U3218" s="34">
        <v>2026</v>
      </c>
      <c r="V3218" s="35" t="s">
        <v>2448</v>
      </c>
      <c r="W3218" s="35" t="s">
        <v>2655</v>
      </c>
      <c r="X3218" s="37" t="s">
        <v>2658</v>
      </c>
      <c r="Y3218" s="36" t="s">
        <v>2659</v>
      </c>
      <c r="Z3218" s="30" t="s">
        <v>2660</v>
      </c>
      <c r="AA3218" s="30" t="s">
        <v>3945</v>
      </c>
      <c r="AE3218" s="38">
        <v>5239.91</v>
      </c>
      <c r="AF3218" s="76">
        <f t="shared" si="310"/>
        <v>95662.209999999279</v>
      </c>
    </row>
    <row r="3219" spans="7:33" ht="8.25" customHeight="1" x14ac:dyDescent="0.25">
      <c r="G3219" s="53">
        <v>16</v>
      </c>
      <c r="T3219" s="33">
        <v>46151</v>
      </c>
      <c r="U3219" s="34">
        <v>2026</v>
      </c>
      <c r="V3219" s="35" t="s">
        <v>2448</v>
      </c>
      <c r="W3219" s="35" t="s">
        <v>2655</v>
      </c>
      <c r="X3219" s="37" t="s">
        <v>2662</v>
      </c>
      <c r="Y3219" s="36" t="s">
        <v>2661</v>
      </c>
      <c r="Z3219" s="30" t="s">
        <v>1597</v>
      </c>
      <c r="AA3219" s="30" t="s">
        <v>3945</v>
      </c>
      <c r="AE3219" s="38">
        <v>1152</v>
      </c>
      <c r="AF3219" s="76">
        <f t="shared" si="310"/>
        <v>94510.209999999279</v>
      </c>
    </row>
    <row r="3220" spans="7:33" ht="8.25" customHeight="1" x14ac:dyDescent="0.25">
      <c r="G3220" s="53">
        <v>17</v>
      </c>
      <c r="T3220" s="33">
        <v>46151</v>
      </c>
      <c r="U3220" s="34">
        <v>2026</v>
      </c>
      <c r="V3220" s="35" t="s">
        <v>2448</v>
      </c>
      <c r="W3220" s="35" t="s">
        <v>2655</v>
      </c>
      <c r="X3220" s="37" t="s">
        <v>2663</v>
      </c>
      <c r="Y3220" s="36" t="s">
        <v>2664</v>
      </c>
      <c r="Z3220" s="30" t="s">
        <v>2665</v>
      </c>
      <c r="AA3220" s="30" t="s">
        <v>3945</v>
      </c>
      <c r="AE3220" s="38">
        <v>5348</v>
      </c>
      <c r="AF3220" s="76">
        <f t="shared" si="310"/>
        <v>89162.209999999279</v>
      </c>
    </row>
    <row r="3221" spans="7:33" ht="8.25" customHeight="1" x14ac:dyDescent="0.25">
      <c r="G3221" s="53">
        <v>18</v>
      </c>
      <c r="T3221" s="33">
        <v>46151</v>
      </c>
      <c r="U3221" s="34">
        <v>2026</v>
      </c>
      <c r="V3221" s="35" t="s">
        <v>2448</v>
      </c>
      <c r="W3221" s="35" t="s">
        <v>2655</v>
      </c>
      <c r="X3221" s="37" t="s">
        <v>2649</v>
      </c>
      <c r="Y3221" s="36" t="s">
        <v>2650</v>
      </c>
      <c r="Z3221" s="30" t="s">
        <v>2651</v>
      </c>
      <c r="AA3221" s="30" t="s">
        <v>3945</v>
      </c>
      <c r="AE3221" s="38">
        <v>4216.75</v>
      </c>
      <c r="AF3221" s="76">
        <f t="shared" si="310"/>
        <v>84945.459999999279</v>
      </c>
    </row>
    <row r="3222" spans="7:33" ht="8.25" customHeight="1" thickBot="1" x14ac:dyDescent="0.3">
      <c r="AA3222" s="75" t="s">
        <v>2139</v>
      </c>
      <c r="AD3222" s="253">
        <f>SUM(AD3215:AD3221)</f>
        <v>1474</v>
      </c>
      <c r="AE3222" s="253">
        <f>SUM(AE3215:AE3221)</f>
        <v>16156.66</v>
      </c>
      <c r="AF3222" s="233">
        <f>AF3214+AD3222-AE3222</f>
        <v>84945.459999999279</v>
      </c>
    </row>
    <row r="3223" spans="7:33" ht="8.25" customHeight="1" thickTop="1" x14ac:dyDescent="0.25"/>
    <row r="3224" spans="7:33" ht="8.25" customHeight="1" x14ac:dyDescent="0.25">
      <c r="X3224" s="109"/>
      <c r="Y3224" s="67" t="s">
        <v>214</v>
      </c>
      <c r="Z3224" s="68"/>
      <c r="AA3224" s="75"/>
    </row>
    <row r="3225" spans="7:33" ht="8.25" customHeight="1" x14ac:dyDescent="0.25">
      <c r="X3225" s="110" t="s">
        <v>2024</v>
      </c>
      <c r="Y3225" s="111">
        <v>200</v>
      </c>
      <c r="Z3225" s="111">
        <f t="shared" ref="Z3225:Z3230" si="311">X3225*Y3225</f>
        <v>38800</v>
      </c>
      <c r="AA3225" s="112"/>
    </row>
    <row r="3226" spans="7:33" ht="8.25" customHeight="1" x14ac:dyDescent="0.25">
      <c r="X3226" s="110" t="s">
        <v>2668</v>
      </c>
      <c r="Y3226" s="111">
        <v>100</v>
      </c>
      <c r="Z3226" s="111">
        <f t="shared" si="311"/>
        <v>44000</v>
      </c>
      <c r="AA3226" s="112"/>
    </row>
    <row r="3227" spans="7:33" ht="8.25" customHeight="1" x14ac:dyDescent="0.25">
      <c r="X3227" s="110" t="s">
        <v>222</v>
      </c>
      <c r="Y3227" s="111">
        <v>50</v>
      </c>
      <c r="Z3227" s="111">
        <f t="shared" si="311"/>
        <v>50</v>
      </c>
      <c r="AA3227" s="76"/>
    </row>
    <row r="3228" spans="7:33" ht="8.25" customHeight="1" x14ac:dyDescent="0.25">
      <c r="X3228" s="110" t="s">
        <v>222</v>
      </c>
      <c r="Y3228" s="111">
        <v>20</v>
      </c>
      <c r="Z3228" s="111">
        <f t="shared" si="311"/>
        <v>20</v>
      </c>
      <c r="AA3228" s="38"/>
    </row>
    <row r="3229" spans="7:33" ht="8.25" customHeight="1" x14ac:dyDescent="0.25">
      <c r="X3229" s="110" t="s">
        <v>224</v>
      </c>
      <c r="Y3229" s="111">
        <v>10</v>
      </c>
      <c r="Z3229" s="111">
        <f t="shared" si="311"/>
        <v>20</v>
      </c>
      <c r="AA3229" s="112"/>
    </row>
    <row r="3230" spans="7:33" ht="8.25" customHeight="1" x14ac:dyDescent="0.25">
      <c r="X3230" s="110" t="s">
        <v>2666</v>
      </c>
      <c r="Y3230" s="111">
        <v>5</v>
      </c>
      <c r="Z3230" s="111">
        <f t="shared" si="311"/>
        <v>1455</v>
      </c>
      <c r="AA3230" s="112"/>
    </row>
    <row r="3231" spans="7:33" ht="8.25" customHeight="1" x14ac:dyDescent="0.25">
      <c r="X3231" s="269"/>
      <c r="Y3231" s="270"/>
      <c r="Z3231" s="271"/>
      <c r="AA3231" s="38"/>
      <c r="AG3231" s="258"/>
    </row>
    <row r="3232" spans="7:33" ht="8.25" customHeight="1" x14ac:dyDescent="0.25">
      <c r="X3232" s="110" t="s">
        <v>2731</v>
      </c>
      <c r="Y3232" s="111">
        <v>1</v>
      </c>
      <c r="Z3232" s="111">
        <f t="shared" ref="Z3232:Z3237" si="312">X3232*Y3232</f>
        <v>516</v>
      </c>
      <c r="AA3232" s="76"/>
    </row>
    <row r="3233" spans="9:33" ht="8.25" customHeight="1" x14ac:dyDescent="0.25">
      <c r="X3233" s="110" t="s">
        <v>651</v>
      </c>
      <c r="Y3233" s="111">
        <v>0.5</v>
      </c>
      <c r="Z3233" s="111">
        <f t="shared" si="312"/>
        <v>39.5</v>
      </c>
      <c r="AA3233" s="112"/>
    </row>
    <row r="3234" spans="9:33" ht="8.25" customHeight="1" x14ac:dyDescent="0.25">
      <c r="X3234" s="110" t="s">
        <v>2026</v>
      </c>
      <c r="Y3234" s="111">
        <v>0.25</v>
      </c>
      <c r="Z3234" s="111">
        <f t="shared" si="312"/>
        <v>44.75</v>
      </c>
      <c r="AA3234" s="113"/>
      <c r="AG3234" s="124"/>
    </row>
    <row r="3235" spans="9:33" ht="8.25" customHeight="1" x14ac:dyDescent="0.25">
      <c r="X3235" s="110" t="s">
        <v>224</v>
      </c>
      <c r="Y3235" s="111">
        <v>0.1</v>
      </c>
      <c r="Z3235" s="111">
        <f t="shared" si="312"/>
        <v>0.2</v>
      </c>
      <c r="AA3235" s="114" t="s">
        <v>219</v>
      </c>
    </row>
    <row r="3236" spans="9:33" ht="8.25" customHeight="1" thickBot="1" x14ac:dyDescent="0.3">
      <c r="X3236" s="110"/>
      <c r="Y3236" s="111">
        <v>0.05</v>
      </c>
      <c r="Z3236" s="111">
        <f t="shared" si="312"/>
        <v>0</v>
      </c>
      <c r="AA3236" s="115">
        <f>SUM(Z3225:Z3230)+Z3232+Z3233+Z3234+Z3235+Z3236+Z3237</f>
        <v>84945.459999999992</v>
      </c>
    </row>
    <row r="3237" spans="9:33" ht="8.25" customHeight="1" thickTop="1" x14ac:dyDescent="0.25">
      <c r="X3237" s="110" t="s">
        <v>222</v>
      </c>
      <c r="Y3237" s="111">
        <v>0.01</v>
      </c>
      <c r="Z3237" s="111">
        <f t="shared" si="312"/>
        <v>0.01</v>
      </c>
    </row>
    <row r="3239" spans="9:33" ht="8.25" customHeight="1" x14ac:dyDescent="0.25">
      <c r="Z3239" s="231" t="s">
        <v>1376</v>
      </c>
      <c r="AF3239" s="76">
        <f>AA3236</f>
        <v>84945.459999999992</v>
      </c>
    </row>
    <row r="3240" spans="9:33" ht="8.25" customHeight="1" x14ac:dyDescent="0.25">
      <c r="N3240" s="52">
        <v>28</v>
      </c>
      <c r="T3240" s="33">
        <v>46153</v>
      </c>
      <c r="U3240" s="34">
        <v>2026</v>
      </c>
      <c r="V3240" s="35" t="s">
        <v>2448</v>
      </c>
      <c r="W3240" s="35" t="s">
        <v>17</v>
      </c>
      <c r="X3240" s="37" t="s">
        <v>2669</v>
      </c>
      <c r="Y3240" s="36" t="s">
        <v>456</v>
      </c>
      <c r="Z3240" s="30" t="s">
        <v>2170</v>
      </c>
      <c r="AA3240" s="30" t="s">
        <v>3899</v>
      </c>
      <c r="AD3240" s="38">
        <v>6537.52</v>
      </c>
      <c r="AF3240" s="76">
        <f>AF3239+AD3240-AE3240</f>
        <v>91482.98</v>
      </c>
    </row>
    <row r="3241" spans="9:33" ht="8.25" customHeight="1" x14ac:dyDescent="0.15">
      <c r="N3241" s="52">
        <v>28</v>
      </c>
      <c r="T3241" s="33">
        <v>46153</v>
      </c>
      <c r="U3241" s="34">
        <v>2026</v>
      </c>
      <c r="V3241" s="35" t="s">
        <v>2448</v>
      </c>
      <c r="W3241" s="35" t="s">
        <v>17</v>
      </c>
      <c r="X3241" s="37" t="s">
        <v>2669</v>
      </c>
      <c r="Y3241" s="36" t="s">
        <v>456</v>
      </c>
      <c r="Z3241" s="30" t="s">
        <v>2170</v>
      </c>
      <c r="AA3241" s="134" t="s">
        <v>166</v>
      </c>
      <c r="AD3241" s="38">
        <v>1202.48</v>
      </c>
      <c r="AF3241" s="76">
        <f>AF3240+AD3241-AE3241</f>
        <v>92685.459999999992</v>
      </c>
    </row>
    <row r="3242" spans="9:33" ht="8.25" customHeight="1" x14ac:dyDescent="0.25">
      <c r="I3242" s="52">
        <v>21</v>
      </c>
      <c r="T3242" s="33">
        <v>46153</v>
      </c>
      <c r="U3242" s="34">
        <v>2026</v>
      </c>
      <c r="V3242" s="35" t="s">
        <v>2448</v>
      </c>
      <c r="W3242" s="35" t="s">
        <v>17</v>
      </c>
      <c r="X3242" s="37" t="s">
        <v>2670</v>
      </c>
      <c r="Y3242" s="36" t="s">
        <v>783</v>
      </c>
      <c r="Z3242" s="30" t="s">
        <v>784</v>
      </c>
      <c r="AA3242" s="30" t="s">
        <v>1044</v>
      </c>
      <c r="AD3242" s="38">
        <v>50</v>
      </c>
      <c r="AF3242" s="76">
        <f t="shared" ref="AF3242:AF3258" si="313">AF3241+AD3242-AE3242</f>
        <v>92735.459999999992</v>
      </c>
    </row>
    <row r="3243" spans="9:33" ht="8.25" customHeight="1" x14ac:dyDescent="0.25">
      <c r="I3243" s="52">
        <v>22</v>
      </c>
      <c r="T3243" s="33">
        <v>46153</v>
      </c>
      <c r="U3243" s="34">
        <v>2026</v>
      </c>
      <c r="V3243" s="35" t="s">
        <v>2448</v>
      </c>
      <c r="W3243" s="35" t="s">
        <v>17</v>
      </c>
      <c r="X3243" s="37" t="s">
        <v>2671</v>
      </c>
      <c r="Y3243" s="36" t="s">
        <v>1686</v>
      </c>
      <c r="Z3243" s="30" t="s">
        <v>1694</v>
      </c>
      <c r="AA3243" s="30" t="s">
        <v>1044</v>
      </c>
      <c r="AD3243" s="38">
        <v>100</v>
      </c>
      <c r="AF3243" s="76">
        <f t="shared" si="313"/>
        <v>92835.459999999992</v>
      </c>
    </row>
    <row r="3244" spans="9:33" ht="8.25" customHeight="1" x14ac:dyDescent="0.25">
      <c r="N3244" s="52">
        <v>29</v>
      </c>
      <c r="T3244" s="33">
        <v>46153</v>
      </c>
      <c r="U3244" s="34">
        <v>2026</v>
      </c>
      <c r="V3244" s="35" t="s">
        <v>2448</v>
      </c>
      <c r="W3244" s="35" t="s">
        <v>17</v>
      </c>
      <c r="X3244" s="37" t="s">
        <v>2676</v>
      </c>
      <c r="Y3244" s="36" t="s">
        <v>2677</v>
      </c>
      <c r="Z3244" s="30" t="s">
        <v>784</v>
      </c>
      <c r="AA3244" s="30" t="s">
        <v>3899</v>
      </c>
      <c r="AD3244" s="38">
        <v>26173.439999999999</v>
      </c>
      <c r="AF3244" s="76">
        <f t="shared" si="313"/>
        <v>119008.9</v>
      </c>
    </row>
    <row r="3245" spans="9:33" ht="8.25" customHeight="1" x14ac:dyDescent="0.15">
      <c r="N3245" s="52">
        <v>29</v>
      </c>
      <c r="T3245" s="33">
        <v>46153</v>
      </c>
      <c r="U3245" s="34">
        <v>2026</v>
      </c>
      <c r="V3245" s="35" t="s">
        <v>2448</v>
      </c>
      <c r="W3245" s="35" t="s">
        <v>17</v>
      </c>
      <c r="X3245" s="37" t="s">
        <v>2676</v>
      </c>
      <c r="Y3245" s="36" t="s">
        <v>2677</v>
      </c>
      <c r="Z3245" s="30" t="s">
        <v>784</v>
      </c>
      <c r="AA3245" s="134" t="s">
        <v>166</v>
      </c>
      <c r="AD3245" s="38">
        <v>5097.3500000000004</v>
      </c>
      <c r="AF3245" s="76">
        <f t="shared" si="313"/>
        <v>124106.25</v>
      </c>
    </row>
    <row r="3246" spans="9:33" ht="8.25" customHeight="1" x14ac:dyDescent="0.25">
      <c r="N3246" s="52">
        <v>29</v>
      </c>
      <c r="T3246" s="33">
        <v>46153</v>
      </c>
      <c r="U3246" s="34">
        <v>2026</v>
      </c>
      <c r="V3246" s="35" t="s">
        <v>2448</v>
      </c>
      <c r="W3246" s="35" t="s">
        <v>17</v>
      </c>
      <c r="X3246" s="37" t="s">
        <v>2676</v>
      </c>
      <c r="Y3246" s="36" t="s">
        <v>2677</v>
      </c>
      <c r="Z3246" s="30" t="s">
        <v>784</v>
      </c>
      <c r="AA3246" s="30" t="s">
        <v>3304</v>
      </c>
      <c r="AD3246" s="38">
        <v>2351.2199999999998</v>
      </c>
      <c r="AF3246" s="76">
        <f t="shared" si="313"/>
        <v>126457.47</v>
      </c>
    </row>
    <row r="3247" spans="9:33" ht="8.25" customHeight="1" x14ac:dyDescent="0.25">
      <c r="M3247" s="52">
        <v>5</v>
      </c>
      <c r="T3247" s="33">
        <v>46153</v>
      </c>
      <c r="U3247" s="34">
        <v>2026</v>
      </c>
      <c r="V3247" s="35" t="s">
        <v>2448</v>
      </c>
      <c r="W3247" s="35" t="s">
        <v>17</v>
      </c>
      <c r="X3247" s="37" t="s">
        <v>2722</v>
      </c>
      <c r="Y3247" s="36" t="s">
        <v>120</v>
      </c>
      <c r="Z3247" s="30" t="s">
        <v>784</v>
      </c>
      <c r="AA3247" s="30" t="s">
        <v>385</v>
      </c>
      <c r="AD3247" s="38">
        <v>340.37</v>
      </c>
      <c r="AF3247" s="76">
        <f t="shared" si="313"/>
        <v>126797.84</v>
      </c>
    </row>
    <row r="3248" spans="9:33" ht="8.25" customHeight="1" x14ac:dyDescent="0.25">
      <c r="I3248" s="52">
        <v>23</v>
      </c>
      <c r="T3248" s="33">
        <v>46153</v>
      </c>
      <c r="U3248" s="34">
        <v>2026</v>
      </c>
      <c r="V3248" s="35" t="s">
        <v>2448</v>
      </c>
      <c r="W3248" s="35" t="s">
        <v>17</v>
      </c>
      <c r="X3248" s="37" t="s">
        <v>2683</v>
      </c>
      <c r="Y3248" s="36" t="s">
        <v>1142</v>
      </c>
      <c r="Z3248" s="30" t="s">
        <v>1139</v>
      </c>
      <c r="AA3248" s="30" t="s">
        <v>1044</v>
      </c>
      <c r="AD3248" s="38">
        <v>700</v>
      </c>
      <c r="AF3248" s="76">
        <f t="shared" si="313"/>
        <v>127497.84</v>
      </c>
    </row>
    <row r="3249" spans="3:32" ht="8.25" customHeight="1" x14ac:dyDescent="0.25">
      <c r="I3249" s="52">
        <v>24</v>
      </c>
      <c r="T3249" s="33">
        <v>46153</v>
      </c>
      <c r="U3249" s="34">
        <v>2026</v>
      </c>
      <c r="V3249" s="35" t="s">
        <v>2448</v>
      </c>
      <c r="W3249" s="35" t="s">
        <v>17</v>
      </c>
      <c r="X3249" s="37" t="s">
        <v>2687</v>
      </c>
      <c r="Y3249" s="36" t="s">
        <v>828</v>
      </c>
      <c r="Z3249" s="30" t="s">
        <v>557</v>
      </c>
      <c r="AA3249" s="30" t="s">
        <v>1044</v>
      </c>
      <c r="AD3249" s="38">
        <v>200</v>
      </c>
      <c r="AF3249" s="76">
        <f t="shared" si="313"/>
        <v>127697.84</v>
      </c>
    </row>
    <row r="3250" spans="3:32" ht="8.25" customHeight="1" x14ac:dyDescent="0.25">
      <c r="I3250" s="52">
        <v>25</v>
      </c>
      <c r="M3250" s="52">
        <v>6</v>
      </c>
      <c r="T3250" s="33">
        <v>46153</v>
      </c>
      <c r="U3250" s="34">
        <v>2026</v>
      </c>
      <c r="V3250" s="35" t="s">
        <v>2448</v>
      </c>
      <c r="W3250" s="35" t="s">
        <v>17</v>
      </c>
      <c r="X3250" s="37" t="s">
        <v>2693</v>
      </c>
      <c r="Y3250" s="36" t="s">
        <v>2694</v>
      </c>
      <c r="Z3250" s="30" t="s">
        <v>2578</v>
      </c>
      <c r="AA3250" s="30" t="s">
        <v>1044</v>
      </c>
      <c r="AD3250" s="38">
        <v>34090.910000000003</v>
      </c>
      <c r="AF3250" s="76">
        <f t="shared" si="313"/>
        <v>161788.75</v>
      </c>
    </row>
    <row r="3251" spans="3:32" ht="8.25" customHeight="1" x14ac:dyDescent="0.25">
      <c r="T3251" s="33">
        <v>46153</v>
      </c>
      <c r="U3251" s="34">
        <v>2026</v>
      </c>
      <c r="V3251" s="35" t="s">
        <v>2448</v>
      </c>
      <c r="W3251" s="35" t="s">
        <v>17</v>
      </c>
      <c r="X3251" s="37" t="s">
        <v>2695</v>
      </c>
      <c r="Y3251" s="36" t="s">
        <v>120</v>
      </c>
      <c r="Z3251" s="30" t="s">
        <v>2578</v>
      </c>
      <c r="AA3251" s="30" t="s">
        <v>385</v>
      </c>
      <c r="AD3251" s="38">
        <v>6818.18</v>
      </c>
      <c r="AF3251" s="76">
        <f t="shared" si="313"/>
        <v>168606.93</v>
      </c>
    </row>
    <row r="3252" spans="3:32" ht="8.25" customHeight="1" x14ac:dyDescent="0.25">
      <c r="T3252" s="33">
        <v>46153</v>
      </c>
      <c r="U3252" s="34">
        <v>2026</v>
      </c>
      <c r="V3252" s="35" t="s">
        <v>2448</v>
      </c>
      <c r="W3252" s="35" t="s">
        <v>5</v>
      </c>
      <c r="X3252" s="37" t="s">
        <v>2696</v>
      </c>
      <c r="Y3252" s="37" t="s">
        <v>411</v>
      </c>
      <c r="Z3252" s="30" t="s">
        <v>412</v>
      </c>
      <c r="AA3252" s="30" t="s">
        <v>2719</v>
      </c>
      <c r="AE3252" s="38">
        <v>40909.089999999997</v>
      </c>
      <c r="AF3252" s="76">
        <f t="shared" si="313"/>
        <v>127697.84</v>
      </c>
    </row>
    <row r="3253" spans="3:32" ht="8.25" customHeight="1" x14ac:dyDescent="0.25">
      <c r="C3253" s="52">
        <v>4</v>
      </c>
      <c r="T3253" s="33">
        <v>46153</v>
      </c>
      <c r="U3253" s="34">
        <v>2026</v>
      </c>
      <c r="V3253" s="35" t="s">
        <v>2448</v>
      </c>
      <c r="W3253" s="35" t="s">
        <v>3620</v>
      </c>
      <c r="X3253" s="37" t="s">
        <v>2686</v>
      </c>
      <c r="Y3253" s="36" t="s">
        <v>2685</v>
      </c>
      <c r="Z3253" s="30" t="s">
        <v>2684</v>
      </c>
      <c r="AA3253" s="30" t="s">
        <v>340</v>
      </c>
      <c r="AD3253" s="38">
        <v>62</v>
      </c>
      <c r="AF3253" s="76">
        <f t="shared" si="313"/>
        <v>127759.84</v>
      </c>
    </row>
    <row r="3254" spans="3:32" ht="8.25" customHeight="1" x14ac:dyDescent="0.25">
      <c r="R3254" s="53">
        <v>24</v>
      </c>
      <c r="T3254" s="33">
        <v>46153</v>
      </c>
      <c r="U3254" s="34">
        <v>2026</v>
      </c>
      <c r="V3254" s="35" t="s">
        <v>2448</v>
      </c>
      <c r="W3254" s="35" t="s">
        <v>544</v>
      </c>
      <c r="X3254" s="37" t="s">
        <v>2675</v>
      </c>
      <c r="Y3254" s="36" t="s">
        <v>2543</v>
      </c>
      <c r="Z3254" s="30" t="s">
        <v>2544</v>
      </c>
      <c r="AA3254" s="30" t="s">
        <v>1050</v>
      </c>
      <c r="AE3254" s="38">
        <v>500</v>
      </c>
      <c r="AF3254" s="76">
        <f t="shared" si="313"/>
        <v>127259.84</v>
      </c>
    </row>
    <row r="3255" spans="3:32" ht="8.25" customHeight="1" x14ac:dyDescent="0.25">
      <c r="Q3255" s="52">
        <v>5</v>
      </c>
      <c r="T3255" s="33">
        <v>46153</v>
      </c>
      <c r="U3255" s="34">
        <v>2026</v>
      </c>
      <c r="V3255" s="35" t="s">
        <v>2448</v>
      </c>
      <c r="W3255" s="35" t="s">
        <v>5</v>
      </c>
      <c r="X3255" s="37" t="s">
        <v>2679</v>
      </c>
      <c r="Y3255" s="36" t="s">
        <v>2678</v>
      </c>
      <c r="Z3255" s="30" t="s">
        <v>784</v>
      </c>
      <c r="AA3255" s="30" t="s">
        <v>1509</v>
      </c>
      <c r="AE3255" s="38">
        <v>34037.379999999997</v>
      </c>
      <c r="AF3255" s="76">
        <f t="shared" si="313"/>
        <v>93222.459999999992</v>
      </c>
    </row>
    <row r="3256" spans="3:32" ht="8.25" customHeight="1" x14ac:dyDescent="0.25">
      <c r="G3256" s="53">
        <v>19</v>
      </c>
      <c r="T3256" s="33">
        <v>46153</v>
      </c>
      <c r="U3256" s="34">
        <v>2026</v>
      </c>
      <c r="V3256" s="35" t="s">
        <v>2448</v>
      </c>
      <c r="W3256" s="35" t="s">
        <v>2655</v>
      </c>
      <c r="X3256" s="37" t="s">
        <v>2672</v>
      </c>
      <c r="Y3256" s="36" t="s">
        <v>2673</v>
      </c>
      <c r="Z3256" s="30" t="s">
        <v>2674</v>
      </c>
      <c r="AA3256" s="30" t="s">
        <v>3945</v>
      </c>
      <c r="AE3256" s="38">
        <v>2500.58</v>
      </c>
      <c r="AF3256" s="76">
        <f t="shared" si="313"/>
        <v>90721.87999999999</v>
      </c>
    </row>
    <row r="3257" spans="3:32" ht="8.25" customHeight="1" x14ac:dyDescent="0.25">
      <c r="G3257" s="53">
        <v>20</v>
      </c>
      <c r="T3257" s="33">
        <v>46153</v>
      </c>
      <c r="U3257" s="34">
        <v>2026</v>
      </c>
      <c r="V3257" s="35" t="s">
        <v>2448</v>
      </c>
      <c r="W3257" s="35" t="s">
        <v>2655</v>
      </c>
      <c r="X3257" s="37" t="s">
        <v>2680</v>
      </c>
      <c r="Y3257" s="36" t="s">
        <v>2681</v>
      </c>
      <c r="Z3257" s="30" t="s">
        <v>2682</v>
      </c>
      <c r="AA3257" s="30" t="s">
        <v>3945</v>
      </c>
      <c r="AE3257" s="38">
        <v>11247.8</v>
      </c>
      <c r="AF3257" s="76">
        <f t="shared" si="313"/>
        <v>79474.079999999987</v>
      </c>
    </row>
    <row r="3258" spans="3:32" ht="8.25" customHeight="1" x14ac:dyDescent="0.25">
      <c r="G3258" s="53">
        <v>21</v>
      </c>
      <c r="T3258" s="33">
        <v>46153</v>
      </c>
      <c r="U3258" s="34">
        <v>2026</v>
      </c>
      <c r="V3258" s="35" t="s">
        <v>2448</v>
      </c>
      <c r="W3258" s="35" t="s">
        <v>2655</v>
      </c>
      <c r="X3258" s="37" t="s">
        <v>2689</v>
      </c>
      <c r="Y3258" s="36" t="s">
        <v>2690</v>
      </c>
      <c r="Z3258" s="30" t="s">
        <v>1072</v>
      </c>
      <c r="AA3258" s="30" t="s">
        <v>3945</v>
      </c>
      <c r="AE3258" s="38">
        <v>3807.17</v>
      </c>
      <c r="AF3258" s="76">
        <f t="shared" si="313"/>
        <v>75666.909999999989</v>
      </c>
    </row>
    <row r="3259" spans="3:32" ht="8.25" customHeight="1" thickBot="1" x14ac:dyDescent="0.3">
      <c r="AA3259" s="75" t="s">
        <v>2139</v>
      </c>
      <c r="AD3259" s="253">
        <f>SUM(AD3240:AD3256)</f>
        <v>83723.47</v>
      </c>
      <c r="AE3259" s="253">
        <f>SUM(AE3240:AE3258)</f>
        <v>93002.02</v>
      </c>
      <c r="AF3259" s="233">
        <f>AF3239+AD3259-AE3259</f>
        <v>75666.909999999989</v>
      </c>
    </row>
    <row r="3260" spans="3:32" ht="8.25" customHeight="1" thickTop="1" x14ac:dyDescent="0.25"/>
    <row r="3261" spans="3:32" ht="8.25" customHeight="1" x14ac:dyDescent="0.25">
      <c r="X3261" s="109"/>
      <c r="Y3261" s="67" t="s">
        <v>214</v>
      </c>
      <c r="Z3261" s="68"/>
      <c r="AA3261" s="75"/>
    </row>
    <row r="3262" spans="3:32" ht="8.25" customHeight="1" x14ac:dyDescent="0.25">
      <c r="X3262" s="110" t="s">
        <v>2691</v>
      </c>
      <c r="Y3262" s="111">
        <v>200</v>
      </c>
      <c r="Z3262" s="111">
        <f t="shared" ref="Z3262:Z3267" si="314">X3262*Y3262</f>
        <v>39200</v>
      </c>
      <c r="AA3262" s="112"/>
    </row>
    <row r="3263" spans="3:32" ht="8.25" customHeight="1" x14ac:dyDescent="0.25">
      <c r="X3263" s="110" t="s">
        <v>2688</v>
      </c>
      <c r="Y3263" s="111">
        <v>100</v>
      </c>
      <c r="Z3263" s="111">
        <f t="shared" si="314"/>
        <v>34300</v>
      </c>
      <c r="AA3263" s="112"/>
    </row>
    <row r="3264" spans="3:32" ht="8.25" customHeight="1" x14ac:dyDescent="0.25">
      <c r="X3264" s="110" t="s">
        <v>222</v>
      </c>
      <c r="Y3264" s="111">
        <v>50</v>
      </c>
      <c r="Z3264" s="111">
        <f t="shared" si="314"/>
        <v>50</v>
      </c>
      <c r="AA3264" s="76"/>
    </row>
    <row r="3265" spans="14:32" ht="8.25" customHeight="1" x14ac:dyDescent="0.25">
      <c r="X3265" s="110" t="s">
        <v>299</v>
      </c>
      <c r="Y3265" s="111">
        <v>20</v>
      </c>
      <c r="Z3265" s="111">
        <f t="shared" si="314"/>
        <v>80</v>
      </c>
      <c r="AA3265" s="38"/>
    </row>
    <row r="3266" spans="14:32" ht="8.25" customHeight="1" x14ac:dyDescent="0.25">
      <c r="X3266" s="110" t="s">
        <v>299</v>
      </c>
      <c r="Y3266" s="111">
        <v>10</v>
      </c>
      <c r="Z3266" s="111">
        <f t="shared" si="314"/>
        <v>40</v>
      </c>
      <c r="AA3266" s="112"/>
    </row>
    <row r="3267" spans="14:32" ht="8.25" customHeight="1" x14ac:dyDescent="0.25">
      <c r="X3267" s="110" t="s">
        <v>2692</v>
      </c>
      <c r="Y3267" s="111">
        <v>5</v>
      </c>
      <c r="Z3267" s="111">
        <f t="shared" si="314"/>
        <v>1400</v>
      </c>
      <c r="AA3267" s="112"/>
    </row>
    <row r="3268" spans="14:32" ht="8.25" customHeight="1" x14ac:dyDescent="0.25">
      <c r="X3268" s="269"/>
      <c r="Y3268" s="270"/>
      <c r="Z3268" s="271"/>
      <c r="AA3268" s="38"/>
    </row>
    <row r="3269" spans="14:32" ht="8.25" customHeight="1" x14ac:dyDescent="0.25">
      <c r="X3269" s="110" t="s">
        <v>2732</v>
      </c>
      <c r="Y3269" s="111">
        <v>1</v>
      </c>
      <c r="Z3269" s="111">
        <f t="shared" ref="Z3269:Z3274" si="315">X3269*Y3269</f>
        <v>511</v>
      </c>
      <c r="AA3269" s="76"/>
    </row>
    <row r="3270" spans="14:32" ht="8.25" customHeight="1" x14ac:dyDescent="0.25">
      <c r="X3270" s="110" t="s">
        <v>1496</v>
      </c>
      <c r="Y3270" s="111">
        <v>0.5</v>
      </c>
      <c r="Z3270" s="111">
        <f t="shared" si="315"/>
        <v>40.5</v>
      </c>
      <c r="AA3270" s="112"/>
    </row>
    <row r="3271" spans="14:32" ht="8.25" customHeight="1" x14ac:dyDescent="0.25">
      <c r="X3271" s="110" t="s">
        <v>1733</v>
      </c>
      <c r="Y3271" s="111">
        <v>0.25</v>
      </c>
      <c r="Z3271" s="111">
        <f t="shared" si="315"/>
        <v>45.25</v>
      </c>
      <c r="AA3271" s="113"/>
    </row>
    <row r="3272" spans="14:32" ht="8.25" customHeight="1" x14ac:dyDescent="0.25">
      <c r="X3272" s="110" t="s">
        <v>222</v>
      </c>
      <c r="Y3272" s="111">
        <v>0.1</v>
      </c>
      <c r="Z3272" s="111">
        <f t="shared" si="315"/>
        <v>0.1</v>
      </c>
      <c r="AA3272" s="114" t="s">
        <v>219</v>
      </c>
    </row>
    <row r="3273" spans="14:32" ht="8.25" customHeight="1" thickBot="1" x14ac:dyDescent="0.3">
      <c r="X3273" s="110" t="s">
        <v>222</v>
      </c>
      <c r="Y3273" s="111">
        <v>0.05</v>
      </c>
      <c r="Z3273" s="111">
        <f t="shared" si="315"/>
        <v>0.05</v>
      </c>
      <c r="AA3273" s="115">
        <f>SUM(Z3262:Z3267)+Z3269+Z3270+Z3271+Z3272+Z3273+Z3274</f>
        <v>75666.91</v>
      </c>
    </row>
    <row r="3274" spans="14:32" ht="8.25" customHeight="1" thickTop="1" x14ac:dyDescent="0.25">
      <c r="X3274" s="110" t="s">
        <v>222</v>
      </c>
      <c r="Y3274" s="111">
        <v>0.01</v>
      </c>
      <c r="Z3274" s="111">
        <f t="shared" si="315"/>
        <v>0.01</v>
      </c>
    </row>
    <row r="3276" spans="14:32" ht="8.25" customHeight="1" x14ac:dyDescent="0.25">
      <c r="Z3276" s="231" t="s">
        <v>1376</v>
      </c>
      <c r="AF3276" s="76">
        <f>AF3259</f>
        <v>75666.909999999989</v>
      </c>
    </row>
    <row r="3277" spans="14:32" ht="8.25" customHeight="1" x14ac:dyDescent="0.25">
      <c r="N3277" s="52">
        <v>30</v>
      </c>
      <c r="T3277" s="33">
        <v>46154</v>
      </c>
      <c r="U3277" s="34">
        <v>2026</v>
      </c>
      <c r="V3277" s="35" t="s">
        <v>2448</v>
      </c>
      <c r="W3277" s="35" t="s">
        <v>17</v>
      </c>
      <c r="X3277" s="37" t="s">
        <v>2699</v>
      </c>
      <c r="Y3277" s="36" t="s">
        <v>450</v>
      </c>
      <c r="Z3277" s="30" t="s">
        <v>1615</v>
      </c>
      <c r="AA3277" s="30" t="s">
        <v>3899</v>
      </c>
      <c r="AD3277" s="38">
        <v>9656.24</v>
      </c>
      <c r="AF3277" s="76">
        <f>AF3276+AD3277-AE3277</f>
        <v>85323.15</v>
      </c>
    </row>
    <row r="3278" spans="14:32" ht="8.25" customHeight="1" x14ac:dyDescent="0.15">
      <c r="N3278" s="52">
        <v>30</v>
      </c>
      <c r="T3278" s="33">
        <v>46154</v>
      </c>
      <c r="U3278" s="34">
        <v>2026</v>
      </c>
      <c r="V3278" s="35" t="s">
        <v>2448</v>
      </c>
      <c r="W3278" s="35" t="s">
        <v>17</v>
      </c>
      <c r="X3278" s="37" t="s">
        <v>2699</v>
      </c>
      <c r="Y3278" s="36" t="s">
        <v>450</v>
      </c>
      <c r="Z3278" s="30" t="s">
        <v>1615</v>
      </c>
      <c r="AA3278" s="134" t="s">
        <v>166</v>
      </c>
      <c r="AD3278" s="38">
        <v>5343.76</v>
      </c>
      <c r="AF3278" s="76">
        <f>AF3277+AD3278-AE3278</f>
        <v>90666.909999999989</v>
      </c>
    </row>
    <row r="3279" spans="14:32" ht="8.25" customHeight="1" x14ac:dyDescent="0.25">
      <c r="N3279" s="52">
        <v>31</v>
      </c>
      <c r="T3279" s="33">
        <v>46154</v>
      </c>
      <c r="U3279" s="34">
        <v>2026</v>
      </c>
      <c r="V3279" s="35" t="s">
        <v>2448</v>
      </c>
      <c r="W3279" s="35" t="s">
        <v>17</v>
      </c>
      <c r="X3279" s="37" t="s">
        <v>2700</v>
      </c>
      <c r="Y3279" s="36" t="s">
        <v>1469</v>
      </c>
      <c r="Z3279" s="30" t="s">
        <v>2701</v>
      </c>
      <c r="AA3279" s="30" t="s">
        <v>3899</v>
      </c>
      <c r="AD3279" s="38">
        <v>4809.76</v>
      </c>
      <c r="AF3279" s="76">
        <f t="shared" ref="AF3279:AF3294" si="316">AF3278+AD3279-AE3279</f>
        <v>95476.669999999984</v>
      </c>
    </row>
    <row r="3280" spans="14:32" ht="8.25" customHeight="1" x14ac:dyDescent="0.15">
      <c r="N3280" s="52">
        <v>31</v>
      </c>
      <c r="T3280" s="33">
        <v>46154</v>
      </c>
      <c r="U3280" s="34">
        <v>2026</v>
      </c>
      <c r="V3280" s="35" t="s">
        <v>2448</v>
      </c>
      <c r="W3280" s="35" t="s">
        <v>17</v>
      </c>
      <c r="X3280" s="37" t="s">
        <v>2700</v>
      </c>
      <c r="Y3280" s="36" t="s">
        <v>1469</v>
      </c>
      <c r="Z3280" s="30" t="s">
        <v>2701</v>
      </c>
      <c r="AA3280" s="134" t="s">
        <v>166</v>
      </c>
      <c r="AD3280" s="38">
        <v>4290.24</v>
      </c>
      <c r="AF3280" s="76">
        <f t="shared" si="316"/>
        <v>99766.909999999989</v>
      </c>
    </row>
    <row r="3281" spans="3:32" ht="8.25" customHeight="1" x14ac:dyDescent="0.25">
      <c r="N3281" s="52">
        <v>32</v>
      </c>
      <c r="T3281" s="33">
        <v>46154</v>
      </c>
      <c r="U3281" s="34">
        <v>2026</v>
      </c>
      <c r="V3281" s="35" t="s">
        <v>2448</v>
      </c>
      <c r="W3281" s="35" t="s">
        <v>17</v>
      </c>
      <c r="X3281" s="37" t="s">
        <v>2702</v>
      </c>
      <c r="Y3281" s="36" t="s">
        <v>1008</v>
      </c>
      <c r="Z3281" s="30" t="s">
        <v>1534</v>
      </c>
      <c r="AA3281" s="30" t="s">
        <v>3899</v>
      </c>
      <c r="AD3281" s="38">
        <v>1380.98</v>
      </c>
      <c r="AF3281" s="76">
        <f t="shared" si="316"/>
        <v>101147.88999999998</v>
      </c>
    </row>
    <row r="3282" spans="3:32" ht="8.25" customHeight="1" x14ac:dyDescent="0.15">
      <c r="N3282" s="52">
        <v>32</v>
      </c>
      <c r="T3282" s="33">
        <v>46154</v>
      </c>
      <c r="U3282" s="34">
        <v>2026</v>
      </c>
      <c r="V3282" s="35" t="s">
        <v>2448</v>
      </c>
      <c r="W3282" s="35" t="s">
        <v>17</v>
      </c>
      <c r="X3282" s="37" t="s">
        <v>2702</v>
      </c>
      <c r="Y3282" s="36" t="s">
        <v>1008</v>
      </c>
      <c r="Z3282" s="30" t="s">
        <v>1534</v>
      </c>
      <c r="AA3282" s="134" t="s">
        <v>166</v>
      </c>
      <c r="AD3282" s="38">
        <v>1341.02</v>
      </c>
      <c r="AF3282" s="76">
        <f t="shared" si="316"/>
        <v>102488.90999999999</v>
      </c>
    </row>
    <row r="3283" spans="3:32" ht="8.25" customHeight="1" x14ac:dyDescent="0.25">
      <c r="N3283" s="52">
        <v>33</v>
      </c>
      <c r="T3283" s="33">
        <v>46154</v>
      </c>
      <c r="U3283" s="34">
        <v>2026</v>
      </c>
      <c r="V3283" s="35" t="s">
        <v>2448</v>
      </c>
      <c r="W3283" s="35" t="s">
        <v>17</v>
      </c>
      <c r="X3283" s="37" t="s">
        <v>2717</v>
      </c>
      <c r="Y3283" s="36" t="s">
        <v>2718</v>
      </c>
      <c r="Z3283" s="30" t="s">
        <v>2721</v>
      </c>
      <c r="AA3283" s="30" t="s">
        <v>3899</v>
      </c>
      <c r="AD3283" s="38">
        <v>4304.8900000000003</v>
      </c>
      <c r="AF3283" s="76">
        <f t="shared" si="316"/>
        <v>106793.79999999999</v>
      </c>
    </row>
    <row r="3284" spans="3:32" ht="8.25" customHeight="1" x14ac:dyDescent="0.15">
      <c r="N3284" s="52">
        <v>33</v>
      </c>
      <c r="T3284" s="33">
        <v>46154</v>
      </c>
      <c r="U3284" s="34">
        <v>2026</v>
      </c>
      <c r="V3284" s="35" t="s">
        <v>2448</v>
      </c>
      <c r="W3284" s="35" t="s">
        <v>17</v>
      </c>
      <c r="X3284" s="37" t="s">
        <v>2717</v>
      </c>
      <c r="Y3284" s="36" t="s">
        <v>2718</v>
      </c>
      <c r="Z3284" s="30" t="s">
        <v>2721</v>
      </c>
      <c r="AA3284" s="134" t="s">
        <v>166</v>
      </c>
      <c r="AD3284" s="38">
        <v>1226.95</v>
      </c>
      <c r="AF3284" s="76">
        <f t="shared" si="316"/>
        <v>108020.74999999999</v>
      </c>
    </row>
    <row r="3285" spans="3:32" ht="8.25" customHeight="1" x14ac:dyDescent="0.25">
      <c r="N3285" s="52">
        <v>33</v>
      </c>
      <c r="T3285" s="33">
        <v>46154</v>
      </c>
      <c r="U3285" s="34">
        <v>2026</v>
      </c>
      <c r="V3285" s="35" t="s">
        <v>2448</v>
      </c>
      <c r="W3285" s="35" t="s">
        <v>5</v>
      </c>
      <c r="X3285" s="37" t="s">
        <v>2717</v>
      </c>
      <c r="Y3285" s="36" t="s">
        <v>2718</v>
      </c>
      <c r="Z3285" s="30" t="s">
        <v>2721</v>
      </c>
      <c r="AA3285" s="30" t="s">
        <v>3304</v>
      </c>
      <c r="AD3285" s="38">
        <v>468.16</v>
      </c>
      <c r="AF3285" s="76">
        <f t="shared" si="316"/>
        <v>108488.90999999999</v>
      </c>
    </row>
    <row r="3286" spans="3:32" ht="8.25" customHeight="1" x14ac:dyDescent="0.25">
      <c r="T3286" s="33">
        <v>46154</v>
      </c>
      <c r="U3286" s="34">
        <v>2026</v>
      </c>
      <c r="V3286" s="35" t="s">
        <v>2716</v>
      </c>
      <c r="W3286" s="35" t="s">
        <v>17</v>
      </c>
      <c r="X3286" s="37" t="s">
        <v>2720</v>
      </c>
      <c r="Y3286" s="37" t="s">
        <v>411</v>
      </c>
      <c r="Z3286" s="30" t="s">
        <v>412</v>
      </c>
      <c r="AA3286" s="30" t="s">
        <v>2719</v>
      </c>
      <c r="AE3286" s="38">
        <v>6000</v>
      </c>
      <c r="AF3286" s="76">
        <f t="shared" si="316"/>
        <v>102488.90999999999</v>
      </c>
    </row>
    <row r="3287" spans="3:32" ht="8.25" customHeight="1" x14ac:dyDescent="0.25">
      <c r="C3287" s="52">
        <v>5</v>
      </c>
      <c r="T3287" s="33">
        <v>46154</v>
      </c>
      <c r="U3287" s="34">
        <v>2026</v>
      </c>
      <c r="V3287" s="35" t="s">
        <v>2448</v>
      </c>
      <c r="W3287" s="35" t="s">
        <v>3620</v>
      </c>
      <c r="X3287" s="37" t="s">
        <v>2705</v>
      </c>
      <c r="Y3287" s="36" t="s">
        <v>2706</v>
      </c>
      <c r="Z3287" s="30" t="s">
        <v>2707</v>
      </c>
      <c r="AA3287" s="30" t="s">
        <v>340</v>
      </c>
      <c r="AD3287" s="38">
        <v>12</v>
      </c>
      <c r="AF3287" s="76">
        <f t="shared" si="316"/>
        <v>102500.90999999999</v>
      </c>
    </row>
    <row r="3288" spans="3:32" ht="8.25" customHeight="1" x14ac:dyDescent="0.25">
      <c r="D3288" s="52">
        <v>5</v>
      </c>
      <c r="T3288" s="33">
        <v>46154</v>
      </c>
      <c r="U3288" s="34">
        <v>2026</v>
      </c>
      <c r="V3288" s="35" t="s">
        <v>2448</v>
      </c>
      <c r="W3288" s="35" t="s">
        <v>17</v>
      </c>
      <c r="X3288" s="37" t="s">
        <v>2708</v>
      </c>
      <c r="Y3288" s="36" t="s">
        <v>2380</v>
      </c>
      <c r="Z3288" s="30" t="s">
        <v>317</v>
      </c>
      <c r="AA3288" s="30" t="s">
        <v>256</v>
      </c>
      <c r="AD3288" s="38">
        <v>10700</v>
      </c>
      <c r="AF3288" s="76">
        <f t="shared" si="316"/>
        <v>113200.90999999999</v>
      </c>
    </row>
    <row r="3289" spans="3:32" ht="8.25" customHeight="1" x14ac:dyDescent="0.25">
      <c r="C3289" s="52">
        <v>6</v>
      </c>
      <c r="T3289" s="33">
        <v>46154</v>
      </c>
      <c r="U3289" s="34">
        <v>2026</v>
      </c>
      <c r="V3289" s="35" t="s">
        <v>2448</v>
      </c>
      <c r="W3289" s="35" t="s">
        <v>3620</v>
      </c>
      <c r="X3289" s="37" t="s">
        <v>2714</v>
      </c>
      <c r="Y3289" s="36" t="s">
        <v>2715</v>
      </c>
      <c r="Z3289" s="30" t="s">
        <v>1353</v>
      </c>
      <c r="AA3289" s="30" t="s">
        <v>340</v>
      </c>
      <c r="AD3289" s="38">
        <v>67</v>
      </c>
      <c r="AF3289" s="76">
        <f t="shared" si="316"/>
        <v>113267.90999999999</v>
      </c>
    </row>
    <row r="3290" spans="3:32" ht="8.25" customHeight="1" x14ac:dyDescent="0.25">
      <c r="R3290" s="53">
        <v>25</v>
      </c>
      <c r="T3290" s="33">
        <v>46154</v>
      </c>
      <c r="U3290" s="34">
        <v>2026</v>
      </c>
      <c r="V3290" s="35" t="s">
        <v>2448</v>
      </c>
      <c r="W3290" s="35" t="s">
        <v>5</v>
      </c>
      <c r="X3290" s="37" t="s">
        <v>2698</v>
      </c>
      <c r="Y3290" s="36" t="s">
        <v>691</v>
      </c>
      <c r="Z3290" s="30" t="s">
        <v>1527</v>
      </c>
      <c r="AA3290" s="30" t="s">
        <v>1050</v>
      </c>
      <c r="AE3290" s="38">
        <v>5000</v>
      </c>
      <c r="AF3290" s="76">
        <f t="shared" si="316"/>
        <v>108267.90999999999</v>
      </c>
    </row>
    <row r="3291" spans="3:32" ht="8.25" customHeight="1" x14ac:dyDescent="0.25">
      <c r="R3291" s="53">
        <v>26</v>
      </c>
      <c r="T3291" s="33">
        <v>46154</v>
      </c>
      <c r="U3291" s="34">
        <v>2026</v>
      </c>
      <c r="V3291" s="35" t="s">
        <v>2448</v>
      </c>
      <c r="W3291" s="35" t="s">
        <v>5</v>
      </c>
      <c r="X3291" s="37" t="s">
        <v>2703</v>
      </c>
      <c r="Y3291" s="36" t="s">
        <v>419</v>
      </c>
      <c r="Z3291" s="30" t="s">
        <v>1565</v>
      </c>
      <c r="AA3291" s="30" t="s">
        <v>1050</v>
      </c>
      <c r="AE3291" s="38">
        <v>700</v>
      </c>
      <c r="AF3291" s="76">
        <f t="shared" si="316"/>
        <v>107567.90999999999</v>
      </c>
    </row>
    <row r="3292" spans="3:32" ht="8.25" customHeight="1" x14ac:dyDescent="0.25">
      <c r="R3292" s="53">
        <v>27</v>
      </c>
      <c r="T3292" s="33">
        <v>46154</v>
      </c>
      <c r="U3292" s="34">
        <v>2026</v>
      </c>
      <c r="V3292" s="35" t="s">
        <v>2448</v>
      </c>
      <c r="W3292" s="35" t="s">
        <v>5</v>
      </c>
      <c r="X3292" s="37" t="s">
        <v>2704</v>
      </c>
      <c r="Y3292" s="36" t="s">
        <v>275</v>
      </c>
      <c r="Z3292" s="30" t="s">
        <v>317</v>
      </c>
      <c r="AA3292" s="30" t="s">
        <v>1050</v>
      </c>
      <c r="AE3292" s="38">
        <v>10700</v>
      </c>
      <c r="AF3292" s="76">
        <f t="shared" si="316"/>
        <v>96867.909999999989</v>
      </c>
    </row>
    <row r="3293" spans="3:32" ht="8.25" customHeight="1" x14ac:dyDescent="0.25">
      <c r="R3293" s="53">
        <v>28</v>
      </c>
      <c r="T3293" s="33">
        <v>46154</v>
      </c>
      <c r="U3293" s="34">
        <v>2026</v>
      </c>
      <c r="V3293" s="35" t="s">
        <v>2448</v>
      </c>
      <c r="W3293" s="35" t="s">
        <v>5</v>
      </c>
      <c r="X3293" s="37" t="s">
        <v>2712</v>
      </c>
      <c r="Y3293" s="36" t="s">
        <v>691</v>
      </c>
      <c r="Z3293" s="30" t="s">
        <v>1527</v>
      </c>
      <c r="AA3293" s="30" t="s">
        <v>1050</v>
      </c>
      <c r="AE3293" s="38">
        <v>13000</v>
      </c>
      <c r="AF3293" s="76">
        <f t="shared" si="316"/>
        <v>83867.909999999989</v>
      </c>
    </row>
    <row r="3294" spans="3:32" ht="8.25" customHeight="1" x14ac:dyDescent="0.25">
      <c r="G3294" s="53">
        <v>22</v>
      </c>
      <c r="T3294" s="33">
        <v>46154</v>
      </c>
      <c r="U3294" s="34">
        <v>2026</v>
      </c>
      <c r="V3294" s="35" t="s">
        <v>2448</v>
      </c>
      <c r="W3294" s="35" t="s">
        <v>5</v>
      </c>
      <c r="X3294" s="37" t="s">
        <v>2709</v>
      </c>
      <c r="Y3294" s="36" t="s">
        <v>2710</v>
      </c>
      <c r="Z3294" s="30" t="s">
        <v>2711</v>
      </c>
      <c r="AA3294" s="30" t="s">
        <v>3945</v>
      </c>
      <c r="AE3294" s="38">
        <v>7293.79</v>
      </c>
      <c r="AF3294" s="76">
        <f t="shared" si="316"/>
        <v>76574.12</v>
      </c>
    </row>
    <row r="3295" spans="3:32" ht="8.25" customHeight="1" thickBot="1" x14ac:dyDescent="0.3">
      <c r="AA3295" s="75" t="s">
        <v>2139</v>
      </c>
      <c r="AD3295" s="253">
        <f>SUM(AD3277:AD3294)</f>
        <v>43601</v>
      </c>
      <c r="AE3295" s="253">
        <f>SUM(AE3277:AE3294)</f>
        <v>42693.79</v>
      </c>
      <c r="AF3295" s="233">
        <f>AF3276+AD3295-AE3295</f>
        <v>76574.12</v>
      </c>
    </row>
    <row r="3296" spans="3:32" ht="8.25" customHeight="1" thickTop="1" x14ac:dyDescent="0.25">
      <c r="X3296" s="109"/>
      <c r="Y3296" s="67" t="s">
        <v>214</v>
      </c>
      <c r="Z3296" s="68"/>
      <c r="AA3296" s="75"/>
    </row>
    <row r="3297" spans="9:32" ht="8.25" customHeight="1" x14ac:dyDescent="0.25">
      <c r="X3297" s="110" t="s">
        <v>2691</v>
      </c>
      <c r="Y3297" s="111">
        <v>200</v>
      </c>
      <c r="Z3297" s="111">
        <f t="shared" ref="Z3297:Z3302" si="317">X3297*Y3297</f>
        <v>39200</v>
      </c>
      <c r="AA3297" s="112"/>
    </row>
    <row r="3298" spans="9:32" ht="8.25" customHeight="1" x14ac:dyDescent="0.25">
      <c r="X3298" s="110" t="s">
        <v>2713</v>
      </c>
      <c r="Y3298" s="111">
        <v>100</v>
      </c>
      <c r="Z3298" s="111">
        <f t="shared" si="317"/>
        <v>34900</v>
      </c>
      <c r="AA3298" s="112"/>
    </row>
    <row r="3299" spans="9:32" ht="8.25" customHeight="1" x14ac:dyDescent="0.25">
      <c r="X3299" s="110" t="s">
        <v>222</v>
      </c>
      <c r="Y3299" s="111">
        <v>50</v>
      </c>
      <c r="Z3299" s="111">
        <f t="shared" si="317"/>
        <v>50</v>
      </c>
      <c r="AA3299" s="76"/>
    </row>
    <row r="3300" spans="9:32" ht="8.25" customHeight="1" x14ac:dyDescent="0.25">
      <c r="X3300" s="110" t="s">
        <v>581</v>
      </c>
      <c r="Y3300" s="111">
        <v>20</v>
      </c>
      <c r="Z3300" s="111">
        <f t="shared" si="317"/>
        <v>200</v>
      </c>
      <c r="AA3300" s="38"/>
    </row>
    <row r="3301" spans="9:32" ht="8.25" customHeight="1" x14ac:dyDescent="0.25">
      <c r="X3301" s="110" t="s">
        <v>1151</v>
      </c>
      <c r="Y3301" s="111">
        <v>10</v>
      </c>
      <c r="Z3301" s="111">
        <f t="shared" si="317"/>
        <v>240</v>
      </c>
      <c r="AA3301" s="112"/>
    </row>
    <row r="3302" spans="9:32" ht="8.25" customHeight="1" x14ac:dyDescent="0.25">
      <c r="X3302" s="110" t="s">
        <v>2692</v>
      </c>
      <c r="Y3302" s="111">
        <v>5</v>
      </c>
      <c r="Z3302" s="111">
        <f t="shared" si="317"/>
        <v>1400</v>
      </c>
      <c r="AA3302" s="112"/>
    </row>
    <row r="3303" spans="9:32" ht="8.25" customHeight="1" x14ac:dyDescent="0.25">
      <c r="X3303" s="269"/>
      <c r="Y3303" s="270"/>
      <c r="Z3303" s="271"/>
      <c r="AA3303" s="38"/>
    </row>
    <row r="3304" spans="9:32" ht="8.25" customHeight="1" x14ac:dyDescent="0.25">
      <c r="X3304" s="110" t="s">
        <v>2733</v>
      </c>
      <c r="Y3304" s="111">
        <v>1</v>
      </c>
      <c r="Z3304" s="111">
        <f t="shared" ref="Z3304:Z3309" si="318">X3304*Y3304</f>
        <v>499</v>
      </c>
      <c r="AA3304" s="76"/>
    </row>
    <row r="3305" spans="9:32" ht="8.25" customHeight="1" x14ac:dyDescent="0.25">
      <c r="X3305" s="110" t="s">
        <v>259</v>
      </c>
      <c r="Y3305" s="111">
        <v>0.5</v>
      </c>
      <c r="Z3305" s="111">
        <f t="shared" si="318"/>
        <v>40</v>
      </c>
      <c r="AA3305" s="112"/>
    </row>
    <row r="3306" spans="9:32" ht="8.25" customHeight="1" x14ac:dyDescent="0.25">
      <c r="X3306" s="110" t="s">
        <v>1878</v>
      </c>
      <c r="Y3306" s="111">
        <v>0.25</v>
      </c>
      <c r="Z3306" s="111">
        <f t="shared" si="318"/>
        <v>45</v>
      </c>
      <c r="AA3306" s="113"/>
    </row>
    <row r="3307" spans="9:32" ht="8.25" customHeight="1" x14ac:dyDescent="0.25">
      <c r="X3307" s="110" t="s">
        <v>222</v>
      </c>
      <c r="Y3307" s="111">
        <v>0.1</v>
      </c>
      <c r="Z3307" s="111">
        <f t="shared" si="318"/>
        <v>0.1</v>
      </c>
      <c r="AA3307" s="114" t="s">
        <v>219</v>
      </c>
    </row>
    <row r="3308" spans="9:32" ht="8.25" customHeight="1" thickBot="1" x14ac:dyDescent="0.3">
      <c r="X3308" s="110"/>
      <c r="Y3308" s="111">
        <v>0.05</v>
      </c>
      <c r="Z3308" s="111">
        <f t="shared" si="318"/>
        <v>0</v>
      </c>
      <c r="AA3308" s="115">
        <f>SUM(Z3297:Z3302)+Z3304+Z3305+Z3306+Z3307+Z3308+Z3309</f>
        <v>76574.12000000001</v>
      </c>
    </row>
    <row r="3309" spans="9:32" ht="8.25" customHeight="1" thickTop="1" x14ac:dyDescent="0.25">
      <c r="X3309" s="110" t="s">
        <v>224</v>
      </c>
      <c r="Y3309" s="111">
        <v>0.01</v>
      </c>
      <c r="Z3309" s="111">
        <f t="shared" si="318"/>
        <v>0.02</v>
      </c>
    </row>
    <row r="3311" spans="9:32" ht="8.25" customHeight="1" x14ac:dyDescent="0.25">
      <c r="Z3311" s="231" t="s">
        <v>1376</v>
      </c>
      <c r="AF3311" s="76">
        <f>AF3295</f>
        <v>76574.12</v>
      </c>
    </row>
    <row r="3312" spans="9:32" ht="8.25" customHeight="1" x14ac:dyDescent="0.25">
      <c r="I3312" s="52">
        <v>26</v>
      </c>
      <c r="T3312" s="33">
        <v>46155</v>
      </c>
      <c r="U3312" s="34">
        <v>2026</v>
      </c>
      <c r="V3312" s="35" t="s">
        <v>2448</v>
      </c>
      <c r="W3312" s="35" t="s">
        <v>17</v>
      </c>
      <c r="X3312" s="37" t="s">
        <v>2734</v>
      </c>
      <c r="Y3312" s="36" t="s">
        <v>467</v>
      </c>
      <c r="Z3312" s="30" t="s">
        <v>2735</v>
      </c>
      <c r="AA3312" s="30" t="s">
        <v>1044</v>
      </c>
      <c r="AD3312" s="38">
        <v>315</v>
      </c>
      <c r="AF3312" s="76">
        <f>AF3311+AD3312-AE3312</f>
        <v>76889.119999999995</v>
      </c>
    </row>
    <row r="3313" spans="9:33" ht="8.25" customHeight="1" x14ac:dyDescent="0.25">
      <c r="N3313" s="52">
        <v>34</v>
      </c>
      <c r="T3313" s="33">
        <v>46155</v>
      </c>
      <c r="U3313" s="34">
        <v>2026</v>
      </c>
      <c r="V3313" s="35" t="s">
        <v>2448</v>
      </c>
      <c r="W3313" s="35" t="s">
        <v>17</v>
      </c>
      <c r="X3313" s="37" t="s">
        <v>2736</v>
      </c>
      <c r="Y3313" s="37" t="s">
        <v>942</v>
      </c>
      <c r="Z3313" s="36" t="s">
        <v>1540</v>
      </c>
      <c r="AA3313" s="30" t="s">
        <v>3899</v>
      </c>
      <c r="AC3313" s="30"/>
      <c r="AD3313" s="26">
        <v>7202.27</v>
      </c>
      <c r="AF3313" s="76">
        <f t="shared" ref="AF3313:AF3343" si="319">AF3312+AD3313-AE3313</f>
        <v>84091.39</v>
      </c>
      <c r="AG3313" s="76"/>
    </row>
    <row r="3314" spans="9:33" ht="8.25" customHeight="1" x14ac:dyDescent="0.15">
      <c r="N3314" s="52">
        <v>34</v>
      </c>
      <c r="T3314" s="33">
        <v>46155</v>
      </c>
      <c r="U3314" s="34">
        <v>2026</v>
      </c>
      <c r="V3314" s="35" t="s">
        <v>2448</v>
      </c>
      <c r="W3314" s="35" t="s">
        <v>17</v>
      </c>
      <c r="X3314" s="37" t="s">
        <v>2736</v>
      </c>
      <c r="Y3314" s="36" t="s">
        <v>942</v>
      </c>
      <c r="Z3314" s="36" t="s">
        <v>1540</v>
      </c>
      <c r="AA3314" s="134" t="s">
        <v>166</v>
      </c>
      <c r="AD3314" s="38">
        <v>6297.73</v>
      </c>
      <c r="AF3314" s="76">
        <f t="shared" si="319"/>
        <v>90389.119999999995</v>
      </c>
    </row>
    <row r="3315" spans="9:33" ht="8.25" customHeight="1" x14ac:dyDescent="0.25">
      <c r="N3315" s="52">
        <v>35</v>
      </c>
      <c r="T3315" s="33">
        <v>46155</v>
      </c>
      <c r="U3315" s="34">
        <v>2026</v>
      </c>
      <c r="V3315" s="35" t="s">
        <v>2448</v>
      </c>
      <c r="W3315" s="35" t="s">
        <v>17</v>
      </c>
      <c r="X3315" s="37" t="s">
        <v>2737</v>
      </c>
      <c r="Y3315" s="36" t="s">
        <v>442</v>
      </c>
      <c r="Z3315" s="30" t="s">
        <v>1463</v>
      </c>
      <c r="AA3315" s="30" t="s">
        <v>3899</v>
      </c>
      <c r="AD3315" s="38">
        <v>6071.23</v>
      </c>
      <c r="AF3315" s="76">
        <f t="shared" si="319"/>
        <v>96460.349999999991</v>
      </c>
    </row>
    <row r="3316" spans="9:33" ht="8.25" customHeight="1" x14ac:dyDescent="0.15">
      <c r="N3316" s="52">
        <v>35</v>
      </c>
      <c r="T3316" s="33">
        <v>46155</v>
      </c>
      <c r="U3316" s="34">
        <v>2026</v>
      </c>
      <c r="V3316" s="35" t="s">
        <v>2448</v>
      </c>
      <c r="W3316" s="35" t="s">
        <v>17</v>
      </c>
      <c r="X3316" s="37" t="s">
        <v>2737</v>
      </c>
      <c r="Y3316" s="36" t="s">
        <v>442</v>
      </c>
      <c r="Z3316" s="30" t="s">
        <v>1463</v>
      </c>
      <c r="AA3316" s="134" t="s">
        <v>166</v>
      </c>
      <c r="AD3316" s="38">
        <v>3928.77</v>
      </c>
      <c r="AF3316" s="76">
        <f t="shared" si="319"/>
        <v>100389.12</v>
      </c>
    </row>
    <row r="3317" spans="9:33" ht="8.25" customHeight="1" x14ac:dyDescent="0.25">
      <c r="N3317" s="52">
        <v>36</v>
      </c>
      <c r="T3317" s="33">
        <v>46155</v>
      </c>
      <c r="U3317" s="34">
        <v>2026</v>
      </c>
      <c r="V3317" s="35" t="s">
        <v>2448</v>
      </c>
      <c r="W3317" s="35" t="s">
        <v>17</v>
      </c>
      <c r="X3317" s="37" t="s">
        <v>2738</v>
      </c>
      <c r="Y3317" s="36" t="s">
        <v>2164</v>
      </c>
      <c r="Z3317" s="30" t="s">
        <v>2165</v>
      </c>
      <c r="AA3317" s="30" t="s">
        <v>3899</v>
      </c>
      <c r="AD3317" s="38">
        <v>19019.46</v>
      </c>
      <c r="AF3317" s="76">
        <f t="shared" si="319"/>
        <v>119408.57999999999</v>
      </c>
    </row>
    <row r="3318" spans="9:33" ht="8.25" customHeight="1" x14ac:dyDescent="0.15">
      <c r="N3318" s="52">
        <v>36</v>
      </c>
      <c r="T3318" s="33">
        <v>46155</v>
      </c>
      <c r="U3318" s="34">
        <v>2026</v>
      </c>
      <c r="V3318" s="35" t="s">
        <v>2448</v>
      </c>
      <c r="W3318" s="35" t="s">
        <v>17</v>
      </c>
      <c r="X3318" s="37" t="s">
        <v>2738</v>
      </c>
      <c r="Y3318" s="36" t="s">
        <v>2164</v>
      </c>
      <c r="Z3318" s="30" t="s">
        <v>2165</v>
      </c>
      <c r="AA3318" s="134" t="s">
        <v>166</v>
      </c>
      <c r="AD3318" s="38">
        <v>10980.54</v>
      </c>
      <c r="AF3318" s="76">
        <f t="shared" si="319"/>
        <v>130389.12</v>
      </c>
    </row>
    <row r="3319" spans="9:33" ht="8.25" customHeight="1" x14ac:dyDescent="0.25">
      <c r="N3319" s="52">
        <v>37</v>
      </c>
      <c r="T3319" s="33">
        <v>46155</v>
      </c>
      <c r="U3319" s="34">
        <v>2026</v>
      </c>
      <c r="V3319" s="35" t="s">
        <v>2448</v>
      </c>
      <c r="W3319" s="35" t="s">
        <v>17</v>
      </c>
      <c r="X3319" s="37" t="s">
        <v>2739</v>
      </c>
      <c r="Y3319" s="36" t="s">
        <v>436</v>
      </c>
      <c r="Z3319" s="30" t="s">
        <v>1542</v>
      </c>
      <c r="AA3319" s="30" t="s">
        <v>3899</v>
      </c>
      <c r="AD3319" s="38">
        <v>7193.01</v>
      </c>
      <c r="AF3319" s="76">
        <f t="shared" si="319"/>
        <v>137582.13</v>
      </c>
    </row>
    <row r="3320" spans="9:33" ht="8.25" customHeight="1" x14ac:dyDescent="0.15">
      <c r="N3320" s="52">
        <v>37</v>
      </c>
      <c r="T3320" s="33">
        <v>46155</v>
      </c>
      <c r="U3320" s="34">
        <v>2026</v>
      </c>
      <c r="V3320" s="35" t="s">
        <v>2448</v>
      </c>
      <c r="W3320" s="35" t="s">
        <v>17</v>
      </c>
      <c r="X3320" s="37" t="s">
        <v>2739</v>
      </c>
      <c r="Y3320" s="36" t="s">
        <v>436</v>
      </c>
      <c r="Z3320" s="30" t="s">
        <v>1542</v>
      </c>
      <c r="AA3320" s="134" t="s">
        <v>166</v>
      </c>
      <c r="AD3320" s="38">
        <v>6006.99</v>
      </c>
      <c r="AF3320" s="76">
        <f t="shared" si="319"/>
        <v>143589.12</v>
      </c>
    </row>
    <row r="3321" spans="9:33" ht="8.25" customHeight="1" x14ac:dyDescent="0.25">
      <c r="N3321" s="52">
        <v>38</v>
      </c>
      <c r="T3321" s="33">
        <v>46155</v>
      </c>
      <c r="U3321" s="34">
        <v>2026</v>
      </c>
      <c r="V3321" s="35" t="s">
        <v>2448</v>
      </c>
      <c r="W3321" s="35" t="s">
        <v>17</v>
      </c>
      <c r="X3321" s="37" t="s">
        <v>2740</v>
      </c>
      <c r="Y3321" s="36" t="s">
        <v>439</v>
      </c>
      <c r="Z3321" s="30" t="s">
        <v>1465</v>
      </c>
      <c r="AA3321" s="30" t="s">
        <v>3899</v>
      </c>
      <c r="AD3321" s="38">
        <v>5807.69</v>
      </c>
      <c r="AF3321" s="76">
        <f t="shared" si="319"/>
        <v>149396.81</v>
      </c>
    </row>
    <row r="3322" spans="9:33" ht="8.25" customHeight="1" x14ac:dyDescent="0.15">
      <c r="N3322" s="52">
        <v>38</v>
      </c>
      <c r="T3322" s="33">
        <v>46155</v>
      </c>
      <c r="U3322" s="34">
        <v>2026</v>
      </c>
      <c r="V3322" s="35" t="s">
        <v>2448</v>
      </c>
      <c r="W3322" s="35" t="s">
        <v>17</v>
      </c>
      <c r="X3322" s="37" t="s">
        <v>2740</v>
      </c>
      <c r="Y3322" s="36" t="s">
        <v>439</v>
      </c>
      <c r="Z3322" s="30" t="s">
        <v>1465</v>
      </c>
      <c r="AA3322" s="134" t="s">
        <v>166</v>
      </c>
      <c r="AD3322" s="38">
        <v>4192.3100000000004</v>
      </c>
      <c r="AF3322" s="76">
        <f t="shared" si="319"/>
        <v>153589.12</v>
      </c>
    </row>
    <row r="3323" spans="9:33" ht="8.25" customHeight="1" x14ac:dyDescent="0.25">
      <c r="N3323" s="52">
        <v>39</v>
      </c>
      <c r="T3323" s="33">
        <v>46155</v>
      </c>
      <c r="U3323" s="34">
        <v>2026</v>
      </c>
      <c r="V3323" s="35" t="s">
        <v>2448</v>
      </c>
      <c r="W3323" s="35" t="s">
        <v>17</v>
      </c>
      <c r="X3323" s="37" t="s">
        <v>2741</v>
      </c>
      <c r="Y3323" s="36" t="s">
        <v>407</v>
      </c>
      <c r="Z3323" s="30" t="s">
        <v>2742</v>
      </c>
      <c r="AA3323" s="30" t="s">
        <v>3899</v>
      </c>
      <c r="AD3323" s="38">
        <v>6750.99</v>
      </c>
      <c r="AF3323" s="76">
        <f t="shared" si="319"/>
        <v>160340.10999999999</v>
      </c>
    </row>
    <row r="3324" spans="9:33" ht="8.25" customHeight="1" x14ac:dyDescent="0.15">
      <c r="N3324" s="52">
        <v>39</v>
      </c>
      <c r="T3324" s="33">
        <v>46155</v>
      </c>
      <c r="U3324" s="34">
        <v>2026</v>
      </c>
      <c r="V3324" s="35" t="s">
        <v>2448</v>
      </c>
      <c r="W3324" s="35" t="s">
        <v>17</v>
      </c>
      <c r="X3324" s="37" t="s">
        <v>2741</v>
      </c>
      <c r="Y3324" s="36" t="s">
        <v>407</v>
      </c>
      <c r="Z3324" s="30" t="s">
        <v>2742</v>
      </c>
      <c r="AA3324" s="134" t="s">
        <v>166</v>
      </c>
      <c r="AD3324" s="38">
        <v>3249.01</v>
      </c>
      <c r="AF3324" s="76">
        <f t="shared" si="319"/>
        <v>163589.12</v>
      </c>
    </row>
    <row r="3325" spans="9:33" ht="8.25" customHeight="1" x14ac:dyDescent="0.25">
      <c r="N3325" s="52">
        <v>40</v>
      </c>
      <c r="T3325" s="33">
        <v>46155</v>
      </c>
      <c r="U3325" s="34">
        <v>2026</v>
      </c>
      <c r="V3325" s="35" t="s">
        <v>2448</v>
      </c>
      <c r="W3325" s="35" t="s">
        <v>17</v>
      </c>
      <c r="X3325" s="37" t="s">
        <v>2743</v>
      </c>
      <c r="Y3325" s="36" t="s">
        <v>414</v>
      </c>
      <c r="Z3325" s="30" t="s">
        <v>2150</v>
      </c>
      <c r="AA3325" s="30" t="s">
        <v>3899</v>
      </c>
      <c r="AD3325" s="38">
        <v>7249.34</v>
      </c>
      <c r="AF3325" s="76">
        <f t="shared" si="319"/>
        <v>170838.46</v>
      </c>
    </row>
    <row r="3326" spans="9:33" ht="8.25" customHeight="1" x14ac:dyDescent="0.15">
      <c r="N3326" s="52">
        <v>40</v>
      </c>
      <c r="T3326" s="33">
        <v>46155</v>
      </c>
      <c r="U3326" s="34">
        <v>2026</v>
      </c>
      <c r="V3326" s="35" t="s">
        <v>2448</v>
      </c>
      <c r="W3326" s="35" t="s">
        <v>17</v>
      </c>
      <c r="X3326" s="37" t="s">
        <v>2743</v>
      </c>
      <c r="Y3326" s="36" t="s">
        <v>414</v>
      </c>
      <c r="Z3326" s="30" t="s">
        <v>2150</v>
      </c>
      <c r="AA3326" s="134" t="s">
        <v>166</v>
      </c>
      <c r="AD3326" s="38">
        <v>4150.66</v>
      </c>
      <c r="AF3326" s="76">
        <f t="shared" si="319"/>
        <v>174989.12</v>
      </c>
    </row>
    <row r="3327" spans="9:33" ht="8.25" customHeight="1" x14ac:dyDescent="0.25">
      <c r="I3327" s="52">
        <v>27</v>
      </c>
      <c r="T3327" s="33">
        <v>46155</v>
      </c>
      <c r="U3327" s="34">
        <v>2026</v>
      </c>
      <c r="V3327" s="35" t="s">
        <v>2448</v>
      </c>
      <c r="W3327" s="35" t="s">
        <v>17</v>
      </c>
      <c r="X3327" s="37" t="s">
        <v>2744</v>
      </c>
      <c r="Y3327" s="36" t="s">
        <v>2745</v>
      </c>
      <c r="Z3327" s="30" t="s">
        <v>2746</v>
      </c>
      <c r="AA3327" s="30" t="s">
        <v>1044</v>
      </c>
      <c r="AD3327" s="38">
        <v>100</v>
      </c>
      <c r="AF3327" s="76">
        <f t="shared" si="319"/>
        <v>175089.12</v>
      </c>
    </row>
    <row r="3328" spans="9:33" ht="8.25" customHeight="1" x14ac:dyDescent="0.25">
      <c r="I3328" s="52">
        <v>28</v>
      </c>
      <c r="T3328" s="33">
        <v>46155</v>
      </c>
      <c r="U3328" s="34">
        <v>2026</v>
      </c>
      <c r="V3328" s="35" t="s">
        <v>2448</v>
      </c>
      <c r="W3328" s="35" t="s">
        <v>17</v>
      </c>
      <c r="X3328" s="37" t="s">
        <v>2757</v>
      </c>
      <c r="Y3328" s="36" t="s">
        <v>2598</v>
      </c>
      <c r="Z3328" s="30" t="s">
        <v>2589</v>
      </c>
      <c r="AA3328" s="30" t="s">
        <v>1044</v>
      </c>
      <c r="AD3328" s="38">
        <v>13562.41</v>
      </c>
      <c r="AF3328" s="76">
        <f t="shared" si="319"/>
        <v>188651.53</v>
      </c>
    </row>
    <row r="3329" spans="7:32" ht="8.25" customHeight="1" x14ac:dyDescent="0.25">
      <c r="M3329" s="52">
        <v>7</v>
      </c>
      <c r="T3329" s="33">
        <v>46155</v>
      </c>
      <c r="U3329" s="34">
        <v>2026</v>
      </c>
      <c r="V3329" s="35" t="s">
        <v>2448</v>
      </c>
      <c r="W3329" s="35" t="s">
        <v>17</v>
      </c>
      <c r="X3329" s="37" t="s">
        <v>2749</v>
      </c>
      <c r="Y3329" s="36" t="s">
        <v>120</v>
      </c>
      <c r="Z3329" s="30" t="s">
        <v>2589</v>
      </c>
      <c r="AA3329" s="30" t="s">
        <v>385</v>
      </c>
      <c r="AD3329" s="38">
        <v>2712.48</v>
      </c>
      <c r="AF3329" s="76">
        <f t="shared" si="319"/>
        <v>191364.01</v>
      </c>
    </row>
    <row r="3330" spans="7:32" ht="8.25" customHeight="1" x14ac:dyDescent="0.25">
      <c r="N3330" s="52">
        <v>41</v>
      </c>
      <c r="T3330" s="33">
        <v>46155</v>
      </c>
      <c r="U3330" s="34">
        <v>2026</v>
      </c>
      <c r="V3330" s="35" t="s">
        <v>2448</v>
      </c>
      <c r="W3330" s="35" t="s">
        <v>17</v>
      </c>
      <c r="X3330" s="37" t="s">
        <v>2752</v>
      </c>
      <c r="Y3330" s="36" t="s">
        <v>2588</v>
      </c>
      <c r="Z3330" s="30" t="s">
        <v>2589</v>
      </c>
      <c r="AA3330" s="30" t="s">
        <v>3708</v>
      </c>
      <c r="AD3330" s="38">
        <v>11048.93</v>
      </c>
      <c r="AF3330" s="76">
        <f t="shared" si="319"/>
        <v>202412.94</v>
      </c>
    </row>
    <row r="3331" spans="7:32" ht="8.25" customHeight="1" x14ac:dyDescent="0.15">
      <c r="N3331" s="52">
        <v>41</v>
      </c>
      <c r="T3331" s="33">
        <v>46155</v>
      </c>
      <c r="U3331" s="34">
        <v>2026</v>
      </c>
      <c r="V3331" s="35" t="s">
        <v>2448</v>
      </c>
      <c r="W3331" s="35" t="s">
        <v>17</v>
      </c>
      <c r="X3331" s="37" t="s">
        <v>2752</v>
      </c>
      <c r="Y3331" s="36" t="s">
        <v>2750</v>
      </c>
      <c r="Z3331" s="30" t="s">
        <v>2589</v>
      </c>
      <c r="AA3331" s="134" t="s">
        <v>183</v>
      </c>
      <c r="AD3331" s="38">
        <v>43.59</v>
      </c>
      <c r="AF3331" s="76">
        <f t="shared" si="319"/>
        <v>202456.53</v>
      </c>
    </row>
    <row r="3332" spans="7:32" ht="8.25" customHeight="1" x14ac:dyDescent="0.25">
      <c r="N3332" s="52">
        <v>41</v>
      </c>
      <c r="T3332" s="33">
        <v>46155</v>
      </c>
      <c r="U3332" s="34">
        <v>2026</v>
      </c>
      <c r="V3332" s="35" t="s">
        <v>2448</v>
      </c>
      <c r="W3332" s="35" t="s">
        <v>17</v>
      </c>
      <c r="X3332" s="37" t="s">
        <v>2752</v>
      </c>
      <c r="Y3332" s="36" t="s">
        <v>2751</v>
      </c>
      <c r="Z3332" s="30" t="s">
        <v>2589</v>
      </c>
      <c r="AA3332" s="30" t="s">
        <v>3306</v>
      </c>
      <c r="AD3332" s="38">
        <v>30</v>
      </c>
      <c r="AF3332" s="76">
        <f t="shared" si="319"/>
        <v>202486.53</v>
      </c>
    </row>
    <row r="3333" spans="7:32" ht="8.25" customHeight="1" x14ac:dyDescent="0.15">
      <c r="T3333" s="33">
        <v>46155</v>
      </c>
      <c r="U3333" s="34">
        <v>2026</v>
      </c>
      <c r="V3333" s="35" t="s">
        <v>2448</v>
      </c>
      <c r="W3333" s="35" t="s">
        <v>17</v>
      </c>
      <c r="X3333" s="37" t="s">
        <v>2753</v>
      </c>
      <c r="Z3333" s="30" t="s">
        <v>1293</v>
      </c>
      <c r="AA3333" s="134"/>
      <c r="AF3333" s="76">
        <f t="shared" si="319"/>
        <v>202486.53</v>
      </c>
    </row>
    <row r="3334" spans="7:32" ht="8.25" customHeight="1" x14ac:dyDescent="0.25">
      <c r="N3334" s="52">
        <v>42</v>
      </c>
      <c r="T3334" s="33">
        <v>46155</v>
      </c>
      <c r="U3334" s="34">
        <v>2026</v>
      </c>
      <c r="V3334" s="35" t="s">
        <v>2448</v>
      </c>
      <c r="W3334" s="35" t="s">
        <v>17</v>
      </c>
      <c r="X3334" s="37" t="s">
        <v>2754</v>
      </c>
      <c r="Y3334" s="36" t="s">
        <v>2596</v>
      </c>
      <c r="Z3334" s="30" t="s">
        <v>1401</v>
      </c>
      <c r="AA3334" s="30" t="s">
        <v>3708</v>
      </c>
      <c r="AD3334" s="38">
        <v>10959.84</v>
      </c>
      <c r="AF3334" s="76">
        <f t="shared" si="319"/>
        <v>213446.37</v>
      </c>
    </row>
    <row r="3335" spans="7:32" ht="8.25" customHeight="1" x14ac:dyDescent="0.15">
      <c r="N3335" s="52">
        <v>42</v>
      </c>
      <c r="T3335" s="33">
        <v>46155</v>
      </c>
      <c r="U3335" s="34">
        <v>2026</v>
      </c>
      <c r="V3335" s="35" t="s">
        <v>2448</v>
      </c>
      <c r="W3335" s="35" t="s">
        <v>17</v>
      </c>
      <c r="X3335" s="37" t="s">
        <v>2754</v>
      </c>
      <c r="Y3335" s="36" t="s">
        <v>2596</v>
      </c>
      <c r="Z3335" s="30" t="s">
        <v>1401</v>
      </c>
      <c r="AA3335" s="134" t="s">
        <v>183</v>
      </c>
      <c r="AD3335" s="38">
        <v>43.24</v>
      </c>
      <c r="AF3335" s="76">
        <f t="shared" si="319"/>
        <v>213489.61</v>
      </c>
    </row>
    <row r="3336" spans="7:32" ht="8.25" customHeight="1" x14ac:dyDescent="0.25">
      <c r="N3336" s="52">
        <v>42</v>
      </c>
      <c r="T3336" s="33">
        <v>46155</v>
      </c>
      <c r="U3336" s="34">
        <v>2026</v>
      </c>
      <c r="V3336" s="35" t="s">
        <v>2448</v>
      </c>
      <c r="W3336" s="35" t="s">
        <v>17</v>
      </c>
      <c r="X3336" s="37" t="s">
        <v>2754</v>
      </c>
      <c r="Y3336" s="36" t="s">
        <v>2596</v>
      </c>
      <c r="Z3336" s="30" t="s">
        <v>1401</v>
      </c>
      <c r="AA3336" s="30" t="s">
        <v>3306</v>
      </c>
      <c r="AD3336" s="38">
        <v>30</v>
      </c>
      <c r="AF3336" s="76">
        <f t="shared" si="319"/>
        <v>213519.61</v>
      </c>
    </row>
    <row r="3337" spans="7:32" ht="8.25" customHeight="1" x14ac:dyDescent="0.25">
      <c r="N3337" s="52">
        <v>43</v>
      </c>
      <c r="T3337" s="33">
        <v>46155</v>
      </c>
      <c r="U3337" s="34">
        <v>2026</v>
      </c>
      <c r="V3337" s="35" t="s">
        <v>2448</v>
      </c>
      <c r="W3337" s="35" t="s">
        <v>17</v>
      </c>
      <c r="X3337" s="37" t="s">
        <v>2758</v>
      </c>
      <c r="Y3337" s="36" t="s">
        <v>2593</v>
      </c>
      <c r="Z3337" s="30" t="s">
        <v>1489</v>
      </c>
      <c r="AA3337" s="30" t="s">
        <v>3708</v>
      </c>
      <c r="AD3337" s="38">
        <v>10898.07</v>
      </c>
      <c r="AF3337" s="76">
        <f t="shared" si="319"/>
        <v>224417.68</v>
      </c>
    </row>
    <row r="3338" spans="7:32" ht="8.25" customHeight="1" x14ac:dyDescent="0.15">
      <c r="N3338" s="52">
        <v>43</v>
      </c>
      <c r="T3338" s="33">
        <v>46155</v>
      </c>
      <c r="U3338" s="34">
        <v>2026</v>
      </c>
      <c r="V3338" s="35" t="s">
        <v>2448</v>
      </c>
      <c r="W3338" s="35" t="s">
        <v>17</v>
      </c>
      <c r="X3338" s="37" t="s">
        <v>2758</v>
      </c>
      <c r="Y3338" s="36" t="s">
        <v>2593</v>
      </c>
      <c r="Z3338" s="30" t="s">
        <v>1489</v>
      </c>
      <c r="AA3338" s="134" t="s">
        <v>183</v>
      </c>
      <c r="AD3338" s="38">
        <v>43</v>
      </c>
      <c r="AF3338" s="76">
        <f t="shared" si="319"/>
        <v>224460.68</v>
      </c>
    </row>
    <row r="3339" spans="7:32" ht="8.25" customHeight="1" x14ac:dyDescent="0.25">
      <c r="N3339" s="52">
        <v>43</v>
      </c>
      <c r="T3339" s="33">
        <v>46155</v>
      </c>
      <c r="U3339" s="34">
        <v>2026</v>
      </c>
      <c r="V3339" s="35" t="s">
        <v>2448</v>
      </c>
      <c r="W3339" s="35" t="s">
        <v>17</v>
      </c>
      <c r="X3339" s="37" t="s">
        <v>2758</v>
      </c>
      <c r="Y3339" s="36" t="s">
        <v>2593</v>
      </c>
      <c r="Z3339" s="30" t="s">
        <v>1489</v>
      </c>
      <c r="AA3339" s="30" t="s">
        <v>3306</v>
      </c>
      <c r="AD3339" s="38">
        <v>30</v>
      </c>
      <c r="AF3339" s="76">
        <f t="shared" si="319"/>
        <v>224490.68</v>
      </c>
    </row>
    <row r="3340" spans="7:32" ht="8.25" customHeight="1" x14ac:dyDescent="0.25">
      <c r="N3340" s="52">
        <v>44</v>
      </c>
      <c r="T3340" s="33">
        <v>46155</v>
      </c>
      <c r="U3340" s="34">
        <v>2026</v>
      </c>
      <c r="V3340" s="35" t="s">
        <v>2448</v>
      </c>
      <c r="W3340" s="35" t="s">
        <v>17</v>
      </c>
      <c r="X3340" s="37" t="s">
        <v>2759</v>
      </c>
      <c r="Y3340" s="36" t="s">
        <v>2591</v>
      </c>
      <c r="Z3340" s="30" t="s">
        <v>1273</v>
      </c>
      <c r="AA3340" s="30" t="s">
        <v>3708</v>
      </c>
      <c r="AD3340" s="38">
        <v>11048.93</v>
      </c>
      <c r="AF3340" s="76">
        <f t="shared" si="319"/>
        <v>235539.61</v>
      </c>
    </row>
    <row r="3341" spans="7:32" ht="8.25" customHeight="1" x14ac:dyDescent="0.15">
      <c r="N3341" s="52">
        <v>44</v>
      </c>
      <c r="T3341" s="33">
        <v>46155</v>
      </c>
      <c r="U3341" s="34">
        <v>2026</v>
      </c>
      <c r="V3341" s="35" t="s">
        <v>2448</v>
      </c>
      <c r="W3341" s="35" t="s">
        <v>17</v>
      </c>
      <c r="X3341" s="37" t="s">
        <v>2759</v>
      </c>
      <c r="Y3341" s="36" t="s">
        <v>2591</v>
      </c>
      <c r="Z3341" s="30" t="s">
        <v>1273</v>
      </c>
      <c r="AA3341" s="134" t="s">
        <v>183</v>
      </c>
      <c r="AD3341" s="38">
        <v>43.59</v>
      </c>
      <c r="AF3341" s="76">
        <f t="shared" si="319"/>
        <v>235583.19999999998</v>
      </c>
    </row>
    <row r="3342" spans="7:32" ht="8.25" customHeight="1" x14ac:dyDescent="0.25">
      <c r="N3342" s="52">
        <v>44</v>
      </c>
      <c r="T3342" s="33">
        <v>46155</v>
      </c>
      <c r="U3342" s="34">
        <v>2026</v>
      </c>
      <c r="V3342" s="35" t="s">
        <v>2448</v>
      </c>
      <c r="W3342" s="35" t="s">
        <v>17</v>
      </c>
      <c r="X3342" s="37" t="s">
        <v>2759</v>
      </c>
      <c r="Y3342" s="36" t="s">
        <v>2591</v>
      </c>
      <c r="Z3342" s="30" t="s">
        <v>1273</v>
      </c>
      <c r="AA3342" s="30" t="s">
        <v>3306</v>
      </c>
      <c r="AD3342" s="38">
        <v>30</v>
      </c>
      <c r="AF3342" s="76">
        <f t="shared" si="319"/>
        <v>235613.19999999998</v>
      </c>
    </row>
    <row r="3343" spans="7:32" ht="8.25" customHeight="1" x14ac:dyDescent="0.25">
      <c r="G3343" s="53">
        <v>23</v>
      </c>
      <c r="T3343" s="33">
        <v>46155</v>
      </c>
      <c r="U3343" s="34">
        <v>2026</v>
      </c>
      <c r="V3343" s="35" t="s">
        <v>2448</v>
      </c>
      <c r="W3343" s="35" t="s">
        <v>2655</v>
      </c>
      <c r="X3343" s="37" t="s">
        <v>2755</v>
      </c>
      <c r="Y3343" s="36" t="s">
        <v>2756</v>
      </c>
      <c r="Z3343" s="30" t="s">
        <v>1514</v>
      </c>
      <c r="AA3343" s="30" t="s">
        <v>3945</v>
      </c>
      <c r="AE3343" s="38">
        <v>1534</v>
      </c>
      <c r="AF3343" s="76">
        <f t="shared" si="319"/>
        <v>234079.19999999998</v>
      </c>
    </row>
    <row r="3344" spans="7:32" ht="8.25" customHeight="1" x14ac:dyDescent="0.25">
      <c r="Q3344" s="52">
        <v>6</v>
      </c>
      <c r="T3344" s="33">
        <v>46155</v>
      </c>
      <c r="U3344" s="34">
        <v>2026</v>
      </c>
      <c r="V3344" s="35" t="s">
        <v>2448</v>
      </c>
      <c r="W3344" s="35" t="s">
        <v>5</v>
      </c>
      <c r="X3344" s="37" t="s">
        <v>2747</v>
      </c>
      <c r="Y3344" s="36" t="s">
        <v>2748</v>
      </c>
      <c r="Z3344" s="30" t="s">
        <v>1270</v>
      </c>
      <c r="AA3344" s="30" t="s">
        <v>1509</v>
      </c>
      <c r="AE3344" s="38">
        <v>135624.07999999999</v>
      </c>
      <c r="AF3344" s="76">
        <f>AF3343+AD3344-AE3344</f>
        <v>98455.12</v>
      </c>
    </row>
    <row r="3345" spans="24:32" ht="8.25" customHeight="1" thickBot="1" x14ac:dyDescent="0.3">
      <c r="AA3345" s="75" t="s">
        <v>2139</v>
      </c>
      <c r="AD3345" s="253">
        <f>SUM(AD3312:AD3343)</f>
        <v>159039.07999999999</v>
      </c>
      <c r="AE3345" s="253">
        <f>SUM(AE3312:AE3344)</f>
        <v>137158.07999999999</v>
      </c>
      <c r="AF3345" s="233">
        <f>AF3311+AD3345-AE3345</f>
        <v>98455.12</v>
      </c>
    </row>
    <row r="3346" spans="24:32" ht="8.25" customHeight="1" thickTop="1" x14ac:dyDescent="0.25">
      <c r="X3346" s="109"/>
      <c r="Y3346" s="67" t="s">
        <v>214</v>
      </c>
      <c r="Z3346" s="68"/>
      <c r="AA3346" s="75"/>
    </row>
    <row r="3347" spans="24:32" ht="8.25" customHeight="1" x14ac:dyDescent="0.25">
      <c r="X3347" s="110" t="s">
        <v>2691</v>
      </c>
      <c r="Y3347" s="111">
        <v>200</v>
      </c>
      <c r="Z3347" s="111">
        <f t="shared" ref="Z3347:Z3352" si="320">X3347*Y3347</f>
        <v>39200</v>
      </c>
      <c r="AA3347" s="112"/>
    </row>
    <row r="3348" spans="24:32" ht="8.25" customHeight="1" x14ac:dyDescent="0.25">
      <c r="X3348" s="110" t="s">
        <v>2727</v>
      </c>
      <c r="Y3348" s="111">
        <v>100</v>
      </c>
      <c r="Z3348" s="111">
        <f t="shared" si="320"/>
        <v>56900</v>
      </c>
      <c r="AA3348" s="112"/>
    </row>
    <row r="3349" spans="24:32" ht="8.25" customHeight="1" x14ac:dyDescent="0.25">
      <c r="X3349" s="110"/>
      <c r="Y3349" s="111">
        <v>50</v>
      </c>
      <c r="Z3349" s="111">
        <f t="shared" si="320"/>
        <v>0</v>
      </c>
      <c r="AA3349" s="76"/>
    </row>
    <row r="3350" spans="24:32" ht="8.25" customHeight="1" x14ac:dyDescent="0.25">
      <c r="X3350" s="110" t="s">
        <v>221</v>
      </c>
      <c r="Y3350" s="111">
        <v>20</v>
      </c>
      <c r="Z3350" s="111">
        <f t="shared" si="320"/>
        <v>140</v>
      </c>
      <c r="AA3350" s="38"/>
    </row>
    <row r="3351" spans="24:32" ht="8.25" customHeight="1" x14ac:dyDescent="0.25">
      <c r="X3351" s="110" t="s">
        <v>963</v>
      </c>
      <c r="Y3351" s="111">
        <v>10</v>
      </c>
      <c r="Z3351" s="111">
        <f t="shared" si="320"/>
        <v>230</v>
      </c>
      <c r="AA3351" s="112"/>
    </row>
    <row r="3352" spans="24:32" ht="8.25" customHeight="1" x14ac:dyDescent="0.25">
      <c r="X3352" s="110" t="s">
        <v>2692</v>
      </c>
      <c r="Y3352" s="111">
        <v>5</v>
      </c>
      <c r="Z3352" s="111">
        <f t="shared" si="320"/>
        <v>1400</v>
      </c>
      <c r="AA3352" s="112"/>
    </row>
    <row r="3353" spans="24:32" ht="8.25" customHeight="1" x14ac:dyDescent="0.25">
      <c r="X3353" s="269"/>
      <c r="Y3353" s="270"/>
      <c r="Z3353" s="271"/>
      <c r="AA3353" s="38"/>
    </row>
    <row r="3354" spans="24:32" ht="8.25" customHeight="1" x14ac:dyDescent="0.25">
      <c r="X3354" s="110" t="s">
        <v>2760</v>
      </c>
      <c r="Y3354" s="111">
        <v>1</v>
      </c>
      <c r="Z3354" s="111">
        <f t="shared" ref="Z3354:Z3359" si="321">X3354*Y3354</f>
        <v>500</v>
      </c>
      <c r="AA3354" s="76"/>
    </row>
    <row r="3355" spans="24:32" ht="8.25" customHeight="1" x14ac:dyDescent="0.25">
      <c r="X3355" s="110" t="s">
        <v>259</v>
      </c>
      <c r="Y3355" s="111">
        <v>0.5</v>
      </c>
      <c r="Z3355" s="111">
        <f t="shared" si="321"/>
        <v>40</v>
      </c>
      <c r="AA3355" s="112"/>
    </row>
    <row r="3356" spans="24:32" ht="8.25" customHeight="1" x14ac:dyDescent="0.25">
      <c r="X3356" s="110" t="s">
        <v>1878</v>
      </c>
      <c r="Y3356" s="111">
        <v>0.25</v>
      </c>
      <c r="Z3356" s="111">
        <f t="shared" si="321"/>
        <v>45</v>
      </c>
      <c r="AA3356" s="113"/>
    </row>
    <row r="3357" spans="24:32" ht="8.25" customHeight="1" x14ac:dyDescent="0.25">
      <c r="X3357" s="110" t="s">
        <v>222</v>
      </c>
      <c r="Y3357" s="111">
        <v>0.1</v>
      </c>
      <c r="Z3357" s="111">
        <f t="shared" si="321"/>
        <v>0.1</v>
      </c>
      <c r="AA3357" s="114" t="s">
        <v>219</v>
      </c>
    </row>
    <row r="3358" spans="24:32" ht="8.25" customHeight="1" thickBot="1" x14ac:dyDescent="0.3">
      <c r="X3358" s="110"/>
      <c r="Y3358" s="111">
        <v>0.05</v>
      </c>
      <c r="Z3358" s="111">
        <f t="shared" si="321"/>
        <v>0</v>
      </c>
      <c r="AA3358" s="115">
        <f>SUM(Z3347:Z3352)+Z3354+Z3355+Z3356+Z3357+Z3358+Z3359</f>
        <v>98455.12000000001</v>
      </c>
    </row>
    <row r="3359" spans="24:32" ht="8.25" customHeight="1" thickTop="1" x14ac:dyDescent="0.25">
      <c r="X3359" s="110" t="s">
        <v>224</v>
      </c>
      <c r="Y3359" s="111">
        <v>0.01</v>
      </c>
      <c r="Z3359" s="111">
        <f t="shared" si="321"/>
        <v>0.02</v>
      </c>
    </row>
    <row r="3361" spans="9:32" ht="8.25" customHeight="1" x14ac:dyDescent="0.25">
      <c r="Z3361" s="231" t="s">
        <v>1376</v>
      </c>
      <c r="AF3361" s="76">
        <f>AF3345</f>
        <v>98455.12</v>
      </c>
    </row>
    <row r="3362" spans="9:32" ht="8.25" customHeight="1" x14ac:dyDescent="0.25">
      <c r="N3362" s="52">
        <v>45</v>
      </c>
      <c r="T3362" s="33">
        <v>46156</v>
      </c>
      <c r="U3362" s="34">
        <v>2026</v>
      </c>
      <c r="V3362" s="35" t="s">
        <v>2448</v>
      </c>
      <c r="W3362" s="35" t="s">
        <v>17</v>
      </c>
      <c r="X3362" s="37" t="s">
        <v>2761</v>
      </c>
      <c r="Y3362" s="36" t="s">
        <v>1552</v>
      </c>
      <c r="Z3362" s="30" t="s">
        <v>1553</v>
      </c>
      <c r="AA3362" s="30" t="s">
        <v>3899</v>
      </c>
      <c r="AD3362" s="38">
        <v>4735.21</v>
      </c>
      <c r="AF3362" s="76">
        <f>AF3361+AD3362-AE3362</f>
        <v>103190.33</v>
      </c>
    </row>
    <row r="3363" spans="9:32" ht="8.25" customHeight="1" x14ac:dyDescent="0.15">
      <c r="N3363" s="52">
        <v>45</v>
      </c>
      <c r="T3363" s="33">
        <v>46156</v>
      </c>
      <c r="U3363" s="34">
        <v>2026</v>
      </c>
      <c r="V3363" s="35" t="s">
        <v>2448</v>
      </c>
      <c r="W3363" s="35" t="s">
        <v>17</v>
      </c>
      <c r="X3363" s="37" t="s">
        <v>2761</v>
      </c>
      <c r="Y3363" s="36" t="s">
        <v>1552</v>
      </c>
      <c r="Z3363" s="30" t="s">
        <v>1553</v>
      </c>
      <c r="AA3363" s="134" t="s">
        <v>166</v>
      </c>
      <c r="AD3363" s="38">
        <v>6537.79</v>
      </c>
      <c r="AF3363" s="76">
        <f t="shared" ref="AF3363:AF3382" si="322">AF3362+AD3363-AE3363</f>
        <v>109728.12</v>
      </c>
    </row>
    <row r="3364" spans="9:32" ht="8.25" customHeight="1" x14ac:dyDescent="0.15">
      <c r="K3364" s="52">
        <v>6</v>
      </c>
      <c r="T3364" s="33">
        <v>46156</v>
      </c>
      <c r="U3364" s="34">
        <v>2026</v>
      </c>
      <c r="V3364" s="35" t="s">
        <v>2448</v>
      </c>
      <c r="W3364" s="35" t="s">
        <v>17</v>
      </c>
      <c r="X3364" s="37" t="s">
        <v>2762</v>
      </c>
      <c r="Y3364" s="36" t="s">
        <v>2763</v>
      </c>
      <c r="Z3364" s="30" t="s">
        <v>2764</v>
      </c>
      <c r="AA3364" s="136" t="s">
        <v>1788</v>
      </c>
      <c r="AD3364" s="38">
        <v>100</v>
      </c>
      <c r="AF3364" s="76">
        <f t="shared" si="322"/>
        <v>109828.12</v>
      </c>
    </row>
    <row r="3365" spans="9:32" ht="8.25" customHeight="1" x14ac:dyDescent="0.25">
      <c r="L3365" s="52">
        <v>6</v>
      </c>
      <c r="T3365" s="33">
        <v>46156</v>
      </c>
      <c r="U3365" s="34">
        <v>2026</v>
      </c>
      <c r="V3365" s="35" t="s">
        <v>2448</v>
      </c>
      <c r="W3365" s="35" t="s">
        <v>17</v>
      </c>
      <c r="X3365" s="37" t="s">
        <v>2767</v>
      </c>
      <c r="Y3365" s="36" t="s">
        <v>120</v>
      </c>
      <c r="Z3365" s="30" t="s">
        <v>2764</v>
      </c>
      <c r="AA3365" s="30" t="s">
        <v>373</v>
      </c>
      <c r="AD3365" s="38">
        <v>50</v>
      </c>
      <c r="AF3365" s="76">
        <f t="shared" si="322"/>
        <v>109878.12</v>
      </c>
    </row>
    <row r="3366" spans="9:32" ht="8.25" customHeight="1" x14ac:dyDescent="0.25">
      <c r="I3366" s="52">
        <v>29</v>
      </c>
      <c r="T3366" s="33">
        <v>46156</v>
      </c>
      <c r="U3366" s="34">
        <v>2026</v>
      </c>
      <c r="V3366" s="35" t="s">
        <v>2448</v>
      </c>
      <c r="W3366" s="35" t="s">
        <v>17</v>
      </c>
      <c r="X3366" s="37" t="s">
        <v>2766</v>
      </c>
      <c r="Y3366" s="36" t="s">
        <v>2765</v>
      </c>
      <c r="Z3366" s="30" t="s">
        <v>2764</v>
      </c>
      <c r="AA3366" s="30" t="s">
        <v>1044</v>
      </c>
      <c r="AD3366" s="38">
        <v>50</v>
      </c>
      <c r="AF3366" s="76">
        <f t="shared" si="322"/>
        <v>109928.12</v>
      </c>
    </row>
    <row r="3367" spans="9:32" ht="8.25" customHeight="1" x14ac:dyDescent="0.15">
      <c r="K3367" s="52">
        <v>7</v>
      </c>
      <c r="T3367" s="33">
        <v>46156</v>
      </c>
      <c r="U3367" s="34">
        <v>2026</v>
      </c>
      <c r="V3367" s="35" t="s">
        <v>2448</v>
      </c>
      <c r="W3367" s="35" t="s">
        <v>17</v>
      </c>
      <c r="X3367" s="37" t="s">
        <v>2768</v>
      </c>
      <c r="Y3367" s="36" t="s">
        <v>2770</v>
      </c>
      <c r="Z3367" s="30" t="s">
        <v>2771</v>
      </c>
      <c r="AA3367" s="136" t="s">
        <v>1788</v>
      </c>
      <c r="AD3367" s="38">
        <v>100</v>
      </c>
      <c r="AF3367" s="76">
        <f t="shared" si="322"/>
        <v>110028.12</v>
      </c>
    </row>
    <row r="3368" spans="9:32" ht="8.25" customHeight="1" x14ac:dyDescent="0.25">
      <c r="L3368" s="52">
        <v>7</v>
      </c>
      <c r="T3368" s="33">
        <v>46156</v>
      </c>
      <c r="U3368" s="34">
        <v>2026</v>
      </c>
      <c r="V3368" s="35" t="s">
        <v>2448</v>
      </c>
      <c r="W3368" s="35" t="s">
        <v>17</v>
      </c>
      <c r="X3368" s="37" t="s">
        <v>2769</v>
      </c>
      <c r="Y3368" s="36" t="s">
        <v>120</v>
      </c>
      <c r="Z3368" s="30" t="s">
        <v>2771</v>
      </c>
      <c r="AA3368" s="30" t="s">
        <v>373</v>
      </c>
      <c r="AD3368" s="38">
        <v>50</v>
      </c>
      <c r="AF3368" s="76">
        <f t="shared" si="322"/>
        <v>110078.12</v>
      </c>
    </row>
    <row r="3369" spans="9:32" ht="8.25" customHeight="1" x14ac:dyDescent="0.25">
      <c r="I3369" s="52">
        <v>30</v>
      </c>
      <c r="T3369" s="33">
        <v>46156</v>
      </c>
      <c r="U3369" s="34">
        <v>2026</v>
      </c>
      <c r="V3369" s="35" t="s">
        <v>2448</v>
      </c>
      <c r="W3369" s="35" t="s">
        <v>17</v>
      </c>
      <c r="X3369" s="37" t="s">
        <v>2772</v>
      </c>
      <c r="Y3369" s="36" t="s">
        <v>2773</v>
      </c>
      <c r="Z3369" s="30" t="s">
        <v>2771</v>
      </c>
      <c r="AA3369" s="30" t="s">
        <v>1044</v>
      </c>
      <c r="AD3369" s="38">
        <v>1000</v>
      </c>
      <c r="AF3369" s="76">
        <f t="shared" si="322"/>
        <v>111078.12</v>
      </c>
    </row>
    <row r="3370" spans="9:32" ht="8.25" customHeight="1" x14ac:dyDescent="0.25">
      <c r="N3370" s="52">
        <v>46</v>
      </c>
      <c r="T3370" s="33">
        <v>46156</v>
      </c>
      <c r="U3370" s="34">
        <v>2026</v>
      </c>
      <c r="V3370" s="35" t="s">
        <v>2448</v>
      </c>
      <c r="W3370" s="35" t="s">
        <v>17</v>
      </c>
      <c r="X3370" s="37" t="s">
        <v>2776</v>
      </c>
      <c r="Y3370" s="36" t="s">
        <v>2777</v>
      </c>
      <c r="Z3370" s="30" t="s">
        <v>2778</v>
      </c>
      <c r="AA3370" s="30" t="s">
        <v>3899</v>
      </c>
      <c r="AD3370" s="38">
        <v>1736.12</v>
      </c>
      <c r="AF3370" s="76">
        <f t="shared" si="322"/>
        <v>112814.23999999999</v>
      </c>
    </row>
    <row r="3371" spans="9:32" ht="8.25" customHeight="1" x14ac:dyDescent="0.15">
      <c r="N3371" s="52">
        <v>46</v>
      </c>
      <c r="T3371" s="33">
        <v>46156</v>
      </c>
      <c r="U3371" s="34">
        <v>2026</v>
      </c>
      <c r="V3371" s="35" t="s">
        <v>2448</v>
      </c>
      <c r="W3371" s="35" t="s">
        <v>17</v>
      </c>
      <c r="X3371" s="37" t="s">
        <v>2776</v>
      </c>
      <c r="Y3371" s="36" t="s">
        <v>2777</v>
      </c>
      <c r="Z3371" s="30" t="s">
        <v>2778</v>
      </c>
      <c r="AA3371" s="134" t="s">
        <v>166</v>
      </c>
      <c r="AD3371" s="38">
        <v>1232.8800000000001</v>
      </c>
      <c r="AF3371" s="76">
        <f t="shared" si="322"/>
        <v>114047.12</v>
      </c>
    </row>
    <row r="3372" spans="9:32" ht="8.25" customHeight="1" x14ac:dyDescent="0.25">
      <c r="N3372" s="52">
        <v>47</v>
      </c>
      <c r="T3372" s="33">
        <v>46156</v>
      </c>
      <c r="U3372" s="34">
        <v>2026</v>
      </c>
      <c r="V3372" s="35" t="s">
        <v>2448</v>
      </c>
      <c r="W3372" s="35" t="s">
        <v>17</v>
      </c>
      <c r="X3372" s="37" t="s">
        <v>2780</v>
      </c>
      <c r="Y3372" s="36" t="s">
        <v>331</v>
      </c>
      <c r="Z3372" s="30" t="s">
        <v>332</v>
      </c>
      <c r="AA3372" s="30" t="s">
        <v>3899</v>
      </c>
      <c r="AD3372" s="38">
        <v>125369.39</v>
      </c>
      <c r="AF3372" s="76">
        <f t="shared" si="322"/>
        <v>239416.51</v>
      </c>
    </row>
    <row r="3373" spans="9:32" ht="8.25" customHeight="1" x14ac:dyDescent="0.15">
      <c r="N3373" s="52">
        <v>47</v>
      </c>
      <c r="T3373" s="33">
        <v>46156</v>
      </c>
      <c r="U3373" s="34">
        <v>2026</v>
      </c>
      <c r="V3373" s="35" t="s">
        <v>2448</v>
      </c>
      <c r="W3373" s="35" t="s">
        <v>17</v>
      </c>
      <c r="X3373" s="37" t="s">
        <v>2780</v>
      </c>
      <c r="Y3373" s="36" t="s">
        <v>331</v>
      </c>
      <c r="Z3373" s="30" t="s">
        <v>332</v>
      </c>
      <c r="AA3373" s="134" t="s">
        <v>166</v>
      </c>
      <c r="AD3373" s="38">
        <v>494.61</v>
      </c>
      <c r="AF3373" s="76">
        <f t="shared" si="322"/>
        <v>239911.12</v>
      </c>
    </row>
    <row r="3374" spans="9:32" ht="8.25" customHeight="1" x14ac:dyDescent="0.25">
      <c r="I3374" s="52">
        <v>31</v>
      </c>
      <c r="T3374" s="33">
        <v>46156</v>
      </c>
      <c r="U3374" s="34">
        <v>2026</v>
      </c>
      <c r="V3374" s="35" t="s">
        <v>2448</v>
      </c>
      <c r="W3374" s="35" t="s">
        <v>17</v>
      </c>
      <c r="X3374" s="37" t="s">
        <v>2781</v>
      </c>
      <c r="Y3374" s="36" t="s">
        <v>2782</v>
      </c>
      <c r="Z3374" s="30" t="s">
        <v>332</v>
      </c>
      <c r="AA3374" s="30" t="s">
        <v>1044</v>
      </c>
      <c r="AD3374" s="38">
        <v>25666.36</v>
      </c>
      <c r="AF3374" s="76">
        <f t="shared" si="322"/>
        <v>265577.48</v>
      </c>
    </row>
    <row r="3375" spans="9:32" ht="8.25" customHeight="1" x14ac:dyDescent="0.25">
      <c r="M3375" s="52">
        <v>8</v>
      </c>
      <c r="T3375" s="33">
        <v>46156</v>
      </c>
      <c r="U3375" s="34">
        <v>2026</v>
      </c>
      <c r="V3375" s="35" t="s">
        <v>2448</v>
      </c>
      <c r="W3375" s="35" t="s">
        <v>17</v>
      </c>
      <c r="X3375" s="37" t="s">
        <v>2783</v>
      </c>
      <c r="Y3375" s="36" t="s">
        <v>120</v>
      </c>
      <c r="Z3375" s="30" t="s">
        <v>332</v>
      </c>
      <c r="AA3375" s="30" t="s">
        <v>385</v>
      </c>
      <c r="AD3375" s="38">
        <v>5133.28</v>
      </c>
      <c r="AF3375" s="76">
        <f t="shared" si="322"/>
        <v>270710.76</v>
      </c>
    </row>
    <row r="3376" spans="9:32" ht="8.25" customHeight="1" x14ac:dyDescent="0.25">
      <c r="T3376" s="33">
        <v>46156</v>
      </c>
      <c r="U3376" s="34">
        <v>2026</v>
      </c>
      <c r="V3376" s="35" t="s">
        <v>2448</v>
      </c>
      <c r="W3376" s="35" t="s">
        <v>5</v>
      </c>
      <c r="X3376" s="37" t="s">
        <v>2784</v>
      </c>
      <c r="Y3376" s="37" t="s">
        <v>411</v>
      </c>
      <c r="Z3376" s="30" t="s">
        <v>412</v>
      </c>
      <c r="AA3376" s="30" t="s">
        <v>2719</v>
      </c>
      <c r="AE3376" s="38">
        <v>125864</v>
      </c>
      <c r="AF3376" s="76">
        <f t="shared" si="322"/>
        <v>144846.76</v>
      </c>
    </row>
    <row r="3377" spans="9:32" ht="8.25" customHeight="1" x14ac:dyDescent="0.25">
      <c r="T3377" s="33">
        <v>46156</v>
      </c>
      <c r="U3377" s="34">
        <v>2026</v>
      </c>
      <c r="V3377" s="35" t="s">
        <v>2448</v>
      </c>
      <c r="W3377" s="35" t="s">
        <v>5</v>
      </c>
      <c r="X3377" s="37" t="s">
        <v>2785</v>
      </c>
      <c r="Y3377" s="37" t="s">
        <v>411</v>
      </c>
      <c r="Z3377" s="30" t="s">
        <v>412</v>
      </c>
      <c r="AA3377" s="30" t="s">
        <v>2719</v>
      </c>
      <c r="AE3377" s="38">
        <v>30799.64</v>
      </c>
      <c r="AF3377" s="76">
        <f t="shared" si="322"/>
        <v>114047.12000000001</v>
      </c>
    </row>
    <row r="3378" spans="9:32" ht="8.25" customHeight="1" x14ac:dyDescent="0.25">
      <c r="I3378" s="52">
        <v>32</v>
      </c>
      <c r="T3378" s="33">
        <v>46156</v>
      </c>
      <c r="U3378" s="34">
        <v>2026</v>
      </c>
      <c r="V3378" s="35" t="s">
        <v>2448</v>
      </c>
      <c r="W3378" s="35" t="s">
        <v>17</v>
      </c>
      <c r="X3378" s="37" t="s">
        <v>2786</v>
      </c>
      <c r="Y3378" s="36" t="s">
        <v>2787</v>
      </c>
      <c r="Z3378" s="30" t="s">
        <v>2788</v>
      </c>
      <c r="AA3378" s="30" t="s">
        <v>1044</v>
      </c>
      <c r="AD3378" s="38">
        <v>28409.09</v>
      </c>
      <c r="AF3378" s="76">
        <f t="shared" si="322"/>
        <v>142456.21000000002</v>
      </c>
    </row>
    <row r="3379" spans="9:32" ht="8.25" customHeight="1" x14ac:dyDescent="0.25">
      <c r="M3379" s="52">
        <v>9</v>
      </c>
      <c r="T3379" s="33">
        <v>46156</v>
      </c>
      <c r="U3379" s="34">
        <v>2026</v>
      </c>
      <c r="V3379" s="35" t="s">
        <v>2448</v>
      </c>
      <c r="W3379" s="35" t="s">
        <v>17</v>
      </c>
      <c r="X3379" s="37" t="s">
        <v>2789</v>
      </c>
      <c r="Y3379" s="36" t="s">
        <v>120</v>
      </c>
      <c r="Z3379" s="30" t="s">
        <v>2788</v>
      </c>
      <c r="AA3379" s="30" t="s">
        <v>385</v>
      </c>
      <c r="AD3379" s="38">
        <v>5681.82</v>
      </c>
      <c r="AF3379" s="76">
        <f t="shared" si="322"/>
        <v>148138.03000000003</v>
      </c>
    </row>
    <row r="3380" spans="9:32" ht="8.25" customHeight="1" x14ac:dyDescent="0.25">
      <c r="T3380" s="33">
        <v>46156</v>
      </c>
      <c r="U3380" s="34">
        <v>2026</v>
      </c>
      <c r="V3380" s="35" t="s">
        <v>2448</v>
      </c>
      <c r="W3380" s="35" t="s">
        <v>17</v>
      </c>
      <c r="X3380" s="37" t="s">
        <v>2790</v>
      </c>
      <c r="Y3380" s="37" t="s">
        <v>411</v>
      </c>
      <c r="Z3380" s="30" t="s">
        <v>412</v>
      </c>
      <c r="AA3380" s="30" t="s">
        <v>2719</v>
      </c>
      <c r="AE3380" s="38">
        <v>34090.910000000003</v>
      </c>
      <c r="AF3380" s="76">
        <f t="shared" si="322"/>
        <v>114047.12000000002</v>
      </c>
    </row>
    <row r="3381" spans="9:32" ht="8.25" customHeight="1" x14ac:dyDescent="0.25">
      <c r="T3381" s="33">
        <v>46156</v>
      </c>
      <c r="U3381" s="34">
        <v>2026</v>
      </c>
      <c r="V3381" s="35" t="s">
        <v>2448</v>
      </c>
      <c r="W3381" s="35" t="s">
        <v>5</v>
      </c>
      <c r="X3381" s="37" t="s">
        <v>2779</v>
      </c>
      <c r="Y3381" s="36" t="s">
        <v>411</v>
      </c>
      <c r="Z3381" s="30" t="s">
        <v>412</v>
      </c>
      <c r="AA3381" s="30" t="s">
        <v>1882</v>
      </c>
      <c r="AE3381" s="38">
        <v>50000</v>
      </c>
      <c r="AF3381" s="76">
        <f t="shared" si="322"/>
        <v>64047.120000000024</v>
      </c>
    </row>
    <row r="3382" spans="9:32" ht="8.25" customHeight="1" x14ac:dyDescent="0.25">
      <c r="R3382" s="53">
        <v>29</v>
      </c>
      <c r="T3382" s="33">
        <v>46156</v>
      </c>
      <c r="U3382" s="34">
        <v>2026</v>
      </c>
      <c r="V3382" s="35" t="s">
        <v>2448</v>
      </c>
      <c r="W3382" s="35" t="s">
        <v>5</v>
      </c>
      <c r="X3382" s="37" t="s">
        <v>2774</v>
      </c>
      <c r="Y3382" s="36" t="s">
        <v>2010</v>
      </c>
      <c r="Z3382" s="30" t="s">
        <v>1936</v>
      </c>
      <c r="AA3382" s="30" t="s">
        <v>1050</v>
      </c>
      <c r="AE3382" s="38">
        <v>35</v>
      </c>
      <c r="AF3382" s="76">
        <f t="shared" si="322"/>
        <v>64012.120000000024</v>
      </c>
    </row>
    <row r="3383" spans="9:32" ht="8.25" customHeight="1" thickBot="1" x14ac:dyDescent="0.3">
      <c r="AA3383" s="75" t="s">
        <v>2139</v>
      </c>
      <c r="AD3383" s="253">
        <f>SUM(AD3362:AD3382)</f>
        <v>206346.55</v>
      </c>
      <c r="AE3383" s="253">
        <f>SUM(AE3362:AE3382)</f>
        <v>240789.55000000002</v>
      </c>
      <c r="AF3383" s="233">
        <f>AF3361+AD3383-AE3383</f>
        <v>64012.119999999966</v>
      </c>
    </row>
    <row r="3384" spans="9:32" ht="8.25" customHeight="1" thickTop="1" x14ac:dyDescent="0.25"/>
    <row r="3385" spans="9:32" ht="8.25" customHeight="1" x14ac:dyDescent="0.25">
      <c r="X3385" s="109"/>
      <c r="Y3385" s="67" t="s">
        <v>214</v>
      </c>
      <c r="Z3385" s="68"/>
      <c r="AA3385" s="75"/>
    </row>
    <row r="3386" spans="9:32" ht="8.25" customHeight="1" x14ac:dyDescent="0.25">
      <c r="X3386" s="110" t="s">
        <v>655</v>
      </c>
      <c r="Y3386" s="111">
        <v>200</v>
      </c>
      <c r="Z3386" s="111">
        <f t="shared" ref="Z3386:Z3391" si="323">X3386*Y3386</f>
        <v>9600</v>
      </c>
      <c r="AA3386" s="112"/>
    </row>
    <row r="3387" spans="9:32" ht="8.25" customHeight="1" x14ac:dyDescent="0.25">
      <c r="X3387" s="110" t="s">
        <v>1150</v>
      </c>
      <c r="Y3387" s="111">
        <v>100</v>
      </c>
      <c r="Z3387" s="111">
        <f t="shared" si="323"/>
        <v>52100</v>
      </c>
      <c r="AA3387" s="112"/>
    </row>
    <row r="3388" spans="9:32" ht="8.25" customHeight="1" x14ac:dyDescent="0.25">
      <c r="X3388" s="110" t="s">
        <v>222</v>
      </c>
      <c r="Y3388" s="111">
        <v>50</v>
      </c>
      <c r="Z3388" s="111">
        <f t="shared" si="323"/>
        <v>50</v>
      </c>
      <c r="AA3388" s="76"/>
    </row>
    <row r="3389" spans="9:32" ht="8.25" customHeight="1" x14ac:dyDescent="0.25">
      <c r="X3389" s="110" t="s">
        <v>299</v>
      </c>
      <c r="Y3389" s="111">
        <v>20</v>
      </c>
      <c r="Z3389" s="111">
        <f t="shared" si="323"/>
        <v>80</v>
      </c>
      <c r="AA3389" s="38"/>
    </row>
    <row r="3390" spans="9:32" ht="8.25" customHeight="1" x14ac:dyDescent="0.25">
      <c r="X3390" s="110" t="s">
        <v>662</v>
      </c>
      <c r="Y3390" s="111">
        <v>10</v>
      </c>
      <c r="Z3390" s="111">
        <f t="shared" si="323"/>
        <v>210</v>
      </c>
      <c r="AA3390" s="112"/>
    </row>
    <row r="3391" spans="9:32" ht="8.25" customHeight="1" x14ac:dyDescent="0.25">
      <c r="X3391" s="110" t="s">
        <v>2775</v>
      </c>
      <c r="Y3391" s="111">
        <v>5</v>
      </c>
      <c r="Z3391" s="111">
        <f t="shared" si="323"/>
        <v>1390</v>
      </c>
      <c r="AA3391" s="112"/>
    </row>
    <row r="3392" spans="9:32" ht="8.25" customHeight="1" x14ac:dyDescent="0.25">
      <c r="X3392" s="269"/>
      <c r="Y3392" s="270"/>
      <c r="Z3392" s="271"/>
      <c r="AA3392" s="38"/>
    </row>
    <row r="3393" spans="9:32" ht="8.25" customHeight="1" x14ac:dyDescent="0.25">
      <c r="X3393" s="110" t="s">
        <v>2791</v>
      </c>
      <c r="Y3393" s="111">
        <v>1</v>
      </c>
      <c r="Z3393" s="111">
        <f t="shared" ref="Z3393:Z3398" si="324">X3393*Y3393</f>
        <v>497</v>
      </c>
      <c r="AA3393" s="76"/>
    </row>
    <row r="3394" spans="9:32" ht="8.25" customHeight="1" x14ac:dyDescent="0.25">
      <c r="X3394" s="110" t="s">
        <v>259</v>
      </c>
      <c r="Y3394" s="111">
        <v>0.5</v>
      </c>
      <c r="Z3394" s="111">
        <f t="shared" si="324"/>
        <v>40</v>
      </c>
      <c r="AA3394" s="112"/>
    </row>
    <row r="3395" spans="9:32" ht="8.25" customHeight="1" x14ac:dyDescent="0.25">
      <c r="X3395" s="110" t="s">
        <v>1878</v>
      </c>
      <c r="Y3395" s="111">
        <v>0.25</v>
      </c>
      <c r="Z3395" s="111">
        <f t="shared" si="324"/>
        <v>45</v>
      </c>
      <c r="AA3395" s="113"/>
    </row>
    <row r="3396" spans="9:32" ht="8.25" customHeight="1" x14ac:dyDescent="0.25">
      <c r="X3396" s="110" t="s">
        <v>222</v>
      </c>
      <c r="Y3396" s="111">
        <v>0.1</v>
      </c>
      <c r="Z3396" s="111">
        <f t="shared" si="324"/>
        <v>0.1</v>
      </c>
      <c r="AA3396" s="114" t="s">
        <v>219</v>
      </c>
    </row>
    <row r="3397" spans="9:32" ht="8.25" customHeight="1" thickBot="1" x14ac:dyDescent="0.3">
      <c r="X3397" s="110"/>
      <c r="Y3397" s="111">
        <v>0.05</v>
      </c>
      <c r="Z3397" s="111">
        <f t="shared" si="324"/>
        <v>0</v>
      </c>
      <c r="AA3397" s="115">
        <f>SUM(Z3386:Z3391)+Z3393+Z3394+Z3395+Z3396+Z3397+Z3398</f>
        <v>64012.119999999995</v>
      </c>
    </row>
    <row r="3398" spans="9:32" ht="8.25" customHeight="1" thickTop="1" x14ac:dyDescent="0.25">
      <c r="X3398" s="110" t="s">
        <v>224</v>
      </c>
      <c r="Y3398" s="111">
        <v>0.01</v>
      </c>
      <c r="Z3398" s="111">
        <f t="shared" si="324"/>
        <v>0.02</v>
      </c>
    </row>
    <row r="3400" spans="9:32" ht="8.25" customHeight="1" x14ac:dyDescent="0.25">
      <c r="Z3400" s="231" t="s">
        <v>1376</v>
      </c>
      <c r="AF3400" s="76">
        <f>AF3383</f>
        <v>64012.119999999966</v>
      </c>
    </row>
    <row r="3401" spans="9:32" ht="8.25" customHeight="1" x14ac:dyDescent="0.25">
      <c r="N3401" s="52">
        <v>48</v>
      </c>
      <c r="T3401" s="33">
        <v>46157</v>
      </c>
      <c r="U3401" s="34">
        <v>2026</v>
      </c>
      <c r="V3401" s="35" t="s">
        <v>2448</v>
      </c>
      <c r="W3401" s="35" t="s">
        <v>17</v>
      </c>
      <c r="X3401" s="37" t="s">
        <v>2794</v>
      </c>
      <c r="Y3401" s="36" t="s">
        <v>688</v>
      </c>
      <c r="Z3401" s="30" t="s">
        <v>1831</v>
      </c>
      <c r="AA3401" s="30" t="s">
        <v>3899</v>
      </c>
      <c r="AD3401" s="38">
        <v>16119.43</v>
      </c>
      <c r="AF3401" s="76">
        <f>AF3400+AD3401-AE3401</f>
        <v>80131.549999999959</v>
      </c>
    </row>
    <row r="3402" spans="9:32" ht="8.25" customHeight="1" x14ac:dyDescent="0.15">
      <c r="N3402" s="52">
        <v>48</v>
      </c>
      <c r="T3402" s="33">
        <v>46157</v>
      </c>
      <c r="U3402" s="34">
        <v>2026</v>
      </c>
      <c r="V3402" s="35" t="s">
        <v>2448</v>
      </c>
      <c r="W3402" s="35" t="s">
        <v>17</v>
      </c>
      <c r="X3402" s="37" t="s">
        <v>2794</v>
      </c>
      <c r="Y3402" s="36" t="s">
        <v>688</v>
      </c>
      <c r="Z3402" s="30" t="s">
        <v>1831</v>
      </c>
      <c r="AA3402" s="134" t="s">
        <v>166</v>
      </c>
      <c r="AD3402" s="38">
        <v>380.57</v>
      </c>
      <c r="AF3402" s="76">
        <f t="shared" ref="AF3402:AF3435" si="325">AF3401+AD3402-AE3402</f>
        <v>80512.119999999966</v>
      </c>
    </row>
    <row r="3403" spans="9:32" ht="8.25" customHeight="1" x14ac:dyDescent="0.25">
      <c r="N3403" s="52">
        <v>49</v>
      </c>
      <c r="T3403" s="33">
        <v>46157</v>
      </c>
      <c r="U3403" s="34">
        <v>2026</v>
      </c>
      <c r="V3403" s="35" t="s">
        <v>2448</v>
      </c>
      <c r="W3403" s="35" t="s">
        <v>17</v>
      </c>
      <c r="X3403" s="37" t="s">
        <v>2795</v>
      </c>
      <c r="Y3403" s="36" t="s">
        <v>335</v>
      </c>
      <c r="Z3403" s="30" t="s">
        <v>334</v>
      </c>
      <c r="AA3403" s="30" t="s">
        <v>3899</v>
      </c>
      <c r="AD3403" s="38">
        <v>11340.17</v>
      </c>
      <c r="AF3403" s="76">
        <f t="shared" si="325"/>
        <v>91852.289999999964</v>
      </c>
    </row>
    <row r="3404" spans="9:32" ht="8.25" customHeight="1" x14ac:dyDescent="0.15">
      <c r="N3404" s="52">
        <v>49</v>
      </c>
      <c r="T3404" s="33">
        <v>46157</v>
      </c>
      <c r="U3404" s="34">
        <v>2026</v>
      </c>
      <c r="V3404" s="35" t="s">
        <v>2448</v>
      </c>
      <c r="W3404" s="35" t="s">
        <v>17</v>
      </c>
      <c r="X3404" s="37" t="s">
        <v>2795</v>
      </c>
      <c r="Y3404" s="36" t="s">
        <v>335</v>
      </c>
      <c r="Z3404" s="30" t="s">
        <v>334</v>
      </c>
      <c r="AA3404" s="134" t="s">
        <v>166</v>
      </c>
      <c r="AD3404" s="38">
        <v>659.83</v>
      </c>
      <c r="AF3404" s="76">
        <f t="shared" si="325"/>
        <v>92512.119999999966</v>
      </c>
    </row>
    <row r="3405" spans="9:32" ht="8.25" customHeight="1" x14ac:dyDescent="0.25">
      <c r="N3405" s="52">
        <v>50</v>
      </c>
      <c r="T3405" s="33">
        <v>46157</v>
      </c>
      <c r="U3405" s="34">
        <v>2026</v>
      </c>
      <c r="V3405" s="35" t="s">
        <v>2448</v>
      </c>
      <c r="W3405" s="35" t="s">
        <v>17</v>
      </c>
      <c r="X3405" s="37" t="s">
        <v>2796</v>
      </c>
      <c r="Y3405" s="36" t="s">
        <v>507</v>
      </c>
      <c r="Z3405" s="30" t="s">
        <v>1632</v>
      </c>
      <c r="AA3405" s="30" t="s">
        <v>3899</v>
      </c>
      <c r="AD3405" s="38">
        <v>7320.67</v>
      </c>
      <c r="AF3405" s="76">
        <f t="shared" si="325"/>
        <v>99832.789999999964</v>
      </c>
    </row>
    <row r="3406" spans="9:32" ht="8.25" customHeight="1" x14ac:dyDescent="0.15">
      <c r="N3406" s="52">
        <v>50</v>
      </c>
      <c r="T3406" s="33">
        <v>46157</v>
      </c>
      <c r="U3406" s="34">
        <v>2026</v>
      </c>
      <c r="V3406" s="35" t="s">
        <v>2448</v>
      </c>
      <c r="W3406" s="35" t="s">
        <v>17</v>
      </c>
      <c r="X3406" s="37" t="s">
        <v>2796</v>
      </c>
      <c r="Y3406" s="36" t="s">
        <v>507</v>
      </c>
      <c r="Z3406" s="30" t="s">
        <v>1632</v>
      </c>
      <c r="AA3406" s="134" t="s">
        <v>166</v>
      </c>
      <c r="AD3406" s="38">
        <v>5879.33</v>
      </c>
      <c r="AF3406" s="76">
        <f t="shared" si="325"/>
        <v>105712.11999999997</v>
      </c>
    </row>
    <row r="3407" spans="9:32" ht="8.25" customHeight="1" x14ac:dyDescent="0.25">
      <c r="I3407" s="52">
        <v>33</v>
      </c>
      <c r="T3407" s="33">
        <v>46157</v>
      </c>
      <c r="U3407" s="34">
        <v>2026</v>
      </c>
      <c r="V3407" s="35" t="s">
        <v>2448</v>
      </c>
      <c r="W3407" s="35" t="s">
        <v>17</v>
      </c>
      <c r="X3407" s="37" t="s">
        <v>2797</v>
      </c>
      <c r="Y3407" s="36" t="s">
        <v>810</v>
      </c>
      <c r="Z3407" s="30" t="s">
        <v>1580</v>
      </c>
      <c r="AA3407" s="30" t="s">
        <v>1044</v>
      </c>
      <c r="AD3407" s="38">
        <v>1000</v>
      </c>
      <c r="AF3407" s="76">
        <f t="shared" si="325"/>
        <v>106712.11999999997</v>
      </c>
    </row>
    <row r="3408" spans="9:32" ht="8.25" customHeight="1" x14ac:dyDescent="0.25">
      <c r="N3408" s="52">
        <v>51</v>
      </c>
      <c r="T3408" s="33">
        <v>46157</v>
      </c>
      <c r="U3408" s="34">
        <v>2026</v>
      </c>
      <c r="V3408" s="35" t="s">
        <v>2448</v>
      </c>
      <c r="W3408" s="35" t="s">
        <v>17</v>
      </c>
      <c r="X3408" s="37" t="s">
        <v>2814</v>
      </c>
      <c r="Y3408" s="36" t="s">
        <v>2815</v>
      </c>
      <c r="Z3408" s="30" t="s">
        <v>388</v>
      </c>
      <c r="AA3408" s="30" t="s">
        <v>3899</v>
      </c>
      <c r="AD3408" s="38">
        <v>9869.17</v>
      </c>
      <c r="AF3408" s="76">
        <f t="shared" si="325"/>
        <v>116581.28999999996</v>
      </c>
    </row>
    <row r="3409" spans="4:32" ht="8.25" customHeight="1" x14ac:dyDescent="0.15">
      <c r="N3409" s="52">
        <v>51</v>
      </c>
      <c r="T3409" s="33">
        <v>46157</v>
      </c>
      <c r="U3409" s="34">
        <v>2026</v>
      </c>
      <c r="V3409" s="35" t="s">
        <v>2448</v>
      </c>
      <c r="W3409" s="35" t="s">
        <v>17</v>
      </c>
      <c r="X3409" s="37" t="s">
        <v>2814</v>
      </c>
      <c r="Y3409" s="36" t="s">
        <v>2815</v>
      </c>
      <c r="Z3409" s="30" t="s">
        <v>388</v>
      </c>
      <c r="AA3409" s="134" t="s">
        <v>166</v>
      </c>
      <c r="AD3409" s="38">
        <v>14015.83</v>
      </c>
      <c r="AF3409" s="76">
        <f t="shared" si="325"/>
        <v>130597.11999999997</v>
      </c>
    </row>
    <row r="3410" spans="4:32" ht="8.25" customHeight="1" x14ac:dyDescent="0.25">
      <c r="N3410" s="52">
        <v>51</v>
      </c>
      <c r="T3410" s="33">
        <v>46157</v>
      </c>
      <c r="U3410" s="34">
        <v>2026</v>
      </c>
      <c r="V3410" s="35" t="s">
        <v>2448</v>
      </c>
      <c r="W3410" s="35" t="s">
        <v>17</v>
      </c>
      <c r="X3410" s="37" t="s">
        <v>2814</v>
      </c>
      <c r="Y3410" s="36" t="s">
        <v>2815</v>
      </c>
      <c r="Z3410" s="30" t="s">
        <v>388</v>
      </c>
      <c r="AA3410" s="30" t="s">
        <v>3304</v>
      </c>
      <c r="AD3410" s="38">
        <v>30</v>
      </c>
      <c r="AF3410" s="76">
        <f t="shared" si="325"/>
        <v>130627.11999999997</v>
      </c>
    </row>
    <row r="3411" spans="4:32" ht="8.25" customHeight="1" x14ac:dyDescent="0.25">
      <c r="N3411" s="52">
        <v>52</v>
      </c>
      <c r="T3411" s="33">
        <v>46157</v>
      </c>
      <c r="U3411" s="34">
        <v>2026</v>
      </c>
      <c r="V3411" s="35" t="s">
        <v>2448</v>
      </c>
      <c r="W3411" s="35" t="s">
        <v>17</v>
      </c>
      <c r="X3411" s="37" t="s">
        <v>2816</v>
      </c>
      <c r="Y3411" s="36" t="s">
        <v>2095</v>
      </c>
      <c r="Z3411" s="30" t="s">
        <v>388</v>
      </c>
      <c r="AA3411" s="30" t="s">
        <v>3899</v>
      </c>
      <c r="AD3411" s="38">
        <v>9470.25</v>
      </c>
      <c r="AF3411" s="76">
        <f t="shared" si="325"/>
        <v>140097.36999999997</v>
      </c>
    </row>
    <row r="3412" spans="4:32" ht="8.25" customHeight="1" x14ac:dyDescent="0.15">
      <c r="N3412" s="52">
        <v>52</v>
      </c>
      <c r="T3412" s="33">
        <v>46157</v>
      </c>
      <c r="U3412" s="34">
        <v>2026</v>
      </c>
      <c r="V3412" s="35" t="s">
        <v>2448</v>
      </c>
      <c r="W3412" s="35" t="s">
        <v>17</v>
      </c>
      <c r="X3412" s="37" t="s">
        <v>2816</v>
      </c>
      <c r="Y3412" s="36" t="s">
        <v>2095</v>
      </c>
      <c r="Z3412" s="30" t="s">
        <v>388</v>
      </c>
      <c r="AA3412" s="134" t="s">
        <v>166</v>
      </c>
      <c r="AD3412" s="38">
        <v>13092.75</v>
      </c>
      <c r="AF3412" s="76">
        <f t="shared" si="325"/>
        <v>153190.11999999997</v>
      </c>
    </row>
    <row r="3413" spans="4:32" ht="8.25" customHeight="1" x14ac:dyDescent="0.25">
      <c r="N3413" s="52">
        <v>53</v>
      </c>
      <c r="T3413" s="33">
        <v>46157</v>
      </c>
      <c r="U3413" s="34">
        <v>2026</v>
      </c>
      <c r="V3413" s="35" t="s">
        <v>2448</v>
      </c>
      <c r="W3413" s="35" t="s">
        <v>17</v>
      </c>
      <c r="X3413" s="37" t="s">
        <v>2817</v>
      </c>
      <c r="Y3413" s="36" t="s">
        <v>394</v>
      </c>
      <c r="Z3413" s="30" t="s">
        <v>2818</v>
      </c>
      <c r="AA3413" s="30" t="s">
        <v>3899</v>
      </c>
      <c r="AD3413" s="38">
        <v>3227.16</v>
      </c>
      <c r="AF3413" s="76">
        <f t="shared" si="325"/>
        <v>156417.27999999997</v>
      </c>
    </row>
    <row r="3414" spans="4:32" ht="8.25" customHeight="1" x14ac:dyDescent="0.15">
      <c r="N3414" s="52">
        <v>53</v>
      </c>
      <c r="T3414" s="33">
        <v>46157</v>
      </c>
      <c r="U3414" s="34">
        <v>2026</v>
      </c>
      <c r="V3414" s="35" t="s">
        <v>2448</v>
      </c>
      <c r="W3414" s="35" t="s">
        <v>17</v>
      </c>
      <c r="X3414" s="37" t="s">
        <v>2817</v>
      </c>
      <c r="Y3414" s="36" t="s">
        <v>394</v>
      </c>
      <c r="Z3414" s="30" t="s">
        <v>2818</v>
      </c>
      <c r="AA3414" s="134" t="s">
        <v>166</v>
      </c>
      <c r="AD3414" s="38">
        <v>3294.84</v>
      </c>
      <c r="AF3414" s="76">
        <f t="shared" si="325"/>
        <v>159712.11999999997</v>
      </c>
    </row>
    <row r="3415" spans="4:32" ht="8.25" customHeight="1" x14ac:dyDescent="0.25">
      <c r="N3415" s="52">
        <v>54</v>
      </c>
      <c r="T3415" s="33">
        <v>46157</v>
      </c>
      <c r="U3415" s="34">
        <v>2026</v>
      </c>
      <c r="V3415" s="35" t="s">
        <v>2448</v>
      </c>
      <c r="W3415" s="35" t="s">
        <v>17</v>
      </c>
      <c r="X3415" s="37" t="s">
        <v>2819</v>
      </c>
      <c r="Y3415" s="36" t="s">
        <v>120</v>
      </c>
      <c r="Z3415" s="30" t="s">
        <v>14</v>
      </c>
      <c r="AA3415" s="30" t="s">
        <v>1195</v>
      </c>
      <c r="AD3415" s="38">
        <v>5</v>
      </c>
      <c r="AF3415" s="76">
        <f t="shared" si="325"/>
        <v>159717.11999999997</v>
      </c>
    </row>
    <row r="3416" spans="4:32" ht="8.25" customHeight="1" x14ac:dyDescent="0.25">
      <c r="N3416" s="52">
        <v>55</v>
      </c>
      <c r="T3416" s="33">
        <v>46157</v>
      </c>
      <c r="U3416" s="34">
        <v>2026</v>
      </c>
      <c r="V3416" s="35" t="s">
        <v>2448</v>
      </c>
      <c r="W3416" s="35" t="s">
        <v>17</v>
      </c>
      <c r="X3416" s="37" t="s">
        <v>2820</v>
      </c>
      <c r="Y3416" s="36" t="s">
        <v>1586</v>
      </c>
      <c r="Z3416" s="30" t="s">
        <v>973</v>
      </c>
      <c r="AA3416" s="30" t="s">
        <v>3708</v>
      </c>
      <c r="AD3416" s="38">
        <v>168.28</v>
      </c>
      <c r="AF3416" s="76">
        <f t="shared" si="325"/>
        <v>159885.39999999997</v>
      </c>
    </row>
    <row r="3417" spans="4:32" ht="8.25" customHeight="1" x14ac:dyDescent="0.15">
      <c r="N3417" s="52">
        <v>55</v>
      </c>
      <c r="T3417" s="33">
        <v>46157</v>
      </c>
      <c r="U3417" s="34">
        <v>2026</v>
      </c>
      <c r="V3417" s="35" t="s">
        <v>2448</v>
      </c>
      <c r="W3417" s="35" t="s">
        <v>17</v>
      </c>
      <c r="X3417" s="37" t="s">
        <v>2820</v>
      </c>
      <c r="Y3417" s="36" t="s">
        <v>1586</v>
      </c>
      <c r="Z3417" s="30" t="s">
        <v>973</v>
      </c>
      <c r="AA3417" s="134" t="s">
        <v>183</v>
      </c>
      <c r="AD3417" s="38">
        <v>40.72</v>
      </c>
      <c r="AF3417" s="76">
        <f t="shared" si="325"/>
        <v>159926.11999999997</v>
      </c>
    </row>
    <row r="3418" spans="4:32" ht="8.25" customHeight="1" x14ac:dyDescent="0.25">
      <c r="I3418" s="52">
        <v>34</v>
      </c>
      <c r="T3418" s="33">
        <v>46157</v>
      </c>
      <c r="U3418" s="34">
        <v>2026</v>
      </c>
      <c r="V3418" s="35" t="s">
        <v>2448</v>
      </c>
      <c r="W3418" s="35" t="s">
        <v>17</v>
      </c>
      <c r="X3418" s="37" t="s">
        <v>2821</v>
      </c>
      <c r="Y3418" s="36" t="s">
        <v>2822</v>
      </c>
      <c r="Z3418" s="30" t="s">
        <v>2823</v>
      </c>
      <c r="AA3418" s="30" t="s">
        <v>1044</v>
      </c>
      <c r="AD3418" s="38">
        <v>100</v>
      </c>
      <c r="AF3418" s="76">
        <f t="shared" si="325"/>
        <v>160026.11999999997</v>
      </c>
    </row>
    <row r="3419" spans="4:32" ht="8.25" customHeight="1" x14ac:dyDescent="0.15">
      <c r="K3419" s="52">
        <v>8</v>
      </c>
      <c r="T3419" s="33">
        <v>46157</v>
      </c>
      <c r="U3419" s="34">
        <v>2026</v>
      </c>
      <c r="V3419" s="35" t="s">
        <v>2448</v>
      </c>
      <c r="W3419" s="35" t="s">
        <v>17</v>
      </c>
      <c r="X3419" s="37" t="s">
        <v>2824</v>
      </c>
      <c r="Y3419" s="36" t="s">
        <v>2825</v>
      </c>
      <c r="Z3419" s="30" t="s">
        <v>2823</v>
      </c>
      <c r="AA3419" s="136" t="s">
        <v>1788</v>
      </c>
      <c r="AD3419" s="38">
        <v>100</v>
      </c>
      <c r="AF3419" s="76">
        <f t="shared" si="325"/>
        <v>160126.11999999997</v>
      </c>
    </row>
    <row r="3420" spans="4:32" ht="8.25" customHeight="1" x14ac:dyDescent="0.25">
      <c r="L3420" s="52">
        <v>8</v>
      </c>
      <c r="T3420" s="33">
        <v>46157</v>
      </c>
      <c r="U3420" s="34">
        <v>2026</v>
      </c>
      <c r="V3420" s="35" t="s">
        <v>2448</v>
      </c>
      <c r="W3420" s="35" t="s">
        <v>17</v>
      </c>
      <c r="X3420" s="37" t="s">
        <v>2826</v>
      </c>
      <c r="Y3420" s="36" t="s">
        <v>120</v>
      </c>
      <c r="Z3420" s="30" t="s">
        <v>2823</v>
      </c>
      <c r="AA3420" s="30" t="s">
        <v>373</v>
      </c>
      <c r="AD3420" s="38">
        <v>50</v>
      </c>
      <c r="AF3420" s="76">
        <f t="shared" si="325"/>
        <v>160176.11999999997</v>
      </c>
    </row>
    <row r="3421" spans="4:32" ht="8.25" customHeight="1" x14ac:dyDescent="0.15">
      <c r="K3421" s="52">
        <v>9</v>
      </c>
      <c r="T3421" s="33">
        <v>46157</v>
      </c>
      <c r="U3421" s="34">
        <v>2026</v>
      </c>
      <c r="V3421" s="35" t="s">
        <v>2448</v>
      </c>
      <c r="W3421" s="35" t="s">
        <v>17</v>
      </c>
      <c r="X3421" s="37" t="s">
        <v>2827</v>
      </c>
      <c r="Y3421" s="36" t="s">
        <v>2828</v>
      </c>
      <c r="Z3421" s="30" t="s">
        <v>2829</v>
      </c>
      <c r="AA3421" s="136" t="s">
        <v>1788</v>
      </c>
      <c r="AD3421" s="38">
        <v>100</v>
      </c>
      <c r="AF3421" s="76">
        <f t="shared" si="325"/>
        <v>160276.11999999997</v>
      </c>
    </row>
    <row r="3422" spans="4:32" ht="8.25" customHeight="1" x14ac:dyDescent="0.25">
      <c r="L3422" s="52">
        <v>9</v>
      </c>
      <c r="T3422" s="33">
        <v>46157</v>
      </c>
      <c r="U3422" s="34">
        <v>2026</v>
      </c>
      <c r="V3422" s="35" t="s">
        <v>2448</v>
      </c>
      <c r="W3422" s="35" t="s">
        <v>17</v>
      </c>
      <c r="X3422" s="37" t="s">
        <v>2830</v>
      </c>
      <c r="Y3422" s="36" t="s">
        <v>120</v>
      </c>
      <c r="Z3422" s="30" t="s">
        <v>2829</v>
      </c>
      <c r="AA3422" s="30" t="s">
        <v>373</v>
      </c>
      <c r="AD3422" s="38">
        <v>50</v>
      </c>
      <c r="AF3422" s="76">
        <f t="shared" si="325"/>
        <v>160326.11999999997</v>
      </c>
    </row>
    <row r="3423" spans="4:32" ht="8.25" customHeight="1" x14ac:dyDescent="0.25">
      <c r="T3423" s="33">
        <v>46157</v>
      </c>
      <c r="U3423" s="34">
        <v>2026</v>
      </c>
      <c r="V3423" s="35" t="s">
        <v>2448</v>
      </c>
      <c r="W3423" s="35" t="s">
        <v>2792</v>
      </c>
      <c r="X3423" s="37" t="s">
        <v>2712</v>
      </c>
      <c r="Y3423" s="36" t="s">
        <v>691</v>
      </c>
      <c r="Z3423" s="30" t="s">
        <v>692</v>
      </c>
      <c r="AA3423" s="30" t="s">
        <v>2793</v>
      </c>
      <c r="AD3423" s="38">
        <v>13000</v>
      </c>
      <c r="AF3423" s="76">
        <f t="shared" si="325"/>
        <v>173326.11999999997</v>
      </c>
    </row>
    <row r="3424" spans="4:32" ht="8.25" customHeight="1" x14ac:dyDescent="0.25">
      <c r="D3424" s="52">
        <v>6</v>
      </c>
      <c r="T3424" s="33">
        <v>46157</v>
      </c>
      <c r="U3424" s="34">
        <v>2026</v>
      </c>
      <c r="V3424" s="35" t="s">
        <v>2448</v>
      </c>
      <c r="W3424" s="35" t="s">
        <v>2405</v>
      </c>
      <c r="X3424" s="37" t="s">
        <v>2813</v>
      </c>
      <c r="Y3424" s="36" t="s">
        <v>2653</v>
      </c>
      <c r="Z3424" s="30" t="s">
        <v>2812</v>
      </c>
      <c r="AA3424" s="30" t="s">
        <v>256</v>
      </c>
      <c r="AD3424" s="38">
        <v>550</v>
      </c>
      <c r="AF3424" s="76">
        <f t="shared" si="325"/>
        <v>173876.11999999997</v>
      </c>
    </row>
    <row r="3425" spans="3:33" ht="8.25" customHeight="1" x14ac:dyDescent="0.25">
      <c r="D3425" s="52">
        <v>7</v>
      </c>
      <c r="T3425" s="33">
        <v>46157</v>
      </c>
      <c r="U3425" s="34">
        <v>2026</v>
      </c>
      <c r="V3425" s="35" t="s">
        <v>2448</v>
      </c>
      <c r="W3425" s="35" t="s">
        <v>2405</v>
      </c>
      <c r="X3425" s="37" t="s">
        <v>2809</v>
      </c>
      <c r="Y3425" s="36" t="s">
        <v>2810</v>
      </c>
      <c r="Z3425" s="30" t="s">
        <v>2811</v>
      </c>
      <c r="AA3425" s="30" t="s">
        <v>256</v>
      </c>
      <c r="AD3425" s="38">
        <v>405</v>
      </c>
      <c r="AF3425" s="76">
        <f t="shared" si="325"/>
        <v>174281.11999999997</v>
      </c>
    </row>
    <row r="3426" spans="3:33" ht="8.25" customHeight="1" x14ac:dyDescent="0.25">
      <c r="C3426" s="52">
        <v>7</v>
      </c>
      <c r="T3426" s="33">
        <v>46157</v>
      </c>
      <c r="U3426" s="34">
        <v>2026</v>
      </c>
      <c r="V3426" s="35" t="s">
        <v>2448</v>
      </c>
      <c r="W3426" s="35" t="s">
        <v>3620</v>
      </c>
      <c r="X3426" s="37" t="s">
        <v>2808</v>
      </c>
      <c r="Y3426" s="36" t="s">
        <v>2807</v>
      </c>
      <c r="Z3426" s="30" t="s">
        <v>2806</v>
      </c>
      <c r="AA3426" s="30" t="s">
        <v>340</v>
      </c>
      <c r="AD3426" s="38">
        <v>148</v>
      </c>
      <c r="AF3426" s="76">
        <f t="shared" si="325"/>
        <v>174429.11999999997</v>
      </c>
    </row>
    <row r="3427" spans="3:33" ht="8.25" customHeight="1" x14ac:dyDescent="0.25">
      <c r="D3427" s="52">
        <v>8</v>
      </c>
      <c r="T3427" s="33">
        <v>46157</v>
      </c>
      <c r="U3427" s="34">
        <v>2026</v>
      </c>
      <c r="V3427" s="35" t="s">
        <v>2448</v>
      </c>
      <c r="W3427" s="35" t="s">
        <v>2405</v>
      </c>
      <c r="X3427" s="37" t="s">
        <v>2831</v>
      </c>
      <c r="Y3427" s="36" t="s">
        <v>2832</v>
      </c>
      <c r="Z3427" s="30" t="s">
        <v>2833</v>
      </c>
      <c r="AA3427" s="30" t="s">
        <v>256</v>
      </c>
      <c r="AD3427" s="38">
        <v>100</v>
      </c>
      <c r="AF3427" s="76">
        <f t="shared" si="325"/>
        <v>174529.11999999997</v>
      </c>
    </row>
    <row r="3428" spans="3:33" ht="8.25" customHeight="1" x14ac:dyDescent="0.25">
      <c r="G3428" s="53">
        <v>24</v>
      </c>
      <c r="T3428" s="33">
        <v>46157</v>
      </c>
      <c r="U3428" s="34">
        <v>2026</v>
      </c>
      <c r="V3428" s="35" t="s">
        <v>2448</v>
      </c>
      <c r="W3428" s="35" t="s">
        <v>2655</v>
      </c>
      <c r="X3428" s="37" t="s">
        <v>2798</v>
      </c>
      <c r="Y3428" s="36" t="s">
        <v>2799</v>
      </c>
      <c r="Z3428" s="30" t="s">
        <v>2800</v>
      </c>
      <c r="AA3428" s="30" t="s">
        <v>3945</v>
      </c>
      <c r="AE3428" s="38">
        <v>2007.09</v>
      </c>
      <c r="AF3428" s="76">
        <f t="shared" si="325"/>
        <v>172522.02999999997</v>
      </c>
    </row>
    <row r="3429" spans="3:33" ht="8.25" customHeight="1" x14ac:dyDescent="0.25">
      <c r="G3429" s="53">
        <v>25</v>
      </c>
      <c r="T3429" s="33">
        <v>46157</v>
      </c>
      <c r="U3429" s="34">
        <v>2026</v>
      </c>
      <c r="V3429" s="35" t="s">
        <v>2448</v>
      </c>
      <c r="W3429" s="35" t="s">
        <v>2655</v>
      </c>
      <c r="X3429" s="37" t="s">
        <v>2803</v>
      </c>
      <c r="Y3429" s="36" t="s">
        <v>2802</v>
      </c>
      <c r="Z3429" s="30" t="s">
        <v>2801</v>
      </c>
      <c r="AA3429" s="30" t="s">
        <v>3945</v>
      </c>
      <c r="AE3429" s="38">
        <v>3825</v>
      </c>
      <c r="AF3429" s="76">
        <f t="shared" si="325"/>
        <v>168697.02999999997</v>
      </c>
    </row>
    <row r="3430" spans="3:33" ht="8.25" customHeight="1" x14ac:dyDescent="0.25">
      <c r="G3430" s="53">
        <v>26</v>
      </c>
      <c r="T3430" s="33">
        <v>46157</v>
      </c>
      <c r="U3430" s="34">
        <v>2026</v>
      </c>
      <c r="V3430" s="35" t="s">
        <v>2448</v>
      </c>
      <c r="W3430" s="35" t="s">
        <v>2655</v>
      </c>
      <c r="X3430" s="37" t="s">
        <v>2804</v>
      </c>
      <c r="Y3430" s="36" t="s">
        <v>2805</v>
      </c>
      <c r="Z3430" s="30" t="s">
        <v>2800</v>
      </c>
      <c r="AA3430" s="30" t="s">
        <v>3945</v>
      </c>
      <c r="AE3430" s="38">
        <v>5383</v>
      </c>
      <c r="AF3430" s="76">
        <f t="shared" si="325"/>
        <v>163314.02999999997</v>
      </c>
    </row>
    <row r="3431" spans="3:33" ht="8.25" customHeight="1" x14ac:dyDescent="0.25">
      <c r="R3431" s="53">
        <v>30</v>
      </c>
      <c r="T3431" s="33">
        <v>46157</v>
      </c>
      <c r="U3431" s="34">
        <v>2026</v>
      </c>
      <c r="V3431" s="35" t="s">
        <v>2448</v>
      </c>
      <c r="W3431" s="35" t="s">
        <v>544</v>
      </c>
      <c r="X3431" s="37" t="s">
        <v>2834</v>
      </c>
      <c r="Y3431" s="36" t="s">
        <v>691</v>
      </c>
      <c r="Z3431" s="30" t="s">
        <v>692</v>
      </c>
      <c r="AA3431" s="30" t="s">
        <v>1050</v>
      </c>
      <c r="AE3431" s="38">
        <v>13000</v>
      </c>
      <c r="AF3431" s="76">
        <f t="shared" si="325"/>
        <v>150314.02999999997</v>
      </c>
    </row>
    <row r="3432" spans="3:33" ht="8.25" customHeight="1" x14ac:dyDescent="0.25">
      <c r="R3432" s="53">
        <v>31</v>
      </c>
      <c r="T3432" s="33">
        <v>46157</v>
      </c>
      <c r="U3432" s="34">
        <v>2026</v>
      </c>
      <c r="V3432" s="35" t="s">
        <v>2448</v>
      </c>
      <c r="W3432" s="35" t="s">
        <v>544</v>
      </c>
      <c r="X3432" s="37" t="s">
        <v>2835</v>
      </c>
      <c r="Y3432" s="36" t="s">
        <v>1056</v>
      </c>
      <c r="Z3432" s="30" t="s">
        <v>1425</v>
      </c>
      <c r="AA3432" s="30" t="s">
        <v>1050</v>
      </c>
      <c r="AE3432" s="38">
        <v>300</v>
      </c>
      <c r="AF3432" s="76">
        <f t="shared" si="325"/>
        <v>150014.02999999997</v>
      </c>
    </row>
    <row r="3433" spans="3:33" ht="8.25" customHeight="1" x14ac:dyDescent="0.25">
      <c r="R3433" s="53">
        <v>32</v>
      </c>
      <c r="T3433" s="33">
        <v>46157</v>
      </c>
      <c r="U3433" s="34">
        <v>2026</v>
      </c>
      <c r="V3433" s="35" t="s">
        <v>2448</v>
      </c>
      <c r="W3433" s="35" t="s">
        <v>544</v>
      </c>
      <c r="X3433" s="37" t="s">
        <v>2836</v>
      </c>
      <c r="Y3433" s="36" t="s">
        <v>114</v>
      </c>
      <c r="Z3433" s="30" t="s">
        <v>14</v>
      </c>
      <c r="AA3433" s="30" t="s">
        <v>1050</v>
      </c>
      <c r="AE3433" s="38">
        <v>1000</v>
      </c>
      <c r="AF3433" s="76">
        <f t="shared" si="325"/>
        <v>149014.02999999997</v>
      </c>
    </row>
    <row r="3434" spans="3:33" ht="8.25" customHeight="1" x14ac:dyDescent="0.25">
      <c r="R3434" s="53">
        <v>33</v>
      </c>
      <c r="T3434" s="33">
        <v>46157</v>
      </c>
      <c r="U3434" s="34">
        <v>2026</v>
      </c>
      <c r="V3434" s="35" t="s">
        <v>2448</v>
      </c>
      <c r="W3434" s="35" t="s">
        <v>544</v>
      </c>
      <c r="X3434" s="37" t="s">
        <v>2837</v>
      </c>
      <c r="Y3434" s="36" t="s">
        <v>2822</v>
      </c>
      <c r="Z3434" s="30" t="s">
        <v>2823</v>
      </c>
      <c r="AA3434" s="30" t="s">
        <v>1050</v>
      </c>
      <c r="AE3434" s="38">
        <v>100</v>
      </c>
      <c r="AF3434" s="76">
        <f t="shared" si="325"/>
        <v>148914.02999999997</v>
      </c>
    </row>
    <row r="3435" spans="3:33" ht="8.25" customHeight="1" x14ac:dyDescent="0.25">
      <c r="R3435" s="53">
        <v>34</v>
      </c>
      <c r="T3435" s="33">
        <v>46157</v>
      </c>
      <c r="U3435" s="34">
        <v>2026</v>
      </c>
      <c r="V3435" s="35" t="s">
        <v>2448</v>
      </c>
      <c r="W3435" s="35" t="s">
        <v>544</v>
      </c>
      <c r="X3435" s="35" t="s">
        <v>2838</v>
      </c>
      <c r="Y3435" s="36" t="s">
        <v>713</v>
      </c>
      <c r="Z3435" s="30" t="s">
        <v>1129</v>
      </c>
      <c r="AA3435" s="30" t="s">
        <v>1050</v>
      </c>
      <c r="AE3435" s="38">
        <v>2500</v>
      </c>
      <c r="AF3435" s="76">
        <f t="shared" si="325"/>
        <v>146414.02999999997</v>
      </c>
    </row>
    <row r="3436" spans="3:33" ht="8.25" customHeight="1" thickBot="1" x14ac:dyDescent="0.3">
      <c r="AA3436" s="75" t="s">
        <v>2139</v>
      </c>
      <c r="AD3436" s="253">
        <f>SUM(AD3401:AD3433)</f>
        <v>110517</v>
      </c>
      <c r="AE3436" s="253">
        <f>SUM(AE3401:AE3435)</f>
        <v>28115.09</v>
      </c>
      <c r="AF3436" s="233">
        <f>AF3400+AD3436-AE3436</f>
        <v>146414.02999999997</v>
      </c>
    </row>
    <row r="3437" spans="3:33" ht="8.25" customHeight="1" thickTop="1" x14ac:dyDescent="0.25">
      <c r="W3437" s="34"/>
      <c r="X3437" s="35"/>
      <c r="Y3437" s="37"/>
      <c r="Z3437" s="36"/>
      <c r="AC3437" s="30"/>
      <c r="AD3437" s="26"/>
      <c r="AF3437" s="38"/>
      <c r="AG3437" s="76"/>
    </row>
    <row r="3438" spans="3:33" ht="8.25" customHeight="1" x14ac:dyDescent="0.25">
      <c r="X3438" s="109"/>
      <c r="Y3438" s="67" t="s">
        <v>214</v>
      </c>
      <c r="Z3438" s="68"/>
      <c r="AA3438" s="75"/>
    </row>
    <row r="3439" spans="3:33" ht="8.25" customHeight="1" x14ac:dyDescent="0.25">
      <c r="X3439" s="110" t="s">
        <v>1012</v>
      </c>
      <c r="Y3439" s="111">
        <v>200</v>
      </c>
      <c r="Z3439" s="111">
        <f t="shared" ref="Z3439:Z3444" si="326">X3439*Y3439</f>
        <v>9800</v>
      </c>
      <c r="AA3439" s="112"/>
    </row>
    <row r="3440" spans="3:33" ht="8.25" customHeight="1" x14ac:dyDescent="0.25">
      <c r="X3440" s="110" t="s">
        <v>2839</v>
      </c>
      <c r="Y3440" s="111">
        <v>100</v>
      </c>
      <c r="Z3440" s="111">
        <f t="shared" si="326"/>
        <v>134400</v>
      </c>
      <c r="AA3440" s="112"/>
    </row>
    <row r="3441" spans="14:32" ht="8.25" customHeight="1" x14ac:dyDescent="0.25">
      <c r="X3441" s="110"/>
      <c r="Y3441" s="111">
        <v>50</v>
      </c>
      <c r="Z3441" s="111">
        <f t="shared" si="326"/>
        <v>0</v>
      </c>
      <c r="AA3441" s="76"/>
    </row>
    <row r="3442" spans="14:32" ht="8.25" customHeight="1" x14ac:dyDescent="0.25">
      <c r="X3442" s="110" t="s">
        <v>224</v>
      </c>
      <c r="Y3442" s="111">
        <v>20</v>
      </c>
      <c r="Z3442" s="111">
        <f t="shared" si="326"/>
        <v>40</v>
      </c>
      <c r="AA3442" s="38"/>
    </row>
    <row r="3443" spans="14:32" ht="8.25" customHeight="1" x14ac:dyDescent="0.25">
      <c r="X3443" s="110" t="s">
        <v>662</v>
      </c>
      <c r="Y3443" s="111">
        <v>10</v>
      </c>
      <c r="Z3443" s="111">
        <f t="shared" si="326"/>
        <v>210</v>
      </c>
      <c r="AA3443" s="112"/>
    </row>
    <row r="3444" spans="14:32" ht="8.25" customHeight="1" x14ac:dyDescent="0.25">
      <c r="X3444" s="110" t="s">
        <v>2775</v>
      </c>
      <c r="Y3444" s="111">
        <v>5</v>
      </c>
      <c r="Z3444" s="111">
        <f t="shared" si="326"/>
        <v>1390</v>
      </c>
      <c r="AA3444" s="112"/>
    </row>
    <row r="3445" spans="14:32" ht="8.25" customHeight="1" x14ac:dyDescent="0.25">
      <c r="X3445" s="269"/>
      <c r="Y3445" s="270"/>
      <c r="Z3445" s="271"/>
      <c r="AA3445" s="38"/>
    </row>
    <row r="3446" spans="14:32" ht="8.25" customHeight="1" x14ac:dyDescent="0.25">
      <c r="X3446" s="110" t="s">
        <v>2292</v>
      </c>
      <c r="Y3446" s="111">
        <v>1</v>
      </c>
      <c r="Z3446" s="111">
        <f t="shared" ref="Z3446:Z3451" si="327">X3446*Y3446</f>
        <v>489</v>
      </c>
      <c r="AA3446" s="76"/>
    </row>
    <row r="3447" spans="14:32" ht="8.25" customHeight="1" x14ac:dyDescent="0.25">
      <c r="X3447" s="110" t="s">
        <v>259</v>
      </c>
      <c r="Y3447" s="111">
        <v>0.5</v>
      </c>
      <c r="Z3447" s="111">
        <f t="shared" si="327"/>
        <v>40</v>
      </c>
      <c r="AA3447" s="112"/>
    </row>
    <row r="3448" spans="14:32" ht="8.25" customHeight="1" x14ac:dyDescent="0.25">
      <c r="X3448" s="110" t="s">
        <v>1878</v>
      </c>
      <c r="Y3448" s="111">
        <v>0.25</v>
      </c>
      <c r="Z3448" s="111">
        <f t="shared" si="327"/>
        <v>45</v>
      </c>
      <c r="AA3448" s="113"/>
    </row>
    <row r="3449" spans="14:32" ht="8.25" customHeight="1" x14ac:dyDescent="0.25">
      <c r="X3449" s="110"/>
      <c r="Y3449" s="111">
        <v>0.1</v>
      </c>
      <c r="Z3449" s="111">
        <f t="shared" si="327"/>
        <v>0</v>
      </c>
      <c r="AA3449" s="114" t="s">
        <v>219</v>
      </c>
    </row>
    <row r="3450" spans="14:32" ht="8.25" customHeight="1" thickBot="1" x14ac:dyDescent="0.3">
      <c r="X3450" s="110"/>
      <c r="Y3450" s="111">
        <v>0.05</v>
      </c>
      <c r="Z3450" s="111">
        <f t="shared" si="327"/>
        <v>0</v>
      </c>
      <c r="AA3450" s="115">
        <f>SUM(Z3439:Z3444)+Z3446+Z3447+Z3448+Z3449+Z3450+Z3451</f>
        <v>146414.03</v>
      </c>
    </row>
    <row r="3451" spans="14:32" ht="8.25" customHeight="1" thickTop="1" x14ac:dyDescent="0.25">
      <c r="X3451" s="110" t="s">
        <v>223</v>
      </c>
      <c r="Y3451" s="111">
        <v>0.01</v>
      </c>
      <c r="Z3451" s="111">
        <f t="shared" si="327"/>
        <v>0.03</v>
      </c>
    </row>
    <row r="3454" spans="14:32" ht="8.25" customHeight="1" x14ac:dyDescent="0.25">
      <c r="Z3454" s="231" t="s">
        <v>1376</v>
      </c>
      <c r="AF3454" s="76">
        <f>AF3436</f>
        <v>146414.02999999997</v>
      </c>
    </row>
    <row r="3455" spans="14:32" ht="8.25" customHeight="1" x14ac:dyDescent="0.25">
      <c r="N3455" s="52">
        <v>56</v>
      </c>
      <c r="T3455" s="33">
        <v>46158</v>
      </c>
      <c r="U3455" s="34">
        <v>2026</v>
      </c>
      <c r="V3455" s="35" t="s">
        <v>2448</v>
      </c>
      <c r="W3455" s="35" t="s">
        <v>17</v>
      </c>
      <c r="X3455" s="37" t="s">
        <v>2844</v>
      </c>
      <c r="Y3455" s="36" t="s">
        <v>2225</v>
      </c>
      <c r="Z3455" s="30" t="s">
        <v>1556</v>
      </c>
      <c r="AA3455" s="30" t="s">
        <v>3899</v>
      </c>
      <c r="AD3455" s="38">
        <v>2498.46</v>
      </c>
      <c r="AF3455" s="76">
        <f>AF3454+AD3455-AE3455</f>
        <v>148912.48999999996</v>
      </c>
    </row>
    <row r="3456" spans="14:32" ht="8.25" customHeight="1" x14ac:dyDescent="0.15">
      <c r="N3456" s="52">
        <v>56</v>
      </c>
      <c r="T3456" s="33">
        <v>46158</v>
      </c>
      <c r="U3456" s="34">
        <v>2026</v>
      </c>
      <c r="V3456" s="35" t="s">
        <v>2448</v>
      </c>
      <c r="W3456" s="35" t="s">
        <v>17</v>
      </c>
      <c r="X3456" s="37" t="s">
        <v>2844</v>
      </c>
      <c r="Y3456" s="36" t="s">
        <v>2225</v>
      </c>
      <c r="Z3456" s="30" t="s">
        <v>1556</v>
      </c>
      <c r="AA3456" s="134" t="s">
        <v>166</v>
      </c>
      <c r="AD3456" s="38">
        <v>2909.54</v>
      </c>
      <c r="AF3456" s="76">
        <f t="shared" ref="AF3456:AF3460" si="328">AF3455+AD3456-AE3456</f>
        <v>151822.02999999997</v>
      </c>
    </row>
    <row r="3457" spans="3:32" ht="8.25" customHeight="1" x14ac:dyDescent="0.25">
      <c r="C3457" s="52">
        <v>8</v>
      </c>
      <c r="T3457" s="33">
        <v>46158</v>
      </c>
      <c r="U3457" s="34">
        <v>2026</v>
      </c>
      <c r="V3457" s="35" t="s">
        <v>2448</v>
      </c>
      <c r="W3457" s="35" t="s">
        <v>3620</v>
      </c>
      <c r="X3457" s="37" t="s">
        <v>2840</v>
      </c>
      <c r="Y3457" s="36" t="s">
        <v>2841</v>
      </c>
      <c r="Z3457" s="30" t="s">
        <v>1939</v>
      </c>
      <c r="AA3457" s="30" t="s">
        <v>340</v>
      </c>
      <c r="AD3457" s="38">
        <v>345</v>
      </c>
      <c r="AF3457" s="76">
        <f t="shared" si="328"/>
        <v>152167.02999999997</v>
      </c>
    </row>
    <row r="3458" spans="3:32" ht="8.25" customHeight="1" x14ac:dyDescent="0.25">
      <c r="R3458" s="53">
        <v>35</v>
      </c>
      <c r="T3458" s="33">
        <v>46158</v>
      </c>
      <c r="U3458" s="34">
        <v>2026</v>
      </c>
      <c r="V3458" s="35" t="s">
        <v>2448</v>
      </c>
      <c r="W3458" s="35" t="s">
        <v>5</v>
      </c>
      <c r="X3458" s="37" t="s">
        <v>2848</v>
      </c>
      <c r="Y3458" s="36" t="s">
        <v>738</v>
      </c>
      <c r="Z3458" s="30" t="s">
        <v>1060</v>
      </c>
      <c r="AA3458" s="30" t="s">
        <v>1050</v>
      </c>
      <c r="AE3458" s="38">
        <v>1100</v>
      </c>
      <c r="AF3458" s="76">
        <f t="shared" si="328"/>
        <v>151067.02999999997</v>
      </c>
    </row>
    <row r="3459" spans="3:32" ht="8.25" customHeight="1" x14ac:dyDescent="0.25">
      <c r="G3459" s="53">
        <v>27</v>
      </c>
      <c r="T3459" s="33">
        <v>46158</v>
      </c>
      <c r="U3459" s="34">
        <v>2026</v>
      </c>
      <c r="V3459" s="35" t="s">
        <v>2448</v>
      </c>
      <c r="W3459" s="35" t="s">
        <v>2655</v>
      </c>
      <c r="X3459" s="37" t="s">
        <v>2842</v>
      </c>
      <c r="Y3459" s="36" t="s">
        <v>2843</v>
      </c>
      <c r="Z3459" s="30" t="s">
        <v>2665</v>
      </c>
      <c r="AA3459" s="30" t="s">
        <v>3945</v>
      </c>
      <c r="AE3459" s="38">
        <v>6849</v>
      </c>
      <c r="AF3459" s="76">
        <f t="shared" si="328"/>
        <v>144218.02999999997</v>
      </c>
    </row>
    <row r="3460" spans="3:32" ht="8.25" customHeight="1" x14ac:dyDescent="0.25">
      <c r="T3460" s="33">
        <v>46158</v>
      </c>
      <c r="U3460" s="34">
        <v>2026</v>
      </c>
      <c r="V3460" s="35" t="s">
        <v>2448</v>
      </c>
      <c r="W3460" s="35" t="s">
        <v>544</v>
      </c>
      <c r="X3460" s="37" t="s">
        <v>2847</v>
      </c>
      <c r="Y3460" s="36" t="s">
        <v>411</v>
      </c>
      <c r="Z3460" s="30" t="s">
        <v>412</v>
      </c>
      <c r="AA3460" s="30" t="s">
        <v>1882</v>
      </c>
      <c r="AE3460" s="38">
        <v>100000</v>
      </c>
      <c r="AF3460" s="76">
        <f t="shared" si="328"/>
        <v>44218.02999999997</v>
      </c>
    </row>
    <row r="3461" spans="3:32" ht="8.25" customHeight="1" thickBot="1" x14ac:dyDescent="0.3">
      <c r="AA3461" s="75" t="s">
        <v>2139</v>
      </c>
      <c r="AD3461" s="253">
        <f>SUM(AD3455:AD3459)</f>
        <v>5753</v>
      </c>
      <c r="AE3461" s="253">
        <f>SUM(AE3455:AE3460)</f>
        <v>107949</v>
      </c>
      <c r="AF3461" s="233">
        <f>AF3454+AD3461-AE3461</f>
        <v>44218.02999999997</v>
      </c>
    </row>
    <row r="3462" spans="3:32" ht="8.25" customHeight="1" thickTop="1" x14ac:dyDescent="0.25">
      <c r="X3462" s="109"/>
      <c r="Y3462" s="67" t="s">
        <v>214</v>
      </c>
      <c r="Z3462" s="68"/>
      <c r="AA3462" s="75"/>
    </row>
    <row r="3463" spans="3:32" ht="8.25" customHeight="1" x14ac:dyDescent="0.25">
      <c r="X3463" s="110" t="s">
        <v>2845</v>
      </c>
      <c r="Y3463" s="111">
        <v>200</v>
      </c>
      <c r="Z3463" s="111">
        <f t="shared" ref="Z3463:Z3468" si="329">X3463*Y3463</f>
        <v>13800</v>
      </c>
      <c r="AA3463" s="112"/>
    </row>
    <row r="3464" spans="3:32" ht="8.25" customHeight="1" x14ac:dyDescent="0.25">
      <c r="X3464" s="110" t="s">
        <v>2849</v>
      </c>
      <c r="Y3464" s="111">
        <v>100</v>
      </c>
      <c r="Z3464" s="111">
        <f t="shared" si="329"/>
        <v>28200</v>
      </c>
      <c r="AA3464" s="112"/>
    </row>
    <row r="3465" spans="3:32" ht="8.25" customHeight="1" x14ac:dyDescent="0.25">
      <c r="X3465" s="110"/>
      <c r="Y3465" s="111">
        <v>50</v>
      </c>
      <c r="Z3465" s="111">
        <f t="shared" si="329"/>
        <v>0</v>
      </c>
      <c r="AA3465" s="76"/>
    </row>
    <row r="3466" spans="3:32" ht="8.25" customHeight="1" x14ac:dyDescent="0.25">
      <c r="X3466" s="110" t="s">
        <v>224</v>
      </c>
      <c r="Y3466" s="111">
        <v>20</v>
      </c>
      <c r="Z3466" s="111">
        <f t="shared" si="329"/>
        <v>40</v>
      </c>
      <c r="AA3466" s="38"/>
    </row>
    <row r="3467" spans="3:32" ht="8.25" customHeight="1" x14ac:dyDescent="0.25">
      <c r="X3467" s="110" t="s">
        <v>1379</v>
      </c>
      <c r="Y3467" s="111">
        <v>10</v>
      </c>
      <c r="Z3467" s="111">
        <f t="shared" si="329"/>
        <v>220</v>
      </c>
      <c r="AA3467" s="112"/>
    </row>
    <row r="3468" spans="3:32" ht="8.25" customHeight="1" x14ac:dyDescent="0.25">
      <c r="X3468" s="110" t="s">
        <v>2775</v>
      </c>
      <c r="Y3468" s="111">
        <v>5</v>
      </c>
      <c r="Z3468" s="111">
        <f t="shared" si="329"/>
        <v>1390</v>
      </c>
      <c r="AA3468" s="112"/>
    </row>
    <row r="3469" spans="3:32" ht="8.25" customHeight="1" x14ac:dyDescent="0.25">
      <c r="X3469" s="269"/>
      <c r="Y3469" s="270"/>
      <c r="Z3469" s="271"/>
      <c r="AA3469" s="38"/>
    </row>
    <row r="3470" spans="3:32" ht="8.25" customHeight="1" x14ac:dyDescent="0.25">
      <c r="X3470" s="110" t="s">
        <v>2846</v>
      </c>
      <c r="Y3470" s="111">
        <v>1</v>
      </c>
      <c r="Z3470" s="111">
        <f t="shared" ref="Z3470:Z3475" si="330">X3470*Y3470</f>
        <v>483</v>
      </c>
      <c r="AA3470" s="76"/>
    </row>
    <row r="3471" spans="3:32" ht="8.25" customHeight="1" x14ac:dyDescent="0.25">
      <c r="X3471" s="110" t="s">
        <v>259</v>
      </c>
      <c r="Y3471" s="111">
        <v>0.5</v>
      </c>
      <c r="Z3471" s="111">
        <f t="shared" si="330"/>
        <v>40</v>
      </c>
      <c r="AA3471" s="112"/>
    </row>
    <row r="3472" spans="3:32" ht="8.25" customHeight="1" x14ac:dyDescent="0.25">
      <c r="X3472" s="110" t="s">
        <v>1878</v>
      </c>
      <c r="Y3472" s="111">
        <v>0.25</v>
      </c>
      <c r="Z3472" s="111">
        <f t="shared" si="330"/>
        <v>45</v>
      </c>
      <c r="AA3472" s="113"/>
    </row>
    <row r="3473" spans="7:32" ht="8.25" customHeight="1" x14ac:dyDescent="0.25">
      <c r="X3473" s="110"/>
      <c r="Y3473" s="111">
        <v>0.1</v>
      </c>
      <c r="Z3473" s="111">
        <f t="shared" si="330"/>
        <v>0</v>
      </c>
      <c r="AA3473" s="114" t="s">
        <v>219</v>
      </c>
    </row>
    <row r="3474" spans="7:32" ht="8.25" customHeight="1" thickBot="1" x14ac:dyDescent="0.3">
      <c r="X3474" s="110"/>
      <c r="Y3474" s="111">
        <v>0.05</v>
      </c>
      <c r="Z3474" s="111">
        <f t="shared" si="330"/>
        <v>0</v>
      </c>
      <c r="AA3474" s="115">
        <f>SUM(Z3463:Z3468)+Z3470+Z3471+Z3472+Z3473+Z3474+Z3475</f>
        <v>44218.03</v>
      </c>
    </row>
    <row r="3475" spans="7:32" ht="8.25" customHeight="1" thickTop="1" x14ac:dyDescent="0.25">
      <c r="X3475" s="110" t="s">
        <v>223</v>
      </c>
      <c r="Y3475" s="111">
        <v>0.01</v>
      </c>
      <c r="Z3475" s="111">
        <f t="shared" si="330"/>
        <v>0.03</v>
      </c>
    </row>
    <row r="3477" spans="7:32" ht="8.25" customHeight="1" x14ac:dyDescent="0.25">
      <c r="Z3477" s="231" t="s">
        <v>1376</v>
      </c>
      <c r="AF3477" s="76">
        <f>AF3461</f>
        <v>44218.02999999997</v>
      </c>
    </row>
    <row r="3478" spans="7:32" ht="8.25" customHeight="1" x14ac:dyDescent="0.25">
      <c r="N3478" s="52">
        <v>57</v>
      </c>
      <c r="T3478" s="33">
        <v>46160</v>
      </c>
      <c r="U3478" s="34">
        <v>2026</v>
      </c>
      <c r="V3478" s="35" t="s">
        <v>2448</v>
      </c>
      <c r="W3478" s="35" t="s">
        <v>17</v>
      </c>
      <c r="X3478" s="37" t="s">
        <v>2851</v>
      </c>
      <c r="Y3478" s="36" t="s">
        <v>2852</v>
      </c>
      <c r="Z3478" s="30" t="s">
        <v>885</v>
      </c>
      <c r="AA3478" s="30" t="s">
        <v>3899</v>
      </c>
      <c r="AD3478" s="38">
        <v>4641.01</v>
      </c>
      <c r="AF3478" s="76">
        <f>AF3477+AD3478-AE3478</f>
        <v>48859.039999999972</v>
      </c>
    </row>
    <row r="3479" spans="7:32" ht="8.25" customHeight="1" x14ac:dyDescent="0.15">
      <c r="N3479" s="52">
        <v>57</v>
      </c>
      <c r="T3479" s="33">
        <v>46160</v>
      </c>
      <c r="U3479" s="34">
        <v>2026</v>
      </c>
      <c r="V3479" s="35" t="s">
        <v>2448</v>
      </c>
      <c r="W3479" s="35" t="s">
        <v>17</v>
      </c>
      <c r="X3479" s="37" t="s">
        <v>2851</v>
      </c>
      <c r="Y3479" s="36" t="s">
        <v>2852</v>
      </c>
      <c r="Z3479" s="30" t="s">
        <v>885</v>
      </c>
      <c r="AA3479" s="134" t="s">
        <v>166</v>
      </c>
      <c r="AD3479" s="38">
        <v>358.99</v>
      </c>
      <c r="AF3479" s="76">
        <f t="shared" ref="AF3479:AF3493" si="331">AF3478+AD3479-AE3479</f>
        <v>49218.02999999997</v>
      </c>
    </row>
    <row r="3480" spans="7:32" ht="8.25" customHeight="1" x14ac:dyDescent="0.25">
      <c r="N3480" s="52">
        <v>58</v>
      </c>
      <c r="T3480" s="33">
        <v>46160</v>
      </c>
      <c r="U3480" s="34">
        <v>2026</v>
      </c>
      <c r="V3480" s="35" t="s">
        <v>2448</v>
      </c>
      <c r="W3480" s="35" t="s">
        <v>17</v>
      </c>
      <c r="X3480" s="37" t="s">
        <v>2851</v>
      </c>
      <c r="Y3480" s="36" t="s">
        <v>2526</v>
      </c>
      <c r="Z3480" s="30" t="s">
        <v>2557</v>
      </c>
      <c r="AA3480" s="30" t="s">
        <v>3899</v>
      </c>
      <c r="AD3480" s="38">
        <v>3571.62</v>
      </c>
      <c r="AF3480" s="76">
        <f t="shared" si="331"/>
        <v>52789.649999999972</v>
      </c>
    </row>
    <row r="3481" spans="7:32" ht="8.25" customHeight="1" x14ac:dyDescent="0.15">
      <c r="N3481" s="52">
        <v>58</v>
      </c>
      <c r="T3481" s="33">
        <v>46160</v>
      </c>
      <c r="U3481" s="34">
        <v>2026</v>
      </c>
      <c r="V3481" s="35" t="s">
        <v>2448</v>
      </c>
      <c r="W3481" s="35" t="s">
        <v>17</v>
      </c>
      <c r="X3481" s="37" t="s">
        <v>2851</v>
      </c>
      <c r="Y3481" s="36" t="s">
        <v>2526</v>
      </c>
      <c r="Z3481" s="30" t="s">
        <v>2557</v>
      </c>
      <c r="AA3481" s="134" t="s">
        <v>166</v>
      </c>
      <c r="AD3481" s="38">
        <v>697.38</v>
      </c>
      <c r="AF3481" s="76">
        <f t="shared" si="331"/>
        <v>53487.02999999997</v>
      </c>
    </row>
    <row r="3482" spans="7:32" ht="8.25" customHeight="1" x14ac:dyDescent="0.25">
      <c r="I3482" s="52">
        <v>35</v>
      </c>
      <c r="T3482" s="33">
        <v>46160</v>
      </c>
      <c r="U3482" s="34">
        <v>2026</v>
      </c>
      <c r="V3482" s="35" t="s">
        <v>2448</v>
      </c>
      <c r="W3482" s="35" t="s">
        <v>17</v>
      </c>
      <c r="X3482" s="37" t="s">
        <v>2862</v>
      </c>
      <c r="Y3482" s="36" t="s">
        <v>2441</v>
      </c>
      <c r="Z3482" s="30" t="s">
        <v>2421</v>
      </c>
      <c r="AA3482" s="30" t="s">
        <v>1044</v>
      </c>
      <c r="AD3482" s="38">
        <v>100</v>
      </c>
      <c r="AF3482" s="76">
        <f t="shared" si="331"/>
        <v>53587.02999999997</v>
      </c>
    </row>
    <row r="3483" spans="7:32" ht="8.25" customHeight="1" x14ac:dyDescent="0.15">
      <c r="N3483" s="52">
        <v>59</v>
      </c>
      <c r="T3483" s="33">
        <v>46160</v>
      </c>
      <c r="U3483" s="34">
        <v>2026</v>
      </c>
      <c r="V3483" s="35" t="s">
        <v>2448</v>
      </c>
      <c r="W3483" s="35" t="s">
        <v>17</v>
      </c>
      <c r="X3483" s="37" t="s">
        <v>2863</v>
      </c>
      <c r="Y3483" s="36" t="s">
        <v>1663</v>
      </c>
      <c r="Z3483" s="30" t="s">
        <v>915</v>
      </c>
      <c r="AA3483" s="134" t="s">
        <v>166</v>
      </c>
      <c r="AD3483" s="38">
        <v>3975</v>
      </c>
      <c r="AF3483" s="76">
        <f t="shared" si="331"/>
        <v>57562.02999999997</v>
      </c>
    </row>
    <row r="3484" spans="7:32" ht="8.25" customHeight="1" x14ac:dyDescent="0.25">
      <c r="N3484" s="52">
        <v>59</v>
      </c>
      <c r="T3484" s="33">
        <v>46160</v>
      </c>
      <c r="U3484" s="34">
        <v>2026</v>
      </c>
      <c r="V3484" s="35" t="s">
        <v>2448</v>
      </c>
      <c r="W3484" s="35" t="s">
        <v>17</v>
      </c>
      <c r="X3484" s="37" t="s">
        <v>2863</v>
      </c>
      <c r="Y3484" s="36" t="s">
        <v>1663</v>
      </c>
      <c r="Z3484" s="30" t="s">
        <v>915</v>
      </c>
      <c r="AA3484" s="30" t="s">
        <v>3304</v>
      </c>
      <c r="AD3484" s="38">
        <v>25</v>
      </c>
      <c r="AF3484" s="76">
        <f t="shared" si="331"/>
        <v>57587.02999999997</v>
      </c>
    </row>
    <row r="3485" spans="7:32" ht="8.25" customHeight="1" x14ac:dyDescent="0.25">
      <c r="N3485" s="52">
        <v>60</v>
      </c>
      <c r="T3485" s="33">
        <v>46160</v>
      </c>
      <c r="U3485" s="34">
        <v>2026</v>
      </c>
      <c r="V3485" s="35" t="s">
        <v>2448</v>
      </c>
      <c r="W3485" s="35" t="s">
        <v>17</v>
      </c>
      <c r="X3485" s="37" t="s">
        <v>2867</v>
      </c>
      <c r="Y3485" s="36" t="s">
        <v>1011</v>
      </c>
      <c r="Z3485" s="30" t="s">
        <v>1002</v>
      </c>
      <c r="AA3485" s="30" t="s">
        <v>3708</v>
      </c>
      <c r="AD3485" s="38">
        <v>473.96</v>
      </c>
      <c r="AF3485" s="76">
        <f t="shared" si="331"/>
        <v>58060.989999999969</v>
      </c>
    </row>
    <row r="3486" spans="7:32" ht="8.25" customHeight="1" x14ac:dyDescent="0.15">
      <c r="N3486" s="52">
        <v>60</v>
      </c>
      <c r="T3486" s="33">
        <v>46160</v>
      </c>
      <c r="U3486" s="34">
        <v>2026</v>
      </c>
      <c r="V3486" s="35" t="s">
        <v>2448</v>
      </c>
      <c r="W3486" s="35" t="s">
        <v>17</v>
      </c>
      <c r="X3486" s="37" t="s">
        <v>2867</v>
      </c>
      <c r="Y3486" s="36" t="s">
        <v>1011</v>
      </c>
      <c r="Z3486" s="30" t="s">
        <v>1002</v>
      </c>
      <c r="AA3486" s="134" t="s">
        <v>183</v>
      </c>
      <c r="AD3486" s="38">
        <v>205.04</v>
      </c>
      <c r="AF3486" s="76">
        <f t="shared" si="331"/>
        <v>58266.02999999997</v>
      </c>
    </row>
    <row r="3487" spans="7:32" ht="8.25" customHeight="1" x14ac:dyDescent="0.25">
      <c r="G3487" s="53">
        <v>28</v>
      </c>
      <c r="T3487" s="33">
        <v>46160</v>
      </c>
      <c r="U3487" s="34">
        <v>2026</v>
      </c>
      <c r="V3487" s="35" t="s">
        <v>2448</v>
      </c>
      <c r="W3487" s="35" t="s">
        <v>5</v>
      </c>
      <c r="X3487" s="37" t="s">
        <v>2865</v>
      </c>
      <c r="Y3487" s="36" t="s">
        <v>2866</v>
      </c>
      <c r="Z3487" s="30" t="s">
        <v>1398</v>
      </c>
      <c r="AA3487" s="30" t="s">
        <v>3945</v>
      </c>
      <c r="AE3487" s="38">
        <v>760</v>
      </c>
      <c r="AF3487" s="76">
        <f t="shared" si="331"/>
        <v>57506.02999999997</v>
      </c>
    </row>
    <row r="3488" spans="7:32" ht="8.25" customHeight="1" x14ac:dyDescent="0.25">
      <c r="G3488" s="53">
        <v>29</v>
      </c>
      <c r="T3488" s="33">
        <v>46160</v>
      </c>
      <c r="U3488" s="34">
        <v>2026</v>
      </c>
      <c r="V3488" s="35" t="s">
        <v>2448</v>
      </c>
      <c r="W3488" s="35" t="s">
        <v>2655</v>
      </c>
      <c r="X3488" s="37" t="s">
        <v>2853</v>
      </c>
      <c r="Y3488" s="36" t="s">
        <v>2854</v>
      </c>
      <c r="Z3488" s="30" t="s">
        <v>1455</v>
      </c>
      <c r="AA3488" s="30" t="s">
        <v>3945</v>
      </c>
      <c r="AE3488" s="38">
        <v>16897.04</v>
      </c>
      <c r="AF3488" s="76">
        <f t="shared" si="331"/>
        <v>40608.989999999969</v>
      </c>
    </row>
    <row r="3489" spans="7:32" ht="8.25" customHeight="1" x14ac:dyDescent="0.25">
      <c r="G3489" s="53">
        <v>30</v>
      </c>
      <c r="T3489" s="33">
        <v>46160</v>
      </c>
      <c r="U3489" s="34">
        <v>2026</v>
      </c>
      <c r="V3489" s="35" t="s">
        <v>2448</v>
      </c>
      <c r="W3489" s="35" t="s">
        <v>2655</v>
      </c>
      <c r="X3489" s="37" t="s">
        <v>2856</v>
      </c>
      <c r="Y3489" s="36" t="s">
        <v>2855</v>
      </c>
      <c r="Z3489" s="30" t="s">
        <v>1455</v>
      </c>
      <c r="AA3489" s="30" t="s">
        <v>3945</v>
      </c>
      <c r="AE3489" s="38">
        <v>12013.33</v>
      </c>
      <c r="AF3489" s="76">
        <f t="shared" si="331"/>
        <v>28595.659999999967</v>
      </c>
    </row>
    <row r="3490" spans="7:32" ht="8.25" customHeight="1" x14ac:dyDescent="0.25">
      <c r="G3490" s="53">
        <v>31</v>
      </c>
      <c r="T3490" s="33">
        <v>46160</v>
      </c>
      <c r="U3490" s="34">
        <v>2026</v>
      </c>
      <c r="V3490" s="35" t="s">
        <v>2448</v>
      </c>
      <c r="W3490" s="35" t="s">
        <v>2655</v>
      </c>
      <c r="X3490" s="37" t="s">
        <v>2857</v>
      </c>
      <c r="Y3490" s="36" t="s">
        <v>2858</v>
      </c>
      <c r="Z3490" s="30" t="s">
        <v>1504</v>
      </c>
      <c r="AA3490" s="30" t="s">
        <v>3945</v>
      </c>
      <c r="AE3490" s="38">
        <v>6748</v>
      </c>
      <c r="AF3490" s="76">
        <f t="shared" si="331"/>
        <v>21847.659999999967</v>
      </c>
    </row>
    <row r="3491" spans="7:32" ht="8.25" customHeight="1" x14ac:dyDescent="0.25">
      <c r="G3491" s="53">
        <v>32</v>
      </c>
      <c r="T3491" s="33">
        <v>46160</v>
      </c>
      <c r="U3491" s="34">
        <v>2026</v>
      </c>
      <c r="V3491" s="35" t="s">
        <v>2448</v>
      </c>
      <c r="W3491" s="35" t="s">
        <v>2655</v>
      </c>
      <c r="X3491" s="37" t="s">
        <v>2860</v>
      </c>
      <c r="Y3491" s="36" t="s">
        <v>2859</v>
      </c>
      <c r="Z3491" s="30" t="s">
        <v>835</v>
      </c>
      <c r="AA3491" s="30" t="s">
        <v>3945</v>
      </c>
      <c r="AE3491" s="38">
        <v>7660</v>
      </c>
      <c r="AF3491" s="76">
        <f t="shared" si="331"/>
        <v>14187.659999999967</v>
      </c>
    </row>
    <row r="3492" spans="7:32" ht="8.25" customHeight="1" x14ac:dyDescent="0.25">
      <c r="R3492" s="53">
        <v>36</v>
      </c>
      <c r="T3492" s="33">
        <v>46160</v>
      </c>
      <c r="U3492" s="34">
        <v>2026</v>
      </c>
      <c r="V3492" s="35" t="s">
        <v>2448</v>
      </c>
      <c r="W3492" s="35" t="s">
        <v>5</v>
      </c>
      <c r="X3492" s="37" t="s">
        <v>2850</v>
      </c>
      <c r="Y3492" s="36" t="s">
        <v>2484</v>
      </c>
      <c r="Z3492" s="30" t="s">
        <v>1939</v>
      </c>
      <c r="AA3492" s="30" t="s">
        <v>1050</v>
      </c>
      <c r="AE3492" s="38">
        <v>300</v>
      </c>
      <c r="AF3492" s="76">
        <f t="shared" si="331"/>
        <v>13887.659999999967</v>
      </c>
    </row>
    <row r="3493" spans="7:32" ht="8.25" customHeight="1" x14ac:dyDescent="0.25">
      <c r="R3493" s="53">
        <v>37</v>
      </c>
      <c r="T3493" s="33">
        <v>46160</v>
      </c>
      <c r="U3493" s="34">
        <v>2026</v>
      </c>
      <c r="V3493" s="35" t="s">
        <v>2448</v>
      </c>
      <c r="W3493" s="35" t="s">
        <v>5</v>
      </c>
      <c r="X3493" s="37" t="s">
        <v>2864</v>
      </c>
      <c r="Y3493" s="36" t="s">
        <v>2012</v>
      </c>
      <c r="Z3493" s="30" t="s">
        <v>2556</v>
      </c>
      <c r="AA3493" s="30" t="s">
        <v>1050</v>
      </c>
      <c r="AE3493" s="38">
        <v>300</v>
      </c>
      <c r="AF3493" s="76">
        <f t="shared" si="331"/>
        <v>13587.659999999967</v>
      </c>
    </row>
    <row r="3494" spans="7:32" ht="8.25" customHeight="1" thickBot="1" x14ac:dyDescent="0.3">
      <c r="AA3494" s="75" t="s">
        <v>2139</v>
      </c>
      <c r="AD3494" s="253">
        <f>SUM(AD3478:AD3493)</f>
        <v>14047.999999999998</v>
      </c>
      <c r="AE3494" s="253">
        <f>SUM(AE3478:AE3493)</f>
        <v>44678.37</v>
      </c>
      <c r="AF3494" s="233">
        <f>AF3477+AD3494-AE3494</f>
        <v>13587.659999999967</v>
      </c>
    </row>
    <row r="3495" spans="7:32" ht="8.25" customHeight="1" thickTop="1" x14ac:dyDescent="0.25"/>
    <row r="3496" spans="7:32" ht="8.25" customHeight="1" x14ac:dyDescent="0.25">
      <c r="X3496" s="109"/>
      <c r="Y3496" s="67" t="s">
        <v>214</v>
      </c>
      <c r="Z3496" s="68"/>
      <c r="AA3496" s="75"/>
    </row>
    <row r="3497" spans="7:32" ht="8.25" customHeight="1" x14ac:dyDescent="0.25">
      <c r="X3497" s="110" t="s">
        <v>2256</v>
      </c>
      <c r="Y3497" s="111">
        <v>200</v>
      </c>
      <c r="Z3497" s="111">
        <f t="shared" ref="Z3497:Z3502" si="332">X3497*Y3497</f>
        <v>3600</v>
      </c>
      <c r="AA3497" s="112"/>
    </row>
    <row r="3498" spans="7:32" ht="8.25" customHeight="1" x14ac:dyDescent="0.25">
      <c r="X3498" s="110" t="s">
        <v>651</v>
      </c>
      <c r="Y3498" s="111">
        <v>100</v>
      </c>
      <c r="Z3498" s="111">
        <f t="shared" si="332"/>
        <v>7900</v>
      </c>
      <c r="AA3498" s="112"/>
    </row>
    <row r="3499" spans="7:32" ht="8.25" customHeight="1" x14ac:dyDescent="0.25">
      <c r="X3499" s="110"/>
      <c r="Y3499" s="111">
        <v>50</v>
      </c>
      <c r="Z3499" s="111">
        <f t="shared" si="332"/>
        <v>0</v>
      </c>
      <c r="AA3499" s="76"/>
    </row>
    <row r="3500" spans="7:32" ht="8.25" customHeight="1" x14ac:dyDescent="0.25">
      <c r="X3500" s="110" t="s">
        <v>319</v>
      </c>
      <c r="Y3500" s="111">
        <v>20</v>
      </c>
      <c r="Z3500" s="111">
        <f t="shared" si="332"/>
        <v>120</v>
      </c>
      <c r="AA3500" s="38"/>
    </row>
    <row r="3501" spans="7:32" ht="8.25" customHeight="1" x14ac:dyDescent="0.25">
      <c r="X3501" s="110" t="s">
        <v>223</v>
      </c>
      <c r="Y3501" s="111">
        <v>10</v>
      </c>
      <c r="Z3501" s="111">
        <f t="shared" si="332"/>
        <v>30</v>
      </c>
      <c r="AA3501" s="112"/>
    </row>
    <row r="3502" spans="7:32" ht="8.25" customHeight="1" x14ac:dyDescent="0.25">
      <c r="X3502" s="110" t="s">
        <v>2861</v>
      </c>
      <c r="Y3502" s="111">
        <v>5</v>
      </c>
      <c r="Z3502" s="111">
        <f t="shared" si="332"/>
        <v>1380</v>
      </c>
      <c r="AA3502" s="112"/>
    </row>
    <row r="3503" spans="7:32" ht="8.25" customHeight="1" x14ac:dyDescent="0.25">
      <c r="X3503" s="269"/>
      <c r="Y3503" s="270"/>
      <c r="Z3503" s="271"/>
      <c r="AA3503" s="38"/>
    </row>
    <row r="3504" spans="7:32" ht="8.25" customHeight="1" x14ac:dyDescent="0.25">
      <c r="X3504" s="110" t="s">
        <v>838</v>
      </c>
      <c r="Y3504" s="111">
        <v>1</v>
      </c>
      <c r="Z3504" s="111">
        <f t="shared" ref="Z3504:Z3509" si="333">X3504*Y3504</f>
        <v>472</v>
      </c>
      <c r="AA3504" s="76"/>
    </row>
    <row r="3505" spans="3:32" ht="8.25" customHeight="1" x14ac:dyDescent="0.25">
      <c r="X3505" s="110" t="s">
        <v>1496</v>
      </c>
      <c r="Y3505" s="111">
        <v>0.5</v>
      </c>
      <c r="Z3505" s="111">
        <f t="shared" si="333"/>
        <v>40.5</v>
      </c>
      <c r="AA3505" s="112"/>
    </row>
    <row r="3506" spans="3:32" ht="8.25" customHeight="1" x14ac:dyDescent="0.25">
      <c r="X3506" s="110" t="s">
        <v>1878</v>
      </c>
      <c r="Y3506" s="111">
        <v>0.25</v>
      </c>
      <c r="Z3506" s="111">
        <f t="shared" si="333"/>
        <v>45</v>
      </c>
      <c r="AA3506" s="113"/>
    </row>
    <row r="3507" spans="3:32" ht="8.25" customHeight="1" x14ac:dyDescent="0.25">
      <c r="X3507" s="110" t="s">
        <v>222</v>
      </c>
      <c r="Y3507" s="111">
        <v>0.1</v>
      </c>
      <c r="Z3507" s="111">
        <f t="shared" si="333"/>
        <v>0.1</v>
      </c>
      <c r="AA3507" s="114" t="s">
        <v>219</v>
      </c>
    </row>
    <row r="3508" spans="3:32" ht="8.25" customHeight="1" thickBot="1" x14ac:dyDescent="0.3">
      <c r="X3508" s="110" t="s">
        <v>222</v>
      </c>
      <c r="Y3508" s="111">
        <v>0.05</v>
      </c>
      <c r="Z3508" s="111">
        <f t="shared" si="333"/>
        <v>0.05</v>
      </c>
      <c r="AA3508" s="115">
        <f>SUM(Z3497:Z3502)+Z3504+Z3505+Z3506+Z3507+Z3508+Z3509</f>
        <v>13587.66</v>
      </c>
    </row>
    <row r="3509" spans="3:32" ht="8.25" customHeight="1" thickTop="1" x14ac:dyDescent="0.25">
      <c r="X3509" s="110" t="s">
        <v>222</v>
      </c>
      <c r="Y3509" s="111">
        <v>0.01</v>
      </c>
      <c r="Z3509" s="111">
        <f t="shared" si="333"/>
        <v>0.01</v>
      </c>
    </row>
    <row r="3511" spans="3:32" ht="8.25" customHeight="1" x14ac:dyDescent="0.25">
      <c r="Z3511" s="231" t="s">
        <v>1376</v>
      </c>
      <c r="AF3511" s="76">
        <f>AF3494</f>
        <v>13587.659999999967</v>
      </c>
    </row>
    <row r="3512" spans="3:32" ht="8.25" customHeight="1" x14ac:dyDescent="0.25">
      <c r="I3512" s="52">
        <v>36</v>
      </c>
      <c r="T3512" s="33">
        <v>46161</v>
      </c>
      <c r="U3512" s="34">
        <v>2026</v>
      </c>
      <c r="V3512" s="35" t="s">
        <v>2448</v>
      </c>
      <c r="W3512" s="35" t="s">
        <v>17</v>
      </c>
      <c r="X3512" s="37" t="s">
        <v>2874</v>
      </c>
      <c r="Y3512" s="36" t="s">
        <v>1389</v>
      </c>
      <c r="Z3512" s="30" t="s">
        <v>1390</v>
      </c>
      <c r="AA3512" s="30" t="s">
        <v>1044</v>
      </c>
      <c r="AD3512" s="38">
        <v>200</v>
      </c>
      <c r="AF3512" s="76">
        <f>AF3511+AD3512-AE3512</f>
        <v>13787.659999999967</v>
      </c>
    </row>
    <row r="3513" spans="3:32" ht="8.25" customHeight="1" x14ac:dyDescent="0.15">
      <c r="K3513" s="52">
        <v>10</v>
      </c>
      <c r="T3513" s="33">
        <v>46161</v>
      </c>
      <c r="U3513" s="34">
        <v>2026</v>
      </c>
      <c r="V3513" s="35" t="s">
        <v>2448</v>
      </c>
      <c r="W3513" s="35" t="s">
        <v>17</v>
      </c>
      <c r="X3513" s="37" t="s">
        <v>2875</v>
      </c>
      <c r="Y3513" s="36" t="s">
        <v>2880</v>
      </c>
      <c r="Z3513" s="30" t="s">
        <v>2882</v>
      </c>
      <c r="AA3513" s="136" t="s">
        <v>1788</v>
      </c>
      <c r="AD3513" s="38">
        <v>100</v>
      </c>
      <c r="AF3513" s="76">
        <f t="shared" ref="AF3513:AF3525" si="334">AF3512+AD3513-AE3513</f>
        <v>13887.659999999967</v>
      </c>
    </row>
    <row r="3514" spans="3:32" ht="8.25" customHeight="1" x14ac:dyDescent="0.25">
      <c r="L3514" s="52">
        <v>10</v>
      </c>
      <c r="T3514" s="33">
        <v>46161</v>
      </c>
      <c r="U3514" s="34">
        <v>2026</v>
      </c>
      <c r="V3514" s="35" t="s">
        <v>2448</v>
      </c>
      <c r="W3514" s="35" t="s">
        <v>17</v>
      </c>
      <c r="X3514" s="37" t="s">
        <v>2876</v>
      </c>
      <c r="Y3514" s="36" t="s">
        <v>120</v>
      </c>
      <c r="Z3514" s="30" t="s">
        <v>2882</v>
      </c>
      <c r="AA3514" s="30" t="s">
        <v>373</v>
      </c>
      <c r="AD3514" s="38">
        <v>50</v>
      </c>
      <c r="AF3514" s="76">
        <f t="shared" si="334"/>
        <v>13937.659999999967</v>
      </c>
    </row>
    <row r="3515" spans="3:32" ht="8.25" customHeight="1" x14ac:dyDescent="0.15">
      <c r="K3515" s="52">
        <v>11</v>
      </c>
      <c r="T3515" s="33">
        <v>46161</v>
      </c>
      <c r="U3515" s="34">
        <v>2026</v>
      </c>
      <c r="V3515" s="35" t="s">
        <v>2448</v>
      </c>
      <c r="W3515" s="35" t="s">
        <v>17</v>
      </c>
      <c r="X3515" s="37" t="s">
        <v>2877</v>
      </c>
      <c r="Y3515" s="36" t="s">
        <v>2881</v>
      </c>
      <c r="Z3515" s="30" t="s">
        <v>2883</v>
      </c>
      <c r="AA3515" s="136" t="s">
        <v>1788</v>
      </c>
      <c r="AD3515" s="38">
        <v>100</v>
      </c>
      <c r="AF3515" s="76">
        <f t="shared" si="334"/>
        <v>14037.659999999967</v>
      </c>
    </row>
    <row r="3516" spans="3:32" ht="8.25" customHeight="1" x14ac:dyDescent="0.25">
      <c r="L3516" s="52">
        <v>11</v>
      </c>
      <c r="T3516" s="33">
        <v>46161</v>
      </c>
      <c r="U3516" s="34">
        <v>2026</v>
      </c>
      <c r="V3516" s="35" t="s">
        <v>2448</v>
      </c>
      <c r="W3516" s="35" t="s">
        <v>17</v>
      </c>
      <c r="X3516" s="37" t="s">
        <v>2878</v>
      </c>
      <c r="Y3516" s="36" t="s">
        <v>120</v>
      </c>
      <c r="Z3516" s="30" t="s">
        <v>2883</v>
      </c>
      <c r="AA3516" s="30" t="s">
        <v>373</v>
      </c>
      <c r="AD3516" s="38">
        <v>50</v>
      </c>
      <c r="AF3516" s="76">
        <f t="shared" si="334"/>
        <v>14087.659999999967</v>
      </c>
    </row>
    <row r="3517" spans="3:32" ht="8.25" customHeight="1" x14ac:dyDescent="0.25">
      <c r="N3517" s="52">
        <v>61</v>
      </c>
      <c r="T3517" s="33">
        <v>46161</v>
      </c>
      <c r="U3517" s="34">
        <v>2026</v>
      </c>
      <c r="V3517" s="35" t="s">
        <v>2448</v>
      </c>
      <c r="W3517" s="35" t="s">
        <v>17</v>
      </c>
      <c r="X3517" s="37" t="s">
        <v>2879</v>
      </c>
      <c r="Y3517" s="36" t="s">
        <v>361</v>
      </c>
      <c r="Z3517" s="30" t="s">
        <v>362</v>
      </c>
      <c r="AA3517" s="30" t="s">
        <v>3899</v>
      </c>
      <c r="AD3517" s="38">
        <v>5099.4799999999996</v>
      </c>
      <c r="AF3517" s="76">
        <f t="shared" si="334"/>
        <v>19187.139999999967</v>
      </c>
    </row>
    <row r="3518" spans="3:32" ht="8.25" customHeight="1" x14ac:dyDescent="0.15">
      <c r="N3518" s="52">
        <v>61</v>
      </c>
      <c r="T3518" s="33">
        <v>46161</v>
      </c>
      <c r="U3518" s="34">
        <v>2026</v>
      </c>
      <c r="V3518" s="35" t="s">
        <v>2448</v>
      </c>
      <c r="W3518" s="35" t="s">
        <v>17</v>
      </c>
      <c r="X3518" s="37" t="s">
        <v>2879</v>
      </c>
      <c r="Y3518" s="36" t="s">
        <v>361</v>
      </c>
      <c r="Z3518" s="30" t="s">
        <v>362</v>
      </c>
      <c r="AA3518" s="134" t="s">
        <v>166</v>
      </c>
      <c r="AD3518" s="38">
        <v>6100.52</v>
      </c>
      <c r="AF3518" s="76">
        <f t="shared" si="334"/>
        <v>25287.659999999967</v>
      </c>
    </row>
    <row r="3519" spans="3:32" ht="8.25" customHeight="1" x14ac:dyDescent="0.25">
      <c r="C3519" s="52">
        <v>9</v>
      </c>
      <c r="T3519" s="33">
        <v>46161</v>
      </c>
      <c r="U3519" s="34">
        <v>2026</v>
      </c>
      <c r="V3519" s="35" t="s">
        <v>2448</v>
      </c>
      <c r="W3519" s="35" t="s">
        <v>3620</v>
      </c>
      <c r="X3519" s="37" t="s">
        <v>2868</v>
      </c>
      <c r="Y3519" s="36" t="s">
        <v>2869</v>
      </c>
      <c r="Z3519" s="30" t="s">
        <v>2870</v>
      </c>
      <c r="AA3519" s="30" t="s">
        <v>340</v>
      </c>
      <c r="AD3519" s="38">
        <v>62</v>
      </c>
      <c r="AF3519" s="76">
        <f t="shared" si="334"/>
        <v>25349.659999999967</v>
      </c>
    </row>
    <row r="3520" spans="3:32" ht="8.25" customHeight="1" x14ac:dyDescent="0.25">
      <c r="C3520" s="52">
        <v>10</v>
      </c>
      <c r="T3520" s="33">
        <v>46161</v>
      </c>
      <c r="U3520" s="34">
        <v>2026</v>
      </c>
      <c r="V3520" s="35" t="s">
        <v>2448</v>
      </c>
      <c r="W3520" s="35" t="s">
        <v>3620</v>
      </c>
      <c r="X3520" s="37" t="s">
        <v>2873</v>
      </c>
      <c r="Y3520" s="36" t="s">
        <v>2872</v>
      </c>
      <c r="Z3520" s="30" t="s">
        <v>2871</v>
      </c>
      <c r="AA3520" s="30" t="s">
        <v>340</v>
      </c>
      <c r="AD3520" s="38">
        <v>79</v>
      </c>
      <c r="AF3520" s="76">
        <f t="shared" si="334"/>
        <v>25428.659999999967</v>
      </c>
    </row>
    <row r="3521" spans="3:32" ht="8.25" customHeight="1" x14ac:dyDescent="0.25">
      <c r="C3521" s="52">
        <v>11</v>
      </c>
      <c r="T3521" s="33">
        <v>46161</v>
      </c>
      <c r="U3521" s="34">
        <v>2026</v>
      </c>
      <c r="V3521" s="35" t="s">
        <v>2448</v>
      </c>
      <c r="W3521" s="35" t="s">
        <v>3620</v>
      </c>
      <c r="X3521" s="37" t="s">
        <v>2884</v>
      </c>
      <c r="Y3521" s="36" t="s">
        <v>2885</v>
      </c>
      <c r="Z3521" s="30" t="s">
        <v>2022</v>
      </c>
      <c r="AA3521" s="30" t="s">
        <v>340</v>
      </c>
      <c r="AD3521" s="38">
        <v>20</v>
      </c>
      <c r="AF3521" s="76">
        <f t="shared" si="334"/>
        <v>25448.659999999967</v>
      </c>
    </row>
    <row r="3522" spans="3:32" ht="8.25" customHeight="1" x14ac:dyDescent="0.25">
      <c r="T3522" s="33">
        <v>46161</v>
      </c>
      <c r="U3522" s="34">
        <v>2026</v>
      </c>
      <c r="V3522" s="35" t="s">
        <v>2448</v>
      </c>
      <c r="W3522" s="35" t="s">
        <v>3620</v>
      </c>
      <c r="X3522" s="37" t="s">
        <v>2888</v>
      </c>
      <c r="Y3522" s="36" t="s">
        <v>2887</v>
      </c>
      <c r="Z3522" s="30" t="s">
        <v>2886</v>
      </c>
      <c r="AA3522" s="30" t="s">
        <v>340</v>
      </c>
      <c r="AD3522" s="38">
        <v>892</v>
      </c>
      <c r="AF3522" s="76">
        <f t="shared" si="334"/>
        <v>26340.659999999967</v>
      </c>
    </row>
    <row r="3523" spans="3:32" ht="8.25" customHeight="1" x14ac:dyDescent="0.25">
      <c r="I3523" s="52">
        <v>37</v>
      </c>
      <c r="T3523" s="33">
        <v>46161</v>
      </c>
      <c r="U3523" s="34">
        <v>2026</v>
      </c>
      <c r="V3523" s="35" t="s">
        <v>2448</v>
      </c>
      <c r="W3523" s="35" t="s">
        <v>17</v>
      </c>
      <c r="X3523" s="37" t="s">
        <v>2890</v>
      </c>
      <c r="Y3523" s="36" t="s">
        <v>2822</v>
      </c>
      <c r="Z3523" s="30" t="s">
        <v>2823</v>
      </c>
      <c r="AA3523" s="30" t="s">
        <v>1044</v>
      </c>
      <c r="AD3523" s="38">
        <v>11363.64</v>
      </c>
      <c r="AF3523" s="76">
        <f t="shared" si="334"/>
        <v>37704.299999999967</v>
      </c>
    </row>
    <row r="3524" spans="3:32" ht="8.25" customHeight="1" x14ac:dyDescent="0.25">
      <c r="M3524" s="52">
        <v>11</v>
      </c>
      <c r="T3524" s="33">
        <v>46161</v>
      </c>
      <c r="U3524" s="34">
        <v>2026</v>
      </c>
      <c r="V3524" s="35" t="s">
        <v>2448</v>
      </c>
      <c r="W3524" s="35" t="s">
        <v>17</v>
      </c>
      <c r="X3524" s="37" t="s">
        <v>2891</v>
      </c>
      <c r="Y3524" s="36" t="s">
        <v>120</v>
      </c>
      <c r="Z3524" s="30" t="s">
        <v>2823</v>
      </c>
      <c r="AA3524" s="30" t="s">
        <v>385</v>
      </c>
      <c r="AD3524" s="38">
        <v>2272.7199999999998</v>
      </c>
      <c r="AF3524" s="76">
        <f t="shared" si="334"/>
        <v>39977.019999999968</v>
      </c>
    </row>
    <row r="3525" spans="3:32" ht="8.25" customHeight="1" x14ac:dyDescent="0.25">
      <c r="T3525" s="33">
        <v>46161</v>
      </c>
      <c r="U3525" s="34">
        <v>2026</v>
      </c>
      <c r="V3525" s="35" t="s">
        <v>2448</v>
      </c>
      <c r="W3525" s="35" t="s">
        <v>5</v>
      </c>
      <c r="X3525" s="37" t="s">
        <v>2892</v>
      </c>
      <c r="Y3525" s="36" t="s">
        <v>411</v>
      </c>
      <c r="Z3525" s="30" t="s">
        <v>412</v>
      </c>
      <c r="AA3525" s="30" t="s">
        <v>2719</v>
      </c>
      <c r="AE3525" s="38">
        <v>13636.36</v>
      </c>
      <c r="AF3525" s="76">
        <f t="shared" si="334"/>
        <v>26340.659999999967</v>
      </c>
    </row>
    <row r="3526" spans="3:32" ht="8.25" customHeight="1" thickBot="1" x14ac:dyDescent="0.3">
      <c r="AA3526" s="260" t="s">
        <v>2893</v>
      </c>
      <c r="AD3526" s="253">
        <f>SUM(AD3512:AD3525)</f>
        <v>26389.360000000001</v>
      </c>
      <c r="AE3526" s="253">
        <f>SUM(AE3512:AE3525)</f>
        <v>13636.36</v>
      </c>
      <c r="AF3526" s="233">
        <f>AF3511+AD3526-AE3526</f>
        <v>26340.659999999967</v>
      </c>
    </row>
    <row r="3527" spans="3:32" ht="8.25" customHeight="1" thickTop="1" x14ac:dyDescent="0.25"/>
    <row r="3528" spans="3:32" ht="8.25" customHeight="1" x14ac:dyDescent="0.25">
      <c r="X3528" s="109"/>
      <c r="Y3528" s="67" t="s">
        <v>214</v>
      </c>
      <c r="Z3528" s="68"/>
      <c r="AA3528" s="75"/>
    </row>
    <row r="3529" spans="3:32" ht="8.25" customHeight="1" x14ac:dyDescent="0.25">
      <c r="X3529" s="110" t="s">
        <v>821</v>
      </c>
      <c r="Y3529" s="111">
        <v>200</v>
      </c>
      <c r="Z3529" s="111">
        <f t="shared" ref="Z3529:Z3534" si="335">X3529*Y3529</f>
        <v>6800</v>
      </c>
      <c r="AA3529" s="112"/>
    </row>
    <row r="3530" spans="3:32" ht="8.25" customHeight="1" x14ac:dyDescent="0.25">
      <c r="X3530" s="110" t="s">
        <v>801</v>
      </c>
      <c r="Y3530" s="111">
        <v>100</v>
      </c>
      <c r="Z3530" s="111">
        <f t="shared" si="335"/>
        <v>17400</v>
      </c>
      <c r="AA3530" s="112"/>
    </row>
    <row r="3531" spans="3:32" ht="8.25" customHeight="1" x14ac:dyDescent="0.25">
      <c r="X3531" s="110" t="s">
        <v>222</v>
      </c>
      <c r="Y3531" s="111">
        <v>50</v>
      </c>
      <c r="Z3531" s="111">
        <f t="shared" si="335"/>
        <v>50</v>
      </c>
      <c r="AA3531" s="76"/>
    </row>
    <row r="3532" spans="3:32" ht="8.25" customHeight="1" x14ac:dyDescent="0.25">
      <c r="X3532" s="110" t="s">
        <v>402</v>
      </c>
      <c r="Y3532" s="111">
        <v>20</v>
      </c>
      <c r="Z3532" s="111">
        <f t="shared" si="335"/>
        <v>100</v>
      </c>
      <c r="AA3532" s="38"/>
    </row>
    <row r="3533" spans="3:32" ht="8.25" customHeight="1" x14ac:dyDescent="0.25">
      <c r="X3533" s="110" t="s">
        <v>319</v>
      </c>
      <c r="Y3533" s="111">
        <v>10</v>
      </c>
      <c r="Z3533" s="111">
        <f t="shared" si="335"/>
        <v>60</v>
      </c>
      <c r="AA3533" s="112"/>
    </row>
    <row r="3534" spans="3:32" ht="8.25" customHeight="1" x14ac:dyDescent="0.25">
      <c r="X3534" s="110" t="s">
        <v>2889</v>
      </c>
      <c r="Y3534" s="111">
        <v>5</v>
      </c>
      <c r="Z3534" s="111">
        <f t="shared" si="335"/>
        <v>1375</v>
      </c>
      <c r="AA3534" s="112"/>
    </row>
    <row r="3535" spans="3:32" ht="8.25" customHeight="1" x14ac:dyDescent="0.25">
      <c r="X3535" s="269"/>
      <c r="Y3535" s="270"/>
      <c r="Z3535" s="271"/>
      <c r="AA3535" s="38"/>
    </row>
    <row r="3536" spans="3:32" ht="8.25" customHeight="1" x14ac:dyDescent="0.25">
      <c r="X3536" s="110" t="s">
        <v>874</v>
      </c>
      <c r="Y3536" s="111">
        <v>1</v>
      </c>
      <c r="Z3536" s="111">
        <f t="shared" ref="Z3536:Z3541" si="336">X3536*Y3536</f>
        <v>470</v>
      </c>
      <c r="AA3536" s="76"/>
    </row>
    <row r="3537" spans="18:32" ht="8.25" customHeight="1" x14ac:dyDescent="0.25">
      <c r="X3537" s="110" t="s">
        <v>1496</v>
      </c>
      <c r="Y3537" s="111">
        <v>0.5</v>
      </c>
      <c r="Z3537" s="111">
        <f t="shared" si="336"/>
        <v>40.5</v>
      </c>
      <c r="AA3537" s="112"/>
    </row>
    <row r="3538" spans="18:32" ht="8.25" customHeight="1" x14ac:dyDescent="0.25">
      <c r="X3538" s="110" t="s">
        <v>1878</v>
      </c>
      <c r="Y3538" s="111">
        <v>0.25</v>
      </c>
      <c r="Z3538" s="111">
        <f t="shared" si="336"/>
        <v>45</v>
      </c>
      <c r="AA3538" s="113"/>
    </row>
    <row r="3539" spans="18:32" ht="8.25" customHeight="1" x14ac:dyDescent="0.25">
      <c r="X3539" s="110" t="s">
        <v>222</v>
      </c>
      <c r="Y3539" s="111">
        <v>0.1</v>
      </c>
      <c r="Z3539" s="111">
        <f t="shared" si="336"/>
        <v>0.1</v>
      </c>
      <c r="AA3539" s="114" t="s">
        <v>219</v>
      </c>
    </row>
    <row r="3540" spans="18:32" ht="8.25" customHeight="1" thickBot="1" x14ac:dyDescent="0.3">
      <c r="X3540" s="110" t="s">
        <v>222</v>
      </c>
      <c r="Y3540" s="111">
        <v>0.05</v>
      </c>
      <c r="Z3540" s="111">
        <f t="shared" si="336"/>
        <v>0.05</v>
      </c>
      <c r="AA3540" s="115">
        <f>SUM(Z3529:Z3534)+Z3536+Z3537+Z3538+Z3539+Z3540+Z3541</f>
        <v>26340.659999999996</v>
      </c>
    </row>
    <row r="3541" spans="18:32" ht="8.25" customHeight="1" thickTop="1" x14ac:dyDescent="0.25">
      <c r="X3541" s="110" t="s">
        <v>222</v>
      </c>
      <c r="Y3541" s="111">
        <v>0.01</v>
      </c>
      <c r="Z3541" s="111">
        <f t="shared" si="336"/>
        <v>0.01</v>
      </c>
    </row>
    <row r="3543" spans="18:32" ht="8.25" customHeight="1" x14ac:dyDescent="0.25">
      <c r="Z3543" s="231" t="s">
        <v>1376</v>
      </c>
      <c r="AF3543" s="76">
        <f>AF3526</f>
        <v>26340.659999999967</v>
      </c>
    </row>
    <row r="3544" spans="18:32" ht="8.25" customHeight="1" x14ac:dyDescent="0.25">
      <c r="R3544" s="53">
        <v>38</v>
      </c>
      <c r="T3544" s="33">
        <v>46162</v>
      </c>
      <c r="U3544" s="34">
        <v>2026</v>
      </c>
      <c r="V3544" s="35" t="s">
        <v>2448</v>
      </c>
      <c r="W3544" s="35" t="s">
        <v>5</v>
      </c>
      <c r="X3544" s="37" t="s">
        <v>2894</v>
      </c>
      <c r="Y3544" s="36" t="s">
        <v>2034</v>
      </c>
      <c r="Z3544" s="30" t="s">
        <v>2031</v>
      </c>
      <c r="AA3544" s="30" t="s">
        <v>1050</v>
      </c>
      <c r="AE3544" s="38">
        <v>200</v>
      </c>
      <c r="AF3544" s="76">
        <f>AF3543+AD3544-AE3544</f>
        <v>26140.659999999967</v>
      </c>
    </row>
    <row r="3545" spans="18:32" ht="8.25" customHeight="1" x14ac:dyDescent="0.25">
      <c r="R3545" s="53">
        <v>39</v>
      </c>
      <c r="T3545" s="33">
        <v>46162</v>
      </c>
      <c r="U3545" s="34">
        <v>2026</v>
      </c>
      <c r="V3545" s="35" t="s">
        <v>2448</v>
      </c>
      <c r="W3545" s="35" t="s">
        <v>5</v>
      </c>
      <c r="X3545" s="37" t="s">
        <v>2895</v>
      </c>
      <c r="Y3545" s="36" t="s">
        <v>2543</v>
      </c>
      <c r="Z3545" s="30" t="s">
        <v>2544</v>
      </c>
      <c r="AA3545" s="30" t="s">
        <v>1050</v>
      </c>
      <c r="AE3545" s="38">
        <v>1000</v>
      </c>
      <c r="AF3545" s="76">
        <f t="shared" ref="AF3545:AF3546" si="337">AF3544+AD3545-AE3545</f>
        <v>25140.659999999967</v>
      </c>
    </row>
    <row r="3546" spans="18:32" ht="8.25" customHeight="1" x14ac:dyDescent="0.25">
      <c r="R3546" s="53">
        <v>40</v>
      </c>
      <c r="T3546" s="33">
        <v>46162</v>
      </c>
      <c r="U3546" s="34">
        <v>2026</v>
      </c>
      <c r="V3546" s="35" t="s">
        <v>2448</v>
      </c>
      <c r="W3546" s="35" t="s">
        <v>5</v>
      </c>
      <c r="X3546" s="37" t="s">
        <v>2896</v>
      </c>
      <c r="Y3546" s="36" t="s">
        <v>2034</v>
      </c>
      <c r="Z3546" s="30" t="s">
        <v>2031</v>
      </c>
      <c r="AA3546" s="30" t="s">
        <v>1050</v>
      </c>
      <c r="AE3546" s="38">
        <v>200</v>
      </c>
      <c r="AF3546" s="76">
        <f t="shared" si="337"/>
        <v>24940.659999999967</v>
      </c>
    </row>
    <row r="3547" spans="18:32" ht="8.25" customHeight="1" thickBot="1" x14ac:dyDescent="0.3">
      <c r="AA3547" s="260" t="s">
        <v>2893</v>
      </c>
      <c r="AD3547" s="253">
        <f>SUM(AD3544:AD3546)</f>
        <v>0</v>
      </c>
      <c r="AE3547" s="253">
        <f>SUM(AE3544:AE3546)</f>
        <v>1400</v>
      </c>
      <c r="AF3547" s="233">
        <f>AF3543+AD3547-AE3547</f>
        <v>24940.659999999967</v>
      </c>
    </row>
    <row r="3548" spans="18:32" ht="8.25" customHeight="1" thickTop="1" x14ac:dyDescent="0.25">
      <c r="X3548" s="109"/>
      <c r="Y3548" s="67" t="s">
        <v>214</v>
      </c>
      <c r="Z3548" s="68"/>
      <c r="AA3548" s="75"/>
    </row>
    <row r="3549" spans="18:32" ht="8.25" customHeight="1" x14ac:dyDescent="0.25">
      <c r="X3549" s="110" t="s">
        <v>1117</v>
      </c>
      <c r="Y3549" s="111">
        <v>200</v>
      </c>
      <c r="Z3549" s="111">
        <f t="shared" ref="Z3549:Z3554" si="338">X3549*Y3549</f>
        <v>5600</v>
      </c>
      <c r="AA3549" s="112"/>
    </row>
    <row r="3550" spans="18:32" ht="8.25" customHeight="1" x14ac:dyDescent="0.25">
      <c r="X3550" s="110" t="s">
        <v>822</v>
      </c>
      <c r="Y3550" s="111">
        <v>100</v>
      </c>
      <c r="Z3550" s="111">
        <f t="shared" si="338"/>
        <v>17200</v>
      </c>
      <c r="AA3550" s="112"/>
    </row>
    <row r="3551" spans="18:32" ht="8.25" customHeight="1" x14ac:dyDescent="0.25">
      <c r="X3551" s="110" t="s">
        <v>222</v>
      </c>
      <c r="Y3551" s="111">
        <v>50</v>
      </c>
      <c r="Z3551" s="111">
        <f t="shared" si="338"/>
        <v>50</v>
      </c>
      <c r="AA3551" s="76"/>
    </row>
    <row r="3552" spans="18:32" ht="8.25" customHeight="1" x14ac:dyDescent="0.25">
      <c r="X3552" s="110" t="s">
        <v>402</v>
      </c>
      <c r="Y3552" s="111">
        <v>20</v>
      </c>
      <c r="Z3552" s="111">
        <f t="shared" si="338"/>
        <v>100</v>
      </c>
      <c r="AA3552" s="38"/>
    </row>
    <row r="3553" spans="9:32" ht="8.25" customHeight="1" x14ac:dyDescent="0.25">
      <c r="X3553" s="110" t="s">
        <v>319</v>
      </c>
      <c r="Y3553" s="111">
        <v>10</v>
      </c>
      <c r="Z3553" s="111">
        <f t="shared" si="338"/>
        <v>60</v>
      </c>
      <c r="AA3553" s="112"/>
    </row>
    <row r="3554" spans="9:32" ht="8.25" customHeight="1" x14ac:dyDescent="0.25">
      <c r="X3554" s="110" t="s">
        <v>2889</v>
      </c>
      <c r="Y3554" s="111">
        <v>5</v>
      </c>
      <c r="Z3554" s="111">
        <f t="shared" si="338"/>
        <v>1375</v>
      </c>
      <c r="AA3554" s="112"/>
    </row>
    <row r="3555" spans="9:32" ht="8.25" customHeight="1" x14ac:dyDescent="0.25">
      <c r="X3555" s="269"/>
      <c r="Y3555" s="270"/>
      <c r="Z3555" s="271"/>
      <c r="AA3555" s="38"/>
    </row>
    <row r="3556" spans="9:32" ht="8.25" customHeight="1" x14ac:dyDescent="0.25">
      <c r="X3556" s="110" t="s">
        <v>874</v>
      </c>
      <c r="Y3556" s="111">
        <v>1</v>
      </c>
      <c r="Z3556" s="111">
        <f t="shared" ref="Z3556:Z3561" si="339">X3556*Y3556</f>
        <v>470</v>
      </c>
      <c r="AA3556" s="76"/>
    </row>
    <row r="3557" spans="9:32" ht="8.25" customHeight="1" x14ac:dyDescent="0.25">
      <c r="X3557" s="110" t="s">
        <v>1496</v>
      </c>
      <c r="Y3557" s="111">
        <v>0.5</v>
      </c>
      <c r="Z3557" s="111">
        <f t="shared" si="339"/>
        <v>40.5</v>
      </c>
      <c r="AA3557" s="112"/>
    </row>
    <row r="3558" spans="9:32" ht="8.25" customHeight="1" x14ac:dyDescent="0.25">
      <c r="X3558" s="110" t="s">
        <v>1878</v>
      </c>
      <c r="Y3558" s="111">
        <v>0.25</v>
      </c>
      <c r="Z3558" s="111">
        <f t="shared" si="339"/>
        <v>45</v>
      </c>
      <c r="AA3558" s="113"/>
    </row>
    <row r="3559" spans="9:32" ht="8.25" customHeight="1" x14ac:dyDescent="0.25">
      <c r="X3559" s="110" t="s">
        <v>222</v>
      </c>
      <c r="Y3559" s="111">
        <v>0.1</v>
      </c>
      <c r="Z3559" s="111">
        <f t="shared" si="339"/>
        <v>0.1</v>
      </c>
      <c r="AA3559" s="114" t="s">
        <v>219</v>
      </c>
    </row>
    <row r="3560" spans="9:32" ht="8.25" customHeight="1" thickBot="1" x14ac:dyDescent="0.3">
      <c r="X3560" s="110" t="s">
        <v>222</v>
      </c>
      <c r="Y3560" s="111">
        <v>0.05</v>
      </c>
      <c r="Z3560" s="111">
        <f t="shared" si="339"/>
        <v>0.05</v>
      </c>
      <c r="AA3560" s="115">
        <f>SUM(Z3549:Z3554)+Z3556+Z3557+Z3558+Z3559+Z3560+Z3561</f>
        <v>24940.659999999996</v>
      </c>
    </row>
    <row r="3561" spans="9:32" ht="8.25" customHeight="1" thickTop="1" x14ac:dyDescent="0.25">
      <c r="X3561" s="110" t="s">
        <v>222</v>
      </c>
      <c r="Y3561" s="111">
        <v>0.01</v>
      </c>
      <c r="Z3561" s="111">
        <f t="shared" si="339"/>
        <v>0.01</v>
      </c>
    </row>
    <row r="3563" spans="9:32" ht="8.25" customHeight="1" x14ac:dyDescent="0.25">
      <c r="Z3563" s="231" t="s">
        <v>1376</v>
      </c>
      <c r="AF3563" s="76">
        <f>AF3546</f>
        <v>24940.659999999967</v>
      </c>
    </row>
    <row r="3564" spans="9:32" ht="8.25" customHeight="1" x14ac:dyDescent="0.25">
      <c r="N3564" s="52">
        <v>62</v>
      </c>
      <c r="T3564" s="33">
        <v>46163</v>
      </c>
      <c r="U3564" s="34">
        <v>2026</v>
      </c>
      <c r="V3564" s="35" t="s">
        <v>2448</v>
      </c>
      <c r="W3564" s="35" t="s">
        <v>17</v>
      </c>
      <c r="X3564" s="37" t="s">
        <v>2897</v>
      </c>
      <c r="Y3564" s="36" t="s">
        <v>433</v>
      </c>
      <c r="Z3564" s="30" t="s">
        <v>434</v>
      </c>
      <c r="AA3564" s="30" t="s">
        <v>3899</v>
      </c>
      <c r="AD3564" s="38">
        <v>7351.02</v>
      </c>
      <c r="AF3564" s="76">
        <f>AF3563+AD3564-AE3564</f>
        <v>32291.679999999968</v>
      </c>
    </row>
    <row r="3565" spans="9:32" ht="8.25" customHeight="1" x14ac:dyDescent="0.15">
      <c r="N3565" s="52">
        <v>62</v>
      </c>
      <c r="T3565" s="33">
        <v>46163</v>
      </c>
      <c r="U3565" s="34">
        <v>2026</v>
      </c>
      <c r="V3565" s="35" t="s">
        <v>2448</v>
      </c>
      <c r="W3565" s="35" t="s">
        <v>17</v>
      </c>
      <c r="X3565" s="37" t="s">
        <v>2897</v>
      </c>
      <c r="Y3565" s="36" t="s">
        <v>433</v>
      </c>
      <c r="Z3565" s="30" t="s">
        <v>434</v>
      </c>
      <c r="AA3565" s="134" t="s">
        <v>166</v>
      </c>
      <c r="AD3565" s="38">
        <v>4648.9799999999996</v>
      </c>
      <c r="AF3565" s="76">
        <f t="shared" ref="AF3565:AF3574" si="340">AF3564+AD3565-AE3565</f>
        <v>36940.659999999967</v>
      </c>
    </row>
    <row r="3566" spans="9:32" ht="8.25" customHeight="1" x14ac:dyDescent="0.25">
      <c r="I3566" s="52">
        <v>38</v>
      </c>
      <c r="T3566" s="33">
        <v>46163</v>
      </c>
      <c r="U3566" s="34">
        <v>2026</v>
      </c>
      <c r="V3566" s="35" t="s">
        <v>2448</v>
      </c>
      <c r="W3566" s="35" t="s">
        <v>17</v>
      </c>
      <c r="X3566" s="37" t="s">
        <v>2898</v>
      </c>
      <c r="Y3566" s="36" t="s">
        <v>2501</v>
      </c>
      <c r="Z3566" s="30" t="s">
        <v>2899</v>
      </c>
      <c r="AA3566" s="30" t="s">
        <v>1044</v>
      </c>
      <c r="AD3566" s="38">
        <v>100</v>
      </c>
      <c r="AF3566" s="76">
        <f t="shared" si="340"/>
        <v>37040.659999999967</v>
      </c>
    </row>
    <row r="3567" spans="9:32" ht="8.25" customHeight="1" x14ac:dyDescent="0.25">
      <c r="I3567" s="52">
        <v>39</v>
      </c>
      <c r="T3567" s="33">
        <v>46163</v>
      </c>
      <c r="U3567" s="34">
        <v>2026</v>
      </c>
      <c r="V3567" s="35" t="s">
        <v>2448</v>
      </c>
      <c r="W3567" s="35" t="s">
        <v>17</v>
      </c>
      <c r="X3567" s="37" t="s">
        <v>2901</v>
      </c>
      <c r="Y3567" s="36" t="s">
        <v>2902</v>
      </c>
      <c r="Z3567" s="30" t="s">
        <v>2903</v>
      </c>
      <c r="AA3567" s="30" t="s">
        <v>1044</v>
      </c>
      <c r="AD3567" s="38">
        <v>15909.09</v>
      </c>
      <c r="AF3567" s="76">
        <f t="shared" si="340"/>
        <v>52949.749999999971</v>
      </c>
    </row>
    <row r="3568" spans="9:32" ht="8.25" customHeight="1" x14ac:dyDescent="0.25">
      <c r="M3568" s="52">
        <v>12</v>
      </c>
      <c r="T3568" s="33">
        <v>46163</v>
      </c>
      <c r="U3568" s="34">
        <v>2026</v>
      </c>
      <c r="V3568" s="35" t="s">
        <v>2448</v>
      </c>
      <c r="W3568" s="35" t="s">
        <v>17</v>
      </c>
      <c r="X3568" s="37" t="s">
        <v>2900</v>
      </c>
      <c r="Y3568" s="36" t="s">
        <v>120</v>
      </c>
      <c r="Z3568" s="30" t="s">
        <v>2903</v>
      </c>
      <c r="AA3568" s="30" t="s">
        <v>385</v>
      </c>
      <c r="AD3568" s="38">
        <v>3181.82</v>
      </c>
      <c r="AF3568" s="76">
        <f t="shared" si="340"/>
        <v>56131.569999999971</v>
      </c>
    </row>
    <row r="3569" spans="3:32" ht="8.25" customHeight="1" x14ac:dyDescent="0.25">
      <c r="T3569" s="33">
        <v>46163</v>
      </c>
      <c r="U3569" s="34">
        <v>2026</v>
      </c>
      <c r="V3569" s="35" t="s">
        <v>2448</v>
      </c>
      <c r="W3569" s="35" t="s">
        <v>17</v>
      </c>
      <c r="X3569" s="37" t="s">
        <v>2904</v>
      </c>
      <c r="Y3569" s="36" t="s">
        <v>411</v>
      </c>
      <c r="Z3569" s="30" t="s">
        <v>412</v>
      </c>
      <c r="AA3569" s="30" t="s">
        <v>2719</v>
      </c>
      <c r="AE3569" s="38">
        <v>19090.91</v>
      </c>
      <c r="AF3569" s="76">
        <f t="shared" si="340"/>
        <v>37040.659999999974</v>
      </c>
    </row>
    <row r="3570" spans="3:32" ht="8.25" customHeight="1" x14ac:dyDescent="0.25">
      <c r="C3570" s="52">
        <v>12</v>
      </c>
      <c r="T3570" s="33">
        <v>46163</v>
      </c>
      <c r="U3570" s="34">
        <v>2026</v>
      </c>
      <c r="V3570" s="35" t="s">
        <v>2448</v>
      </c>
      <c r="W3570" s="35" t="s">
        <v>3620</v>
      </c>
      <c r="X3570" s="37" t="s">
        <v>2905</v>
      </c>
      <c r="Y3570" s="36" t="s">
        <v>2906</v>
      </c>
      <c r="Z3570" s="30" t="s">
        <v>2907</v>
      </c>
      <c r="AA3570" s="30" t="s">
        <v>340</v>
      </c>
      <c r="AD3570" s="38">
        <v>137</v>
      </c>
      <c r="AF3570" s="76">
        <f t="shared" si="340"/>
        <v>37177.659999999974</v>
      </c>
    </row>
    <row r="3571" spans="3:32" ht="8.25" customHeight="1" x14ac:dyDescent="0.25">
      <c r="C3571" s="52">
        <v>13</v>
      </c>
      <c r="T3571" s="33">
        <v>46163</v>
      </c>
      <c r="U3571" s="34">
        <v>2026</v>
      </c>
      <c r="V3571" s="35" t="s">
        <v>2448</v>
      </c>
      <c r="W3571" s="35" t="s">
        <v>3620</v>
      </c>
      <c r="X3571" s="37" t="s">
        <v>2909</v>
      </c>
      <c r="Y3571" s="36" t="s">
        <v>2425</v>
      </c>
      <c r="Z3571" s="30" t="s">
        <v>2908</v>
      </c>
      <c r="AA3571" s="30" t="s">
        <v>340</v>
      </c>
      <c r="AD3571" s="38">
        <v>20</v>
      </c>
      <c r="AF3571" s="76">
        <f t="shared" si="340"/>
        <v>37197.659999999974</v>
      </c>
    </row>
    <row r="3572" spans="3:32" ht="8.25" customHeight="1" x14ac:dyDescent="0.25">
      <c r="D3572" s="52">
        <v>9</v>
      </c>
      <c r="T3572" s="33">
        <v>46163</v>
      </c>
      <c r="U3572" s="34">
        <v>2026</v>
      </c>
      <c r="V3572" s="35" t="s">
        <v>2448</v>
      </c>
      <c r="W3572" s="35" t="s">
        <v>17</v>
      </c>
      <c r="X3572" s="37" t="s">
        <v>2910</v>
      </c>
      <c r="Y3572" s="36" t="s">
        <v>2911</v>
      </c>
      <c r="Z3572" s="30" t="s">
        <v>1669</v>
      </c>
      <c r="AA3572" s="30" t="s">
        <v>256</v>
      </c>
      <c r="AD3572" s="38">
        <v>6000</v>
      </c>
      <c r="AF3572" s="76">
        <f t="shared" si="340"/>
        <v>43197.659999999974</v>
      </c>
    </row>
    <row r="3573" spans="3:32" ht="8.25" customHeight="1" x14ac:dyDescent="0.25">
      <c r="R3573" s="53">
        <v>41</v>
      </c>
      <c r="T3573" s="33">
        <v>46163</v>
      </c>
      <c r="U3573" s="34">
        <v>2026</v>
      </c>
      <c r="V3573" s="35" t="s">
        <v>2448</v>
      </c>
      <c r="W3573" s="35" t="s">
        <v>17</v>
      </c>
      <c r="X3573" s="37" t="s">
        <v>2895</v>
      </c>
      <c r="Y3573" s="36" t="s">
        <v>2543</v>
      </c>
      <c r="Z3573" s="30" t="s">
        <v>2912</v>
      </c>
      <c r="AA3573" s="30" t="s">
        <v>1050</v>
      </c>
      <c r="AE3573" s="38">
        <v>1000</v>
      </c>
      <c r="AF3573" s="76">
        <f t="shared" si="340"/>
        <v>42197.659999999974</v>
      </c>
    </row>
    <row r="3574" spans="3:32" ht="8.25" customHeight="1" x14ac:dyDescent="0.25">
      <c r="R3574" s="53">
        <v>42</v>
      </c>
      <c r="T3574" s="33">
        <v>46163</v>
      </c>
      <c r="U3574" s="34">
        <v>2026</v>
      </c>
      <c r="V3574" s="35" t="s">
        <v>2448</v>
      </c>
      <c r="W3574" s="35" t="s">
        <v>17</v>
      </c>
      <c r="X3574" s="37" t="s">
        <v>2913</v>
      </c>
      <c r="Y3574" s="36" t="s">
        <v>1435</v>
      </c>
      <c r="Z3574" s="30" t="s">
        <v>1669</v>
      </c>
      <c r="AA3574" s="30" t="s">
        <v>1050</v>
      </c>
      <c r="AE3574" s="38">
        <v>6000</v>
      </c>
      <c r="AF3574" s="76">
        <f t="shared" si="340"/>
        <v>36197.659999999974</v>
      </c>
    </row>
    <row r="3575" spans="3:32" ht="8.25" customHeight="1" thickBot="1" x14ac:dyDescent="0.3">
      <c r="AA3575" s="260" t="s">
        <v>2893</v>
      </c>
      <c r="AD3575" s="253">
        <f>SUM(AD3564:AD3574)</f>
        <v>37347.910000000003</v>
      </c>
      <c r="AE3575" s="253">
        <f>SUM(AE3564:AE3574)</f>
        <v>26090.91</v>
      </c>
      <c r="AF3575" s="233">
        <f>AF3563+AD3575-AE3575</f>
        <v>36197.659999999974</v>
      </c>
    </row>
    <row r="3576" spans="3:32" ht="8.25" customHeight="1" thickTop="1" x14ac:dyDescent="0.25">
      <c r="X3576" s="109"/>
      <c r="Y3576" s="67" t="s">
        <v>214</v>
      </c>
      <c r="Z3576" s="68"/>
      <c r="AA3576" s="75"/>
    </row>
    <row r="3577" spans="3:32" ht="8.25" customHeight="1" x14ac:dyDescent="0.25">
      <c r="X3577" s="110" t="s">
        <v>1117</v>
      </c>
      <c r="Y3577" s="111">
        <v>200</v>
      </c>
      <c r="Z3577" s="111">
        <f t="shared" ref="Z3577:Z3582" si="341">X3577*Y3577</f>
        <v>5600</v>
      </c>
      <c r="AA3577" s="112"/>
    </row>
    <row r="3578" spans="3:32" ht="8.25" customHeight="1" x14ac:dyDescent="0.25">
      <c r="X3578" s="110" t="s">
        <v>2914</v>
      </c>
      <c r="Y3578" s="111">
        <v>100</v>
      </c>
      <c r="Z3578" s="111">
        <f t="shared" si="341"/>
        <v>28400</v>
      </c>
      <c r="AA3578" s="112"/>
    </row>
    <row r="3579" spans="3:32" ht="8.25" customHeight="1" x14ac:dyDescent="0.25">
      <c r="X3579" s="110" t="s">
        <v>224</v>
      </c>
      <c r="Y3579" s="111">
        <v>50</v>
      </c>
      <c r="Z3579" s="111">
        <f t="shared" si="341"/>
        <v>100</v>
      </c>
      <c r="AA3579" s="76"/>
    </row>
    <row r="3580" spans="3:32" ht="8.25" customHeight="1" x14ac:dyDescent="0.25">
      <c r="X3580" s="110" t="s">
        <v>319</v>
      </c>
      <c r="Y3580" s="111">
        <v>20</v>
      </c>
      <c r="Z3580" s="111">
        <f t="shared" si="341"/>
        <v>120</v>
      </c>
      <c r="AA3580" s="38"/>
    </row>
    <row r="3581" spans="3:32" ht="8.25" customHeight="1" x14ac:dyDescent="0.25">
      <c r="X3581" s="110" t="s">
        <v>299</v>
      </c>
      <c r="Y3581" s="111">
        <v>10</v>
      </c>
      <c r="Z3581" s="111">
        <f t="shared" si="341"/>
        <v>40</v>
      </c>
      <c r="AA3581" s="112"/>
    </row>
    <row r="3582" spans="3:32" ht="8.25" customHeight="1" x14ac:dyDescent="0.25">
      <c r="X3582" s="110" t="s">
        <v>2861</v>
      </c>
      <c r="Y3582" s="111">
        <v>5</v>
      </c>
      <c r="Z3582" s="111">
        <f t="shared" si="341"/>
        <v>1380</v>
      </c>
      <c r="AA3582" s="112"/>
    </row>
    <row r="3583" spans="3:32" ht="8.25" customHeight="1" x14ac:dyDescent="0.25">
      <c r="X3583" s="269"/>
      <c r="Y3583" s="270"/>
      <c r="Z3583" s="271"/>
      <c r="AA3583" s="38"/>
    </row>
    <row r="3584" spans="3:32" ht="8.25" customHeight="1" x14ac:dyDescent="0.25">
      <c r="X3584" s="110" t="s">
        <v>838</v>
      </c>
      <c r="Y3584" s="111">
        <v>1</v>
      </c>
      <c r="Z3584" s="111">
        <f t="shared" ref="Z3584:Z3589" si="342">X3584*Y3584</f>
        <v>472</v>
      </c>
      <c r="AA3584" s="76"/>
    </row>
    <row r="3585" spans="14:32" ht="8.25" customHeight="1" x14ac:dyDescent="0.25">
      <c r="X3585" s="110" t="s">
        <v>1496</v>
      </c>
      <c r="Y3585" s="111">
        <v>0.5</v>
      </c>
      <c r="Z3585" s="111">
        <f t="shared" si="342"/>
        <v>40.5</v>
      </c>
      <c r="AA3585" s="112"/>
    </row>
    <row r="3586" spans="14:32" ht="8.25" customHeight="1" x14ac:dyDescent="0.25">
      <c r="X3586" s="110" t="s">
        <v>1878</v>
      </c>
      <c r="Y3586" s="111">
        <v>0.25</v>
      </c>
      <c r="Z3586" s="111">
        <f t="shared" si="342"/>
        <v>45</v>
      </c>
      <c r="AA3586" s="113"/>
    </row>
    <row r="3587" spans="14:32" ht="8.25" customHeight="1" x14ac:dyDescent="0.25">
      <c r="X3587" s="110" t="s">
        <v>222</v>
      </c>
      <c r="Y3587" s="111">
        <v>0.1</v>
      </c>
      <c r="Z3587" s="111">
        <f t="shared" si="342"/>
        <v>0.1</v>
      </c>
      <c r="AA3587" s="114" t="s">
        <v>219</v>
      </c>
    </row>
    <row r="3588" spans="14:32" ht="8.25" customHeight="1" thickBot="1" x14ac:dyDescent="0.3">
      <c r="X3588" s="110" t="s">
        <v>222</v>
      </c>
      <c r="Y3588" s="111">
        <v>0.05</v>
      </c>
      <c r="Z3588" s="111">
        <f t="shared" si="342"/>
        <v>0.05</v>
      </c>
      <c r="AA3588" s="115">
        <f>SUM(Z3577:Z3582)+Z3584+Z3585+Z3586+Z3587+Z3588+Z3589</f>
        <v>36197.660000000003</v>
      </c>
    </row>
    <row r="3589" spans="14:32" ht="8.25" customHeight="1" thickTop="1" x14ac:dyDescent="0.25">
      <c r="X3589" s="110" t="s">
        <v>222</v>
      </c>
      <c r="Y3589" s="111">
        <v>0.01</v>
      </c>
      <c r="Z3589" s="111">
        <f t="shared" si="342"/>
        <v>0.01</v>
      </c>
    </row>
    <row r="3591" spans="14:32" ht="8.25" customHeight="1" x14ac:dyDescent="0.25">
      <c r="Z3591" s="231" t="s">
        <v>1376</v>
      </c>
      <c r="AF3591" s="76">
        <f>AF3575</f>
        <v>36197.659999999974</v>
      </c>
    </row>
    <row r="3592" spans="14:32" ht="8.25" customHeight="1" x14ac:dyDescent="0.25">
      <c r="T3592" s="33">
        <v>46164</v>
      </c>
      <c r="U3592" s="34">
        <v>2026</v>
      </c>
      <c r="V3592" s="35" t="s">
        <v>2448</v>
      </c>
      <c r="W3592" s="35" t="s">
        <v>5</v>
      </c>
      <c r="X3592" s="37" t="s">
        <v>2917</v>
      </c>
      <c r="Y3592" s="36" t="s">
        <v>411</v>
      </c>
      <c r="Z3592" s="30" t="s">
        <v>412</v>
      </c>
      <c r="AA3592" s="30" t="s">
        <v>1882</v>
      </c>
      <c r="AE3592" s="38">
        <v>20000</v>
      </c>
      <c r="AF3592" s="76">
        <f>AF3591+AD3592-AE3592</f>
        <v>16197.659999999974</v>
      </c>
    </row>
    <row r="3593" spans="14:32" ht="8.25" customHeight="1" x14ac:dyDescent="0.25">
      <c r="R3593" s="53">
        <v>43</v>
      </c>
      <c r="T3593" s="33">
        <v>46164</v>
      </c>
      <c r="U3593" s="34">
        <v>2026</v>
      </c>
      <c r="V3593" s="35" t="s">
        <v>2448</v>
      </c>
      <c r="W3593" s="35" t="s">
        <v>5</v>
      </c>
      <c r="X3593" s="37" t="s">
        <v>2919</v>
      </c>
      <c r="Y3593" s="36" t="s">
        <v>1142</v>
      </c>
      <c r="Z3593" s="30" t="s">
        <v>1139</v>
      </c>
      <c r="AA3593" s="30" t="s">
        <v>1050</v>
      </c>
      <c r="AE3593" s="38">
        <v>150</v>
      </c>
      <c r="AF3593" s="76">
        <f t="shared" ref="AF3593:AF3595" si="343">AF3592+AD3593-AE3593</f>
        <v>16047.659999999974</v>
      </c>
    </row>
    <row r="3594" spans="14:32" ht="8.25" customHeight="1" x14ac:dyDescent="0.25">
      <c r="N3594" s="52">
        <v>63</v>
      </c>
      <c r="T3594" s="33">
        <v>46164</v>
      </c>
      <c r="U3594" s="34">
        <v>2026</v>
      </c>
      <c r="V3594" s="35" t="s">
        <v>2448</v>
      </c>
      <c r="W3594" s="35" t="s">
        <v>17</v>
      </c>
      <c r="X3594" s="37" t="s">
        <v>2915</v>
      </c>
      <c r="Y3594" s="36" t="s">
        <v>2916</v>
      </c>
      <c r="Z3594" s="30" t="s">
        <v>2352</v>
      </c>
      <c r="AA3594" s="30" t="s">
        <v>3899</v>
      </c>
      <c r="AD3594" s="38">
        <v>3314.42</v>
      </c>
      <c r="AF3594" s="76">
        <f t="shared" si="343"/>
        <v>19362.079999999973</v>
      </c>
    </row>
    <row r="3595" spans="14:32" ht="8.25" customHeight="1" x14ac:dyDescent="0.15">
      <c r="N3595" s="52">
        <v>63</v>
      </c>
      <c r="T3595" s="33">
        <v>46164</v>
      </c>
      <c r="U3595" s="34">
        <v>2026</v>
      </c>
      <c r="V3595" s="35" t="s">
        <v>2448</v>
      </c>
      <c r="W3595" s="35" t="s">
        <v>17</v>
      </c>
      <c r="X3595" s="37" t="s">
        <v>2915</v>
      </c>
      <c r="Y3595" s="36" t="s">
        <v>2916</v>
      </c>
      <c r="Z3595" s="30" t="s">
        <v>2352</v>
      </c>
      <c r="AA3595" s="134" t="s">
        <v>166</v>
      </c>
      <c r="AD3595" s="38">
        <v>7845.58</v>
      </c>
      <c r="AF3595" s="76">
        <f t="shared" si="343"/>
        <v>27207.659999999974</v>
      </c>
    </row>
    <row r="3596" spans="14:32" ht="8.25" customHeight="1" thickBot="1" x14ac:dyDescent="0.3">
      <c r="AA3596" s="260" t="s">
        <v>2893</v>
      </c>
      <c r="AD3596" s="253">
        <f>SUM(AD3592:AD3595)</f>
        <v>11160</v>
      </c>
      <c r="AE3596" s="253">
        <f>SUM(AE3592:AE3595)</f>
        <v>20150</v>
      </c>
      <c r="AF3596" s="233">
        <f>AF3591+AD3596-AE3596</f>
        <v>27207.659999999974</v>
      </c>
    </row>
    <row r="3597" spans="14:32" ht="8.25" customHeight="1" thickTop="1" x14ac:dyDescent="0.25">
      <c r="X3597" s="109"/>
      <c r="Y3597" s="67" t="s">
        <v>214</v>
      </c>
      <c r="Z3597" s="68"/>
      <c r="AA3597" s="75"/>
    </row>
    <row r="3598" spans="14:32" ht="8.25" customHeight="1" x14ac:dyDescent="0.25">
      <c r="X3598" s="110" t="s">
        <v>1117</v>
      </c>
      <c r="Y3598" s="111">
        <v>200</v>
      </c>
      <c r="Z3598" s="111">
        <f t="shared" ref="Z3598:Z3603" si="344">X3598*Y3598</f>
        <v>5600</v>
      </c>
      <c r="AA3598" s="112"/>
    </row>
    <row r="3599" spans="14:32" ht="8.25" customHeight="1" x14ac:dyDescent="0.25">
      <c r="X3599" s="110" t="s">
        <v>2918</v>
      </c>
      <c r="Y3599" s="111">
        <v>100</v>
      </c>
      <c r="Z3599" s="111">
        <f t="shared" si="344"/>
        <v>19500</v>
      </c>
      <c r="AA3599" s="112"/>
    </row>
    <row r="3600" spans="14:32" ht="8.25" customHeight="1" x14ac:dyDescent="0.25">
      <c r="X3600" s="110" t="s">
        <v>222</v>
      </c>
      <c r="Y3600" s="111">
        <v>50</v>
      </c>
      <c r="Z3600" s="111">
        <f t="shared" si="344"/>
        <v>50</v>
      </c>
      <c r="AA3600" s="76"/>
    </row>
    <row r="3601" spans="9:32" ht="8.25" customHeight="1" x14ac:dyDescent="0.25">
      <c r="X3601" s="110" t="s">
        <v>299</v>
      </c>
      <c r="Y3601" s="111">
        <v>20</v>
      </c>
      <c r="Z3601" s="111">
        <f t="shared" si="344"/>
        <v>80</v>
      </c>
      <c r="AA3601" s="38"/>
    </row>
    <row r="3602" spans="9:32" ht="8.25" customHeight="1" x14ac:dyDescent="0.25">
      <c r="X3602" s="110" t="s">
        <v>299</v>
      </c>
      <c r="Y3602" s="111">
        <v>10</v>
      </c>
      <c r="Z3602" s="111">
        <f t="shared" si="344"/>
        <v>40</v>
      </c>
      <c r="AA3602" s="112"/>
    </row>
    <row r="3603" spans="9:32" ht="8.25" customHeight="1" x14ac:dyDescent="0.25">
      <c r="X3603" s="110" t="s">
        <v>2861</v>
      </c>
      <c r="Y3603" s="111">
        <v>5</v>
      </c>
      <c r="Z3603" s="111">
        <f t="shared" si="344"/>
        <v>1380</v>
      </c>
      <c r="AA3603" s="112"/>
    </row>
    <row r="3604" spans="9:32" ht="8.25" customHeight="1" x14ac:dyDescent="0.25">
      <c r="X3604" s="269"/>
      <c r="Y3604" s="270"/>
      <c r="Z3604" s="271"/>
      <c r="AA3604" s="38"/>
    </row>
    <row r="3605" spans="9:32" ht="8.25" customHeight="1" x14ac:dyDescent="0.25">
      <c r="X3605" s="110" t="s">
        <v>838</v>
      </c>
      <c r="Y3605" s="111">
        <v>1</v>
      </c>
      <c r="Z3605" s="111">
        <f t="shared" ref="Z3605:Z3610" si="345">X3605*Y3605</f>
        <v>472</v>
      </c>
      <c r="AA3605" s="76"/>
    </row>
    <row r="3606" spans="9:32" ht="8.25" customHeight="1" x14ac:dyDescent="0.25">
      <c r="X3606" s="110" t="s">
        <v>1496</v>
      </c>
      <c r="Y3606" s="111">
        <v>0.5</v>
      </c>
      <c r="Z3606" s="111">
        <f t="shared" si="345"/>
        <v>40.5</v>
      </c>
      <c r="AA3606" s="112"/>
    </row>
    <row r="3607" spans="9:32" ht="8.25" customHeight="1" x14ac:dyDescent="0.25">
      <c r="X3607" s="110" t="s">
        <v>1878</v>
      </c>
      <c r="Y3607" s="111">
        <v>0.25</v>
      </c>
      <c r="Z3607" s="111">
        <f t="shared" si="345"/>
        <v>45</v>
      </c>
      <c r="AA3607" s="113"/>
    </row>
    <row r="3608" spans="9:32" ht="8.25" customHeight="1" x14ac:dyDescent="0.25">
      <c r="X3608" s="110" t="s">
        <v>222</v>
      </c>
      <c r="Y3608" s="111">
        <v>0.1</v>
      </c>
      <c r="Z3608" s="111">
        <f t="shared" si="345"/>
        <v>0.1</v>
      </c>
      <c r="AA3608" s="114" t="s">
        <v>219</v>
      </c>
    </row>
    <row r="3609" spans="9:32" ht="8.25" customHeight="1" thickBot="1" x14ac:dyDescent="0.3">
      <c r="X3609" s="110" t="s">
        <v>222</v>
      </c>
      <c r="Y3609" s="111">
        <v>0.05</v>
      </c>
      <c r="Z3609" s="111">
        <f t="shared" si="345"/>
        <v>0.05</v>
      </c>
      <c r="AA3609" s="115">
        <f>SUM(Z3598:Z3603)+Z3605+Z3606+Z3607+Z3608+Z3609+Z3610</f>
        <v>27207.659999999996</v>
      </c>
    </row>
    <row r="3610" spans="9:32" ht="8.25" customHeight="1" thickTop="1" x14ac:dyDescent="0.25">
      <c r="X3610" s="110" t="s">
        <v>222</v>
      </c>
      <c r="Y3610" s="111">
        <v>0.01</v>
      </c>
      <c r="Z3610" s="111">
        <f t="shared" si="345"/>
        <v>0.01</v>
      </c>
    </row>
    <row r="3612" spans="9:32" ht="8.25" customHeight="1" x14ac:dyDescent="0.25">
      <c r="Z3612" s="231" t="s">
        <v>1376</v>
      </c>
      <c r="AF3612" s="76">
        <f>AF3596</f>
        <v>27207.659999999974</v>
      </c>
    </row>
    <row r="3613" spans="9:32" ht="8.25" customHeight="1" x14ac:dyDescent="0.25">
      <c r="N3613" s="52">
        <v>64</v>
      </c>
      <c r="T3613" s="33">
        <v>46165</v>
      </c>
      <c r="U3613" s="34">
        <v>2026</v>
      </c>
      <c r="V3613" s="35" t="s">
        <v>2448</v>
      </c>
      <c r="W3613" s="35" t="s">
        <v>17</v>
      </c>
      <c r="X3613" s="37" t="s">
        <v>2920</v>
      </c>
      <c r="Y3613" s="36" t="s">
        <v>2345</v>
      </c>
      <c r="Z3613" s="30" t="s">
        <v>1687</v>
      </c>
      <c r="AA3613" s="30" t="s">
        <v>3708</v>
      </c>
      <c r="AD3613" s="38">
        <v>758</v>
      </c>
      <c r="AF3613" s="76">
        <f>AF3612+AD3613-AE3613</f>
        <v>27965.659999999974</v>
      </c>
    </row>
    <row r="3614" spans="9:32" ht="8.25" customHeight="1" x14ac:dyDescent="0.15">
      <c r="N3614" s="52">
        <v>64</v>
      </c>
      <c r="T3614" s="33">
        <v>46165</v>
      </c>
      <c r="U3614" s="34">
        <v>2026</v>
      </c>
      <c r="V3614" s="35" t="s">
        <v>2448</v>
      </c>
      <c r="W3614" s="35" t="s">
        <v>17</v>
      </c>
      <c r="X3614" s="37" t="s">
        <v>2920</v>
      </c>
      <c r="Y3614" s="36" t="s">
        <v>2345</v>
      </c>
      <c r="Z3614" s="30" t="s">
        <v>1687</v>
      </c>
      <c r="AA3614" s="134" t="s">
        <v>183</v>
      </c>
      <c r="AD3614" s="38">
        <v>209</v>
      </c>
      <c r="AF3614" s="76">
        <f t="shared" ref="AF3614:AF3617" si="346">AF3613+AD3614-AE3614</f>
        <v>28174.659999999974</v>
      </c>
    </row>
    <row r="3615" spans="9:32" ht="8.25" customHeight="1" x14ac:dyDescent="0.25">
      <c r="I3615" s="52">
        <v>40</v>
      </c>
      <c r="T3615" s="33">
        <v>46165</v>
      </c>
      <c r="U3615" s="34">
        <v>2026</v>
      </c>
      <c r="V3615" s="35" t="s">
        <v>2448</v>
      </c>
      <c r="W3615" s="35" t="s">
        <v>17</v>
      </c>
      <c r="X3615" s="37" t="s">
        <v>2921</v>
      </c>
      <c r="Y3615" s="36" t="s">
        <v>2922</v>
      </c>
      <c r="Z3615" s="30" t="s">
        <v>2923</v>
      </c>
      <c r="AA3615" s="30" t="s">
        <v>1044</v>
      </c>
      <c r="AD3615" s="38">
        <v>5630</v>
      </c>
      <c r="AF3615" s="76">
        <f t="shared" si="346"/>
        <v>33804.659999999974</v>
      </c>
    </row>
    <row r="3616" spans="9:32" ht="8.25" customHeight="1" x14ac:dyDescent="0.25">
      <c r="R3616" s="53">
        <v>44</v>
      </c>
      <c r="T3616" s="33">
        <v>46165</v>
      </c>
      <c r="U3616" s="34">
        <v>2026</v>
      </c>
      <c r="V3616" s="35" t="s">
        <v>2448</v>
      </c>
      <c r="W3616" s="35" t="s">
        <v>5</v>
      </c>
      <c r="X3616" s="37" t="s">
        <v>2924</v>
      </c>
      <c r="Y3616" s="36" t="s">
        <v>2925</v>
      </c>
      <c r="Z3616" s="30" t="s">
        <v>2923</v>
      </c>
      <c r="AA3616" s="30" t="s">
        <v>1145</v>
      </c>
      <c r="AE3616" s="38">
        <v>5000</v>
      </c>
      <c r="AF3616" s="76">
        <f t="shared" si="346"/>
        <v>28804.659999999974</v>
      </c>
    </row>
    <row r="3617" spans="18:32" ht="8.25" customHeight="1" x14ac:dyDescent="0.25">
      <c r="R3617" s="53">
        <v>45</v>
      </c>
      <c r="T3617" s="33">
        <v>46165</v>
      </c>
      <c r="U3617" s="34">
        <v>2026</v>
      </c>
      <c r="V3617" s="35" t="s">
        <v>2448</v>
      </c>
      <c r="W3617" s="35" t="s">
        <v>5</v>
      </c>
      <c r="X3617" s="37" t="s">
        <v>2924</v>
      </c>
      <c r="Y3617" s="36" t="s">
        <v>2925</v>
      </c>
      <c r="Z3617" s="30" t="s">
        <v>2923</v>
      </c>
      <c r="AA3617" s="30" t="s">
        <v>1149</v>
      </c>
      <c r="AE3617" s="38">
        <v>630</v>
      </c>
      <c r="AF3617" s="76">
        <f t="shared" si="346"/>
        <v>28174.659999999974</v>
      </c>
    </row>
    <row r="3618" spans="18:32" ht="8.25" customHeight="1" thickBot="1" x14ac:dyDescent="0.3">
      <c r="AA3618" s="260" t="s">
        <v>2893</v>
      </c>
      <c r="AD3618" s="253">
        <f>SUM(AD3613:AD3617)</f>
        <v>6597</v>
      </c>
      <c r="AE3618" s="253">
        <f>SUM(AE3613:AE3617)</f>
        <v>5630</v>
      </c>
      <c r="AF3618" s="233">
        <f>AF3612+AD3618-AE3618</f>
        <v>28174.659999999974</v>
      </c>
    </row>
    <row r="3619" spans="18:32" ht="8.25" customHeight="1" thickTop="1" x14ac:dyDescent="0.25"/>
    <row r="3620" spans="18:32" ht="8.25" customHeight="1" x14ac:dyDescent="0.25">
      <c r="X3620" s="109"/>
      <c r="Y3620" s="67" t="s">
        <v>214</v>
      </c>
      <c r="Z3620" s="68"/>
      <c r="AA3620" s="75"/>
    </row>
    <row r="3621" spans="18:32" ht="8.25" customHeight="1" x14ac:dyDescent="0.25">
      <c r="X3621" s="110" t="s">
        <v>1117</v>
      </c>
      <c r="Y3621" s="111">
        <v>200</v>
      </c>
      <c r="Z3621" s="111">
        <f t="shared" ref="Z3621:Z3626" si="347">X3621*Y3621</f>
        <v>5600</v>
      </c>
      <c r="AA3621" s="112"/>
    </row>
    <row r="3622" spans="18:32" ht="8.25" customHeight="1" x14ac:dyDescent="0.25">
      <c r="X3622" s="110" t="s">
        <v>2926</v>
      </c>
      <c r="Y3622" s="111">
        <v>100</v>
      </c>
      <c r="Z3622" s="111">
        <f t="shared" si="347"/>
        <v>20500</v>
      </c>
      <c r="AA3622" s="112"/>
    </row>
    <row r="3623" spans="18:32" ht="8.25" customHeight="1" x14ac:dyDescent="0.25">
      <c r="X3623" s="110" t="s">
        <v>222</v>
      </c>
      <c r="Y3623" s="111">
        <v>50</v>
      </c>
      <c r="Z3623" s="111">
        <f t="shared" si="347"/>
        <v>50</v>
      </c>
      <c r="AA3623" s="76"/>
    </row>
    <row r="3624" spans="18:32" ht="8.25" customHeight="1" x14ac:dyDescent="0.25">
      <c r="X3624" s="110" t="s">
        <v>223</v>
      </c>
      <c r="Y3624" s="111">
        <v>20</v>
      </c>
      <c r="Z3624" s="111">
        <f t="shared" si="347"/>
        <v>60</v>
      </c>
      <c r="AA3624" s="38"/>
    </row>
    <row r="3625" spans="18:32" ht="8.25" customHeight="1" x14ac:dyDescent="0.25">
      <c r="X3625" s="110" t="s">
        <v>223</v>
      </c>
      <c r="Y3625" s="111">
        <v>10</v>
      </c>
      <c r="Z3625" s="111">
        <f t="shared" si="347"/>
        <v>30</v>
      </c>
      <c r="AA3625" s="112"/>
    </row>
    <row r="3626" spans="18:32" ht="8.25" customHeight="1" x14ac:dyDescent="0.25">
      <c r="X3626" s="110" t="s">
        <v>2861</v>
      </c>
      <c r="Y3626" s="111">
        <v>5</v>
      </c>
      <c r="Z3626" s="111">
        <f t="shared" si="347"/>
        <v>1380</v>
      </c>
      <c r="AA3626" s="112"/>
    </row>
    <row r="3627" spans="18:32" ht="8.25" customHeight="1" x14ac:dyDescent="0.25">
      <c r="X3627" s="269"/>
      <c r="Y3627" s="270"/>
      <c r="Z3627" s="271"/>
      <c r="AA3627" s="38"/>
    </row>
    <row r="3628" spans="18:32" ht="8.25" customHeight="1" x14ac:dyDescent="0.25">
      <c r="X3628" s="110" t="s">
        <v>2927</v>
      </c>
      <c r="Y3628" s="111">
        <v>1</v>
      </c>
      <c r="Z3628" s="111">
        <f t="shared" ref="Z3628:Z3633" si="348">X3628*Y3628</f>
        <v>469</v>
      </c>
      <c r="AA3628" s="76"/>
    </row>
    <row r="3629" spans="18:32" ht="8.25" customHeight="1" x14ac:dyDescent="0.25">
      <c r="X3629" s="110" t="s">
        <v>1496</v>
      </c>
      <c r="Y3629" s="111">
        <v>0.5</v>
      </c>
      <c r="Z3629" s="111">
        <f t="shared" si="348"/>
        <v>40.5</v>
      </c>
      <c r="AA3629" s="112"/>
    </row>
    <row r="3630" spans="18:32" ht="8.25" customHeight="1" x14ac:dyDescent="0.25">
      <c r="X3630" s="110" t="s">
        <v>1878</v>
      </c>
      <c r="Y3630" s="111">
        <v>0.25</v>
      </c>
      <c r="Z3630" s="111">
        <f t="shared" si="348"/>
        <v>45</v>
      </c>
      <c r="AA3630" s="113"/>
    </row>
    <row r="3631" spans="18:32" ht="8.25" customHeight="1" x14ac:dyDescent="0.25">
      <c r="X3631" s="110" t="s">
        <v>222</v>
      </c>
      <c r="Y3631" s="111">
        <v>0.1</v>
      </c>
      <c r="Z3631" s="111">
        <f t="shared" si="348"/>
        <v>0.1</v>
      </c>
      <c r="AA3631" s="114" t="s">
        <v>219</v>
      </c>
    </row>
    <row r="3632" spans="18:32" ht="8.25" customHeight="1" thickBot="1" x14ac:dyDescent="0.3">
      <c r="X3632" s="110" t="s">
        <v>222</v>
      </c>
      <c r="Y3632" s="111">
        <v>0.05</v>
      </c>
      <c r="Z3632" s="111">
        <f t="shared" si="348"/>
        <v>0.05</v>
      </c>
      <c r="AA3632" s="115">
        <f>SUM(Z3621:Z3626)+Z3628+Z3629+Z3630+Z3631+Z3632+Z3633</f>
        <v>28174.659999999996</v>
      </c>
    </row>
    <row r="3633" spans="9:32" ht="8.25" customHeight="1" thickTop="1" x14ac:dyDescent="0.25">
      <c r="X3633" s="110" t="s">
        <v>222</v>
      </c>
      <c r="Y3633" s="111">
        <v>0.01</v>
      </c>
      <c r="Z3633" s="111">
        <f t="shared" si="348"/>
        <v>0.01</v>
      </c>
    </row>
    <row r="3635" spans="9:32" ht="8.25" customHeight="1" x14ac:dyDescent="0.25">
      <c r="Z3635" s="231" t="s">
        <v>1376</v>
      </c>
      <c r="AF3635" s="76">
        <f>AF3618</f>
        <v>28174.659999999974</v>
      </c>
    </row>
    <row r="3636" spans="9:32" ht="8.25" customHeight="1" x14ac:dyDescent="0.25">
      <c r="N3636" s="52">
        <v>65</v>
      </c>
      <c r="T3636" s="33">
        <v>46167</v>
      </c>
      <c r="U3636" s="34">
        <v>2026</v>
      </c>
      <c r="V3636" s="35" t="s">
        <v>2448</v>
      </c>
      <c r="W3636" s="35" t="s">
        <v>17</v>
      </c>
      <c r="X3636" s="37" t="s">
        <v>2928</v>
      </c>
      <c r="Y3636" s="36" t="s">
        <v>1783</v>
      </c>
      <c r="Z3636" s="30" t="s">
        <v>1283</v>
      </c>
      <c r="AA3636" s="30" t="s">
        <v>3899</v>
      </c>
      <c r="AD3636" s="38">
        <v>7569.77</v>
      </c>
      <c r="AF3636" s="76">
        <f>AF3635+AD3636-AE3636</f>
        <v>35744.429999999978</v>
      </c>
    </row>
    <row r="3637" spans="9:32" ht="8.25" customHeight="1" x14ac:dyDescent="0.15">
      <c r="N3637" s="52">
        <v>65</v>
      </c>
      <c r="T3637" s="33">
        <v>46167</v>
      </c>
      <c r="U3637" s="34">
        <v>2026</v>
      </c>
      <c r="V3637" s="35" t="s">
        <v>2448</v>
      </c>
      <c r="W3637" s="35" t="s">
        <v>17</v>
      </c>
      <c r="X3637" s="37" t="s">
        <v>2928</v>
      </c>
      <c r="Y3637" s="36" t="s">
        <v>1783</v>
      </c>
      <c r="Z3637" s="30" t="s">
        <v>1283</v>
      </c>
      <c r="AA3637" s="134" t="s">
        <v>166</v>
      </c>
      <c r="AD3637" s="38">
        <v>6430.23</v>
      </c>
      <c r="AF3637" s="76">
        <f t="shared" ref="AF3637:AF3651" si="349">AF3636+AD3637-AE3637</f>
        <v>42174.659999999974</v>
      </c>
    </row>
    <row r="3638" spans="9:32" ht="8.25" customHeight="1" x14ac:dyDescent="0.25">
      <c r="N3638" s="52">
        <v>66</v>
      </c>
      <c r="T3638" s="33">
        <v>46167</v>
      </c>
      <c r="U3638" s="34">
        <v>2026</v>
      </c>
      <c r="V3638" s="35" t="s">
        <v>2448</v>
      </c>
      <c r="W3638" s="35" t="s">
        <v>17</v>
      </c>
      <c r="X3638" s="37" t="s">
        <v>2929</v>
      </c>
      <c r="Y3638" s="36" t="s">
        <v>1126</v>
      </c>
      <c r="Z3638" s="30" t="s">
        <v>1813</v>
      </c>
      <c r="AA3638" s="30" t="s">
        <v>3899</v>
      </c>
      <c r="AD3638" s="38">
        <v>5664.27</v>
      </c>
      <c r="AF3638" s="76">
        <f t="shared" si="349"/>
        <v>47838.929999999978</v>
      </c>
    </row>
    <row r="3639" spans="9:32" ht="8.25" customHeight="1" x14ac:dyDescent="0.15">
      <c r="N3639" s="52">
        <v>66</v>
      </c>
      <c r="T3639" s="33">
        <v>46167</v>
      </c>
      <c r="U3639" s="34">
        <v>2026</v>
      </c>
      <c r="V3639" s="35" t="s">
        <v>2448</v>
      </c>
      <c r="W3639" s="35" t="s">
        <v>17</v>
      </c>
      <c r="X3639" s="37" t="s">
        <v>2929</v>
      </c>
      <c r="Y3639" s="36" t="s">
        <v>1126</v>
      </c>
      <c r="Z3639" s="30" t="s">
        <v>1813</v>
      </c>
      <c r="AA3639" s="134" t="s">
        <v>166</v>
      </c>
      <c r="AD3639" s="38">
        <v>10635.73</v>
      </c>
      <c r="AF3639" s="76">
        <f t="shared" si="349"/>
        <v>58474.659999999974</v>
      </c>
    </row>
    <row r="3640" spans="9:32" ht="8.25" customHeight="1" x14ac:dyDescent="0.25">
      <c r="I3640" s="52">
        <v>41</v>
      </c>
      <c r="T3640" s="33">
        <v>46167</v>
      </c>
      <c r="U3640" s="34">
        <v>2026</v>
      </c>
      <c r="V3640" s="35" t="s">
        <v>2448</v>
      </c>
      <c r="W3640" s="35" t="s">
        <v>17</v>
      </c>
      <c r="X3640" s="37" t="s">
        <v>2930</v>
      </c>
      <c r="Y3640" s="36" t="s">
        <v>419</v>
      </c>
      <c r="Z3640" s="30" t="s">
        <v>1565</v>
      </c>
      <c r="AA3640" s="30" t="s">
        <v>13</v>
      </c>
      <c r="AD3640" s="38">
        <v>400</v>
      </c>
      <c r="AF3640" s="76">
        <f t="shared" si="349"/>
        <v>58874.659999999974</v>
      </c>
    </row>
    <row r="3641" spans="9:32" ht="8.25" customHeight="1" x14ac:dyDescent="0.25">
      <c r="N3641" s="52">
        <v>67</v>
      </c>
      <c r="T3641" s="33">
        <v>46167</v>
      </c>
      <c r="U3641" s="34">
        <v>2026</v>
      </c>
      <c r="V3641" s="35" t="s">
        <v>2448</v>
      </c>
      <c r="W3641" s="35" t="s">
        <v>17</v>
      </c>
      <c r="X3641" s="37" t="s">
        <v>2931</v>
      </c>
      <c r="Y3641" s="36" t="s">
        <v>765</v>
      </c>
      <c r="Z3641" s="30" t="s">
        <v>1355</v>
      </c>
      <c r="AA3641" s="30" t="s">
        <v>3899</v>
      </c>
      <c r="AD3641" s="38">
        <v>3430.58</v>
      </c>
      <c r="AF3641" s="76">
        <f t="shared" si="349"/>
        <v>62305.239999999976</v>
      </c>
    </row>
    <row r="3642" spans="9:32" ht="8.25" customHeight="1" x14ac:dyDescent="0.15">
      <c r="N3642" s="52">
        <v>67</v>
      </c>
      <c r="T3642" s="33">
        <v>46167</v>
      </c>
      <c r="U3642" s="34">
        <v>2026</v>
      </c>
      <c r="V3642" s="35" t="s">
        <v>2448</v>
      </c>
      <c r="W3642" s="35" t="s">
        <v>17</v>
      </c>
      <c r="X3642" s="37" t="s">
        <v>2931</v>
      </c>
      <c r="Y3642" s="36" t="s">
        <v>765</v>
      </c>
      <c r="Z3642" s="30" t="s">
        <v>1355</v>
      </c>
      <c r="AA3642" s="134" t="s">
        <v>166</v>
      </c>
      <c r="AD3642" s="38">
        <v>769.42</v>
      </c>
      <c r="AF3642" s="76">
        <f t="shared" si="349"/>
        <v>63074.659999999974</v>
      </c>
    </row>
    <row r="3643" spans="9:32" ht="8.25" customHeight="1" x14ac:dyDescent="0.25">
      <c r="I3643" s="52">
        <v>42</v>
      </c>
      <c r="T3643" s="33">
        <v>46167</v>
      </c>
      <c r="U3643" s="34">
        <v>2026</v>
      </c>
      <c r="V3643" s="35" t="s">
        <v>2448</v>
      </c>
      <c r="W3643" s="35" t="s">
        <v>17</v>
      </c>
      <c r="X3643" s="37" t="s">
        <v>2932</v>
      </c>
      <c r="Y3643" s="36" t="s">
        <v>2012</v>
      </c>
      <c r="Z3643" s="30" t="s">
        <v>2556</v>
      </c>
      <c r="AA3643" s="30" t="s">
        <v>13</v>
      </c>
      <c r="AD3643" s="38">
        <v>700</v>
      </c>
      <c r="AF3643" s="76">
        <f t="shared" si="349"/>
        <v>63774.659999999974</v>
      </c>
    </row>
    <row r="3644" spans="9:32" ht="8.25" customHeight="1" x14ac:dyDescent="0.25">
      <c r="I3644" s="52">
        <v>43</v>
      </c>
      <c r="T3644" s="33">
        <v>46167</v>
      </c>
      <c r="U3644" s="34">
        <v>2026</v>
      </c>
      <c r="V3644" s="35" t="s">
        <v>2448</v>
      </c>
      <c r="W3644" s="35" t="s">
        <v>17</v>
      </c>
      <c r="X3644" s="37" t="s">
        <v>2933</v>
      </c>
      <c r="Y3644" s="36" t="s">
        <v>2034</v>
      </c>
      <c r="Z3644" s="30" t="s">
        <v>2031</v>
      </c>
      <c r="AA3644" s="30" t="s">
        <v>13</v>
      </c>
      <c r="AD3644" s="38">
        <v>200</v>
      </c>
      <c r="AF3644" s="76">
        <f t="shared" si="349"/>
        <v>63974.659999999974</v>
      </c>
    </row>
    <row r="3645" spans="9:32" ht="8.25" customHeight="1" x14ac:dyDescent="0.15">
      <c r="N3645" s="52">
        <v>68</v>
      </c>
      <c r="T3645" s="33">
        <v>46167</v>
      </c>
      <c r="U3645" s="34">
        <v>2026</v>
      </c>
      <c r="V3645" s="35" t="s">
        <v>2448</v>
      </c>
      <c r="W3645" s="35" t="s">
        <v>17</v>
      </c>
      <c r="X3645" s="37" t="s">
        <v>2939</v>
      </c>
      <c r="Y3645" s="36" t="s">
        <v>1131</v>
      </c>
      <c r="Z3645" s="30" t="s">
        <v>1132</v>
      </c>
      <c r="AA3645" s="134" t="s">
        <v>166</v>
      </c>
      <c r="AD3645" s="38">
        <v>3000</v>
      </c>
      <c r="AF3645" s="76">
        <f t="shared" si="349"/>
        <v>66974.659999999974</v>
      </c>
    </row>
    <row r="3646" spans="9:32" ht="8.25" customHeight="1" x14ac:dyDescent="0.25">
      <c r="I3646" s="52">
        <v>44</v>
      </c>
      <c r="T3646" s="33">
        <v>46167</v>
      </c>
      <c r="U3646" s="34">
        <v>2026</v>
      </c>
      <c r="V3646" s="35" t="s">
        <v>2448</v>
      </c>
      <c r="W3646" s="35" t="s">
        <v>17</v>
      </c>
      <c r="X3646" s="37" t="s">
        <v>2940</v>
      </c>
      <c r="Y3646" s="36" t="s">
        <v>1481</v>
      </c>
      <c r="Z3646" s="30" t="s">
        <v>2178</v>
      </c>
      <c r="AA3646" s="30" t="s">
        <v>13</v>
      </c>
      <c r="AD3646" s="38">
        <v>4900</v>
      </c>
      <c r="AF3646" s="76">
        <f t="shared" si="349"/>
        <v>71874.659999999974</v>
      </c>
    </row>
    <row r="3647" spans="9:32" ht="8.25" customHeight="1" x14ac:dyDescent="0.25">
      <c r="R3647" s="53">
        <v>46</v>
      </c>
      <c r="T3647" s="33">
        <v>46167</v>
      </c>
      <c r="U3647" s="34">
        <v>2026</v>
      </c>
      <c r="V3647" s="35" t="s">
        <v>2448</v>
      </c>
      <c r="W3647" s="35" t="s">
        <v>5</v>
      </c>
      <c r="X3647" s="37" t="s">
        <v>2934</v>
      </c>
      <c r="Y3647" s="36" t="s">
        <v>577</v>
      </c>
      <c r="Z3647" s="30" t="s">
        <v>1030</v>
      </c>
      <c r="AA3647" s="30" t="s">
        <v>1050</v>
      </c>
      <c r="AE3647" s="38">
        <v>3000</v>
      </c>
      <c r="AF3647" s="76">
        <f t="shared" si="349"/>
        <v>68874.659999999974</v>
      </c>
    </row>
    <row r="3648" spans="9:32" ht="8.25" customHeight="1" x14ac:dyDescent="0.25">
      <c r="R3648" s="53">
        <v>47</v>
      </c>
      <c r="T3648" s="33">
        <v>46167</v>
      </c>
      <c r="U3648" s="34">
        <v>2026</v>
      </c>
      <c r="V3648" s="35" t="s">
        <v>2448</v>
      </c>
      <c r="W3648" s="35" t="s">
        <v>5</v>
      </c>
      <c r="X3648" s="37" t="s">
        <v>2935</v>
      </c>
      <c r="Y3648" s="36" t="s">
        <v>1435</v>
      </c>
      <c r="Z3648" s="30" t="s">
        <v>1669</v>
      </c>
      <c r="AA3648" s="30" t="s">
        <v>1050</v>
      </c>
      <c r="AE3648" s="38">
        <v>5000</v>
      </c>
      <c r="AF3648" s="76">
        <f t="shared" si="349"/>
        <v>63874.659999999974</v>
      </c>
    </row>
    <row r="3649" spans="18:32" ht="8.25" customHeight="1" x14ac:dyDescent="0.25">
      <c r="R3649" s="53">
        <v>48</v>
      </c>
      <c r="T3649" s="33">
        <v>46167</v>
      </c>
      <c r="U3649" s="34">
        <v>2026</v>
      </c>
      <c r="V3649" s="35" t="s">
        <v>2448</v>
      </c>
      <c r="W3649" s="35" t="s">
        <v>5</v>
      </c>
      <c r="X3649" s="37" t="s">
        <v>2936</v>
      </c>
      <c r="Y3649" s="36" t="s">
        <v>2922</v>
      </c>
      <c r="Z3649" s="30" t="s">
        <v>2923</v>
      </c>
      <c r="AA3649" s="30" t="s">
        <v>1050</v>
      </c>
      <c r="AE3649" s="38">
        <v>5000</v>
      </c>
      <c r="AF3649" s="76">
        <f t="shared" si="349"/>
        <v>58874.659999999974</v>
      </c>
    </row>
    <row r="3650" spans="18:32" ht="8.25" customHeight="1" x14ac:dyDescent="0.25">
      <c r="R3650" s="53">
        <v>49</v>
      </c>
      <c r="T3650" s="33">
        <v>46167</v>
      </c>
      <c r="U3650" s="34">
        <v>2026</v>
      </c>
      <c r="V3650" s="35" t="s">
        <v>2448</v>
      </c>
      <c r="W3650" s="35" t="s">
        <v>5</v>
      </c>
      <c r="X3650" s="37" t="s">
        <v>2937</v>
      </c>
      <c r="Y3650" s="36" t="s">
        <v>738</v>
      </c>
      <c r="Z3650" s="30" t="s">
        <v>645</v>
      </c>
      <c r="AA3650" s="30" t="s">
        <v>1050</v>
      </c>
      <c r="AE3650" s="38">
        <v>1000</v>
      </c>
      <c r="AF3650" s="76">
        <f t="shared" si="349"/>
        <v>57874.659999999974</v>
      </c>
    </row>
    <row r="3651" spans="18:32" ht="8.25" customHeight="1" x14ac:dyDescent="0.25">
      <c r="R3651" s="53">
        <v>50</v>
      </c>
      <c r="T3651" s="33">
        <v>46167</v>
      </c>
      <c r="U3651" s="34">
        <v>2026</v>
      </c>
      <c r="V3651" s="35" t="s">
        <v>2448</v>
      </c>
      <c r="W3651" s="35" t="s">
        <v>5</v>
      </c>
      <c r="X3651" s="37" t="s">
        <v>2938</v>
      </c>
      <c r="Y3651" s="36" t="s">
        <v>2484</v>
      </c>
      <c r="Z3651" s="30" t="s">
        <v>1939</v>
      </c>
      <c r="AA3651" s="30" t="s">
        <v>1050</v>
      </c>
      <c r="AE3651" s="38">
        <v>200</v>
      </c>
      <c r="AF3651" s="76">
        <f t="shared" si="349"/>
        <v>57674.659999999974</v>
      </c>
    </row>
    <row r="3652" spans="18:32" ht="8.25" customHeight="1" thickBot="1" x14ac:dyDescent="0.3">
      <c r="AA3652" s="260" t="s">
        <v>2893</v>
      </c>
      <c r="AD3652" s="253">
        <f>SUM(AD3636:AD3651)</f>
        <v>43700</v>
      </c>
      <c r="AE3652" s="253">
        <f>SUM(AE3636:AE3651)</f>
        <v>14200</v>
      </c>
      <c r="AF3652" s="233">
        <f>AF3635+AD3652-AE3652</f>
        <v>57674.659999999974</v>
      </c>
    </row>
    <row r="3653" spans="18:32" ht="8.25" customHeight="1" thickTop="1" x14ac:dyDescent="0.25"/>
    <row r="3654" spans="18:32" ht="8.25" customHeight="1" x14ac:dyDescent="0.25">
      <c r="X3654" s="109"/>
      <c r="Y3654" s="67" t="s">
        <v>214</v>
      </c>
      <c r="Z3654" s="68"/>
      <c r="AA3654" s="75"/>
    </row>
    <row r="3655" spans="18:32" ht="8.25" customHeight="1" x14ac:dyDescent="0.25">
      <c r="X3655" s="110" t="s">
        <v>2941</v>
      </c>
      <c r="Y3655" s="111">
        <v>200</v>
      </c>
      <c r="Z3655" s="111">
        <f t="shared" ref="Z3655:Z3660" si="350">X3655*Y3655</f>
        <v>17800</v>
      </c>
      <c r="AA3655" s="112"/>
    </row>
    <row r="3656" spans="18:32" ht="8.25" customHeight="1" x14ac:dyDescent="0.25">
      <c r="X3656" s="110" t="s">
        <v>2942</v>
      </c>
      <c r="Y3656" s="111">
        <v>100</v>
      </c>
      <c r="Z3656" s="111">
        <f t="shared" si="350"/>
        <v>37800</v>
      </c>
      <c r="AA3656" s="112"/>
    </row>
    <row r="3657" spans="18:32" ht="8.25" customHeight="1" x14ac:dyDescent="0.25">
      <c r="X3657" s="110" t="s">
        <v>222</v>
      </c>
      <c r="Y3657" s="111">
        <v>50</v>
      </c>
      <c r="Z3657" s="111">
        <f t="shared" si="350"/>
        <v>50</v>
      </c>
      <c r="AA3657" s="76"/>
    </row>
    <row r="3658" spans="18:32" ht="8.25" customHeight="1" x14ac:dyDescent="0.25">
      <c r="X3658" s="110" t="s">
        <v>223</v>
      </c>
      <c r="Y3658" s="111">
        <v>20</v>
      </c>
      <c r="Z3658" s="111">
        <f t="shared" si="350"/>
        <v>60</v>
      </c>
      <c r="AA3658" s="38"/>
    </row>
    <row r="3659" spans="18:32" ht="8.25" customHeight="1" x14ac:dyDescent="0.25">
      <c r="X3659" s="110" t="s">
        <v>223</v>
      </c>
      <c r="Y3659" s="111">
        <v>10</v>
      </c>
      <c r="Z3659" s="111">
        <f t="shared" si="350"/>
        <v>30</v>
      </c>
      <c r="AA3659" s="112"/>
    </row>
    <row r="3660" spans="18:32" ht="8.25" customHeight="1" x14ac:dyDescent="0.25">
      <c r="X3660" s="110" t="s">
        <v>2861</v>
      </c>
      <c r="Y3660" s="111">
        <v>5</v>
      </c>
      <c r="Z3660" s="111">
        <f t="shared" si="350"/>
        <v>1380</v>
      </c>
      <c r="AA3660" s="112"/>
    </row>
    <row r="3661" spans="18:32" ht="8.25" customHeight="1" x14ac:dyDescent="0.25">
      <c r="X3661" s="269"/>
      <c r="Y3661" s="270"/>
      <c r="Z3661" s="271"/>
      <c r="AA3661" s="38"/>
    </row>
    <row r="3662" spans="18:32" ht="8.25" customHeight="1" x14ac:dyDescent="0.25">
      <c r="X3662" s="110" t="s">
        <v>2927</v>
      </c>
      <c r="Y3662" s="111">
        <v>1</v>
      </c>
      <c r="Z3662" s="111">
        <f t="shared" ref="Z3662:Z3667" si="351">X3662*Y3662</f>
        <v>469</v>
      </c>
      <c r="AA3662" s="76"/>
    </row>
    <row r="3663" spans="18:32" ht="8.25" customHeight="1" x14ac:dyDescent="0.25">
      <c r="X3663" s="110" t="s">
        <v>1496</v>
      </c>
      <c r="Y3663" s="111">
        <v>0.5</v>
      </c>
      <c r="Z3663" s="111">
        <f t="shared" si="351"/>
        <v>40.5</v>
      </c>
      <c r="AA3663" s="112"/>
    </row>
    <row r="3664" spans="18:32" ht="8.25" customHeight="1" x14ac:dyDescent="0.25">
      <c r="X3664" s="110" t="s">
        <v>1878</v>
      </c>
      <c r="Y3664" s="111">
        <v>0.25</v>
      </c>
      <c r="Z3664" s="111">
        <f t="shared" si="351"/>
        <v>45</v>
      </c>
      <c r="AA3664" s="113"/>
    </row>
    <row r="3665" spans="14:32" ht="8.25" customHeight="1" x14ac:dyDescent="0.25">
      <c r="X3665" s="110" t="s">
        <v>222</v>
      </c>
      <c r="Y3665" s="111">
        <v>0.1</v>
      </c>
      <c r="Z3665" s="111">
        <f t="shared" si="351"/>
        <v>0.1</v>
      </c>
      <c r="AA3665" s="114" t="s">
        <v>219</v>
      </c>
    </row>
    <row r="3666" spans="14:32" ht="8.25" customHeight="1" thickBot="1" x14ac:dyDescent="0.3">
      <c r="X3666" s="110" t="s">
        <v>222</v>
      </c>
      <c r="Y3666" s="111">
        <v>0.05</v>
      </c>
      <c r="Z3666" s="111">
        <f t="shared" si="351"/>
        <v>0.05</v>
      </c>
      <c r="AA3666" s="115">
        <f>SUM(Z3655:Z3660)+Z3662+Z3663+Z3664+Z3665+Z3666+Z3667</f>
        <v>57674.66</v>
      </c>
    </row>
    <row r="3667" spans="14:32" ht="8.25" customHeight="1" thickTop="1" x14ac:dyDescent="0.25">
      <c r="X3667" s="110" t="s">
        <v>222</v>
      </c>
      <c r="Y3667" s="111">
        <v>0.01</v>
      </c>
      <c r="Z3667" s="111">
        <f t="shared" si="351"/>
        <v>0.01</v>
      </c>
    </row>
    <row r="3669" spans="14:32" ht="8.25" customHeight="1" x14ac:dyDescent="0.25">
      <c r="Z3669" s="231" t="s">
        <v>1376</v>
      </c>
      <c r="AF3669" s="76">
        <f>AF3652</f>
        <v>57674.659999999974</v>
      </c>
    </row>
    <row r="3670" spans="14:32" ht="8.25" customHeight="1" x14ac:dyDescent="0.25">
      <c r="N3670" s="52">
        <v>68</v>
      </c>
      <c r="T3670" s="33">
        <v>46168</v>
      </c>
      <c r="U3670" s="34">
        <v>2026</v>
      </c>
      <c r="V3670" s="35" t="s">
        <v>2448</v>
      </c>
      <c r="W3670" s="35" t="s">
        <v>17</v>
      </c>
      <c r="X3670" s="37" t="s">
        <v>2943</v>
      </c>
      <c r="Y3670" s="36" t="s">
        <v>679</v>
      </c>
      <c r="Z3670" s="30" t="s">
        <v>2944</v>
      </c>
      <c r="AA3670" s="30" t="s">
        <v>3899</v>
      </c>
      <c r="AD3670" s="38">
        <v>8487.19</v>
      </c>
      <c r="AF3670" s="76">
        <f>AF3669+AD3670-AE3670</f>
        <v>66161.849999999977</v>
      </c>
    </row>
    <row r="3671" spans="14:32" ht="8.25" customHeight="1" x14ac:dyDescent="0.15">
      <c r="N3671" s="52">
        <v>68</v>
      </c>
      <c r="T3671" s="33">
        <v>46168</v>
      </c>
      <c r="U3671" s="34">
        <v>2026</v>
      </c>
      <c r="V3671" s="35" t="s">
        <v>2448</v>
      </c>
      <c r="W3671" s="35" t="s">
        <v>17</v>
      </c>
      <c r="X3671" s="37" t="s">
        <v>2943</v>
      </c>
      <c r="Y3671" s="36" t="s">
        <v>679</v>
      </c>
      <c r="Z3671" s="30" t="s">
        <v>2944</v>
      </c>
      <c r="AA3671" s="134" t="s">
        <v>166</v>
      </c>
      <c r="AD3671" s="38">
        <v>3512.81</v>
      </c>
      <c r="AF3671" s="76">
        <f t="shared" ref="AF3671:AF3684" si="352">AF3670+AD3671-AE3671</f>
        <v>69674.659999999974</v>
      </c>
    </row>
    <row r="3672" spans="14:32" ht="8.25" customHeight="1" x14ac:dyDescent="0.25">
      <c r="N3672" s="52">
        <v>69</v>
      </c>
      <c r="T3672" s="33">
        <v>46168</v>
      </c>
      <c r="U3672" s="34">
        <v>2026</v>
      </c>
      <c r="V3672" s="35" t="s">
        <v>2448</v>
      </c>
      <c r="W3672" s="35" t="s">
        <v>17</v>
      </c>
      <c r="X3672" s="37" t="s">
        <v>2945</v>
      </c>
      <c r="Y3672" s="36" t="s">
        <v>682</v>
      </c>
      <c r="Z3672" s="30" t="s">
        <v>1822</v>
      </c>
      <c r="AA3672" s="30" t="s">
        <v>3899</v>
      </c>
      <c r="AD3672" s="38">
        <v>6882.63</v>
      </c>
      <c r="AF3672" s="76">
        <f t="shared" si="352"/>
        <v>76557.289999999979</v>
      </c>
    </row>
    <row r="3673" spans="14:32" ht="8.25" customHeight="1" x14ac:dyDescent="0.15">
      <c r="N3673" s="52">
        <v>69</v>
      </c>
      <c r="T3673" s="33">
        <v>46168</v>
      </c>
      <c r="U3673" s="34">
        <v>2026</v>
      </c>
      <c r="V3673" s="35" t="s">
        <v>2448</v>
      </c>
      <c r="W3673" s="35" t="s">
        <v>17</v>
      </c>
      <c r="X3673" s="37" t="s">
        <v>2945</v>
      </c>
      <c r="Y3673" s="36" t="s">
        <v>682</v>
      </c>
      <c r="Z3673" s="30" t="s">
        <v>1822</v>
      </c>
      <c r="AA3673" s="134" t="s">
        <v>166</v>
      </c>
      <c r="AD3673" s="38">
        <v>4117.37</v>
      </c>
      <c r="AF3673" s="76">
        <f t="shared" si="352"/>
        <v>80674.659999999974</v>
      </c>
    </row>
    <row r="3674" spans="14:32" ht="8.25" customHeight="1" x14ac:dyDescent="0.25">
      <c r="N3674" s="52">
        <v>70</v>
      </c>
      <c r="T3674" s="33">
        <v>46168</v>
      </c>
      <c r="U3674" s="34">
        <v>2026</v>
      </c>
      <c r="V3674" s="35" t="s">
        <v>2448</v>
      </c>
      <c r="W3674" s="35" t="s">
        <v>17</v>
      </c>
      <c r="X3674" s="37" t="s">
        <v>2946</v>
      </c>
      <c r="Y3674" s="36" t="s">
        <v>676</v>
      </c>
      <c r="Z3674" s="30" t="s">
        <v>1820</v>
      </c>
      <c r="AA3674" s="30" t="s">
        <v>3899</v>
      </c>
      <c r="AD3674" s="38">
        <v>7718.59</v>
      </c>
      <c r="AF3674" s="76">
        <f t="shared" si="352"/>
        <v>88393.249999999971</v>
      </c>
    </row>
    <row r="3675" spans="14:32" ht="8.25" customHeight="1" x14ac:dyDescent="0.15">
      <c r="N3675" s="52">
        <v>70</v>
      </c>
      <c r="T3675" s="33">
        <v>46168</v>
      </c>
      <c r="U3675" s="34">
        <v>2026</v>
      </c>
      <c r="V3675" s="35" t="s">
        <v>2448</v>
      </c>
      <c r="W3675" s="35" t="s">
        <v>17</v>
      </c>
      <c r="X3675" s="37" t="s">
        <v>2946</v>
      </c>
      <c r="Y3675" s="36" t="s">
        <v>676</v>
      </c>
      <c r="Z3675" s="30" t="s">
        <v>1820</v>
      </c>
      <c r="AA3675" s="134" t="s">
        <v>166</v>
      </c>
      <c r="AD3675" s="38">
        <v>5281.41</v>
      </c>
      <c r="AF3675" s="76">
        <f t="shared" si="352"/>
        <v>93674.659999999974</v>
      </c>
    </row>
    <row r="3676" spans="14:32" ht="8.25" customHeight="1" x14ac:dyDescent="0.25">
      <c r="N3676" s="52">
        <v>71</v>
      </c>
      <c r="T3676" s="33">
        <v>46168</v>
      </c>
      <c r="U3676" s="34">
        <v>2026</v>
      </c>
      <c r="V3676" s="35" t="s">
        <v>2448</v>
      </c>
      <c r="W3676" s="35" t="s">
        <v>17</v>
      </c>
      <c r="X3676" s="37" t="s">
        <v>2947</v>
      </c>
      <c r="Y3676" s="36" t="s">
        <v>734</v>
      </c>
      <c r="Z3676" s="30" t="s">
        <v>1808</v>
      </c>
      <c r="AA3676" s="30" t="s">
        <v>3899</v>
      </c>
      <c r="AD3676" s="38">
        <v>7774.21</v>
      </c>
      <c r="AF3676" s="76">
        <f t="shared" si="352"/>
        <v>101448.86999999998</v>
      </c>
    </row>
    <row r="3677" spans="14:32" ht="8.25" customHeight="1" x14ac:dyDescent="0.15">
      <c r="N3677" s="52">
        <v>71</v>
      </c>
      <c r="T3677" s="33">
        <v>46168</v>
      </c>
      <c r="U3677" s="34">
        <v>2026</v>
      </c>
      <c r="V3677" s="35" t="s">
        <v>2448</v>
      </c>
      <c r="W3677" s="35" t="s">
        <v>17</v>
      </c>
      <c r="X3677" s="37" t="s">
        <v>2947</v>
      </c>
      <c r="Y3677" s="36" t="s">
        <v>734</v>
      </c>
      <c r="Z3677" s="30" t="s">
        <v>1808</v>
      </c>
      <c r="AA3677" s="134" t="s">
        <v>166</v>
      </c>
      <c r="AD3677" s="38">
        <v>7225.79</v>
      </c>
      <c r="AF3677" s="76">
        <f t="shared" si="352"/>
        <v>108674.65999999997</v>
      </c>
    </row>
    <row r="3678" spans="14:32" ht="8.25" customHeight="1" x14ac:dyDescent="0.25">
      <c r="N3678" s="52">
        <v>72</v>
      </c>
      <c r="T3678" s="33">
        <v>46168</v>
      </c>
      <c r="U3678" s="34">
        <v>2026</v>
      </c>
      <c r="V3678" s="35" t="s">
        <v>2448</v>
      </c>
      <c r="W3678" s="35" t="s">
        <v>17</v>
      </c>
      <c r="X3678" s="37" t="s">
        <v>2948</v>
      </c>
      <c r="Y3678" s="36" t="s">
        <v>673</v>
      </c>
      <c r="Z3678" s="30" t="s">
        <v>1810</v>
      </c>
      <c r="AA3678" s="30" t="s">
        <v>3899</v>
      </c>
      <c r="AD3678" s="38">
        <v>6863.26</v>
      </c>
      <c r="AF3678" s="76">
        <f t="shared" si="352"/>
        <v>115537.91999999997</v>
      </c>
    </row>
    <row r="3679" spans="14:32" ht="8.25" customHeight="1" x14ac:dyDescent="0.15">
      <c r="N3679" s="52">
        <v>72</v>
      </c>
      <c r="T3679" s="33">
        <v>46168</v>
      </c>
      <c r="U3679" s="34">
        <v>2026</v>
      </c>
      <c r="V3679" s="35" t="s">
        <v>2448</v>
      </c>
      <c r="W3679" s="35" t="s">
        <v>17</v>
      </c>
      <c r="X3679" s="37" t="s">
        <v>2948</v>
      </c>
      <c r="Y3679" s="36" t="s">
        <v>673</v>
      </c>
      <c r="Z3679" s="30" t="s">
        <v>1810</v>
      </c>
      <c r="AA3679" s="134" t="s">
        <v>166</v>
      </c>
      <c r="AD3679" s="38">
        <v>3136.74</v>
      </c>
      <c r="AF3679" s="76">
        <f t="shared" si="352"/>
        <v>118674.65999999997</v>
      </c>
    </row>
    <row r="3680" spans="14:32" ht="8.25" customHeight="1" x14ac:dyDescent="0.25">
      <c r="N3680" s="52">
        <v>73</v>
      </c>
      <c r="T3680" s="33">
        <v>46168</v>
      </c>
      <c r="U3680" s="34">
        <v>2026</v>
      </c>
      <c r="V3680" s="35" t="s">
        <v>2448</v>
      </c>
      <c r="W3680" s="35" t="s">
        <v>17</v>
      </c>
      <c r="X3680" s="37" t="s">
        <v>2949</v>
      </c>
      <c r="Y3680" s="36" t="s">
        <v>734</v>
      </c>
      <c r="Z3680" s="30" t="s">
        <v>1808</v>
      </c>
      <c r="AA3680" s="30" t="s">
        <v>3899</v>
      </c>
      <c r="AD3680" s="38">
        <v>200</v>
      </c>
      <c r="AF3680" s="76">
        <f t="shared" si="352"/>
        <v>118874.65999999997</v>
      </c>
    </row>
    <row r="3681" spans="6:32" ht="8.25" customHeight="1" x14ac:dyDescent="0.15">
      <c r="N3681" s="52">
        <v>74</v>
      </c>
      <c r="T3681" s="33">
        <v>46168</v>
      </c>
      <c r="U3681" s="34">
        <v>2026</v>
      </c>
      <c r="V3681" s="35" t="s">
        <v>2448</v>
      </c>
      <c r="W3681" s="35" t="s">
        <v>17</v>
      </c>
      <c r="X3681" s="37" t="s">
        <v>2950</v>
      </c>
      <c r="Y3681" s="36" t="s">
        <v>1833</v>
      </c>
      <c r="Z3681" s="30" t="s">
        <v>1834</v>
      </c>
      <c r="AA3681" s="134" t="s">
        <v>166</v>
      </c>
      <c r="AD3681" s="38">
        <v>1187.4000000000001</v>
      </c>
      <c r="AF3681" s="76">
        <f t="shared" si="352"/>
        <v>120062.05999999997</v>
      </c>
    </row>
    <row r="3682" spans="6:32" ht="8.25" customHeight="1" x14ac:dyDescent="0.25">
      <c r="N3682" s="52">
        <v>74</v>
      </c>
      <c r="T3682" s="33">
        <v>46168</v>
      </c>
      <c r="U3682" s="34">
        <v>2026</v>
      </c>
      <c r="V3682" s="35" t="s">
        <v>2448</v>
      </c>
      <c r="W3682" s="35" t="s">
        <v>17</v>
      </c>
      <c r="X3682" s="37" t="s">
        <v>2950</v>
      </c>
      <c r="Y3682" s="36" t="s">
        <v>1833</v>
      </c>
      <c r="Z3682" s="30" t="s">
        <v>1834</v>
      </c>
      <c r="AA3682" s="30" t="s">
        <v>3899</v>
      </c>
      <c r="AD3682" s="38">
        <v>512.6</v>
      </c>
      <c r="AF3682" s="76">
        <f t="shared" si="352"/>
        <v>120574.65999999997</v>
      </c>
    </row>
    <row r="3683" spans="6:32" ht="8.25" customHeight="1" x14ac:dyDescent="0.25">
      <c r="G3683" s="53">
        <v>33</v>
      </c>
      <c r="T3683" s="33">
        <v>46168</v>
      </c>
      <c r="U3683" s="34">
        <v>2026</v>
      </c>
      <c r="V3683" s="35" t="s">
        <v>2448</v>
      </c>
      <c r="W3683" s="35" t="s">
        <v>2655</v>
      </c>
      <c r="X3683" s="37" t="s">
        <v>2951</v>
      </c>
      <c r="Y3683" s="36" t="s">
        <v>2952</v>
      </c>
      <c r="Z3683" s="30" t="s">
        <v>1723</v>
      </c>
      <c r="AA3683" s="30" t="s">
        <v>3945</v>
      </c>
      <c r="AE3683" s="38">
        <v>1060.3699999999999</v>
      </c>
      <c r="AF3683" s="76">
        <f t="shared" si="352"/>
        <v>119514.28999999998</v>
      </c>
    </row>
    <row r="3684" spans="6:32" ht="8.25" customHeight="1" x14ac:dyDescent="0.25">
      <c r="F3684" s="53">
        <v>2</v>
      </c>
      <c r="T3684" s="33">
        <v>46168</v>
      </c>
      <c r="U3684" s="34">
        <v>2026</v>
      </c>
      <c r="V3684" s="35" t="s">
        <v>2448</v>
      </c>
      <c r="W3684" s="35" t="s">
        <v>2655</v>
      </c>
      <c r="X3684" s="37" t="s">
        <v>2954</v>
      </c>
      <c r="Z3684" s="30" t="s">
        <v>2955</v>
      </c>
      <c r="AA3684" s="30" t="s">
        <v>3939</v>
      </c>
      <c r="AE3684" s="38">
        <v>250</v>
      </c>
      <c r="AF3684" s="76">
        <f t="shared" si="352"/>
        <v>119264.28999999998</v>
      </c>
    </row>
    <row r="3685" spans="6:32" ht="8.25" customHeight="1" thickBot="1" x14ac:dyDescent="0.3">
      <c r="AA3685" s="260" t="s">
        <v>2893</v>
      </c>
      <c r="AD3685" s="253">
        <f>SUM(AD3670:AD3684)</f>
        <v>62900</v>
      </c>
      <c r="AE3685" s="253">
        <f>SUM(AE3670:AE3684)</f>
        <v>1310.3699999999999</v>
      </c>
      <c r="AF3685" s="233">
        <f>AF3669+AD3685-AE3685</f>
        <v>119264.28999999998</v>
      </c>
    </row>
    <row r="3686" spans="6:32" ht="8.25" customHeight="1" thickTop="1" x14ac:dyDescent="0.25"/>
    <row r="3687" spans="6:32" ht="8.25" customHeight="1" x14ac:dyDescent="0.25">
      <c r="X3687" s="109"/>
      <c r="Y3687" s="67" t="s">
        <v>214</v>
      </c>
      <c r="Z3687" s="68"/>
      <c r="AA3687" s="75"/>
    </row>
    <row r="3688" spans="6:32" ht="8.25" customHeight="1" x14ac:dyDescent="0.25">
      <c r="X3688" s="110" t="s">
        <v>288</v>
      </c>
      <c r="Y3688" s="111">
        <v>200</v>
      </c>
      <c r="Z3688" s="111">
        <f t="shared" ref="Z3688:Z3693" si="353">X3688*Y3688</f>
        <v>18800</v>
      </c>
      <c r="AA3688" s="112"/>
    </row>
    <row r="3689" spans="6:32" ht="8.25" customHeight="1" x14ac:dyDescent="0.25">
      <c r="X3689" s="110" t="s">
        <v>2956</v>
      </c>
      <c r="Y3689" s="111">
        <v>100</v>
      </c>
      <c r="Z3689" s="111">
        <f t="shared" si="353"/>
        <v>98500</v>
      </c>
      <c r="AA3689" s="112"/>
    </row>
    <row r="3690" spans="6:32" ht="8.25" customHeight="1" x14ac:dyDescent="0.25">
      <c r="X3690" s="110"/>
      <c r="Y3690" s="111">
        <v>50</v>
      </c>
      <c r="Z3690" s="111">
        <f t="shared" si="353"/>
        <v>0</v>
      </c>
      <c r="AA3690" s="76"/>
    </row>
    <row r="3691" spans="6:32" ht="8.25" customHeight="1" x14ac:dyDescent="0.25">
      <c r="X3691" s="110" t="s">
        <v>222</v>
      </c>
      <c r="Y3691" s="111">
        <v>20</v>
      </c>
      <c r="Z3691" s="111">
        <f t="shared" si="353"/>
        <v>20</v>
      </c>
      <c r="AA3691" s="38"/>
    </row>
    <row r="3692" spans="6:32" ht="8.25" customHeight="1" x14ac:dyDescent="0.25">
      <c r="X3692" s="110" t="s">
        <v>223</v>
      </c>
      <c r="Y3692" s="111">
        <v>10</v>
      </c>
      <c r="Z3692" s="111">
        <f t="shared" si="353"/>
        <v>30</v>
      </c>
      <c r="AA3692" s="112"/>
    </row>
    <row r="3693" spans="6:32" ht="8.25" customHeight="1" x14ac:dyDescent="0.25">
      <c r="X3693" s="110" t="s">
        <v>2953</v>
      </c>
      <c r="Y3693" s="111">
        <v>5</v>
      </c>
      <c r="Z3693" s="111">
        <f t="shared" si="353"/>
        <v>1365</v>
      </c>
      <c r="AA3693" s="112"/>
    </row>
    <row r="3694" spans="6:32" ht="8.25" customHeight="1" x14ac:dyDescent="0.25">
      <c r="X3694" s="269"/>
      <c r="Y3694" s="270"/>
      <c r="Z3694" s="271"/>
      <c r="AA3694" s="38"/>
    </row>
    <row r="3695" spans="6:32" ht="8.25" customHeight="1" x14ac:dyDescent="0.25">
      <c r="X3695" s="110" t="s">
        <v>2957</v>
      </c>
      <c r="Y3695" s="111">
        <v>1</v>
      </c>
      <c r="Z3695" s="111">
        <f t="shared" ref="Z3695:Z3700" si="354">X3695*Y3695</f>
        <v>464</v>
      </c>
      <c r="AA3695" s="76"/>
    </row>
    <row r="3696" spans="6:32" ht="8.25" customHeight="1" x14ac:dyDescent="0.25">
      <c r="X3696" s="110" t="s">
        <v>259</v>
      </c>
      <c r="Y3696" s="111">
        <v>0.5</v>
      </c>
      <c r="Z3696" s="111">
        <f t="shared" si="354"/>
        <v>40</v>
      </c>
      <c r="AA3696" s="112"/>
    </row>
    <row r="3697" spans="3:32" ht="8.25" customHeight="1" x14ac:dyDescent="0.25">
      <c r="X3697" s="110" t="s">
        <v>1733</v>
      </c>
      <c r="Y3697" s="111">
        <v>0.25</v>
      </c>
      <c r="Z3697" s="111">
        <f t="shared" si="354"/>
        <v>45.25</v>
      </c>
      <c r="AA3697" s="113"/>
    </row>
    <row r="3698" spans="3:32" ht="8.25" customHeight="1" x14ac:dyDescent="0.25">
      <c r="X3698" s="110"/>
      <c r="Y3698" s="111">
        <v>0.1</v>
      </c>
      <c r="Z3698" s="111">
        <f t="shared" si="354"/>
        <v>0</v>
      </c>
      <c r="AA3698" s="114" t="s">
        <v>219</v>
      </c>
    </row>
    <row r="3699" spans="3:32" ht="8.25" customHeight="1" thickBot="1" x14ac:dyDescent="0.3">
      <c r="X3699" s="110"/>
      <c r="Y3699" s="111">
        <v>0.05</v>
      </c>
      <c r="Z3699" s="111">
        <f t="shared" si="354"/>
        <v>0</v>
      </c>
      <c r="AA3699" s="115">
        <f>SUM(Z3688:Z3693)+Z3695+Z3696+Z3697+Z3698+Z3699+Z3700</f>
        <v>119264.29</v>
      </c>
    </row>
    <row r="3700" spans="3:32" ht="8.25" customHeight="1" thickTop="1" x14ac:dyDescent="0.25">
      <c r="X3700" s="110" t="s">
        <v>299</v>
      </c>
      <c r="Y3700" s="111">
        <v>0.01</v>
      </c>
      <c r="Z3700" s="111">
        <f t="shared" si="354"/>
        <v>0.04</v>
      </c>
    </row>
    <row r="3702" spans="3:32" ht="8.25" customHeight="1" x14ac:dyDescent="0.25">
      <c r="Z3702" s="231" t="s">
        <v>1376</v>
      </c>
      <c r="AF3702" s="76">
        <f>AF3685</f>
        <v>119264.28999999998</v>
      </c>
    </row>
    <row r="3703" spans="3:32" ht="8.25" customHeight="1" x14ac:dyDescent="0.15">
      <c r="K3703" s="52">
        <v>12</v>
      </c>
      <c r="T3703" s="33">
        <v>46169</v>
      </c>
      <c r="U3703" s="34">
        <v>2026</v>
      </c>
      <c r="V3703" s="35" t="s">
        <v>2448</v>
      </c>
      <c r="W3703" s="35" t="s">
        <v>17</v>
      </c>
      <c r="X3703" s="37" t="s">
        <v>2963</v>
      </c>
      <c r="Y3703" s="36" t="s">
        <v>2968</v>
      </c>
      <c r="Z3703" s="30" t="s">
        <v>2969</v>
      </c>
      <c r="AA3703" s="136" t="s">
        <v>1788</v>
      </c>
      <c r="AD3703" s="38">
        <v>100</v>
      </c>
      <c r="AF3703" s="76">
        <f>AF3702+AD3703-AE3703</f>
        <v>119364.28999999998</v>
      </c>
    </row>
    <row r="3704" spans="3:32" ht="8.25" customHeight="1" x14ac:dyDescent="0.25">
      <c r="L3704" s="52">
        <v>12</v>
      </c>
      <c r="T3704" s="33">
        <v>46169</v>
      </c>
      <c r="U3704" s="34">
        <v>2026</v>
      </c>
      <c r="V3704" s="35" t="s">
        <v>2448</v>
      </c>
      <c r="W3704" s="35" t="s">
        <v>17</v>
      </c>
      <c r="X3704" s="37" t="s">
        <v>2964</v>
      </c>
      <c r="Y3704" s="36" t="s">
        <v>120</v>
      </c>
      <c r="Z3704" s="30" t="s">
        <v>2969</v>
      </c>
      <c r="AA3704" s="30" t="s">
        <v>373</v>
      </c>
      <c r="AD3704" s="38">
        <v>50</v>
      </c>
      <c r="AF3704" s="76">
        <f t="shared" ref="AF3704:AF3714" si="355">AF3703+AD3704-AE3704</f>
        <v>119414.28999999998</v>
      </c>
    </row>
    <row r="3705" spans="3:32" ht="8.25" customHeight="1" x14ac:dyDescent="0.15">
      <c r="K3705" s="52">
        <v>13</v>
      </c>
      <c r="T3705" s="33">
        <v>46169</v>
      </c>
      <c r="U3705" s="34">
        <v>2026</v>
      </c>
      <c r="V3705" s="35" t="s">
        <v>2448</v>
      </c>
      <c r="W3705" s="35" t="s">
        <v>17</v>
      </c>
      <c r="X3705" s="37" t="s">
        <v>2965</v>
      </c>
      <c r="Y3705" s="36" t="s">
        <v>2970</v>
      </c>
      <c r="Z3705" s="30" t="s">
        <v>752</v>
      </c>
      <c r="AA3705" s="136" t="s">
        <v>1788</v>
      </c>
      <c r="AD3705" s="38">
        <v>100</v>
      </c>
      <c r="AF3705" s="76">
        <f t="shared" si="355"/>
        <v>119514.28999999998</v>
      </c>
    </row>
    <row r="3706" spans="3:32" ht="8.25" customHeight="1" x14ac:dyDescent="0.25">
      <c r="L3706" s="52">
        <v>13</v>
      </c>
      <c r="T3706" s="33">
        <v>46169</v>
      </c>
      <c r="U3706" s="34">
        <v>2026</v>
      </c>
      <c r="V3706" s="35" t="s">
        <v>2448</v>
      </c>
      <c r="W3706" s="35" t="s">
        <v>17</v>
      </c>
      <c r="X3706" s="37" t="s">
        <v>2966</v>
      </c>
      <c r="Y3706" s="36" t="s">
        <v>120</v>
      </c>
      <c r="Z3706" s="30" t="s">
        <v>752</v>
      </c>
      <c r="AA3706" s="30" t="s">
        <v>373</v>
      </c>
      <c r="AD3706" s="38">
        <v>50</v>
      </c>
      <c r="AF3706" s="76">
        <f t="shared" si="355"/>
        <v>119564.28999999998</v>
      </c>
    </row>
    <row r="3707" spans="3:32" ht="8.25" customHeight="1" x14ac:dyDescent="0.25">
      <c r="I3707" s="52">
        <v>45</v>
      </c>
      <c r="T3707" s="33">
        <v>46169</v>
      </c>
      <c r="U3707" s="34">
        <v>2026</v>
      </c>
      <c r="V3707" s="35" t="s">
        <v>2448</v>
      </c>
      <c r="W3707" s="35" t="s">
        <v>17</v>
      </c>
      <c r="X3707" s="37" t="s">
        <v>2967</v>
      </c>
      <c r="Y3707" s="36" t="s">
        <v>328</v>
      </c>
      <c r="Z3707" s="30" t="s">
        <v>329</v>
      </c>
      <c r="AA3707" s="30" t="s">
        <v>13</v>
      </c>
      <c r="AD3707" s="38">
        <v>200</v>
      </c>
      <c r="AF3707" s="76">
        <f t="shared" si="355"/>
        <v>119764.28999999998</v>
      </c>
    </row>
    <row r="3708" spans="3:32" ht="8.25" customHeight="1" x14ac:dyDescent="0.25">
      <c r="I3708" s="52">
        <v>46</v>
      </c>
      <c r="T3708" s="33">
        <v>46169</v>
      </c>
      <c r="U3708" s="34">
        <v>2026</v>
      </c>
      <c r="V3708" s="35" t="s">
        <v>2448</v>
      </c>
      <c r="W3708" s="35" t="s">
        <v>17</v>
      </c>
      <c r="X3708" s="37" t="s">
        <v>2971</v>
      </c>
      <c r="Y3708" s="36" t="s">
        <v>2972</v>
      </c>
      <c r="Z3708" s="30" t="s">
        <v>752</v>
      </c>
      <c r="AA3708" s="30" t="s">
        <v>13</v>
      </c>
      <c r="AD3708" s="38">
        <v>200</v>
      </c>
      <c r="AF3708" s="76">
        <f t="shared" si="355"/>
        <v>119964.28999999998</v>
      </c>
    </row>
    <row r="3709" spans="3:32" ht="8.25" customHeight="1" x14ac:dyDescent="0.25">
      <c r="D3709" s="52">
        <v>10</v>
      </c>
      <c r="T3709" s="33">
        <v>46169</v>
      </c>
      <c r="U3709" s="34">
        <v>2026</v>
      </c>
      <c r="V3709" s="35" t="s">
        <v>2448</v>
      </c>
      <c r="W3709" s="35" t="s">
        <v>2405</v>
      </c>
      <c r="X3709" s="37" t="s">
        <v>2973</v>
      </c>
      <c r="Y3709" s="36" t="s">
        <v>2974</v>
      </c>
      <c r="Z3709" s="30" t="s">
        <v>2975</v>
      </c>
      <c r="AA3709" s="30" t="s">
        <v>256</v>
      </c>
      <c r="AD3709" s="38">
        <v>150</v>
      </c>
      <c r="AF3709" s="76">
        <f t="shared" si="355"/>
        <v>120114.28999999998</v>
      </c>
    </row>
    <row r="3710" spans="3:32" ht="8.25" customHeight="1" x14ac:dyDescent="0.25">
      <c r="C3710" s="52">
        <v>14</v>
      </c>
      <c r="T3710" s="33">
        <v>46169</v>
      </c>
      <c r="U3710" s="34">
        <v>2026</v>
      </c>
      <c r="V3710" s="35" t="s">
        <v>2448</v>
      </c>
      <c r="W3710" s="35" t="s">
        <v>3620</v>
      </c>
      <c r="X3710" s="37" t="s">
        <v>2961</v>
      </c>
      <c r="Y3710" s="36" t="s">
        <v>2962</v>
      </c>
      <c r="Z3710" s="30" t="s">
        <v>882</v>
      </c>
      <c r="AA3710" s="30" t="s">
        <v>340</v>
      </c>
      <c r="AD3710" s="38">
        <v>89</v>
      </c>
      <c r="AF3710" s="76">
        <f t="shared" si="355"/>
        <v>120203.28999999998</v>
      </c>
    </row>
    <row r="3711" spans="3:32" ht="8.25" customHeight="1" x14ac:dyDescent="0.25">
      <c r="F3711" s="53">
        <v>3</v>
      </c>
      <c r="T3711" s="33">
        <v>46169</v>
      </c>
      <c r="U3711" s="34">
        <v>2026</v>
      </c>
      <c r="V3711" s="35" t="s">
        <v>2448</v>
      </c>
      <c r="W3711" s="35" t="s">
        <v>17</v>
      </c>
      <c r="X3711" s="37" t="s">
        <v>2976</v>
      </c>
      <c r="Z3711" s="30" t="s">
        <v>1951</v>
      </c>
      <c r="AA3711" s="30" t="s">
        <v>3939</v>
      </c>
      <c r="AE3711" s="38">
        <v>2000</v>
      </c>
      <c r="AF3711" s="76">
        <f t="shared" si="355"/>
        <v>118203.28999999998</v>
      </c>
    </row>
    <row r="3712" spans="3:32" ht="8.25" customHeight="1" x14ac:dyDescent="0.25">
      <c r="F3712" s="53">
        <v>4</v>
      </c>
      <c r="T3712" s="33">
        <v>46169</v>
      </c>
      <c r="U3712" s="34">
        <v>2026</v>
      </c>
      <c r="V3712" s="35" t="s">
        <v>2448</v>
      </c>
      <c r="W3712" s="35" t="s">
        <v>17</v>
      </c>
      <c r="X3712" s="37" t="s">
        <v>2977</v>
      </c>
      <c r="Z3712" s="30" t="s">
        <v>1951</v>
      </c>
      <c r="AA3712" s="30" t="s">
        <v>3939</v>
      </c>
      <c r="AE3712" s="38">
        <v>2000</v>
      </c>
      <c r="AF3712" s="76">
        <f t="shared" si="355"/>
        <v>116203.28999999998</v>
      </c>
    </row>
    <row r="3713" spans="18:32" ht="8.25" customHeight="1" x14ac:dyDescent="0.25">
      <c r="R3713" s="53">
        <v>51</v>
      </c>
      <c r="T3713" s="33">
        <v>46169</v>
      </c>
      <c r="U3713" s="34">
        <v>2026</v>
      </c>
      <c r="V3713" s="35" t="s">
        <v>2448</v>
      </c>
      <c r="W3713" s="35" t="s">
        <v>5</v>
      </c>
      <c r="X3713" s="37" t="s">
        <v>2958</v>
      </c>
      <c r="Y3713" s="36" t="s">
        <v>2959</v>
      </c>
      <c r="Z3713" s="30" t="s">
        <v>2960</v>
      </c>
      <c r="AA3713" s="30" t="s">
        <v>1050</v>
      </c>
      <c r="AE3713" s="38">
        <v>5000</v>
      </c>
      <c r="AF3713" s="76">
        <f t="shared" si="355"/>
        <v>111203.28999999998</v>
      </c>
    </row>
    <row r="3714" spans="18:32" ht="8.25" customHeight="1" x14ac:dyDescent="0.25">
      <c r="T3714" s="33">
        <v>46169</v>
      </c>
      <c r="U3714" s="34">
        <v>2026</v>
      </c>
      <c r="V3714" s="35" t="s">
        <v>2448</v>
      </c>
      <c r="W3714" s="35" t="s">
        <v>5</v>
      </c>
      <c r="X3714" s="37" t="s">
        <v>2980</v>
      </c>
      <c r="Y3714" s="36" t="s">
        <v>411</v>
      </c>
      <c r="Z3714" s="30" t="s">
        <v>412</v>
      </c>
      <c r="AA3714" s="30" t="s">
        <v>1882</v>
      </c>
      <c r="AF3714" s="76">
        <f t="shared" si="355"/>
        <v>111203.28999999998</v>
      </c>
    </row>
    <row r="3715" spans="18:32" ht="8.25" customHeight="1" thickBot="1" x14ac:dyDescent="0.3">
      <c r="AA3715" s="260" t="s">
        <v>2893</v>
      </c>
      <c r="AD3715" s="253">
        <f>SUM(AD3703:AD3713)</f>
        <v>939</v>
      </c>
      <c r="AE3715" s="253">
        <f>SUM(AE3703:AE3714)</f>
        <v>9000</v>
      </c>
      <c r="AF3715" s="233">
        <f>AF3702+AD3715-AE3715</f>
        <v>111203.28999999998</v>
      </c>
    </row>
    <row r="3716" spans="18:32" ht="8.25" customHeight="1" thickTop="1" x14ac:dyDescent="0.25"/>
    <row r="3717" spans="18:32" ht="8.25" customHeight="1" x14ac:dyDescent="0.25">
      <c r="X3717" s="109"/>
      <c r="Y3717" s="67" t="s">
        <v>214</v>
      </c>
      <c r="Z3717" s="68"/>
      <c r="AA3717" s="75"/>
    </row>
    <row r="3718" spans="18:32" ht="8.25" customHeight="1" x14ac:dyDescent="0.25">
      <c r="X3718" s="110" t="s">
        <v>288</v>
      </c>
      <c r="Y3718" s="111">
        <v>200</v>
      </c>
      <c r="Z3718" s="111">
        <f t="shared" ref="Z3718:Z3723" si="356">X3718*Y3718</f>
        <v>18800</v>
      </c>
      <c r="AA3718" s="112"/>
    </row>
    <row r="3719" spans="18:32" ht="8.25" customHeight="1" x14ac:dyDescent="0.25">
      <c r="X3719" s="110" t="s">
        <v>3388</v>
      </c>
      <c r="Y3719" s="111">
        <v>100</v>
      </c>
      <c r="Z3719" s="111">
        <f t="shared" si="356"/>
        <v>90400</v>
      </c>
      <c r="AA3719" s="112"/>
    </row>
    <row r="3720" spans="18:32" ht="8.25" customHeight="1" x14ac:dyDescent="0.25">
      <c r="X3720" s="110" t="s">
        <v>222</v>
      </c>
      <c r="Y3720" s="111">
        <v>50</v>
      </c>
      <c r="Z3720" s="111">
        <f t="shared" si="356"/>
        <v>50</v>
      </c>
      <c r="AA3720" s="76"/>
    </row>
    <row r="3721" spans="18:32" ht="8.25" customHeight="1" x14ac:dyDescent="0.25">
      <c r="X3721" s="110" t="s">
        <v>224</v>
      </c>
      <c r="Y3721" s="111">
        <v>20</v>
      </c>
      <c r="Z3721" s="111">
        <f t="shared" si="356"/>
        <v>40</v>
      </c>
      <c r="AA3721" s="38"/>
    </row>
    <row r="3722" spans="18:32" ht="8.25" customHeight="1" x14ac:dyDescent="0.25">
      <c r="X3722" s="110" t="s">
        <v>222</v>
      </c>
      <c r="Y3722" s="111">
        <v>10</v>
      </c>
      <c r="Z3722" s="111">
        <f t="shared" si="356"/>
        <v>10</v>
      </c>
      <c r="AA3722" s="112"/>
    </row>
    <row r="3723" spans="18:32" ht="8.25" customHeight="1" x14ac:dyDescent="0.25">
      <c r="X3723" s="110" t="s">
        <v>2978</v>
      </c>
      <c r="Y3723" s="111">
        <v>5</v>
      </c>
      <c r="Z3723" s="111">
        <f t="shared" si="356"/>
        <v>1355</v>
      </c>
      <c r="AA3723" s="112"/>
    </row>
    <row r="3724" spans="18:32" ht="8.25" customHeight="1" x14ac:dyDescent="0.25">
      <c r="X3724" s="269"/>
      <c r="Y3724" s="270"/>
      <c r="Z3724" s="271"/>
      <c r="AA3724" s="38"/>
    </row>
    <row r="3725" spans="18:32" ht="8.25" customHeight="1" x14ac:dyDescent="0.25">
      <c r="X3725" s="110" t="s">
        <v>2979</v>
      </c>
      <c r="Y3725" s="111">
        <v>1</v>
      </c>
      <c r="Z3725" s="111">
        <f t="shared" ref="Z3725:Z3730" si="357">X3725*Y3725</f>
        <v>463</v>
      </c>
      <c r="AA3725" s="76"/>
    </row>
    <row r="3726" spans="18:32" ht="8.25" customHeight="1" x14ac:dyDescent="0.25">
      <c r="X3726" s="110" t="s">
        <v>259</v>
      </c>
      <c r="Y3726" s="111">
        <v>0.5</v>
      </c>
      <c r="Z3726" s="111">
        <f t="shared" si="357"/>
        <v>40</v>
      </c>
      <c r="AA3726" s="112"/>
    </row>
    <row r="3727" spans="18:32" ht="8.25" customHeight="1" x14ac:dyDescent="0.25">
      <c r="X3727" s="110" t="s">
        <v>1733</v>
      </c>
      <c r="Y3727" s="111">
        <v>0.25</v>
      </c>
      <c r="Z3727" s="111">
        <f t="shared" si="357"/>
        <v>45.25</v>
      </c>
      <c r="AA3727" s="113"/>
    </row>
    <row r="3728" spans="18:32" ht="8.25" customHeight="1" x14ac:dyDescent="0.25">
      <c r="X3728" s="110"/>
      <c r="Y3728" s="111">
        <v>0.1</v>
      </c>
      <c r="Z3728" s="111">
        <f t="shared" si="357"/>
        <v>0</v>
      </c>
      <c r="AA3728" s="114" t="s">
        <v>219</v>
      </c>
    </row>
    <row r="3729" spans="9:32" ht="8.25" customHeight="1" thickBot="1" x14ac:dyDescent="0.3">
      <c r="X3729" s="110"/>
      <c r="Y3729" s="111">
        <v>0.05</v>
      </c>
      <c r="Z3729" s="111">
        <f t="shared" si="357"/>
        <v>0</v>
      </c>
      <c r="AA3729" s="115">
        <f>SUM(Z3718:Z3723)+Z3725+Z3726+Z3727+Z3728+Z3729+Z3730</f>
        <v>111203.29</v>
      </c>
    </row>
    <row r="3730" spans="9:32" ht="8.25" customHeight="1" thickTop="1" x14ac:dyDescent="0.25">
      <c r="X3730" s="110" t="s">
        <v>299</v>
      </c>
      <c r="Y3730" s="111">
        <v>0.01</v>
      </c>
      <c r="Z3730" s="111">
        <f t="shared" si="357"/>
        <v>0.04</v>
      </c>
    </row>
    <row r="3732" spans="9:32" ht="8.25" customHeight="1" x14ac:dyDescent="0.25">
      <c r="Z3732" s="231" t="s">
        <v>1376</v>
      </c>
      <c r="AF3732" s="76">
        <f>AF3715</f>
        <v>111203.28999999998</v>
      </c>
    </row>
    <row r="3733" spans="9:32" ht="8.25" customHeight="1" x14ac:dyDescent="0.25">
      <c r="N3733" s="52">
        <v>75</v>
      </c>
      <c r="T3733" s="33">
        <v>46170</v>
      </c>
      <c r="U3733" s="34">
        <v>2026</v>
      </c>
      <c r="V3733" s="35" t="s">
        <v>2448</v>
      </c>
      <c r="W3733" s="35" t="s">
        <v>17</v>
      </c>
      <c r="X3733" s="37" t="s">
        <v>2981</v>
      </c>
      <c r="Y3733" s="36" t="s">
        <v>2982</v>
      </c>
      <c r="Z3733" s="30" t="s">
        <v>2983</v>
      </c>
      <c r="AA3733" s="30" t="s">
        <v>3899</v>
      </c>
      <c r="AD3733" s="38">
        <v>3637.61</v>
      </c>
      <c r="AF3733" s="76">
        <f>AF3732+AD3733-AE3733</f>
        <v>114840.89999999998</v>
      </c>
    </row>
    <row r="3734" spans="9:32" ht="8.25" customHeight="1" x14ac:dyDescent="0.15">
      <c r="N3734" s="52">
        <v>75</v>
      </c>
      <c r="T3734" s="33">
        <v>46170</v>
      </c>
      <c r="U3734" s="34">
        <v>2026</v>
      </c>
      <c r="V3734" s="35" t="s">
        <v>2448</v>
      </c>
      <c r="W3734" s="35" t="s">
        <v>17</v>
      </c>
      <c r="X3734" s="37" t="s">
        <v>2981</v>
      </c>
      <c r="Y3734" s="36" t="s">
        <v>2982</v>
      </c>
      <c r="Z3734" s="30" t="s">
        <v>2983</v>
      </c>
      <c r="AA3734" s="134" t="s">
        <v>166</v>
      </c>
      <c r="AD3734" s="38">
        <v>3362.39</v>
      </c>
      <c r="AF3734" s="76">
        <f t="shared" ref="AF3734:AF3759" si="358">AF3733+AD3734-AE3734</f>
        <v>118203.28999999998</v>
      </c>
    </row>
    <row r="3735" spans="9:32" ht="8.25" customHeight="1" x14ac:dyDescent="0.25">
      <c r="N3735" s="52">
        <v>76</v>
      </c>
      <c r="T3735" s="33">
        <v>46170</v>
      </c>
      <c r="U3735" s="34">
        <v>2026</v>
      </c>
      <c r="V3735" s="35" t="s">
        <v>2448</v>
      </c>
      <c r="W3735" s="35" t="s">
        <v>17</v>
      </c>
      <c r="X3735" s="37" t="s">
        <v>2985</v>
      </c>
      <c r="Y3735" s="36" t="s">
        <v>120</v>
      </c>
      <c r="Z3735" s="30" t="s">
        <v>2984</v>
      </c>
      <c r="AA3735" s="30" t="s">
        <v>1195</v>
      </c>
      <c r="AD3735" s="38">
        <v>5</v>
      </c>
      <c r="AF3735" s="76">
        <f t="shared" si="358"/>
        <v>118208.28999999998</v>
      </c>
    </row>
    <row r="3736" spans="9:32" ht="8.25" customHeight="1" x14ac:dyDescent="0.25">
      <c r="I3736" s="52">
        <v>47</v>
      </c>
      <c r="T3736" s="33">
        <v>46170</v>
      </c>
      <c r="U3736" s="34">
        <v>2026</v>
      </c>
      <c r="V3736" s="35" t="s">
        <v>2448</v>
      </c>
      <c r="W3736" s="35" t="s">
        <v>17</v>
      </c>
      <c r="X3736" s="37" t="s">
        <v>2986</v>
      </c>
      <c r="Y3736" s="36" t="s">
        <v>2987</v>
      </c>
      <c r="Z3736" s="30" t="s">
        <v>2984</v>
      </c>
      <c r="AA3736" s="30" t="s">
        <v>13</v>
      </c>
      <c r="AD3736" s="38">
        <v>100</v>
      </c>
      <c r="AF3736" s="76">
        <f t="shared" si="358"/>
        <v>118308.28999999998</v>
      </c>
    </row>
    <row r="3737" spans="9:32" ht="8.25" customHeight="1" x14ac:dyDescent="0.25">
      <c r="N3737" s="52">
        <v>77</v>
      </c>
      <c r="T3737" s="33">
        <v>46170</v>
      </c>
      <c r="U3737" s="34">
        <v>2026</v>
      </c>
      <c r="V3737" s="35" t="s">
        <v>2448</v>
      </c>
      <c r="W3737" s="35" t="s">
        <v>17</v>
      </c>
      <c r="X3737" s="37" t="s">
        <v>2990</v>
      </c>
      <c r="Y3737" s="36" t="s">
        <v>1126</v>
      </c>
      <c r="Z3737" s="30" t="s">
        <v>520</v>
      </c>
      <c r="AA3737" s="30" t="s">
        <v>3899</v>
      </c>
      <c r="AD3737" s="38">
        <v>3214.2</v>
      </c>
      <c r="AF3737" s="76">
        <f t="shared" si="358"/>
        <v>121522.48999999998</v>
      </c>
    </row>
    <row r="3738" spans="9:32" ht="8.25" customHeight="1" x14ac:dyDescent="0.15">
      <c r="N3738" s="52">
        <v>77</v>
      </c>
      <c r="T3738" s="33">
        <v>46170</v>
      </c>
      <c r="U3738" s="34">
        <v>2026</v>
      </c>
      <c r="V3738" s="35" t="s">
        <v>2448</v>
      </c>
      <c r="W3738" s="35" t="s">
        <v>17</v>
      </c>
      <c r="X3738" s="37" t="s">
        <v>2990</v>
      </c>
      <c r="Y3738" s="36" t="s">
        <v>1126</v>
      </c>
      <c r="Z3738" s="30" t="s">
        <v>520</v>
      </c>
      <c r="AA3738" s="134" t="s">
        <v>166</v>
      </c>
      <c r="AD3738" s="38">
        <v>7745.8</v>
      </c>
      <c r="AF3738" s="76">
        <f t="shared" si="358"/>
        <v>129268.28999999998</v>
      </c>
    </row>
    <row r="3739" spans="9:32" ht="8.25" customHeight="1" x14ac:dyDescent="0.25">
      <c r="N3739" s="52">
        <v>77</v>
      </c>
      <c r="T3739" s="33">
        <v>46170</v>
      </c>
      <c r="U3739" s="34">
        <v>2026</v>
      </c>
      <c r="V3739" s="35" t="s">
        <v>2448</v>
      </c>
      <c r="W3739" s="35" t="s">
        <v>17</v>
      </c>
      <c r="X3739" s="37" t="s">
        <v>2990</v>
      </c>
      <c r="Y3739" s="36" t="s">
        <v>1126</v>
      </c>
      <c r="Z3739" s="30" t="s">
        <v>520</v>
      </c>
      <c r="AA3739" s="30" t="s">
        <v>3304</v>
      </c>
      <c r="AD3739" s="38">
        <v>40</v>
      </c>
      <c r="AF3739" s="76">
        <f t="shared" si="358"/>
        <v>129308.28999999998</v>
      </c>
    </row>
    <row r="3740" spans="9:32" ht="8.25" customHeight="1" x14ac:dyDescent="0.25">
      <c r="N3740" s="52">
        <v>78</v>
      </c>
      <c r="T3740" s="33">
        <v>46170</v>
      </c>
      <c r="U3740" s="34">
        <v>2026</v>
      </c>
      <c r="V3740" s="35" t="s">
        <v>2448</v>
      </c>
      <c r="W3740" s="35" t="s">
        <v>17</v>
      </c>
      <c r="X3740" s="37" t="s">
        <v>2991</v>
      </c>
      <c r="Y3740" s="36" t="s">
        <v>2432</v>
      </c>
      <c r="Z3740" s="30" t="s">
        <v>530</v>
      </c>
      <c r="AA3740" s="30" t="s">
        <v>3708</v>
      </c>
      <c r="AD3740" s="38">
        <v>592.63</v>
      </c>
      <c r="AF3740" s="76">
        <f t="shared" si="358"/>
        <v>129900.91999999998</v>
      </c>
    </row>
    <row r="3741" spans="9:32" ht="8.25" customHeight="1" x14ac:dyDescent="0.15">
      <c r="N3741" s="52">
        <v>78</v>
      </c>
      <c r="T3741" s="33">
        <v>46170</v>
      </c>
      <c r="U3741" s="34">
        <v>2026</v>
      </c>
      <c r="V3741" s="35" t="s">
        <v>2448</v>
      </c>
      <c r="W3741" s="35" t="s">
        <v>17</v>
      </c>
      <c r="X3741" s="37" t="s">
        <v>2991</v>
      </c>
      <c r="Y3741" s="36" t="s">
        <v>2432</v>
      </c>
      <c r="Z3741" s="30" t="s">
        <v>530</v>
      </c>
      <c r="AA3741" s="134" t="s">
        <v>183</v>
      </c>
      <c r="AD3741" s="38">
        <v>115.37</v>
      </c>
      <c r="AF3741" s="76">
        <f t="shared" si="358"/>
        <v>130016.28999999998</v>
      </c>
    </row>
    <row r="3742" spans="9:32" ht="8.25" customHeight="1" x14ac:dyDescent="0.25">
      <c r="N3742" s="52">
        <v>78</v>
      </c>
      <c r="T3742" s="33">
        <v>46170</v>
      </c>
      <c r="U3742" s="34">
        <v>2026</v>
      </c>
      <c r="V3742" s="35" t="s">
        <v>2448</v>
      </c>
      <c r="W3742" s="35" t="s">
        <v>17</v>
      </c>
      <c r="X3742" s="37" t="s">
        <v>2991</v>
      </c>
      <c r="Y3742" s="36" t="s">
        <v>2432</v>
      </c>
      <c r="Z3742" s="30" t="s">
        <v>530</v>
      </c>
      <c r="AA3742" s="30" t="s">
        <v>3306</v>
      </c>
      <c r="AD3742" s="38">
        <v>145</v>
      </c>
      <c r="AF3742" s="76">
        <f t="shared" si="358"/>
        <v>130161.28999999998</v>
      </c>
    </row>
    <row r="3743" spans="9:32" ht="8.25" customHeight="1" x14ac:dyDescent="0.25">
      <c r="I3743" s="52">
        <v>48</v>
      </c>
      <c r="T3743" s="33">
        <v>46170</v>
      </c>
      <c r="U3743" s="34">
        <v>2026</v>
      </c>
      <c r="V3743" s="35" t="s">
        <v>2448</v>
      </c>
      <c r="W3743" s="35" t="s">
        <v>17</v>
      </c>
      <c r="X3743" s="37" t="s">
        <v>2992</v>
      </c>
      <c r="Y3743" s="36" t="s">
        <v>364</v>
      </c>
      <c r="Z3743" s="30" t="s">
        <v>1438</v>
      </c>
      <c r="AA3743" s="30" t="s">
        <v>13</v>
      </c>
      <c r="AD3743" s="38">
        <v>700</v>
      </c>
      <c r="AF3743" s="76">
        <f t="shared" si="358"/>
        <v>130861.28999999998</v>
      </c>
    </row>
    <row r="3744" spans="9:32" ht="8.25" customHeight="1" x14ac:dyDescent="0.25">
      <c r="I3744" s="52">
        <v>49</v>
      </c>
      <c r="T3744" s="33">
        <v>46170</v>
      </c>
      <c r="U3744" s="34">
        <v>2026</v>
      </c>
      <c r="V3744" s="35" t="s">
        <v>2448</v>
      </c>
      <c r="W3744" s="35" t="s">
        <v>17</v>
      </c>
      <c r="X3744" s="37" t="s">
        <v>2993</v>
      </c>
      <c r="Y3744" s="36" t="s">
        <v>2441</v>
      </c>
      <c r="Z3744" s="30" t="s">
        <v>2421</v>
      </c>
      <c r="AA3744" s="30" t="s">
        <v>13</v>
      </c>
      <c r="AD3744" s="38">
        <v>100</v>
      </c>
      <c r="AF3744" s="76">
        <f t="shared" si="358"/>
        <v>130961.28999999998</v>
      </c>
    </row>
    <row r="3745" spans="6:32" ht="8.25" customHeight="1" x14ac:dyDescent="0.25">
      <c r="N3745" s="52">
        <v>79</v>
      </c>
      <c r="T3745" s="33">
        <v>46170</v>
      </c>
      <c r="U3745" s="34">
        <v>2026</v>
      </c>
      <c r="V3745" s="35" t="s">
        <v>2448</v>
      </c>
      <c r="W3745" s="35" t="s">
        <v>17</v>
      </c>
      <c r="X3745" s="37" t="s">
        <v>2994</v>
      </c>
      <c r="Y3745" s="36" t="s">
        <v>2371</v>
      </c>
      <c r="Z3745" s="30" t="s">
        <v>2372</v>
      </c>
      <c r="AA3745" s="30" t="s">
        <v>3899</v>
      </c>
      <c r="AD3745" s="38">
        <v>3782.64</v>
      </c>
      <c r="AF3745" s="76">
        <f t="shared" si="358"/>
        <v>134743.93</v>
      </c>
    </row>
    <row r="3746" spans="6:32" ht="8.25" customHeight="1" x14ac:dyDescent="0.15">
      <c r="N3746" s="52">
        <v>79</v>
      </c>
      <c r="T3746" s="33">
        <v>46170</v>
      </c>
      <c r="U3746" s="34">
        <v>2026</v>
      </c>
      <c r="V3746" s="35" t="s">
        <v>2448</v>
      </c>
      <c r="W3746" s="35" t="s">
        <v>17</v>
      </c>
      <c r="X3746" s="37" t="s">
        <v>2994</v>
      </c>
      <c r="Y3746" s="36" t="s">
        <v>2371</v>
      </c>
      <c r="Z3746" s="30" t="s">
        <v>2372</v>
      </c>
      <c r="AA3746" s="134" t="s">
        <v>166</v>
      </c>
      <c r="AD3746" s="38">
        <v>8866.68</v>
      </c>
      <c r="AF3746" s="76">
        <f t="shared" si="358"/>
        <v>143610.60999999999</v>
      </c>
    </row>
    <row r="3747" spans="6:32" ht="8.25" customHeight="1" x14ac:dyDescent="0.25">
      <c r="N3747" s="52">
        <v>80</v>
      </c>
      <c r="T3747" s="33">
        <v>46170</v>
      </c>
      <c r="U3747" s="34">
        <v>2026</v>
      </c>
      <c r="V3747" s="35" t="s">
        <v>2448</v>
      </c>
      <c r="W3747" s="35" t="s">
        <v>17</v>
      </c>
      <c r="X3747" s="37" t="s">
        <v>2996</v>
      </c>
      <c r="Y3747" s="36" t="s">
        <v>2998</v>
      </c>
      <c r="Z3747" s="30" t="s">
        <v>1367</v>
      </c>
      <c r="AA3747" s="30" t="s">
        <v>3899</v>
      </c>
      <c r="AD3747" s="38">
        <v>2523.41</v>
      </c>
      <c r="AF3747" s="76">
        <f t="shared" si="358"/>
        <v>146134.01999999999</v>
      </c>
    </row>
    <row r="3748" spans="6:32" ht="8.25" customHeight="1" x14ac:dyDescent="0.15">
      <c r="N3748" s="52">
        <v>80</v>
      </c>
      <c r="T3748" s="33">
        <v>46170</v>
      </c>
      <c r="U3748" s="34">
        <v>2026</v>
      </c>
      <c r="V3748" s="35" t="s">
        <v>2448</v>
      </c>
      <c r="W3748" s="35" t="s">
        <v>17</v>
      </c>
      <c r="X3748" s="37" t="s">
        <v>2996</v>
      </c>
      <c r="Y3748" s="36" t="s">
        <v>2998</v>
      </c>
      <c r="Z3748" s="30" t="s">
        <v>1367</v>
      </c>
      <c r="AA3748" s="134" t="s">
        <v>166</v>
      </c>
      <c r="AD3748" s="38">
        <v>5911.14</v>
      </c>
      <c r="AF3748" s="76">
        <f t="shared" si="358"/>
        <v>152045.16</v>
      </c>
    </row>
    <row r="3749" spans="6:32" ht="8.25" customHeight="1" x14ac:dyDescent="0.25">
      <c r="N3749" s="52">
        <v>81</v>
      </c>
      <c r="T3749" s="33">
        <v>46170</v>
      </c>
      <c r="U3749" s="34">
        <v>2026</v>
      </c>
      <c r="V3749" s="35" t="s">
        <v>2448</v>
      </c>
      <c r="W3749" s="35" t="s">
        <v>17</v>
      </c>
      <c r="X3749" s="37" t="s">
        <v>2997</v>
      </c>
      <c r="Y3749" s="36" t="s">
        <v>1381</v>
      </c>
      <c r="Z3749" s="30" t="s">
        <v>642</v>
      </c>
      <c r="AA3749" s="30" t="s">
        <v>3899</v>
      </c>
      <c r="AD3749" s="38">
        <v>12618.16</v>
      </c>
      <c r="AF3749" s="76">
        <f t="shared" si="358"/>
        <v>164663.32</v>
      </c>
    </row>
    <row r="3750" spans="6:32" ht="8.25" customHeight="1" x14ac:dyDescent="0.15">
      <c r="N3750" s="52">
        <v>81</v>
      </c>
      <c r="T3750" s="33">
        <v>46170</v>
      </c>
      <c r="U3750" s="34">
        <v>2026</v>
      </c>
      <c r="V3750" s="35" t="s">
        <v>2448</v>
      </c>
      <c r="W3750" s="35" t="s">
        <v>17</v>
      </c>
      <c r="X3750" s="37" t="s">
        <v>2997</v>
      </c>
      <c r="Y3750" s="36" t="s">
        <v>1381</v>
      </c>
      <c r="Z3750" s="30" t="s">
        <v>642</v>
      </c>
      <c r="AA3750" s="134" t="s">
        <v>166</v>
      </c>
      <c r="AD3750" s="38">
        <v>35267.620000000003</v>
      </c>
      <c r="AF3750" s="76">
        <f t="shared" si="358"/>
        <v>199930.94</v>
      </c>
    </row>
    <row r="3751" spans="6:32" ht="8.25" customHeight="1" x14ac:dyDescent="0.25">
      <c r="R3751" s="53">
        <v>52</v>
      </c>
      <c r="T3751" s="33">
        <v>46170</v>
      </c>
      <c r="U3751" s="34">
        <v>2026</v>
      </c>
      <c r="V3751" s="35" t="s">
        <v>2448</v>
      </c>
      <c r="W3751" s="35" t="s">
        <v>17</v>
      </c>
      <c r="X3751" s="37" t="s">
        <v>2989</v>
      </c>
      <c r="Y3751" s="36" t="s">
        <v>2012</v>
      </c>
      <c r="Z3751" s="30" t="s">
        <v>1942</v>
      </c>
      <c r="AA3751" s="30" t="s">
        <v>1050</v>
      </c>
      <c r="AE3751" s="38">
        <v>100</v>
      </c>
      <c r="AF3751" s="76">
        <f t="shared" si="358"/>
        <v>199830.94</v>
      </c>
    </row>
    <row r="3752" spans="6:32" ht="8.25" customHeight="1" x14ac:dyDescent="0.25">
      <c r="R3752" s="53">
        <v>53</v>
      </c>
      <c r="T3752" s="33">
        <v>46170</v>
      </c>
      <c r="U3752" s="34">
        <v>2026</v>
      </c>
      <c r="V3752" s="35" t="s">
        <v>2448</v>
      </c>
      <c r="W3752" s="35" t="s">
        <v>5</v>
      </c>
      <c r="X3752" s="37" t="s">
        <v>2999</v>
      </c>
      <c r="Y3752" s="36" t="s">
        <v>3002</v>
      </c>
      <c r="Z3752" s="30" t="s">
        <v>3003</v>
      </c>
      <c r="AA3752" s="30" t="s">
        <v>1050</v>
      </c>
      <c r="AE3752" s="38">
        <v>300</v>
      </c>
      <c r="AF3752" s="76">
        <f t="shared" si="358"/>
        <v>199530.94</v>
      </c>
    </row>
    <row r="3753" spans="6:32" ht="8.25" customHeight="1" x14ac:dyDescent="0.25">
      <c r="R3753" s="53">
        <v>54</v>
      </c>
      <c r="T3753" s="33">
        <v>46170</v>
      </c>
      <c r="U3753" s="34">
        <v>2026</v>
      </c>
      <c r="V3753" s="35" t="s">
        <v>2448</v>
      </c>
      <c r="W3753" s="35" t="s">
        <v>5</v>
      </c>
      <c r="X3753" s="37" t="s">
        <v>3000</v>
      </c>
      <c r="Y3753" s="36" t="s">
        <v>1290</v>
      </c>
      <c r="Z3753" s="30" t="s">
        <v>2372</v>
      </c>
      <c r="AA3753" s="30" t="s">
        <v>1050</v>
      </c>
      <c r="AE3753" s="38">
        <v>12649.32</v>
      </c>
      <c r="AF3753" s="76">
        <f t="shared" si="358"/>
        <v>186881.62</v>
      </c>
    </row>
    <row r="3754" spans="6:32" ht="8.25" customHeight="1" x14ac:dyDescent="0.25">
      <c r="R3754" s="53">
        <v>55</v>
      </c>
      <c r="T3754" s="33">
        <v>46170</v>
      </c>
      <c r="U3754" s="34">
        <v>2026</v>
      </c>
      <c r="V3754" s="35" t="s">
        <v>2448</v>
      </c>
      <c r="W3754" s="35" t="s">
        <v>5</v>
      </c>
      <c r="X3754" s="37" t="s">
        <v>3001</v>
      </c>
      <c r="Y3754" s="36" t="s">
        <v>1366</v>
      </c>
      <c r="Z3754" s="30" t="s">
        <v>1367</v>
      </c>
      <c r="AA3754" s="30" t="s">
        <v>1050</v>
      </c>
      <c r="AE3754" s="38">
        <v>8434.5499999999993</v>
      </c>
      <c r="AF3754" s="76">
        <f t="shared" si="358"/>
        <v>178447.07</v>
      </c>
    </row>
    <row r="3755" spans="6:32" ht="8.25" customHeight="1" x14ac:dyDescent="0.25">
      <c r="R3755" s="53">
        <v>56</v>
      </c>
      <c r="T3755" s="33">
        <v>46170</v>
      </c>
      <c r="U3755" s="34">
        <v>2026</v>
      </c>
      <c r="V3755" s="35" t="s">
        <v>2448</v>
      </c>
      <c r="W3755" s="35" t="s">
        <v>5</v>
      </c>
      <c r="X3755" s="37" t="s">
        <v>3004</v>
      </c>
      <c r="Y3755" s="36" t="s">
        <v>728</v>
      </c>
      <c r="Z3755" s="30" t="s">
        <v>3005</v>
      </c>
      <c r="AA3755" s="30" t="s">
        <v>1050</v>
      </c>
      <c r="AE3755" s="38">
        <v>47885.78</v>
      </c>
      <c r="AF3755" s="76">
        <f t="shared" si="358"/>
        <v>130561.29000000001</v>
      </c>
    </row>
    <row r="3756" spans="6:32" ht="8.25" customHeight="1" x14ac:dyDescent="0.25">
      <c r="F3756" s="53">
        <v>5</v>
      </c>
      <c r="T3756" s="33">
        <v>46170</v>
      </c>
      <c r="U3756" s="34">
        <v>2026</v>
      </c>
      <c r="V3756" s="35" t="s">
        <v>2448</v>
      </c>
      <c r="W3756" s="35" t="s">
        <v>2655</v>
      </c>
      <c r="X3756" s="37" t="s">
        <v>3006</v>
      </c>
      <c r="Z3756" s="30" t="s">
        <v>3009</v>
      </c>
      <c r="AA3756" s="30" t="s">
        <v>3939</v>
      </c>
      <c r="AE3756" s="38">
        <v>2000</v>
      </c>
      <c r="AF3756" s="76">
        <f t="shared" si="358"/>
        <v>128561.29000000001</v>
      </c>
    </row>
    <row r="3757" spans="6:32" ht="8.25" customHeight="1" x14ac:dyDescent="0.25">
      <c r="F3757" s="53">
        <v>6</v>
      </c>
      <c r="T3757" s="33">
        <v>46170</v>
      </c>
      <c r="U3757" s="34">
        <v>2026</v>
      </c>
      <c r="V3757" s="35" t="s">
        <v>2448</v>
      </c>
      <c r="W3757" s="35" t="s">
        <v>2655</v>
      </c>
      <c r="X3757" s="37" t="s">
        <v>3007</v>
      </c>
      <c r="Z3757" s="30" t="s">
        <v>3009</v>
      </c>
      <c r="AA3757" s="30" t="s">
        <v>3939</v>
      </c>
      <c r="AE3757" s="38">
        <v>2000</v>
      </c>
      <c r="AF3757" s="76">
        <f t="shared" si="358"/>
        <v>126561.29000000001</v>
      </c>
    </row>
    <row r="3758" spans="6:32" ht="8.25" customHeight="1" x14ac:dyDescent="0.25">
      <c r="F3758" s="53">
        <v>7</v>
      </c>
      <c r="T3758" s="33">
        <v>46170</v>
      </c>
      <c r="U3758" s="34">
        <v>2026</v>
      </c>
      <c r="V3758" s="35" t="s">
        <v>2448</v>
      </c>
      <c r="W3758" s="35" t="s">
        <v>2655</v>
      </c>
      <c r="X3758" s="37" t="s">
        <v>3008</v>
      </c>
      <c r="Z3758" s="30" t="s">
        <v>3009</v>
      </c>
      <c r="AA3758" s="30" t="s">
        <v>3939</v>
      </c>
      <c r="AE3758" s="38">
        <v>2000</v>
      </c>
      <c r="AF3758" s="76">
        <f t="shared" si="358"/>
        <v>124561.29000000001</v>
      </c>
    </row>
    <row r="3759" spans="6:32" ht="8.25" customHeight="1" x14ac:dyDescent="0.25">
      <c r="T3759" s="33">
        <v>46170</v>
      </c>
      <c r="U3759" s="34">
        <v>2026</v>
      </c>
      <c r="V3759" s="35" t="s">
        <v>2448</v>
      </c>
      <c r="W3759" s="35" t="s">
        <v>5</v>
      </c>
      <c r="X3759" s="37" t="s">
        <v>2988</v>
      </c>
      <c r="Y3759" s="36" t="s">
        <v>411</v>
      </c>
      <c r="Z3759" s="30" t="s">
        <v>412</v>
      </c>
      <c r="AA3759" s="30" t="s">
        <v>1882</v>
      </c>
      <c r="AE3759" s="38">
        <v>50000</v>
      </c>
      <c r="AF3759" s="76">
        <f t="shared" si="358"/>
        <v>74561.290000000008</v>
      </c>
    </row>
    <row r="3760" spans="6:32" ht="8.25" customHeight="1" thickBot="1" x14ac:dyDescent="0.3">
      <c r="AA3760" s="260" t="s">
        <v>2893</v>
      </c>
      <c r="AD3760" s="253">
        <f>SUM(AD3733:AD3758)</f>
        <v>88727.65</v>
      </c>
      <c r="AE3760" s="253">
        <f>SUM(AE3733:AE3759)</f>
        <v>125369.65</v>
      </c>
      <c r="AF3760" s="233">
        <f>AF3732+AD3760-AE3760</f>
        <v>74561.289999999979</v>
      </c>
    </row>
    <row r="3761" spans="24:27" ht="8.25" customHeight="1" thickTop="1" x14ac:dyDescent="0.25"/>
    <row r="3762" spans="24:27" ht="8.25" customHeight="1" x14ac:dyDescent="0.25">
      <c r="X3762" s="109"/>
      <c r="Y3762" s="67" t="s">
        <v>214</v>
      </c>
      <c r="Z3762" s="68"/>
      <c r="AA3762" s="75"/>
    </row>
    <row r="3763" spans="24:27" ht="8.25" customHeight="1" x14ac:dyDescent="0.25">
      <c r="X3763" s="110" t="s">
        <v>288</v>
      </c>
      <c r="Y3763" s="111">
        <v>200</v>
      </c>
      <c r="Z3763" s="111">
        <f t="shared" ref="Z3763:Z3768" si="359">X3763*Y3763</f>
        <v>18800</v>
      </c>
      <c r="AA3763" s="112"/>
    </row>
    <row r="3764" spans="24:27" ht="8.25" customHeight="1" x14ac:dyDescent="0.25">
      <c r="X3764" s="110" t="s">
        <v>3387</v>
      </c>
      <c r="Y3764" s="111">
        <v>100</v>
      </c>
      <c r="Z3764" s="111">
        <f t="shared" si="359"/>
        <v>53800</v>
      </c>
      <c r="AA3764" s="112"/>
    </row>
    <row r="3765" spans="24:27" ht="8.25" customHeight="1" x14ac:dyDescent="0.25">
      <c r="X3765" s="110" t="s">
        <v>222</v>
      </c>
      <c r="Y3765" s="111">
        <v>50</v>
      </c>
      <c r="Z3765" s="111">
        <f t="shared" si="359"/>
        <v>50</v>
      </c>
      <c r="AA3765" s="76"/>
    </row>
    <row r="3766" spans="24:27" ht="8.25" customHeight="1" x14ac:dyDescent="0.25">
      <c r="X3766" s="110"/>
      <c r="Y3766" s="111">
        <v>20</v>
      </c>
      <c r="Z3766" s="111">
        <f t="shared" si="359"/>
        <v>0</v>
      </c>
      <c r="AA3766" s="38"/>
    </row>
    <row r="3767" spans="24:27" ht="8.25" customHeight="1" x14ac:dyDescent="0.25">
      <c r="X3767" s="110" t="s">
        <v>222</v>
      </c>
      <c r="Y3767" s="111">
        <v>10</v>
      </c>
      <c r="Z3767" s="111">
        <f t="shared" si="359"/>
        <v>10</v>
      </c>
      <c r="AA3767" s="112"/>
    </row>
    <row r="3768" spans="24:27" ht="8.25" customHeight="1" x14ac:dyDescent="0.25">
      <c r="X3768" s="110" t="s">
        <v>2978</v>
      </c>
      <c r="Y3768" s="111">
        <v>5</v>
      </c>
      <c r="Z3768" s="111">
        <f t="shared" si="359"/>
        <v>1355</v>
      </c>
      <c r="AA3768" s="112"/>
    </row>
    <row r="3769" spans="24:27" ht="8.25" customHeight="1" x14ac:dyDescent="0.25">
      <c r="X3769" s="269"/>
      <c r="Y3769" s="270"/>
      <c r="Z3769" s="271"/>
      <c r="AA3769" s="38"/>
    </row>
    <row r="3770" spans="24:27" ht="8.25" customHeight="1" x14ac:dyDescent="0.25">
      <c r="X3770" s="110" t="s">
        <v>2995</v>
      </c>
      <c r="Y3770" s="111">
        <v>1</v>
      </c>
      <c r="Z3770" s="111">
        <f t="shared" ref="Z3770:Z3775" si="360">X3770*Y3770</f>
        <v>461</v>
      </c>
      <c r="AA3770" s="76"/>
    </row>
    <row r="3771" spans="24:27" ht="8.25" customHeight="1" x14ac:dyDescent="0.25">
      <c r="X3771" s="110" t="s">
        <v>259</v>
      </c>
      <c r="Y3771" s="111">
        <v>0.5</v>
      </c>
      <c r="Z3771" s="111">
        <f t="shared" si="360"/>
        <v>40</v>
      </c>
      <c r="AA3771" s="112"/>
    </row>
    <row r="3772" spans="24:27" ht="8.25" customHeight="1" x14ac:dyDescent="0.25">
      <c r="X3772" s="110" t="s">
        <v>1733</v>
      </c>
      <c r="Y3772" s="111">
        <v>0.25</v>
      </c>
      <c r="Z3772" s="111">
        <f t="shared" si="360"/>
        <v>45.25</v>
      </c>
      <c r="AA3772" s="113"/>
    </row>
    <row r="3773" spans="24:27" ht="8.25" customHeight="1" x14ac:dyDescent="0.25">
      <c r="X3773" s="110"/>
      <c r="Y3773" s="111">
        <v>0.1</v>
      </c>
      <c r="Z3773" s="111">
        <f t="shared" si="360"/>
        <v>0</v>
      </c>
      <c r="AA3773" s="114" t="s">
        <v>219</v>
      </c>
    </row>
    <row r="3774" spans="24:27" ht="8.25" customHeight="1" thickBot="1" x14ac:dyDescent="0.3">
      <c r="X3774" s="110"/>
      <c r="Y3774" s="111">
        <v>0.05</v>
      </c>
      <c r="Z3774" s="111">
        <f t="shared" si="360"/>
        <v>0</v>
      </c>
      <c r="AA3774" s="115">
        <f>SUM(Z3763:Z3768)+Z3770+Z3771+Z3772+Z3773+Z3774+Z3775</f>
        <v>74561.289999999994</v>
      </c>
    </row>
    <row r="3775" spans="24:27" ht="8.25" customHeight="1" thickTop="1" x14ac:dyDescent="0.25">
      <c r="X3775" s="110" t="s">
        <v>299</v>
      </c>
      <c r="Y3775" s="111">
        <v>0.01</v>
      </c>
      <c r="Z3775" s="111">
        <f t="shared" si="360"/>
        <v>0.04</v>
      </c>
    </row>
    <row r="3776" spans="24:27" ht="8.25" customHeight="1" x14ac:dyDescent="0.25">
      <c r="X3776" s="37" t="s">
        <v>1</v>
      </c>
    </row>
    <row r="3777" spans="9:32" ht="8.25" customHeight="1" x14ac:dyDescent="0.25">
      <c r="Z3777" s="231" t="s">
        <v>1376</v>
      </c>
      <c r="AF3777" s="76">
        <f>AF3760</f>
        <v>74561.289999999979</v>
      </c>
    </row>
    <row r="3778" spans="9:32" ht="8.25" customHeight="1" x14ac:dyDescent="0.25">
      <c r="N3778" s="52">
        <v>82</v>
      </c>
      <c r="T3778" s="33">
        <v>46171</v>
      </c>
      <c r="U3778" s="34">
        <v>2026</v>
      </c>
      <c r="V3778" s="35" t="s">
        <v>2448</v>
      </c>
      <c r="W3778" s="35" t="s">
        <v>17</v>
      </c>
      <c r="X3778" s="37" t="s">
        <v>3010</v>
      </c>
      <c r="Y3778" s="36" t="s">
        <v>2718</v>
      </c>
      <c r="Z3778" s="30" t="s">
        <v>2721</v>
      </c>
      <c r="AA3778" s="30" t="s">
        <v>3899</v>
      </c>
      <c r="AD3778" s="38">
        <v>6470.62</v>
      </c>
      <c r="AF3778" s="76">
        <f>AF3777+AD3778-AE3778</f>
        <v>81031.909999999974</v>
      </c>
    </row>
    <row r="3779" spans="9:32" ht="8.25" customHeight="1" x14ac:dyDescent="0.15">
      <c r="N3779" s="52">
        <v>82</v>
      </c>
      <c r="T3779" s="33">
        <v>46171</v>
      </c>
      <c r="U3779" s="34">
        <v>2026</v>
      </c>
      <c r="V3779" s="35" t="s">
        <v>2448</v>
      </c>
      <c r="W3779" s="35" t="s">
        <v>17</v>
      </c>
      <c r="X3779" s="37" t="s">
        <v>3010</v>
      </c>
      <c r="Y3779" s="36" t="s">
        <v>2718</v>
      </c>
      <c r="Z3779" s="30" t="s">
        <v>2721</v>
      </c>
      <c r="AA3779" s="134" t="s">
        <v>166</v>
      </c>
      <c r="AD3779" s="38">
        <v>369.04</v>
      </c>
      <c r="AF3779" s="76">
        <f t="shared" ref="AF3779:AF3799" si="361">AF3778+AD3779-AE3779</f>
        <v>81400.949999999968</v>
      </c>
    </row>
    <row r="3780" spans="9:32" ht="8.25" customHeight="1" x14ac:dyDescent="0.25">
      <c r="N3780" s="52">
        <v>82</v>
      </c>
      <c r="T3780" s="33">
        <v>46171</v>
      </c>
      <c r="U3780" s="34">
        <v>2026</v>
      </c>
      <c r="V3780" s="35" t="s">
        <v>2448</v>
      </c>
      <c r="W3780" s="35" t="s">
        <v>17</v>
      </c>
      <c r="X3780" s="37" t="s">
        <v>3010</v>
      </c>
      <c r="Y3780" s="36" t="s">
        <v>2718</v>
      </c>
      <c r="Z3780" s="30" t="s">
        <v>2721</v>
      </c>
      <c r="AA3780" s="30" t="s">
        <v>3305</v>
      </c>
      <c r="AD3780" s="38">
        <v>160.34</v>
      </c>
      <c r="AF3780" s="76">
        <f t="shared" si="361"/>
        <v>81561.289999999964</v>
      </c>
    </row>
    <row r="3781" spans="9:32" ht="8.25" customHeight="1" x14ac:dyDescent="0.25">
      <c r="N3781" s="52">
        <v>83</v>
      </c>
      <c r="T3781" s="33">
        <v>46171</v>
      </c>
      <c r="U3781" s="34">
        <v>2026</v>
      </c>
      <c r="V3781" s="35" t="s">
        <v>2448</v>
      </c>
      <c r="W3781" s="35" t="s">
        <v>17</v>
      </c>
      <c r="X3781" s="37" t="s">
        <v>3011</v>
      </c>
      <c r="Y3781" s="36" t="s">
        <v>688</v>
      </c>
      <c r="Z3781" s="30" t="s">
        <v>1831</v>
      </c>
      <c r="AA3781" s="30" t="s">
        <v>3899</v>
      </c>
      <c r="AD3781" s="38">
        <v>3834.97</v>
      </c>
      <c r="AF3781" s="76">
        <f t="shared" si="361"/>
        <v>85396.259999999966</v>
      </c>
    </row>
    <row r="3782" spans="9:32" ht="8.25" customHeight="1" x14ac:dyDescent="0.15">
      <c r="N3782" s="52">
        <v>83</v>
      </c>
      <c r="T3782" s="33">
        <v>46171</v>
      </c>
      <c r="U3782" s="34">
        <v>2026</v>
      </c>
      <c r="V3782" s="35" t="s">
        <v>2448</v>
      </c>
      <c r="W3782" s="35" t="s">
        <v>17</v>
      </c>
      <c r="X3782" s="37" t="s">
        <v>3011</v>
      </c>
      <c r="Y3782" s="36" t="s">
        <v>688</v>
      </c>
      <c r="Z3782" s="30" t="s">
        <v>1831</v>
      </c>
      <c r="AA3782" s="134" t="s">
        <v>166</v>
      </c>
      <c r="AD3782" s="38">
        <v>165.03</v>
      </c>
      <c r="AF3782" s="76">
        <f t="shared" si="361"/>
        <v>85561.289999999964</v>
      </c>
    </row>
    <row r="3783" spans="9:32" ht="8.25" customHeight="1" x14ac:dyDescent="0.15">
      <c r="K3783" s="52">
        <v>14</v>
      </c>
      <c r="T3783" s="33">
        <v>46171</v>
      </c>
      <c r="U3783" s="34">
        <v>2026</v>
      </c>
      <c r="V3783" s="35" t="s">
        <v>2448</v>
      </c>
      <c r="W3783" s="35" t="s">
        <v>17</v>
      </c>
      <c r="X3783" s="37" t="s">
        <v>3012</v>
      </c>
      <c r="Y3783" s="36" t="s">
        <v>3022</v>
      </c>
      <c r="Z3783" s="30" t="s">
        <v>3023</v>
      </c>
      <c r="AA3783" s="136" t="s">
        <v>1788</v>
      </c>
      <c r="AD3783" s="38">
        <v>100</v>
      </c>
      <c r="AF3783" s="76">
        <f t="shared" si="361"/>
        <v>85661.289999999964</v>
      </c>
    </row>
    <row r="3784" spans="9:32" ht="8.25" customHeight="1" x14ac:dyDescent="0.25">
      <c r="L3784" s="52">
        <v>14</v>
      </c>
      <c r="T3784" s="33">
        <v>46171</v>
      </c>
      <c r="U3784" s="34">
        <v>2026</v>
      </c>
      <c r="V3784" s="35" t="s">
        <v>2448</v>
      </c>
      <c r="W3784" s="35" t="s">
        <v>17</v>
      </c>
      <c r="X3784" s="37" t="s">
        <v>3013</v>
      </c>
      <c r="Y3784" s="36" t="s">
        <v>120</v>
      </c>
      <c r="Z3784" s="30" t="s">
        <v>3023</v>
      </c>
      <c r="AA3784" s="30" t="s">
        <v>373</v>
      </c>
      <c r="AD3784" s="38">
        <v>50</v>
      </c>
      <c r="AF3784" s="76">
        <f t="shared" si="361"/>
        <v>85711.289999999964</v>
      </c>
    </row>
    <row r="3785" spans="9:32" ht="8.25" customHeight="1" x14ac:dyDescent="0.25">
      <c r="I3785" s="52">
        <v>50</v>
      </c>
      <c r="T3785" s="33">
        <v>46171</v>
      </c>
      <c r="U3785" s="34">
        <v>2026</v>
      </c>
      <c r="V3785" s="35" t="s">
        <v>2448</v>
      </c>
      <c r="W3785" s="35" t="s">
        <v>17</v>
      </c>
      <c r="X3785" s="37" t="s">
        <v>3014</v>
      </c>
      <c r="Y3785" s="36" t="s">
        <v>3024</v>
      </c>
      <c r="Z3785" s="30" t="s">
        <v>3023</v>
      </c>
      <c r="AA3785" s="30" t="s">
        <v>13</v>
      </c>
      <c r="AD3785" s="38">
        <v>100</v>
      </c>
      <c r="AF3785" s="76">
        <f t="shared" si="361"/>
        <v>85811.289999999964</v>
      </c>
    </row>
    <row r="3786" spans="9:32" ht="8.25" customHeight="1" x14ac:dyDescent="0.15">
      <c r="K3786" s="52">
        <v>15</v>
      </c>
      <c r="T3786" s="33">
        <v>46171</v>
      </c>
      <c r="U3786" s="34">
        <v>2026</v>
      </c>
      <c r="V3786" s="35" t="s">
        <v>2448</v>
      </c>
      <c r="W3786" s="35" t="s">
        <v>17</v>
      </c>
      <c r="X3786" s="37" t="s">
        <v>3015</v>
      </c>
      <c r="Y3786" s="36" t="s">
        <v>3025</v>
      </c>
      <c r="Z3786" s="30" t="s">
        <v>3027</v>
      </c>
      <c r="AA3786" s="136" t="s">
        <v>1788</v>
      </c>
      <c r="AD3786" s="38">
        <v>100</v>
      </c>
      <c r="AF3786" s="76">
        <f t="shared" si="361"/>
        <v>85911.289999999964</v>
      </c>
    </row>
    <row r="3787" spans="9:32" ht="8.25" customHeight="1" x14ac:dyDescent="0.25">
      <c r="L3787" s="52">
        <v>15</v>
      </c>
      <c r="T3787" s="33">
        <v>46171</v>
      </c>
      <c r="U3787" s="34">
        <v>2026</v>
      </c>
      <c r="V3787" s="35" t="s">
        <v>2448</v>
      </c>
      <c r="W3787" s="35" t="s">
        <v>17</v>
      </c>
      <c r="X3787" s="37" t="s">
        <v>3016</v>
      </c>
      <c r="Y3787" s="36" t="s">
        <v>120</v>
      </c>
      <c r="Z3787" s="30" t="s">
        <v>3027</v>
      </c>
      <c r="AA3787" s="30" t="s">
        <v>373</v>
      </c>
      <c r="AD3787" s="38">
        <v>50</v>
      </c>
      <c r="AF3787" s="76">
        <f t="shared" si="361"/>
        <v>85961.289999999964</v>
      </c>
    </row>
    <row r="3788" spans="9:32" ht="8.25" customHeight="1" x14ac:dyDescent="0.25">
      <c r="I3788" s="52">
        <v>51</v>
      </c>
      <c r="T3788" s="33">
        <v>46171</v>
      </c>
      <c r="U3788" s="34">
        <v>2026</v>
      </c>
      <c r="V3788" s="35" t="s">
        <v>2448</v>
      </c>
      <c r="W3788" s="35" t="s">
        <v>17</v>
      </c>
      <c r="X3788" s="37" t="s">
        <v>3017</v>
      </c>
      <c r="Y3788" s="36" t="s">
        <v>3026</v>
      </c>
      <c r="Z3788" s="30" t="s">
        <v>3027</v>
      </c>
      <c r="AA3788" s="30" t="s">
        <v>13</v>
      </c>
      <c r="AD3788" s="38">
        <v>100</v>
      </c>
      <c r="AF3788" s="76">
        <f t="shared" si="361"/>
        <v>86061.289999999964</v>
      </c>
    </row>
    <row r="3789" spans="9:32" ht="8.25" customHeight="1" x14ac:dyDescent="0.25">
      <c r="N3789" s="52">
        <v>84</v>
      </c>
      <c r="T3789" s="33">
        <v>46171</v>
      </c>
      <c r="U3789" s="34">
        <v>2026</v>
      </c>
      <c r="V3789" s="35" t="s">
        <v>2448</v>
      </c>
      <c r="W3789" s="35" t="s">
        <v>17</v>
      </c>
      <c r="X3789" s="37" t="s">
        <v>3021</v>
      </c>
      <c r="Y3789" s="36" t="s">
        <v>1424</v>
      </c>
      <c r="Z3789" s="30" t="s">
        <v>1425</v>
      </c>
      <c r="AA3789" s="30" t="s">
        <v>3899</v>
      </c>
      <c r="AD3789" s="38">
        <v>1375.18</v>
      </c>
      <c r="AF3789" s="76">
        <f t="shared" si="361"/>
        <v>87436.469999999958</v>
      </c>
    </row>
    <row r="3790" spans="9:32" ht="8.25" customHeight="1" x14ac:dyDescent="0.15">
      <c r="N3790" s="52">
        <v>84</v>
      </c>
      <c r="T3790" s="33">
        <v>46171</v>
      </c>
      <c r="U3790" s="34">
        <v>2026</v>
      </c>
      <c r="V3790" s="35" t="s">
        <v>2448</v>
      </c>
      <c r="W3790" s="35" t="s">
        <v>17</v>
      </c>
      <c r="X3790" s="37" t="s">
        <v>3021</v>
      </c>
      <c r="Y3790" s="36" t="s">
        <v>1424</v>
      </c>
      <c r="Z3790" s="30" t="s">
        <v>1425</v>
      </c>
      <c r="AA3790" s="134" t="s">
        <v>166</v>
      </c>
      <c r="AD3790" s="38">
        <v>624.82000000000005</v>
      </c>
      <c r="AF3790" s="76">
        <f t="shared" si="361"/>
        <v>88061.289999999964</v>
      </c>
    </row>
    <row r="3791" spans="9:32" ht="8.25" customHeight="1" x14ac:dyDescent="0.25">
      <c r="I3791" s="52">
        <v>52</v>
      </c>
      <c r="T3791" s="33">
        <v>46171</v>
      </c>
      <c r="U3791" s="34">
        <v>2026</v>
      </c>
      <c r="V3791" s="35" t="s">
        <v>2448</v>
      </c>
      <c r="W3791" s="35" t="s">
        <v>17</v>
      </c>
      <c r="X3791" s="37" t="s">
        <v>3028</v>
      </c>
      <c r="Y3791" s="36" t="s">
        <v>2484</v>
      </c>
      <c r="Z3791" s="30" t="s">
        <v>1939</v>
      </c>
      <c r="AA3791" s="30" t="s">
        <v>13</v>
      </c>
      <c r="AD3791" s="38">
        <v>1000</v>
      </c>
      <c r="AF3791" s="76">
        <f t="shared" si="361"/>
        <v>89061.289999999964</v>
      </c>
    </row>
    <row r="3792" spans="9:32" ht="8.25" customHeight="1" x14ac:dyDescent="0.25">
      <c r="N3792" s="52">
        <v>85</v>
      </c>
      <c r="T3792" s="33">
        <v>46171</v>
      </c>
      <c r="U3792" s="34">
        <v>2026</v>
      </c>
      <c r="V3792" s="35" t="s">
        <v>2448</v>
      </c>
      <c r="W3792" s="35" t="s">
        <v>17</v>
      </c>
      <c r="X3792" s="37" t="s">
        <v>3029</v>
      </c>
      <c r="Y3792" s="36" t="s">
        <v>2484</v>
      </c>
      <c r="Z3792" s="30" t="s">
        <v>1747</v>
      </c>
      <c r="AA3792" s="30" t="s">
        <v>3899</v>
      </c>
      <c r="AD3792" s="38">
        <v>774.15</v>
      </c>
      <c r="AF3792" s="76">
        <f t="shared" si="361"/>
        <v>89835.439999999959</v>
      </c>
    </row>
    <row r="3793" spans="6:32" ht="8.25" customHeight="1" x14ac:dyDescent="0.15">
      <c r="N3793" s="52">
        <v>85</v>
      </c>
      <c r="T3793" s="33">
        <v>46171</v>
      </c>
      <c r="U3793" s="34">
        <v>2026</v>
      </c>
      <c r="V3793" s="35" t="s">
        <v>2448</v>
      </c>
      <c r="W3793" s="35" t="s">
        <v>17</v>
      </c>
      <c r="X3793" s="37" t="s">
        <v>3029</v>
      </c>
      <c r="Y3793" s="36" t="s">
        <v>2484</v>
      </c>
      <c r="Z3793" s="30" t="s">
        <v>1747</v>
      </c>
      <c r="AA3793" s="134" t="s">
        <v>166</v>
      </c>
      <c r="AD3793" s="38">
        <v>1254.8499999999999</v>
      </c>
      <c r="AF3793" s="76">
        <f t="shared" si="361"/>
        <v>91090.289999999964</v>
      </c>
    </row>
    <row r="3794" spans="6:32" ht="8.25" customHeight="1" x14ac:dyDescent="0.25">
      <c r="I3794" s="52">
        <v>53</v>
      </c>
      <c r="T3794" s="33">
        <v>46171</v>
      </c>
      <c r="U3794" s="34">
        <v>2026</v>
      </c>
      <c r="V3794" s="35" t="s">
        <v>2448</v>
      </c>
      <c r="W3794" s="35" t="s">
        <v>17</v>
      </c>
      <c r="X3794" s="37" t="s">
        <v>3032</v>
      </c>
      <c r="Y3794" s="36" t="s">
        <v>1435</v>
      </c>
      <c r="Z3794" s="30" t="s">
        <v>1669</v>
      </c>
      <c r="AA3794" s="30" t="s">
        <v>13</v>
      </c>
      <c r="AD3794" s="38">
        <v>5000</v>
      </c>
      <c r="AF3794" s="76">
        <f t="shared" si="361"/>
        <v>96090.289999999964</v>
      </c>
    </row>
    <row r="3795" spans="6:32" ht="8.25" customHeight="1" x14ac:dyDescent="0.25">
      <c r="R3795" s="53">
        <v>57</v>
      </c>
      <c r="T3795" s="33">
        <v>46171</v>
      </c>
      <c r="U3795" s="34">
        <v>2026</v>
      </c>
      <c r="V3795" s="35" t="s">
        <v>2448</v>
      </c>
      <c r="W3795" s="35" t="s">
        <v>5</v>
      </c>
      <c r="X3795" s="37" t="s">
        <v>3018</v>
      </c>
      <c r="Y3795" s="36" t="s">
        <v>404</v>
      </c>
      <c r="Z3795" s="30" t="s">
        <v>405</v>
      </c>
      <c r="AA3795" s="30" t="s">
        <v>1050</v>
      </c>
      <c r="AE3795" s="38">
        <v>1000</v>
      </c>
      <c r="AF3795" s="76">
        <f t="shared" si="361"/>
        <v>95090.289999999964</v>
      </c>
    </row>
    <row r="3796" spans="6:32" ht="8.25" customHeight="1" x14ac:dyDescent="0.25">
      <c r="R3796" s="53">
        <v>58</v>
      </c>
      <c r="T3796" s="33">
        <v>46171</v>
      </c>
      <c r="U3796" s="34">
        <v>2026</v>
      </c>
      <c r="V3796" s="35" t="s">
        <v>2448</v>
      </c>
      <c r="W3796" s="35" t="s">
        <v>5</v>
      </c>
      <c r="X3796" s="37" t="s">
        <v>3033</v>
      </c>
      <c r="Y3796" s="36" t="s">
        <v>3034</v>
      </c>
      <c r="Z3796" s="30" t="s">
        <v>1425</v>
      </c>
      <c r="AA3796" s="30" t="s">
        <v>1050</v>
      </c>
      <c r="AE3796" s="38">
        <v>2000</v>
      </c>
      <c r="AF3796" s="76">
        <f t="shared" si="361"/>
        <v>93090.289999999964</v>
      </c>
    </row>
    <row r="3797" spans="6:32" ht="8.25" customHeight="1" x14ac:dyDescent="0.25">
      <c r="F3797" s="53">
        <v>8</v>
      </c>
      <c r="T3797" s="33">
        <v>46171</v>
      </c>
      <c r="U3797" s="34">
        <v>2026</v>
      </c>
      <c r="V3797" s="35" t="s">
        <v>2448</v>
      </c>
      <c r="W3797" s="35" t="s">
        <v>2655</v>
      </c>
      <c r="X3797" s="37" t="s">
        <v>3020</v>
      </c>
      <c r="Z3797" s="30" t="s">
        <v>3019</v>
      </c>
      <c r="AA3797" s="30" t="s">
        <v>3939</v>
      </c>
      <c r="AE3797" s="38">
        <v>300</v>
      </c>
      <c r="AF3797" s="76">
        <f t="shared" si="361"/>
        <v>92790.289999999964</v>
      </c>
    </row>
    <row r="3798" spans="6:32" ht="8.25" customHeight="1" x14ac:dyDescent="0.25">
      <c r="G3798" s="53">
        <v>34</v>
      </c>
      <c r="T3798" s="33">
        <v>46171</v>
      </c>
      <c r="U3798" s="34">
        <v>2026</v>
      </c>
      <c r="V3798" s="35" t="s">
        <v>2448</v>
      </c>
      <c r="W3798" s="35" t="s">
        <v>2655</v>
      </c>
      <c r="X3798" s="37" t="s">
        <v>3030</v>
      </c>
      <c r="Y3798" s="36" t="s">
        <v>3031</v>
      </c>
      <c r="Z3798" s="30" t="s">
        <v>1504</v>
      </c>
      <c r="AA3798" s="30" t="s">
        <v>3945</v>
      </c>
      <c r="AE3798" s="38">
        <v>378</v>
      </c>
      <c r="AF3798" s="76">
        <f t="shared" si="361"/>
        <v>92412.289999999964</v>
      </c>
    </row>
    <row r="3799" spans="6:32" ht="8.25" customHeight="1" x14ac:dyDescent="0.25">
      <c r="T3799" s="33">
        <v>46171</v>
      </c>
      <c r="U3799" s="34">
        <v>2026</v>
      </c>
      <c r="V3799" s="35" t="s">
        <v>2448</v>
      </c>
      <c r="W3799" s="35" t="s">
        <v>5</v>
      </c>
      <c r="X3799" s="37" t="s">
        <v>3035</v>
      </c>
      <c r="Y3799" s="36" t="s">
        <v>411</v>
      </c>
      <c r="Z3799" s="30" t="s">
        <v>412</v>
      </c>
      <c r="AA3799" s="30" t="s">
        <v>2719</v>
      </c>
      <c r="AE3799" s="38">
        <v>5000</v>
      </c>
      <c r="AF3799" s="76">
        <f t="shared" si="361"/>
        <v>87412.289999999964</v>
      </c>
    </row>
    <row r="3800" spans="6:32" ht="8.25" customHeight="1" thickBot="1" x14ac:dyDescent="0.3">
      <c r="AA3800" s="260" t="s">
        <v>2893</v>
      </c>
      <c r="AD3800" s="253">
        <f>SUM(AD3778:AD3799)</f>
        <v>21529</v>
      </c>
      <c r="AE3800" s="253">
        <f>SUM(AE3778:AE3799)</f>
        <v>8678</v>
      </c>
      <c r="AF3800" s="233">
        <f>AF3777+AD3800-AE3800</f>
        <v>87412.289999999979</v>
      </c>
    </row>
    <row r="3801" spans="6:32" ht="8.25" customHeight="1" thickTop="1" x14ac:dyDescent="0.25">
      <c r="X3801" s="109"/>
      <c r="Y3801" s="67" t="s">
        <v>214</v>
      </c>
      <c r="Z3801" s="68"/>
      <c r="AA3801" s="75"/>
    </row>
    <row r="3802" spans="6:32" ht="8.25" customHeight="1" x14ac:dyDescent="0.25">
      <c r="X3802" s="110" t="s">
        <v>579</v>
      </c>
      <c r="Y3802" s="111">
        <v>200</v>
      </c>
      <c r="Z3802" s="111">
        <f t="shared" ref="Z3802:Z3807" si="362">X3802*Y3802</f>
        <v>20200</v>
      </c>
      <c r="AA3802" s="112"/>
    </row>
    <row r="3803" spans="6:32" ht="8.25" customHeight="1" x14ac:dyDescent="0.25">
      <c r="X3803" s="110" t="s">
        <v>3386</v>
      </c>
      <c r="Y3803" s="111">
        <v>100</v>
      </c>
      <c r="Z3803" s="111">
        <f t="shared" si="362"/>
        <v>59400</v>
      </c>
      <c r="AA3803" s="112"/>
    </row>
    <row r="3804" spans="6:32" ht="8.25" customHeight="1" x14ac:dyDescent="0.25">
      <c r="X3804" s="110"/>
      <c r="Y3804" s="111">
        <v>50</v>
      </c>
      <c r="Z3804" s="111">
        <f t="shared" si="362"/>
        <v>0</v>
      </c>
      <c r="AA3804" s="76"/>
    </row>
    <row r="3805" spans="6:32" ht="8.25" customHeight="1" x14ac:dyDescent="0.25">
      <c r="X3805" s="110"/>
      <c r="Y3805" s="111">
        <v>20</v>
      </c>
      <c r="Z3805" s="111">
        <f t="shared" si="362"/>
        <v>0</v>
      </c>
      <c r="AA3805" s="38"/>
    </row>
    <row r="3806" spans="6:32" ht="8.25" customHeight="1" x14ac:dyDescent="0.25">
      <c r="X3806" s="110"/>
      <c r="Y3806" s="111">
        <v>10</v>
      </c>
      <c r="Z3806" s="111">
        <f t="shared" si="362"/>
        <v>0</v>
      </c>
      <c r="AA3806" s="112"/>
    </row>
    <row r="3807" spans="6:32" ht="8.25" customHeight="1" x14ac:dyDescent="0.25">
      <c r="X3807" s="110" t="s">
        <v>3036</v>
      </c>
      <c r="Y3807" s="111">
        <v>5</v>
      </c>
      <c r="Z3807" s="111">
        <f t="shared" si="362"/>
        <v>1270</v>
      </c>
      <c r="AA3807" s="112"/>
    </row>
    <row r="3808" spans="6:32" ht="8.25" customHeight="1" x14ac:dyDescent="0.25">
      <c r="X3808" s="269"/>
      <c r="Y3808" s="270"/>
      <c r="Z3808" s="271"/>
      <c r="AA3808" s="38"/>
    </row>
    <row r="3809" spans="9:32" ht="8.25" customHeight="1" x14ac:dyDescent="0.25">
      <c r="X3809" s="110" t="s">
        <v>3037</v>
      </c>
      <c r="Y3809" s="111">
        <v>1</v>
      </c>
      <c r="Z3809" s="111">
        <f t="shared" ref="Z3809:Z3814" si="363">X3809*Y3809</f>
        <v>457</v>
      </c>
      <c r="AA3809" s="76"/>
    </row>
    <row r="3810" spans="9:32" ht="8.25" customHeight="1" x14ac:dyDescent="0.25">
      <c r="X3810" s="110" t="s">
        <v>259</v>
      </c>
      <c r="Y3810" s="111">
        <v>0.5</v>
      </c>
      <c r="Z3810" s="111">
        <f t="shared" si="363"/>
        <v>40</v>
      </c>
      <c r="AA3810" s="112"/>
    </row>
    <row r="3811" spans="9:32" ht="8.25" customHeight="1" x14ac:dyDescent="0.25">
      <c r="X3811" s="110" t="s">
        <v>1733</v>
      </c>
      <c r="Y3811" s="111">
        <v>0.25</v>
      </c>
      <c r="Z3811" s="111">
        <f t="shared" si="363"/>
        <v>45.25</v>
      </c>
      <c r="AA3811" s="113"/>
    </row>
    <row r="3812" spans="9:32" ht="8.25" customHeight="1" x14ac:dyDescent="0.25">
      <c r="X3812" s="110"/>
      <c r="Y3812" s="111">
        <v>0.1</v>
      </c>
      <c r="Z3812" s="111">
        <f t="shared" si="363"/>
        <v>0</v>
      </c>
      <c r="AA3812" s="114" t="s">
        <v>219</v>
      </c>
    </row>
    <row r="3813" spans="9:32" ht="8.25" customHeight="1" thickBot="1" x14ac:dyDescent="0.3">
      <c r="X3813" s="110"/>
      <c r="Y3813" s="111">
        <v>0.05</v>
      </c>
      <c r="Z3813" s="111">
        <f t="shared" si="363"/>
        <v>0</v>
      </c>
      <c r="AA3813" s="115">
        <f>SUM(Z3802:Z3807)+Z3809+Z3810+Z3811+Z3812+Z3813+Z3814</f>
        <v>81412.289999999994</v>
      </c>
    </row>
    <row r="3814" spans="9:32" ht="8.25" customHeight="1" thickTop="1" x14ac:dyDescent="0.25">
      <c r="X3814" s="110" t="s">
        <v>299</v>
      </c>
      <c r="Y3814" s="111">
        <v>0.01</v>
      </c>
      <c r="Z3814" s="111">
        <f t="shared" si="363"/>
        <v>0.04</v>
      </c>
    </row>
    <row r="3816" spans="9:32" ht="8.25" customHeight="1" x14ac:dyDescent="0.25">
      <c r="Z3816" s="231" t="s">
        <v>1376</v>
      </c>
      <c r="AF3816" s="76">
        <f>AF3800</f>
        <v>87412.289999999979</v>
      </c>
    </row>
    <row r="3817" spans="9:32" ht="8.25" customHeight="1" x14ac:dyDescent="0.25">
      <c r="R3817" s="53">
        <v>59</v>
      </c>
      <c r="T3817" s="33">
        <v>46172</v>
      </c>
      <c r="U3817" s="34">
        <v>2026</v>
      </c>
      <c r="V3817" s="35" t="s">
        <v>2448</v>
      </c>
      <c r="W3817" s="35" t="s">
        <v>5</v>
      </c>
      <c r="X3817" s="37" t="s">
        <v>3038</v>
      </c>
      <c r="Y3817" s="36" t="s">
        <v>419</v>
      </c>
      <c r="Z3817" s="30" t="s">
        <v>1565</v>
      </c>
      <c r="AA3817" s="30" t="s">
        <v>1050</v>
      </c>
      <c r="AE3817" s="38">
        <v>2000</v>
      </c>
      <c r="AF3817" s="76">
        <f>AF3816+AD3817-AE3817</f>
        <v>85412.289999999979</v>
      </c>
    </row>
    <row r="3818" spans="9:32" ht="8.25" customHeight="1" x14ac:dyDescent="0.25">
      <c r="R3818" s="53">
        <v>60</v>
      </c>
      <c r="T3818" s="33">
        <v>46172</v>
      </c>
      <c r="U3818" s="34">
        <v>2026</v>
      </c>
      <c r="V3818" s="35" t="s">
        <v>2448</v>
      </c>
      <c r="W3818" s="35" t="s">
        <v>5</v>
      </c>
      <c r="X3818" s="262" t="s">
        <v>3038</v>
      </c>
      <c r="Y3818" s="36" t="s">
        <v>1142</v>
      </c>
      <c r="Z3818" s="30" t="s">
        <v>1139</v>
      </c>
      <c r="AA3818" s="30" t="s">
        <v>1050</v>
      </c>
      <c r="AE3818" s="38">
        <v>300</v>
      </c>
      <c r="AF3818" s="76">
        <f t="shared" ref="AF3818:AF3822" si="364">AF3817+AD3818-AE3818</f>
        <v>85112.289999999979</v>
      </c>
    </row>
    <row r="3819" spans="9:32" ht="8.25" customHeight="1" x14ac:dyDescent="0.25">
      <c r="N3819" s="52">
        <v>86</v>
      </c>
      <c r="T3819" s="33">
        <v>46172</v>
      </c>
      <c r="U3819" s="34">
        <v>2026</v>
      </c>
      <c r="V3819" s="35" t="s">
        <v>2448</v>
      </c>
      <c r="W3819" s="35" t="s">
        <v>17</v>
      </c>
      <c r="X3819" s="37" t="s">
        <v>3039</v>
      </c>
      <c r="Y3819" s="36" t="s">
        <v>1387</v>
      </c>
      <c r="Z3819" s="30" t="s">
        <v>1060</v>
      </c>
      <c r="AA3819" s="30" t="s">
        <v>3708</v>
      </c>
      <c r="AD3819" s="38">
        <v>2667.19</v>
      </c>
      <c r="AF3819" s="76">
        <f t="shared" si="364"/>
        <v>87779.479999999981</v>
      </c>
    </row>
    <row r="3820" spans="9:32" ht="8.25" customHeight="1" x14ac:dyDescent="0.15">
      <c r="N3820" s="52">
        <v>86</v>
      </c>
      <c r="T3820" s="33">
        <v>46172</v>
      </c>
      <c r="U3820" s="34">
        <v>2026</v>
      </c>
      <c r="V3820" s="35" t="s">
        <v>2448</v>
      </c>
      <c r="W3820" s="35" t="s">
        <v>17</v>
      </c>
      <c r="X3820" s="37" t="s">
        <v>3039</v>
      </c>
      <c r="Y3820" s="36" t="s">
        <v>1387</v>
      </c>
      <c r="Z3820" s="30" t="s">
        <v>1060</v>
      </c>
      <c r="AA3820" s="134" t="s">
        <v>183</v>
      </c>
      <c r="AD3820" s="38">
        <v>432.81</v>
      </c>
      <c r="AF3820" s="76">
        <f t="shared" si="364"/>
        <v>88212.289999999979</v>
      </c>
    </row>
    <row r="3821" spans="9:32" ht="8.25" customHeight="1" x14ac:dyDescent="0.15">
      <c r="T3821" s="33">
        <v>46172</v>
      </c>
      <c r="U3821" s="34">
        <v>2026</v>
      </c>
      <c r="V3821" s="35" t="s">
        <v>2448</v>
      </c>
      <c r="W3821" s="35" t="s">
        <v>17</v>
      </c>
      <c r="X3821" s="37" t="s">
        <v>2980</v>
      </c>
      <c r="Y3821" s="36" t="s">
        <v>411</v>
      </c>
      <c r="Z3821" s="30" t="s">
        <v>412</v>
      </c>
      <c r="AA3821" s="134" t="s">
        <v>3040</v>
      </c>
      <c r="AF3821" s="76">
        <f t="shared" si="364"/>
        <v>88212.289999999979</v>
      </c>
    </row>
    <row r="3822" spans="9:32" ht="8.25" customHeight="1" x14ac:dyDescent="0.25">
      <c r="I3822" s="52">
        <v>54</v>
      </c>
      <c r="T3822" s="33">
        <v>46172</v>
      </c>
      <c r="U3822" s="34">
        <v>2026</v>
      </c>
      <c r="V3822" s="35" t="s">
        <v>2448</v>
      </c>
      <c r="W3822" s="35" t="s">
        <v>17</v>
      </c>
      <c r="X3822" s="37" t="s">
        <v>3041</v>
      </c>
      <c r="Y3822" s="36" t="s">
        <v>1056</v>
      </c>
      <c r="Z3822" s="30" t="s">
        <v>1047</v>
      </c>
      <c r="AA3822" s="30" t="s">
        <v>13</v>
      </c>
      <c r="AD3822" s="38">
        <v>2000</v>
      </c>
      <c r="AF3822" s="76">
        <f t="shared" si="364"/>
        <v>90212.289999999979</v>
      </c>
    </row>
    <row r="3823" spans="9:32" ht="8.25" customHeight="1" thickBot="1" x14ac:dyDescent="0.3">
      <c r="AA3823" s="260" t="s">
        <v>2893</v>
      </c>
      <c r="AD3823" s="253">
        <f>SUM(AD3817:AD3822)</f>
        <v>5100</v>
      </c>
      <c r="AE3823" s="253">
        <f>SUM(AE3817:AE3821)</f>
        <v>2300</v>
      </c>
      <c r="AF3823" s="233">
        <f>AF3816+AD3823-AE3823</f>
        <v>90212.289999999979</v>
      </c>
    </row>
    <row r="3824" spans="9:32" ht="8.25" customHeight="1" thickTop="1" x14ac:dyDescent="0.25">
      <c r="AA3824" s="30" t="s">
        <v>3426</v>
      </c>
      <c r="AD3824" s="76">
        <f>AD2990+AD3026+AD3070+AD3103+AD3161+AD3199+AD3222+AD3259+AD3295+AD3345+AD3383+AD3436+AD3461+AD3494+AD3526+AD3547+AD3575+AD3596+AD3618+AD3652+AD3685+AD3715+AD3760+AD3800+AD3823</f>
        <v>1488659.0099999998</v>
      </c>
      <c r="AE3824" s="76">
        <f>AE2990+AE3026+AE3070+AE3103+AE3161+AE3199+AE3222+AE3259+AE3295+AE3345+AE3383+AE3436+AE3461+AE3494+AE3526+AE3547+AE3575+AE3596+AE3618+AE3652+AE3685+AE3715+AE3760+AE3800+AE3823</f>
        <v>1517962.2700000003</v>
      </c>
      <c r="AF3824" s="76">
        <f>AF2949+AD3824-AE3824</f>
        <v>90212.289999998873</v>
      </c>
    </row>
    <row r="3825" spans="24:32" ht="8.25" customHeight="1" x14ac:dyDescent="0.25">
      <c r="X3825" s="109"/>
      <c r="Y3825" s="67" t="s">
        <v>214</v>
      </c>
      <c r="Z3825" s="68"/>
      <c r="AA3825" s="75"/>
    </row>
    <row r="3826" spans="24:32" ht="8.25" customHeight="1" x14ac:dyDescent="0.25">
      <c r="X3826" s="110" t="s">
        <v>579</v>
      </c>
      <c r="Y3826" s="111">
        <v>200</v>
      </c>
      <c r="Z3826" s="111">
        <f t="shared" ref="Z3826:Z3831" si="365">X3826*Y3826</f>
        <v>20200</v>
      </c>
      <c r="AA3826" s="112"/>
    </row>
    <row r="3827" spans="24:32" ht="8.25" customHeight="1" x14ac:dyDescent="0.25">
      <c r="X3827" s="110" t="s">
        <v>3042</v>
      </c>
      <c r="Y3827" s="111">
        <v>100</v>
      </c>
      <c r="Z3827" s="111">
        <f t="shared" si="365"/>
        <v>68200</v>
      </c>
      <c r="AA3827" s="112"/>
    </row>
    <row r="3828" spans="24:32" ht="8.25" customHeight="1" x14ac:dyDescent="0.25">
      <c r="X3828" s="110"/>
      <c r="Y3828" s="111">
        <v>50</v>
      </c>
      <c r="Z3828" s="111">
        <f t="shared" si="365"/>
        <v>0</v>
      </c>
      <c r="AA3828" s="76"/>
    </row>
    <row r="3829" spans="24:32" ht="8.25" customHeight="1" x14ac:dyDescent="0.25">
      <c r="X3829" s="110"/>
      <c r="Y3829" s="111">
        <v>20</v>
      </c>
      <c r="Z3829" s="111">
        <f t="shared" si="365"/>
        <v>0</v>
      </c>
      <c r="AA3829" s="38"/>
    </row>
    <row r="3830" spans="24:32" ht="8.25" customHeight="1" x14ac:dyDescent="0.25">
      <c r="X3830" s="110"/>
      <c r="Y3830" s="111">
        <v>10</v>
      </c>
      <c r="Z3830" s="111">
        <f t="shared" si="365"/>
        <v>0</v>
      </c>
      <c r="AA3830" s="112"/>
    </row>
    <row r="3831" spans="24:32" ht="8.25" customHeight="1" x14ac:dyDescent="0.25">
      <c r="X3831" s="110" t="s">
        <v>3036</v>
      </c>
      <c r="Y3831" s="111">
        <v>5</v>
      </c>
      <c r="Z3831" s="111">
        <f t="shared" si="365"/>
        <v>1270</v>
      </c>
      <c r="AA3831" s="112"/>
    </row>
    <row r="3832" spans="24:32" ht="8.25" customHeight="1" x14ac:dyDescent="0.25">
      <c r="X3832" s="269"/>
      <c r="Y3832" s="270"/>
      <c r="Z3832" s="271"/>
      <c r="AA3832" s="38"/>
    </row>
    <row r="3833" spans="24:32" ht="8.25" customHeight="1" x14ac:dyDescent="0.25">
      <c r="X3833" s="110" t="s">
        <v>3037</v>
      </c>
      <c r="Y3833" s="111">
        <v>1</v>
      </c>
      <c r="Z3833" s="111">
        <f t="shared" ref="Z3833:Z3838" si="366">X3833*Y3833</f>
        <v>457</v>
      </c>
      <c r="AA3833" s="76"/>
    </row>
    <row r="3834" spans="24:32" ht="8.25" customHeight="1" x14ac:dyDescent="0.25">
      <c r="X3834" s="110" t="s">
        <v>259</v>
      </c>
      <c r="Y3834" s="111">
        <v>0.5</v>
      </c>
      <c r="Z3834" s="111">
        <f t="shared" si="366"/>
        <v>40</v>
      </c>
      <c r="AA3834" s="112"/>
    </row>
    <row r="3835" spans="24:32" ht="8.25" customHeight="1" x14ac:dyDescent="0.25">
      <c r="X3835" s="110" t="s">
        <v>1733</v>
      </c>
      <c r="Y3835" s="111">
        <v>0.25</v>
      </c>
      <c r="Z3835" s="111">
        <f t="shared" si="366"/>
        <v>45.25</v>
      </c>
      <c r="AA3835" s="113"/>
    </row>
    <row r="3836" spans="24:32" ht="8.25" customHeight="1" x14ac:dyDescent="0.25">
      <c r="X3836" s="110"/>
      <c r="Y3836" s="111">
        <v>0.1</v>
      </c>
      <c r="Z3836" s="111">
        <f t="shared" si="366"/>
        <v>0</v>
      </c>
      <c r="AA3836" s="114" t="s">
        <v>219</v>
      </c>
    </row>
    <row r="3837" spans="24:32" ht="8.25" customHeight="1" thickBot="1" x14ac:dyDescent="0.3">
      <c r="X3837" s="110"/>
      <c r="Y3837" s="111">
        <v>0.05</v>
      </c>
      <c r="Z3837" s="111">
        <f t="shared" si="366"/>
        <v>0</v>
      </c>
      <c r="AA3837" s="115">
        <f>SUM(Z3826:Z3831)+Z3833+Z3834+Z3835+Z3836+Z3837+Z3838</f>
        <v>90212.29</v>
      </c>
    </row>
    <row r="3838" spans="24:32" ht="8.25" customHeight="1" thickTop="1" x14ac:dyDescent="0.25">
      <c r="X3838" s="110" t="s">
        <v>299</v>
      </c>
      <c r="Y3838" s="111">
        <v>0.01</v>
      </c>
      <c r="Z3838" s="111">
        <f t="shared" si="366"/>
        <v>0.04</v>
      </c>
    </row>
    <row r="3840" spans="24:32" ht="8.25" customHeight="1" x14ac:dyDescent="0.25">
      <c r="Z3840" s="231" t="s">
        <v>1376</v>
      </c>
      <c r="AF3840" s="76">
        <f>AF3823</f>
        <v>90212.289999999979</v>
      </c>
    </row>
    <row r="3841" spans="9:32" ht="8.25" customHeight="1" x14ac:dyDescent="0.25">
      <c r="N3841" s="52">
        <v>1</v>
      </c>
      <c r="T3841" s="33">
        <v>46174</v>
      </c>
      <c r="U3841" s="34">
        <v>2026</v>
      </c>
      <c r="V3841" s="35" t="s">
        <v>1588</v>
      </c>
      <c r="W3841" s="35" t="s">
        <v>17</v>
      </c>
      <c r="X3841" s="37" t="s">
        <v>3043</v>
      </c>
      <c r="Y3841" s="36" t="s">
        <v>1180</v>
      </c>
      <c r="Z3841" s="30" t="s">
        <v>1030</v>
      </c>
      <c r="AA3841" s="30" t="s">
        <v>3899</v>
      </c>
      <c r="AD3841" s="38">
        <v>103452.39</v>
      </c>
      <c r="AF3841" s="76">
        <f>AF3840+AD3841-AE3841</f>
        <v>193664.68</v>
      </c>
    </row>
    <row r="3842" spans="9:32" ht="8.25" customHeight="1" x14ac:dyDescent="0.15">
      <c r="N3842" s="52">
        <v>1</v>
      </c>
      <c r="T3842" s="33">
        <v>46174</v>
      </c>
      <c r="U3842" s="34">
        <v>2026</v>
      </c>
      <c r="V3842" s="35" t="s">
        <v>1588</v>
      </c>
      <c r="W3842" s="35" t="s">
        <v>17</v>
      </c>
      <c r="X3842" s="37" t="s">
        <v>3043</v>
      </c>
      <c r="Y3842" s="36" t="s">
        <v>1180</v>
      </c>
      <c r="Z3842" s="30" t="s">
        <v>1030</v>
      </c>
      <c r="AA3842" s="134" t="s">
        <v>166</v>
      </c>
      <c r="AD3842" s="38">
        <v>2547.61</v>
      </c>
      <c r="AF3842" s="76">
        <f t="shared" ref="AF3842:AF3846" si="367">AF3841+AD3842-AE3842</f>
        <v>196212.28999999998</v>
      </c>
    </row>
    <row r="3843" spans="9:32" ht="8.25" customHeight="1" x14ac:dyDescent="0.25">
      <c r="I3843" s="52">
        <v>1</v>
      </c>
      <c r="T3843" s="33">
        <v>46174</v>
      </c>
      <c r="U3843" s="34">
        <v>2026</v>
      </c>
      <c r="V3843" s="35" t="s">
        <v>1588</v>
      </c>
      <c r="W3843" s="35" t="s">
        <v>17</v>
      </c>
      <c r="X3843" s="37" t="s">
        <v>3045</v>
      </c>
      <c r="Y3843" s="36" t="s">
        <v>2012</v>
      </c>
      <c r="Z3843" s="30" t="s">
        <v>2556</v>
      </c>
      <c r="AA3843" s="30" t="s">
        <v>13</v>
      </c>
      <c r="AD3843" s="38">
        <v>2200</v>
      </c>
      <c r="AF3843" s="76">
        <f t="shared" si="367"/>
        <v>198412.28999999998</v>
      </c>
    </row>
    <row r="3844" spans="9:32" ht="8.25" customHeight="1" x14ac:dyDescent="0.25">
      <c r="I3844" s="52">
        <v>2</v>
      </c>
      <c r="T3844" s="33">
        <v>46174</v>
      </c>
      <c r="U3844" s="34">
        <v>2026</v>
      </c>
      <c r="V3844" s="35" t="s">
        <v>1588</v>
      </c>
      <c r="W3844" s="35" t="s">
        <v>17</v>
      </c>
      <c r="X3844" s="37" t="s">
        <v>3046</v>
      </c>
      <c r="Y3844" s="36" t="s">
        <v>1142</v>
      </c>
      <c r="Z3844" s="30" t="s">
        <v>1139</v>
      </c>
      <c r="AA3844" s="30" t="s">
        <v>13</v>
      </c>
      <c r="AD3844" s="38">
        <v>350</v>
      </c>
      <c r="AF3844" s="76">
        <f t="shared" si="367"/>
        <v>198762.28999999998</v>
      </c>
    </row>
    <row r="3845" spans="9:32" ht="8.25" customHeight="1" x14ac:dyDescent="0.25">
      <c r="I3845" s="52">
        <v>3</v>
      </c>
      <c r="T3845" s="33">
        <v>46174</v>
      </c>
      <c r="U3845" s="34">
        <v>2026</v>
      </c>
      <c r="V3845" s="35" t="s">
        <v>1588</v>
      </c>
      <c r="W3845" s="35" t="s">
        <v>17</v>
      </c>
      <c r="X3845" s="37" t="s">
        <v>3048</v>
      </c>
      <c r="Y3845" s="36" t="s">
        <v>2010</v>
      </c>
      <c r="Z3845" s="30" t="s">
        <v>1936</v>
      </c>
      <c r="AA3845" s="30" t="s">
        <v>13</v>
      </c>
      <c r="AD3845" s="38">
        <v>700</v>
      </c>
      <c r="AF3845" s="76">
        <f t="shared" si="367"/>
        <v>199462.28999999998</v>
      </c>
    </row>
    <row r="3846" spans="9:32" ht="8.25" customHeight="1" x14ac:dyDescent="0.25">
      <c r="T3846" s="33">
        <v>46174</v>
      </c>
      <c r="U3846" s="34">
        <v>2026</v>
      </c>
      <c r="V3846" s="35" t="s">
        <v>1588</v>
      </c>
      <c r="W3846" s="35" t="s">
        <v>5</v>
      </c>
      <c r="X3846" s="37" t="s">
        <v>3044</v>
      </c>
      <c r="Y3846" s="36" t="s">
        <v>411</v>
      </c>
      <c r="Z3846" s="30" t="s">
        <v>412</v>
      </c>
      <c r="AA3846" s="30" t="s">
        <v>1882</v>
      </c>
      <c r="AE3846" s="38">
        <v>150000</v>
      </c>
      <c r="AF3846" s="76">
        <f t="shared" si="367"/>
        <v>49462.289999999979</v>
      </c>
    </row>
    <row r="3847" spans="9:32" ht="8.25" customHeight="1" thickBot="1" x14ac:dyDescent="0.3">
      <c r="AA3847" s="260" t="s">
        <v>2893</v>
      </c>
      <c r="AD3847" s="253">
        <f>SUM(AD3841:AD3846)</f>
        <v>109250</v>
      </c>
      <c r="AE3847" s="253">
        <f>SUM(AE3841:AE3846)</f>
        <v>150000</v>
      </c>
      <c r="AF3847" s="233">
        <f>AF3840+AD3847-AE3847</f>
        <v>49462.289999999979</v>
      </c>
    </row>
    <row r="3848" spans="9:32" ht="8.25" customHeight="1" thickTop="1" x14ac:dyDescent="0.25">
      <c r="X3848" s="109"/>
      <c r="Y3848" s="67" t="s">
        <v>214</v>
      </c>
      <c r="Z3848" s="68"/>
      <c r="AA3848" s="75"/>
    </row>
    <row r="3849" spans="9:32" ht="8.25" customHeight="1" x14ac:dyDescent="0.25">
      <c r="X3849" s="110" t="s">
        <v>579</v>
      </c>
      <c r="Y3849" s="111">
        <v>200</v>
      </c>
      <c r="Z3849" s="111">
        <f t="shared" ref="Z3849:Z3854" si="368">X3849*Y3849</f>
        <v>20200</v>
      </c>
      <c r="AA3849" s="112"/>
    </row>
    <row r="3850" spans="9:32" ht="8.25" customHeight="1" x14ac:dyDescent="0.25">
      <c r="X3850" s="110" t="s">
        <v>2953</v>
      </c>
      <c r="Y3850" s="111">
        <v>100</v>
      </c>
      <c r="Z3850" s="111">
        <f t="shared" si="368"/>
        <v>27300</v>
      </c>
      <c r="AA3850" s="112"/>
    </row>
    <row r="3851" spans="9:32" ht="8.25" customHeight="1" x14ac:dyDescent="0.25">
      <c r="X3851" s="110" t="s">
        <v>222</v>
      </c>
      <c r="Y3851" s="111">
        <v>50</v>
      </c>
      <c r="Z3851" s="111">
        <f t="shared" si="368"/>
        <v>50</v>
      </c>
      <c r="AA3851" s="76"/>
    </row>
    <row r="3852" spans="9:32" ht="8.25" customHeight="1" x14ac:dyDescent="0.25">
      <c r="X3852" s="110" t="s">
        <v>224</v>
      </c>
      <c r="Y3852" s="111">
        <v>20</v>
      </c>
      <c r="Z3852" s="111">
        <f t="shared" si="368"/>
        <v>40</v>
      </c>
      <c r="AA3852" s="38"/>
    </row>
    <row r="3853" spans="9:32" ht="8.25" customHeight="1" x14ac:dyDescent="0.25">
      <c r="X3853" s="110" t="s">
        <v>224</v>
      </c>
      <c r="Y3853" s="111">
        <v>10</v>
      </c>
      <c r="Z3853" s="111">
        <f t="shared" si="368"/>
        <v>20</v>
      </c>
      <c r="AA3853" s="112"/>
    </row>
    <row r="3854" spans="9:32" ht="8.25" customHeight="1" x14ac:dyDescent="0.25">
      <c r="X3854" s="110" t="s">
        <v>3047</v>
      </c>
      <c r="Y3854" s="111">
        <v>5</v>
      </c>
      <c r="Z3854" s="111">
        <f t="shared" si="368"/>
        <v>1310</v>
      </c>
      <c r="AA3854" s="112"/>
    </row>
    <row r="3855" spans="9:32" ht="8.25" customHeight="1" x14ac:dyDescent="0.25">
      <c r="X3855" s="269"/>
      <c r="Y3855" s="270"/>
      <c r="Z3855" s="271"/>
      <c r="AA3855" s="38"/>
    </row>
    <row r="3856" spans="9:32" ht="8.25" customHeight="1" x14ac:dyDescent="0.25">
      <c r="X3856" s="110" t="s">
        <v>3037</v>
      </c>
      <c r="Y3856" s="111">
        <v>1</v>
      </c>
      <c r="Z3856" s="111">
        <f t="shared" ref="Z3856:Z3861" si="369">X3856*Y3856</f>
        <v>457</v>
      </c>
      <c r="AA3856" s="76"/>
    </row>
    <row r="3857" spans="9:32" ht="8.25" customHeight="1" x14ac:dyDescent="0.25">
      <c r="X3857" s="110" t="s">
        <v>259</v>
      </c>
      <c r="Y3857" s="111">
        <v>0.5</v>
      </c>
      <c r="Z3857" s="111">
        <f t="shared" si="369"/>
        <v>40</v>
      </c>
      <c r="AA3857" s="112"/>
    </row>
    <row r="3858" spans="9:32" ht="8.25" customHeight="1" x14ac:dyDescent="0.25">
      <c r="X3858" s="110" t="s">
        <v>1733</v>
      </c>
      <c r="Y3858" s="111">
        <v>0.25</v>
      </c>
      <c r="Z3858" s="111">
        <f t="shared" si="369"/>
        <v>45.25</v>
      </c>
      <c r="AA3858" s="113"/>
    </row>
    <row r="3859" spans="9:32" ht="8.25" customHeight="1" x14ac:dyDescent="0.25">
      <c r="X3859" s="110"/>
      <c r="Y3859" s="111">
        <v>0.1</v>
      </c>
      <c r="Z3859" s="111">
        <f t="shared" si="369"/>
        <v>0</v>
      </c>
      <c r="AA3859" s="114" t="s">
        <v>219</v>
      </c>
    </row>
    <row r="3860" spans="9:32" ht="8.25" customHeight="1" thickBot="1" x14ac:dyDescent="0.3">
      <c r="X3860" s="110"/>
      <c r="Y3860" s="111">
        <v>0.05</v>
      </c>
      <c r="Z3860" s="111">
        <f t="shared" si="369"/>
        <v>0</v>
      </c>
      <c r="AA3860" s="115">
        <f>SUM(Z3849:Z3854)+Z3856+Z3857+Z3858+Z3859+Z3860+Z3861</f>
        <v>49462.29</v>
      </c>
    </row>
    <row r="3861" spans="9:32" ht="8.25" customHeight="1" thickTop="1" x14ac:dyDescent="0.25">
      <c r="X3861" s="110" t="s">
        <v>299</v>
      </c>
      <c r="Y3861" s="111">
        <v>0.01</v>
      </c>
      <c r="Z3861" s="111">
        <f t="shared" si="369"/>
        <v>0.04</v>
      </c>
    </row>
    <row r="3863" spans="9:32" ht="8.25" customHeight="1" x14ac:dyDescent="0.25">
      <c r="Z3863" s="231" t="s">
        <v>1376</v>
      </c>
      <c r="AF3863" s="76">
        <f>AF3847</f>
        <v>49462.289999999979</v>
      </c>
    </row>
    <row r="3864" spans="9:32" ht="8.25" customHeight="1" x14ac:dyDescent="0.25">
      <c r="N3864" s="52">
        <v>2</v>
      </c>
      <c r="T3864" s="33">
        <v>46175</v>
      </c>
      <c r="U3864" s="34">
        <v>2026</v>
      </c>
      <c r="V3864" s="35" t="s">
        <v>1588</v>
      </c>
      <c r="W3864" s="35" t="s">
        <v>17</v>
      </c>
      <c r="X3864" s="37" t="s">
        <v>3049</v>
      </c>
      <c r="Y3864" s="36" t="s">
        <v>2476</v>
      </c>
      <c r="Z3864" s="30" t="s">
        <v>1587</v>
      </c>
      <c r="AA3864" s="30" t="s">
        <v>3708</v>
      </c>
      <c r="AD3864" s="38">
        <v>320.45</v>
      </c>
      <c r="AF3864" s="76">
        <f>AF3863+AD3864-AE3864</f>
        <v>49782.739999999976</v>
      </c>
    </row>
    <row r="3865" spans="9:32" ht="8.25" customHeight="1" x14ac:dyDescent="0.15">
      <c r="N3865" s="52">
        <v>2</v>
      </c>
      <c r="T3865" s="33">
        <v>46175</v>
      </c>
      <c r="U3865" s="34">
        <v>2026</v>
      </c>
      <c r="V3865" s="35" t="s">
        <v>1588</v>
      </c>
      <c r="W3865" s="35" t="s">
        <v>17</v>
      </c>
      <c r="X3865" s="37" t="s">
        <v>3049</v>
      </c>
      <c r="Y3865" s="36" t="s">
        <v>2476</v>
      </c>
      <c r="Z3865" s="30" t="s">
        <v>1587</v>
      </c>
      <c r="AA3865" s="134" t="s">
        <v>183</v>
      </c>
      <c r="AD3865" s="38">
        <v>117.55</v>
      </c>
      <c r="AF3865" s="76">
        <f t="shared" ref="AF3865:AF3874" si="370">AF3864+AD3865-AE3865</f>
        <v>49900.289999999979</v>
      </c>
    </row>
    <row r="3866" spans="9:32" ht="8.25" customHeight="1" x14ac:dyDescent="0.25">
      <c r="I3866" s="52">
        <v>4</v>
      </c>
      <c r="T3866" s="33">
        <v>46175</v>
      </c>
      <c r="U3866" s="34">
        <v>2026</v>
      </c>
      <c r="V3866" s="35" t="s">
        <v>1588</v>
      </c>
      <c r="W3866" s="35" t="s">
        <v>17</v>
      </c>
      <c r="X3866" s="37" t="s">
        <v>3050</v>
      </c>
      <c r="Y3866" s="36" t="s">
        <v>744</v>
      </c>
      <c r="Z3866" s="30" t="s">
        <v>3051</v>
      </c>
      <c r="AA3866" s="30" t="s">
        <v>13</v>
      </c>
      <c r="AD3866" s="38">
        <v>200</v>
      </c>
      <c r="AF3866" s="76">
        <f t="shared" si="370"/>
        <v>50100.289999999979</v>
      </c>
    </row>
    <row r="3867" spans="9:32" ht="8.25" customHeight="1" x14ac:dyDescent="0.25">
      <c r="I3867" s="52">
        <v>5</v>
      </c>
      <c r="T3867" s="33">
        <v>46175</v>
      </c>
      <c r="U3867" s="34">
        <v>2026</v>
      </c>
      <c r="V3867" s="35" t="s">
        <v>1588</v>
      </c>
      <c r="W3867" s="35" t="s">
        <v>17</v>
      </c>
      <c r="X3867" s="37" t="s">
        <v>3052</v>
      </c>
      <c r="Y3867" s="36" t="s">
        <v>2483</v>
      </c>
      <c r="Z3867" s="30" t="s">
        <v>1939</v>
      </c>
      <c r="AA3867" s="30" t="s">
        <v>2485</v>
      </c>
      <c r="AD3867" s="38">
        <v>1000</v>
      </c>
      <c r="AF3867" s="76">
        <f t="shared" si="370"/>
        <v>51100.289999999979</v>
      </c>
    </row>
    <row r="3868" spans="9:32" ht="8.25" customHeight="1" x14ac:dyDescent="0.25">
      <c r="N3868" s="52">
        <v>3</v>
      </c>
      <c r="T3868" s="33">
        <v>46175</v>
      </c>
      <c r="U3868" s="34">
        <v>2026</v>
      </c>
      <c r="V3868" s="35" t="s">
        <v>1588</v>
      </c>
      <c r="W3868" s="35" t="s">
        <v>17</v>
      </c>
      <c r="X3868" s="37" t="s">
        <v>3055</v>
      </c>
      <c r="Y3868" s="36" t="s">
        <v>3056</v>
      </c>
      <c r="Z3868" s="30" t="s">
        <v>3058</v>
      </c>
      <c r="AA3868" s="30" t="s">
        <v>3899</v>
      </c>
      <c r="AD3868" s="38">
        <v>227967.61</v>
      </c>
      <c r="AF3868" s="76">
        <f t="shared" si="370"/>
        <v>279067.89999999997</v>
      </c>
    </row>
    <row r="3869" spans="9:32" ht="8.25" customHeight="1" x14ac:dyDescent="0.15">
      <c r="N3869" s="52">
        <v>3</v>
      </c>
      <c r="T3869" s="33">
        <v>46175</v>
      </c>
      <c r="U3869" s="34">
        <v>2026</v>
      </c>
      <c r="V3869" s="35" t="s">
        <v>1588</v>
      </c>
      <c r="W3869" s="35" t="s">
        <v>17</v>
      </c>
      <c r="X3869" s="37" t="s">
        <v>3055</v>
      </c>
      <c r="Y3869" s="36" t="s">
        <v>3057</v>
      </c>
      <c r="Z3869" s="30" t="s">
        <v>3058</v>
      </c>
      <c r="AA3869" s="134" t="s">
        <v>166</v>
      </c>
      <c r="AD3869" s="38">
        <v>23084.06</v>
      </c>
      <c r="AF3869" s="76">
        <f t="shared" si="370"/>
        <v>302151.95999999996</v>
      </c>
    </row>
    <row r="3870" spans="9:32" ht="8.25" customHeight="1" x14ac:dyDescent="0.25">
      <c r="N3870" s="52">
        <v>3</v>
      </c>
      <c r="T3870" s="33">
        <v>46175</v>
      </c>
      <c r="U3870" s="34">
        <v>2026</v>
      </c>
      <c r="V3870" s="35" t="s">
        <v>1588</v>
      </c>
      <c r="W3870" s="35" t="s">
        <v>17</v>
      </c>
      <c r="X3870" s="37" t="s">
        <v>3055</v>
      </c>
      <c r="Y3870" s="36" t="s">
        <v>3057</v>
      </c>
      <c r="Z3870" s="30" t="s">
        <v>3058</v>
      </c>
      <c r="AA3870" s="30" t="s">
        <v>3304</v>
      </c>
      <c r="AD3870" s="38">
        <v>770</v>
      </c>
      <c r="AF3870" s="76">
        <f t="shared" si="370"/>
        <v>302921.95999999996</v>
      </c>
    </row>
    <row r="3871" spans="9:32" ht="8.25" customHeight="1" x14ac:dyDescent="0.25">
      <c r="T3871" s="33">
        <v>46175</v>
      </c>
      <c r="U3871" s="34">
        <v>2026</v>
      </c>
      <c r="V3871" s="35" t="s">
        <v>1588</v>
      </c>
      <c r="W3871" s="35" t="s">
        <v>5</v>
      </c>
      <c r="X3871" s="37" t="s">
        <v>3059</v>
      </c>
      <c r="Y3871" s="36" t="s">
        <v>411</v>
      </c>
      <c r="Z3871" s="30" t="s">
        <v>412</v>
      </c>
      <c r="AA3871" s="30" t="s">
        <v>2719</v>
      </c>
      <c r="AE3871" s="38">
        <f>SUM(AD3868:AD3870)</f>
        <v>251821.66999999998</v>
      </c>
      <c r="AF3871" s="76">
        <f t="shared" si="370"/>
        <v>51100.289999999979</v>
      </c>
    </row>
    <row r="3872" spans="9:32" ht="8.25" customHeight="1" x14ac:dyDescent="0.25">
      <c r="I3872" s="52">
        <v>6</v>
      </c>
      <c r="T3872" s="33">
        <v>46175</v>
      </c>
      <c r="U3872" s="34">
        <v>2026</v>
      </c>
      <c r="V3872" s="35" t="s">
        <v>1588</v>
      </c>
      <c r="W3872" s="35" t="s">
        <v>17</v>
      </c>
      <c r="X3872" s="37" t="s">
        <v>3061</v>
      </c>
      <c r="Y3872" s="36" t="s">
        <v>3060</v>
      </c>
      <c r="Z3872" s="30" t="s">
        <v>3070</v>
      </c>
      <c r="AA3872" s="30" t="s">
        <v>13</v>
      </c>
      <c r="AD3872" s="38">
        <v>28662.75</v>
      </c>
      <c r="AF3872" s="76">
        <f t="shared" si="370"/>
        <v>79763.039999999979</v>
      </c>
    </row>
    <row r="3873" spans="13:32" ht="8.25" customHeight="1" x14ac:dyDescent="0.25">
      <c r="M3873" s="52">
        <v>1</v>
      </c>
      <c r="T3873" s="33">
        <v>46175</v>
      </c>
      <c r="U3873" s="34">
        <v>2026</v>
      </c>
      <c r="V3873" s="35" t="s">
        <v>1588</v>
      </c>
      <c r="W3873" s="35" t="s">
        <v>17</v>
      </c>
      <c r="X3873" s="37" t="s">
        <v>3062</v>
      </c>
      <c r="Y3873" s="36" t="s">
        <v>120</v>
      </c>
      <c r="Z3873" s="30" t="s">
        <v>3070</v>
      </c>
      <c r="AA3873" s="30" t="s">
        <v>385</v>
      </c>
      <c r="AD3873" s="38">
        <v>5732.58</v>
      </c>
      <c r="AF3873" s="76">
        <f t="shared" si="370"/>
        <v>85495.619999999981</v>
      </c>
    </row>
    <row r="3874" spans="13:32" ht="8.25" customHeight="1" x14ac:dyDescent="0.25">
      <c r="T3874" s="33">
        <v>46175</v>
      </c>
      <c r="U3874" s="34">
        <v>2026</v>
      </c>
      <c r="V3874" s="35" t="s">
        <v>1588</v>
      </c>
      <c r="W3874" s="35" t="s">
        <v>5</v>
      </c>
      <c r="X3874" s="37" t="s">
        <v>3063</v>
      </c>
      <c r="Y3874" s="36" t="s">
        <v>411</v>
      </c>
      <c r="Z3874" s="30" t="s">
        <v>412</v>
      </c>
      <c r="AA3874" s="30" t="s">
        <v>2719</v>
      </c>
      <c r="AE3874" s="38">
        <f>AD3872+AD3873</f>
        <v>34395.33</v>
      </c>
      <c r="AF3874" s="76">
        <f t="shared" si="370"/>
        <v>51100.289999999979</v>
      </c>
    </row>
    <row r="3875" spans="13:32" ht="8.25" customHeight="1" thickBot="1" x14ac:dyDescent="0.3">
      <c r="AA3875" s="260" t="s">
        <v>2893</v>
      </c>
      <c r="AD3875" s="253">
        <f>SUM(AD3864:AD3874)</f>
        <v>287855</v>
      </c>
      <c r="AE3875" s="253">
        <f>SUM(AE3864:AE3874)</f>
        <v>286217</v>
      </c>
      <c r="AF3875" s="233">
        <f>AF3863+AD3875-AE3875</f>
        <v>51100.289999999979</v>
      </c>
    </row>
    <row r="3876" spans="13:32" ht="8.25" customHeight="1" thickTop="1" x14ac:dyDescent="0.25">
      <c r="X3876" s="109"/>
      <c r="Y3876" s="67" t="s">
        <v>214</v>
      </c>
      <c r="Z3876" s="68"/>
      <c r="AA3876" s="75"/>
    </row>
    <row r="3877" spans="13:32" ht="8.25" customHeight="1" x14ac:dyDescent="0.25">
      <c r="X3877" s="110" t="s">
        <v>488</v>
      </c>
      <c r="Y3877" s="111">
        <v>200</v>
      </c>
      <c r="Z3877" s="111">
        <f t="shared" ref="Z3877:Z3882" si="371">X3877*Y3877</f>
        <v>20400</v>
      </c>
      <c r="AA3877" s="112"/>
    </row>
    <row r="3878" spans="13:32" ht="8.25" customHeight="1" x14ac:dyDescent="0.25">
      <c r="X3878" s="110" t="s">
        <v>3053</v>
      </c>
      <c r="Y3878" s="111">
        <v>100</v>
      </c>
      <c r="Z3878" s="111">
        <f t="shared" si="371"/>
        <v>28700</v>
      </c>
      <c r="AA3878" s="112"/>
    </row>
    <row r="3879" spans="13:32" ht="8.25" customHeight="1" x14ac:dyDescent="0.25">
      <c r="X3879" s="110" t="s">
        <v>222</v>
      </c>
      <c r="Y3879" s="111">
        <v>50</v>
      </c>
      <c r="Z3879" s="111">
        <f t="shared" si="371"/>
        <v>50</v>
      </c>
      <c r="AA3879" s="76"/>
    </row>
    <row r="3880" spans="13:32" ht="8.25" customHeight="1" x14ac:dyDescent="0.25">
      <c r="X3880" s="110" t="s">
        <v>299</v>
      </c>
      <c r="Y3880" s="111">
        <v>20</v>
      </c>
      <c r="Z3880" s="111">
        <f t="shared" si="371"/>
        <v>80</v>
      </c>
      <c r="AA3880" s="38"/>
    </row>
    <row r="3881" spans="13:32" ht="8.25" customHeight="1" x14ac:dyDescent="0.25">
      <c r="X3881" s="110" t="s">
        <v>224</v>
      </c>
      <c r="Y3881" s="111">
        <v>10</v>
      </c>
      <c r="Z3881" s="111">
        <f t="shared" si="371"/>
        <v>20</v>
      </c>
      <c r="AA3881" s="112"/>
    </row>
    <row r="3882" spans="13:32" ht="8.25" customHeight="1" x14ac:dyDescent="0.25">
      <c r="X3882" s="110" t="s">
        <v>3047</v>
      </c>
      <c r="Y3882" s="111">
        <v>5</v>
      </c>
      <c r="Z3882" s="111">
        <f t="shared" si="371"/>
        <v>1310</v>
      </c>
      <c r="AA3882" s="112"/>
    </row>
    <row r="3883" spans="13:32" ht="8.25" customHeight="1" x14ac:dyDescent="0.25">
      <c r="X3883" s="269"/>
      <c r="Y3883" s="270"/>
      <c r="Z3883" s="271"/>
      <c r="AA3883" s="38"/>
    </row>
    <row r="3884" spans="13:32" ht="8.25" customHeight="1" x14ac:dyDescent="0.25">
      <c r="X3884" s="110" t="s">
        <v>3054</v>
      </c>
      <c r="Y3884" s="111">
        <v>1</v>
      </c>
      <c r="Z3884" s="111">
        <f t="shared" ref="Z3884:Z3889" si="372">X3884*Y3884</f>
        <v>455</v>
      </c>
      <c r="AA3884" s="76"/>
    </row>
    <row r="3885" spans="13:32" ht="8.25" customHeight="1" x14ac:dyDescent="0.25">
      <c r="X3885" s="110" t="s">
        <v>259</v>
      </c>
      <c r="Y3885" s="111">
        <v>0.5</v>
      </c>
      <c r="Z3885" s="111">
        <f t="shared" si="372"/>
        <v>40</v>
      </c>
      <c r="AA3885" s="112"/>
    </row>
    <row r="3886" spans="13:32" ht="8.25" customHeight="1" x14ac:dyDescent="0.25">
      <c r="X3886" s="110" t="s">
        <v>1733</v>
      </c>
      <c r="Y3886" s="111">
        <v>0.25</v>
      </c>
      <c r="Z3886" s="111">
        <f t="shared" si="372"/>
        <v>45.25</v>
      </c>
      <c r="AA3886" s="113"/>
    </row>
    <row r="3887" spans="13:32" ht="8.25" customHeight="1" x14ac:dyDescent="0.25">
      <c r="X3887" s="110"/>
      <c r="Y3887" s="111">
        <v>0.1</v>
      </c>
      <c r="Z3887" s="111">
        <f t="shared" si="372"/>
        <v>0</v>
      </c>
      <c r="AA3887" s="114" t="s">
        <v>219</v>
      </c>
    </row>
    <row r="3888" spans="13:32" ht="8.25" customHeight="1" thickBot="1" x14ac:dyDescent="0.3">
      <c r="X3888" s="110"/>
      <c r="Y3888" s="111">
        <v>0.05</v>
      </c>
      <c r="Z3888" s="111">
        <f t="shared" si="372"/>
        <v>0</v>
      </c>
      <c r="AA3888" s="115">
        <f>SUM(Z3877:Z3882)+Z3884+Z3885+Z3886+Z3887+Z3888+Z3889</f>
        <v>51100.29</v>
      </c>
    </row>
    <row r="3889" spans="9:32" ht="8.25" customHeight="1" thickTop="1" x14ac:dyDescent="0.25">
      <c r="X3889" s="110" t="s">
        <v>299</v>
      </c>
      <c r="Y3889" s="111">
        <v>0.01</v>
      </c>
      <c r="Z3889" s="111">
        <f t="shared" si="372"/>
        <v>0.04</v>
      </c>
    </row>
    <row r="3891" spans="9:32" ht="8.25" customHeight="1" x14ac:dyDescent="0.25">
      <c r="Z3891" s="231" t="s">
        <v>1376</v>
      </c>
      <c r="AF3891" s="76">
        <f>AF3875</f>
        <v>51100.289999999979</v>
      </c>
    </row>
    <row r="3892" spans="9:32" ht="8.25" customHeight="1" x14ac:dyDescent="0.25">
      <c r="I3892" s="52">
        <v>7</v>
      </c>
      <c r="T3892" s="33">
        <v>46176</v>
      </c>
      <c r="U3892" s="34">
        <v>2026</v>
      </c>
      <c r="V3892" s="35" t="s">
        <v>1588</v>
      </c>
      <c r="W3892" s="35" t="s">
        <v>17</v>
      </c>
      <c r="X3892" s="37" t="s">
        <v>3065</v>
      </c>
      <c r="Y3892" s="36" t="s">
        <v>2034</v>
      </c>
      <c r="Z3892" s="30" t="s">
        <v>2031</v>
      </c>
      <c r="AA3892" s="30" t="s">
        <v>13</v>
      </c>
      <c r="AD3892" s="38">
        <v>1500</v>
      </c>
      <c r="AF3892" s="76">
        <f>AF3891+AD3892-AE3892</f>
        <v>52600.289999999979</v>
      </c>
    </row>
    <row r="3893" spans="9:32" ht="8.25" customHeight="1" x14ac:dyDescent="0.25">
      <c r="I3893" s="52">
        <v>8</v>
      </c>
      <c r="T3893" s="33">
        <v>46176</v>
      </c>
      <c r="U3893" s="34">
        <v>2026</v>
      </c>
      <c r="V3893" s="35" t="s">
        <v>1588</v>
      </c>
      <c r="W3893" s="35" t="s">
        <v>17</v>
      </c>
      <c r="X3893" s="37" t="s">
        <v>3066</v>
      </c>
      <c r="Y3893" s="36" t="s">
        <v>1435</v>
      </c>
      <c r="Z3893" s="30" t="s">
        <v>1669</v>
      </c>
      <c r="AA3893" s="30" t="s">
        <v>13</v>
      </c>
      <c r="AD3893" s="38">
        <v>1000</v>
      </c>
      <c r="AF3893" s="76">
        <f t="shared" ref="AF3893:AF3911" si="373">AF3892+AD3893-AE3893</f>
        <v>53600.289999999979</v>
      </c>
    </row>
    <row r="3894" spans="9:32" ht="8.25" customHeight="1" x14ac:dyDescent="0.25">
      <c r="I3894" s="52">
        <v>9</v>
      </c>
      <c r="T3894" s="33">
        <v>46176</v>
      </c>
      <c r="U3894" s="34">
        <v>2026</v>
      </c>
      <c r="V3894" s="35" t="s">
        <v>1588</v>
      </c>
      <c r="W3894" s="35" t="s">
        <v>17</v>
      </c>
      <c r="X3894" s="37" t="s">
        <v>3067</v>
      </c>
      <c r="Y3894" s="36" t="s">
        <v>744</v>
      </c>
      <c r="Z3894" s="30" t="s">
        <v>3071</v>
      </c>
      <c r="AA3894" s="30" t="s">
        <v>13</v>
      </c>
      <c r="AD3894" s="38">
        <v>1300</v>
      </c>
      <c r="AF3894" s="76">
        <f t="shared" si="373"/>
        <v>54900.289999999979</v>
      </c>
    </row>
    <row r="3895" spans="9:32" ht="8.25" customHeight="1" x14ac:dyDescent="0.15">
      <c r="N3895" s="52">
        <v>4</v>
      </c>
      <c r="T3895" s="33">
        <v>46176</v>
      </c>
      <c r="U3895" s="34">
        <v>2026</v>
      </c>
      <c r="V3895" s="35" t="s">
        <v>1588</v>
      </c>
      <c r="W3895" s="35" t="s">
        <v>17</v>
      </c>
      <c r="X3895" s="37" t="s">
        <v>3068</v>
      </c>
      <c r="Y3895" s="36" t="s">
        <v>1126</v>
      </c>
      <c r="Z3895" s="30" t="s">
        <v>1127</v>
      </c>
      <c r="AA3895" s="134" t="s">
        <v>166</v>
      </c>
      <c r="AD3895" s="38">
        <v>1570</v>
      </c>
      <c r="AF3895" s="76">
        <f t="shared" si="373"/>
        <v>56470.289999999979</v>
      </c>
    </row>
    <row r="3896" spans="9:32" ht="8.25" customHeight="1" x14ac:dyDescent="0.25">
      <c r="N3896" s="52">
        <v>4</v>
      </c>
      <c r="T3896" s="33">
        <v>46176</v>
      </c>
      <c r="U3896" s="34">
        <v>2026</v>
      </c>
      <c r="V3896" s="35" t="s">
        <v>1588</v>
      </c>
      <c r="W3896" s="35" t="s">
        <v>17</v>
      </c>
      <c r="X3896" s="37" t="s">
        <v>3068</v>
      </c>
      <c r="Y3896" s="36" t="s">
        <v>1126</v>
      </c>
      <c r="Z3896" s="30" t="s">
        <v>1127</v>
      </c>
      <c r="AA3896" s="30" t="s">
        <v>3305</v>
      </c>
      <c r="AD3896" s="38">
        <v>30</v>
      </c>
      <c r="AF3896" s="76">
        <f t="shared" si="373"/>
        <v>56500.289999999979</v>
      </c>
    </row>
    <row r="3897" spans="9:32" ht="8.25" customHeight="1" x14ac:dyDescent="0.25">
      <c r="N3897" s="52">
        <v>5</v>
      </c>
      <c r="T3897" s="33">
        <v>46176</v>
      </c>
      <c r="U3897" s="34">
        <v>2026</v>
      </c>
      <c r="V3897" s="35" t="s">
        <v>1588</v>
      </c>
      <c r="W3897" s="35" t="s">
        <v>17</v>
      </c>
      <c r="X3897" s="37" t="s">
        <v>3069</v>
      </c>
      <c r="Y3897" s="36" t="s">
        <v>1126</v>
      </c>
      <c r="Z3897" s="30" t="s">
        <v>1127</v>
      </c>
      <c r="AA3897" s="30" t="s">
        <v>3899</v>
      </c>
      <c r="AD3897" s="38">
        <v>1579.59</v>
      </c>
      <c r="AF3897" s="76">
        <f t="shared" si="373"/>
        <v>58079.879999999976</v>
      </c>
    </row>
    <row r="3898" spans="9:32" ht="8.25" customHeight="1" x14ac:dyDescent="0.15">
      <c r="N3898" s="52">
        <v>5</v>
      </c>
      <c r="T3898" s="33">
        <v>46176</v>
      </c>
      <c r="U3898" s="34">
        <v>2026</v>
      </c>
      <c r="V3898" s="35" t="s">
        <v>1588</v>
      </c>
      <c r="W3898" s="35" t="s">
        <v>17</v>
      </c>
      <c r="X3898" s="37" t="s">
        <v>3069</v>
      </c>
      <c r="Y3898" s="36" t="s">
        <v>1126</v>
      </c>
      <c r="Z3898" s="30" t="s">
        <v>1127</v>
      </c>
      <c r="AA3898" s="134" t="s">
        <v>166</v>
      </c>
      <c r="AD3898" s="38">
        <v>630.41</v>
      </c>
      <c r="AF3898" s="76">
        <f t="shared" si="373"/>
        <v>58710.289999999979</v>
      </c>
    </row>
    <row r="3899" spans="9:32" ht="8.25" customHeight="1" x14ac:dyDescent="0.15">
      <c r="N3899" s="52">
        <v>6</v>
      </c>
      <c r="T3899" s="33">
        <v>46176</v>
      </c>
      <c r="U3899" s="34">
        <v>2026</v>
      </c>
      <c r="V3899" s="35" t="s">
        <v>1588</v>
      </c>
      <c r="W3899" s="35" t="s">
        <v>17</v>
      </c>
      <c r="X3899" s="37" t="s">
        <v>3076</v>
      </c>
      <c r="Y3899" s="36" t="s">
        <v>3077</v>
      </c>
      <c r="Z3899" s="30" t="s">
        <v>3078</v>
      </c>
      <c r="AA3899" s="134" t="s">
        <v>166</v>
      </c>
      <c r="AD3899" s="38">
        <v>22847.5</v>
      </c>
      <c r="AF3899" s="76">
        <f t="shared" si="373"/>
        <v>81557.789999999979</v>
      </c>
    </row>
    <row r="3900" spans="9:32" ht="8.25" customHeight="1" x14ac:dyDescent="0.25">
      <c r="N3900" s="52">
        <v>6</v>
      </c>
      <c r="T3900" s="33">
        <v>46176</v>
      </c>
      <c r="U3900" s="34">
        <v>2026</v>
      </c>
      <c r="V3900" s="35" t="s">
        <v>1588</v>
      </c>
      <c r="W3900" s="35" t="s">
        <v>17</v>
      </c>
      <c r="X3900" s="37" t="s">
        <v>3076</v>
      </c>
      <c r="Y3900" s="36" t="s">
        <v>3077</v>
      </c>
      <c r="Z3900" s="30" t="s">
        <v>3078</v>
      </c>
      <c r="AA3900" s="30" t="s">
        <v>3305</v>
      </c>
      <c r="AD3900" s="38">
        <v>915</v>
      </c>
      <c r="AF3900" s="76">
        <f t="shared" si="373"/>
        <v>82472.789999999979</v>
      </c>
    </row>
    <row r="3901" spans="9:32" ht="8.25" customHeight="1" x14ac:dyDescent="0.25">
      <c r="N3901" s="52">
        <v>7</v>
      </c>
      <c r="T3901" s="33">
        <v>46176</v>
      </c>
      <c r="U3901" s="34">
        <v>2026</v>
      </c>
      <c r="V3901" s="35" t="s">
        <v>1588</v>
      </c>
      <c r="W3901" s="35" t="s">
        <v>17</v>
      </c>
      <c r="X3901" s="37" t="s">
        <v>3080</v>
      </c>
      <c r="Y3901" s="36" t="s">
        <v>120</v>
      </c>
      <c r="Z3901" s="30" t="s">
        <v>3078</v>
      </c>
      <c r="AA3901" s="30" t="s">
        <v>3083</v>
      </c>
      <c r="AD3901" s="38">
        <v>10</v>
      </c>
      <c r="AF3901" s="76">
        <f t="shared" si="373"/>
        <v>82482.789999999979</v>
      </c>
    </row>
    <row r="3902" spans="9:32" ht="8.25" customHeight="1" x14ac:dyDescent="0.25">
      <c r="I3902" s="52">
        <v>10</v>
      </c>
      <c r="T3902" s="33">
        <v>46176</v>
      </c>
      <c r="U3902" s="34">
        <v>2026</v>
      </c>
      <c r="V3902" s="35" t="s">
        <v>1588</v>
      </c>
      <c r="W3902" s="35" t="s">
        <v>17</v>
      </c>
      <c r="X3902" s="37" t="s">
        <v>3081</v>
      </c>
      <c r="Y3902" s="36" t="s">
        <v>691</v>
      </c>
      <c r="Z3902" s="30" t="s">
        <v>692</v>
      </c>
      <c r="AA3902" s="30" t="s">
        <v>13</v>
      </c>
      <c r="AD3902" s="38">
        <v>13000</v>
      </c>
      <c r="AF3902" s="76">
        <f t="shared" si="373"/>
        <v>95482.789999999979</v>
      </c>
    </row>
    <row r="3903" spans="9:32" ht="8.25" customHeight="1" x14ac:dyDescent="0.25">
      <c r="I3903" s="52">
        <v>11</v>
      </c>
      <c r="T3903" s="33">
        <v>46176</v>
      </c>
      <c r="U3903" s="34">
        <v>2026</v>
      </c>
      <c r="V3903" s="35" t="s">
        <v>1588</v>
      </c>
      <c r="W3903" s="35" t="s">
        <v>17</v>
      </c>
      <c r="X3903" s="37" t="s">
        <v>3082</v>
      </c>
      <c r="Y3903" s="36" t="s">
        <v>3088</v>
      </c>
      <c r="Z3903" s="30" t="s">
        <v>2969</v>
      </c>
      <c r="AA3903" s="30" t="s">
        <v>13</v>
      </c>
      <c r="AD3903" s="38">
        <v>8522.7199999999993</v>
      </c>
      <c r="AF3903" s="76">
        <f t="shared" si="373"/>
        <v>104005.50999999998</v>
      </c>
    </row>
    <row r="3904" spans="9:32" ht="8.25" customHeight="1" x14ac:dyDescent="0.25">
      <c r="M3904" s="52">
        <v>2</v>
      </c>
      <c r="T3904" s="33">
        <v>46176</v>
      </c>
      <c r="U3904" s="34">
        <v>2026</v>
      </c>
      <c r="V3904" s="35" t="s">
        <v>1588</v>
      </c>
      <c r="W3904" s="35" t="s">
        <v>17</v>
      </c>
      <c r="X3904" s="37" t="s">
        <v>3087</v>
      </c>
      <c r="Y3904" s="36" t="s">
        <v>120</v>
      </c>
      <c r="Z3904" s="30" t="s">
        <v>2969</v>
      </c>
      <c r="AA3904" s="30" t="s">
        <v>385</v>
      </c>
      <c r="AD3904" s="38">
        <v>1704.55</v>
      </c>
      <c r="AF3904" s="76">
        <f t="shared" si="373"/>
        <v>105710.05999999998</v>
      </c>
    </row>
    <row r="3905" spans="9:32" ht="8.25" customHeight="1" x14ac:dyDescent="0.25">
      <c r="T3905" s="33">
        <v>46176</v>
      </c>
      <c r="U3905" s="34">
        <v>2026</v>
      </c>
      <c r="V3905" s="35" t="s">
        <v>1588</v>
      </c>
      <c r="W3905" s="35" t="s">
        <v>5</v>
      </c>
      <c r="X3905" s="37" t="s">
        <v>3089</v>
      </c>
      <c r="Y3905" s="36" t="s">
        <v>411</v>
      </c>
      <c r="Z3905" s="30" t="s">
        <v>412</v>
      </c>
      <c r="AA3905" s="30" t="s">
        <v>2719</v>
      </c>
      <c r="AE3905" s="38">
        <f>SUM(AD3903:AD3904)</f>
        <v>10227.269999999999</v>
      </c>
      <c r="AF3905" s="76">
        <f t="shared" si="373"/>
        <v>95482.789999999979</v>
      </c>
    </row>
    <row r="3906" spans="9:32" ht="8.25" customHeight="1" x14ac:dyDescent="0.25">
      <c r="I3906" s="52">
        <v>12</v>
      </c>
      <c r="T3906" s="33">
        <v>46176</v>
      </c>
      <c r="U3906" s="34">
        <v>2026</v>
      </c>
      <c r="V3906" s="35" t="s">
        <v>1588</v>
      </c>
      <c r="W3906" s="35" t="s">
        <v>5</v>
      </c>
      <c r="X3906" s="37" t="s">
        <v>3090</v>
      </c>
      <c r="Y3906" s="36" t="s">
        <v>3088</v>
      </c>
      <c r="Z3906" s="30" t="s">
        <v>2969</v>
      </c>
      <c r="AA3906" s="30" t="s">
        <v>13</v>
      </c>
      <c r="AD3906" s="38">
        <v>5000</v>
      </c>
      <c r="AF3906" s="76">
        <f t="shared" si="373"/>
        <v>100482.78999999998</v>
      </c>
    </row>
    <row r="3907" spans="9:32" ht="8.25" customHeight="1" x14ac:dyDescent="0.25">
      <c r="T3907" s="33">
        <v>46176</v>
      </c>
      <c r="U3907" s="34">
        <v>2026</v>
      </c>
      <c r="V3907" s="35" t="s">
        <v>1588</v>
      </c>
      <c r="W3907" s="35" t="s">
        <v>5</v>
      </c>
      <c r="X3907" s="37" t="s">
        <v>3164</v>
      </c>
      <c r="Y3907" s="36" t="s">
        <v>411</v>
      </c>
      <c r="Z3907" s="30" t="s">
        <v>412</v>
      </c>
      <c r="AA3907" s="30" t="s">
        <v>2719</v>
      </c>
      <c r="AE3907" s="38">
        <v>5000</v>
      </c>
      <c r="AF3907" s="76">
        <f t="shared" si="373"/>
        <v>95482.789999999979</v>
      </c>
    </row>
    <row r="3908" spans="9:32" ht="8.25" customHeight="1" x14ac:dyDescent="0.25">
      <c r="R3908" s="53">
        <v>1</v>
      </c>
      <c r="T3908" s="33">
        <v>46176</v>
      </c>
      <c r="U3908" s="34">
        <v>2026</v>
      </c>
      <c r="V3908" s="35" t="s">
        <v>1588</v>
      </c>
      <c r="W3908" s="35" t="s">
        <v>5</v>
      </c>
      <c r="X3908" s="37" t="s">
        <v>3064</v>
      </c>
      <c r="Y3908" s="36" t="s">
        <v>2484</v>
      </c>
      <c r="Z3908" s="30" t="s">
        <v>1939</v>
      </c>
      <c r="AA3908" s="30" t="s">
        <v>1050</v>
      </c>
      <c r="AE3908" s="38">
        <v>300</v>
      </c>
      <c r="AF3908" s="76">
        <f t="shared" si="373"/>
        <v>95182.789999999979</v>
      </c>
    </row>
    <row r="3909" spans="9:32" ht="8.25" customHeight="1" x14ac:dyDescent="0.25">
      <c r="R3909" s="53">
        <v>2</v>
      </c>
      <c r="T3909" s="33">
        <v>46176</v>
      </c>
      <c r="U3909" s="34">
        <v>2026</v>
      </c>
      <c r="V3909" s="35" t="s">
        <v>1588</v>
      </c>
      <c r="W3909" s="35" t="s">
        <v>5</v>
      </c>
      <c r="X3909" s="37" t="s">
        <v>3072</v>
      </c>
      <c r="Y3909" s="36" t="s">
        <v>3073</v>
      </c>
      <c r="Z3909" s="30" t="s">
        <v>1127</v>
      </c>
      <c r="AA3909" s="30" t="s">
        <v>1050</v>
      </c>
      <c r="AE3909" s="38">
        <v>2210</v>
      </c>
      <c r="AF3909" s="76">
        <f t="shared" si="373"/>
        <v>92972.789999999979</v>
      </c>
    </row>
    <row r="3910" spans="9:32" ht="8.25" customHeight="1" x14ac:dyDescent="0.25">
      <c r="R3910" s="53">
        <v>3</v>
      </c>
      <c r="T3910" s="33">
        <v>46176</v>
      </c>
      <c r="U3910" s="34">
        <v>2026</v>
      </c>
      <c r="V3910" s="35" t="s">
        <v>1588</v>
      </c>
      <c r="W3910" s="35" t="s">
        <v>5</v>
      </c>
      <c r="X3910" s="37" t="s">
        <v>3079</v>
      </c>
      <c r="Y3910" s="36" t="s">
        <v>3060</v>
      </c>
      <c r="Z3910" s="30" t="s">
        <v>3078</v>
      </c>
      <c r="AA3910" s="30" t="s">
        <v>1050</v>
      </c>
      <c r="AE3910" s="38">
        <v>23762.5</v>
      </c>
      <c r="AF3910" s="76">
        <f t="shared" si="373"/>
        <v>69210.289999999979</v>
      </c>
    </row>
    <row r="3911" spans="9:32" ht="8.25" customHeight="1" x14ac:dyDescent="0.25">
      <c r="T3911" s="33">
        <v>46176</v>
      </c>
      <c r="U3911" s="34">
        <v>2026</v>
      </c>
      <c r="V3911" s="35" t="s">
        <v>1588</v>
      </c>
      <c r="W3911" s="35" t="s">
        <v>5</v>
      </c>
      <c r="X3911" s="37" t="s">
        <v>3075</v>
      </c>
      <c r="Y3911" s="36" t="s">
        <v>411</v>
      </c>
      <c r="Z3911" s="30" t="s">
        <v>398</v>
      </c>
      <c r="AA3911" s="30" t="s">
        <v>2719</v>
      </c>
      <c r="AE3911" s="38">
        <v>1600</v>
      </c>
      <c r="AF3911" s="76">
        <f t="shared" si="373"/>
        <v>67610.289999999979</v>
      </c>
    </row>
    <row r="3912" spans="9:32" ht="8.25" customHeight="1" thickBot="1" x14ac:dyDescent="0.3">
      <c r="AA3912" s="260" t="s">
        <v>2893</v>
      </c>
      <c r="AD3912" s="253">
        <f>SUM(AD3892:AD3911)</f>
        <v>59609.770000000004</v>
      </c>
      <c r="AE3912" s="253">
        <f>SUM(AE3892:AE3911)</f>
        <v>43099.77</v>
      </c>
      <c r="AF3912" s="233">
        <f>AF3891+AD3912-AE3912</f>
        <v>67610.289999999979</v>
      </c>
    </row>
    <row r="3913" spans="9:32" ht="8.25" customHeight="1" thickTop="1" x14ac:dyDescent="0.25">
      <c r="X3913" s="109"/>
      <c r="Y3913" s="67" t="s">
        <v>214</v>
      </c>
      <c r="Z3913" s="68"/>
      <c r="AA3913" s="75"/>
    </row>
    <row r="3914" spans="9:32" ht="8.25" customHeight="1" x14ac:dyDescent="0.25">
      <c r="X3914" s="110" t="s">
        <v>3084</v>
      </c>
      <c r="Y3914" s="111">
        <v>200</v>
      </c>
      <c r="Z3914" s="111">
        <f t="shared" ref="Z3914:Z3919" si="374">X3914*Y3914</f>
        <v>22000</v>
      </c>
      <c r="AA3914" s="112"/>
    </row>
    <row r="3915" spans="9:32" ht="8.25" customHeight="1" x14ac:dyDescent="0.25">
      <c r="X3915" s="110" t="s">
        <v>3085</v>
      </c>
      <c r="Y3915" s="111">
        <v>100</v>
      </c>
      <c r="Z3915" s="111">
        <f t="shared" si="374"/>
        <v>43600</v>
      </c>
      <c r="AA3915" s="112"/>
    </row>
    <row r="3916" spans="9:32" ht="8.25" customHeight="1" x14ac:dyDescent="0.25">
      <c r="X3916" s="110" t="s">
        <v>222</v>
      </c>
      <c r="Y3916" s="111">
        <v>50</v>
      </c>
      <c r="Z3916" s="111">
        <f t="shared" si="374"/>
        <v>50</v>
      </c>
      <c r="AA3916" s="76"/>
    </row>
    <row r="3917" spans="9:32" ht="8.25" customHeight="1" x14ac:dyDescent="0.25">
      <c r="X3917" s="110" t="s">
        <v>299</v>
      </c>
      <c r="Y3917" s="111">
        <v>20</v>
      </c>
      <c r="Z3917" s="111">
        <f t="shared" si="374"/>
        <v>80</v>
      </c>
      <c r="AA3917" s="38"/>
    </row>
    <row r="3918" spans="9:32" ht="8.25" customHeight="1" x14ac:dyDescent="0.25">
      <c r="X3918" s="110" t="s">
        <v>224</v>
      </c>
      <c r="Y3918" s="111">
        <v>10</v>
      </c>
      <c r="Z3918" s="111">
        <f t="shared" si="374"/>
        <v>20</v>
      </c>
      <c r="AA3918" s="112"/>
    </row>
    <row r="3919" spans="9:32" ht="8.25" customHeight="1" x14ac:dyDescent="0.25">
      <c r="X3919" s="110" t="s">
        <v>3086</v>
      </c>
      <c r="Y3919" s="111">
        <v>5</v>
      </c>
      <c r="Z3919" s="111">
        <f t="shared" si="374"/>
        <v>1320</v>
      </c>
      <c r="AA3919" s="112"/>
    </row>
    <row r="3920" spans="9:32" ht="8.25" customHeight="1" x14ac:dyDescent="0.25">
      <c r="X3920" s="269"/>
      <c r="Y3920" s="270"/>
      <c r="Z3920" s="271"/>
      <c r="AA3920" s="38"/>
    </row>
    <row r="3921" spans="9:32" ht="8.25" customHeight="1" x14ac:dyDescent="0.25">
      <c r="X3921" s="110" t="s">
        <v>3054</v>
      </c>
      <c r="Y3921" s="111">
        <v>1</v>
      </c>
      <c r="Z3921" s="111">
        <f t="shared" ref="Z3921:Z3926" si="375">X3921*Y3921</f>
        <v>455</v>
      </c>
      <c r="AA3921" s="76"/>
    </row>
    <row r="3922" spans="9:32" ht="8.25" customHeight="1" x14ac:dyDescent="0.25">
      <c r="X3922" s="110" t="s">
        <v>259</v>
      </c>
      <c r="Y3922" s="111">
        <v>0.5</v>
      </c>
      <c r="Z3922" s="111">
        <f t="shared" si="375"/>
        <v>40</v>
      </c>
      <c r="AA3922" s="112"/>
    </row>
    <row r="3923" spans="9:32" ht="8.25" customHeight="1" x14ac:dyDescent="0.25">
      <c r="X3923" s="110" t="s">
        <v>1733</v>
      </c>
      <c r="Y3923" s="111">
        <v>0.25</v>
      </c>
      <c r="Z3923" s="111">
        <f t="shared" si="375"/>
        <v>45.25</v>
      </c>
      <c r="AA3923" s="113"/>
    </row>
    <row r="3924" spans="9:32" ht="8.25" customHeight="1" x14ac:dyDescent="0.25">
      <c r="X3924" s="110"/>
      <c r="Y3924" s="111">
        <v>0.1</v>
      </c>
      <c r="Z3924" s="111">
        <f t="shared" si="375"/>
        <v>0</v>
      </c>
      <c r="AA3924" s="114" t="s">
        <v>219</v>
      </c>
    </row>
    <row r="3925" spans="9:32" ht="8.25" customHeight="1" thickBot="1" x14ac:dyDescent="0.3">
      <c r="X3925" s="110"/>
      <c r="Y3925" s="111">
        <v>0.05</v>
      </c>
      <c r="Z3925" s="111">
        <f t="shared" si="375"/>
        <v>0</v>
      </c>
      <c r="AA3925" s="115">
        <f>SUM(Z3914:Z3919)+Z3921+Z3922+Z3923+Z3924+Z3925+Z3926</f>
        <v>67610.289999999994</v>
      </c>
    </row>
    <row r="3926" spans="9:32" ht="8.25" customHeight="1" thickTop="1" x14ac:dyDescent="0.25">
      <c r="X3926" s="110" t="s">
        <v>299</v>
      </c>
      <c r="Y3926" s="111">
        <v>0.01</v>
      </c>
      <c r="Z3926" s="111">
        <f t="shared" si="375"/>
        <v>0.04</v>
      </c>
    </row>
    <row r="3928" spans="9:32" ht="8.25" customHeight="1" x14ac:dyDescent="0.25">
      <c r="Z3928" s="231" t="s">
        <v>1376</v>
      </c>
      <c r="AF3928" s="76">
        <f>AF3912</f>
        <v>67610.289999999979</v>
      </c>
    </row>
    <row r="3929" spans="9:32" ht="8.25" customHeight="1" x14ac:dyDescent="0.25">
      <c r="N3929" s="52">
        <v>8</v>
      </c>
      <c r="T3929" s="33">
        <v>46177</v>
      </c>
      <c r="U3929" s="34">
        <v>2026</v>
      </c>
      <c r="V3929" s="35" t="s">
        <v>1588</v>
      </c>
      <c r="W3929" s="35" t="s">
        <v>17</v>
      </c>
      <c r="X3929" s="37" t="s">
        <v>3091</v>
      </c>
      <c r="Y3929" s="36" t="s">
        <v>1396</v>
      </c>
      <c r="Z3929" s="30" t="s">
        <v>807</v>
      </c>
      <c r="AA3929" s="30" t="s">
        <v>3899</v>
      </c>
      <c r="AD3929" s="38">
        <v>7187.77</v>
      </c>
      <c r="AF3929" s="76">
        <f>AF3928+AD3929-AE3929</f>
        <v>74798.059999999983</v>
      </c>
    </row>
    <row r="3930" spans="9:32" ht="8.25" customHeight="1" x14ac:dyDescent="0.15">
      <c r="N3930" s="52">
        <v>8</v>
      </c>
      <c r="T3930" s="33">
        <v>46177</v>
      </c>
      <c r="U3930" s="34">
        <v>2026</v>
      </c>
      <c r="V3930" s="35" t="s">
        <v>1588</v>
      </c>
      <c r="W3930" s="35" t="s">
        <v>17</v>
      </c>
      <c r="X3930" s="37" t="s">
        <v>3092</v>
      </c>
      <c r="Y3930" s="36" t="s">
        <v>1396</v>
      </c>
      <c r="Z3930" s="30" t="s">
        <v>807</v>
      </c>
      <c r="AA3930" s="134" t="s">
        <v>166</v>
      </c>
      <c r="AD3930" s="38">
        <v>6512.23</v>
      </c>
      <c r="AF3930" s="76">
        <f t="shared" ref="AF3930:AF3934" si="376">AF3929+AD3930-AE3930</f>
        <v>81310.289999999979</v>
      </c>
    </row>
    <row r="3931" spans="9:32" ht="8.25" customHeight="1" x14ac:dyDescent="0.25">
      <c r="I3931" s="52">
        <v>13</v>
      </c>
      <c r="T3931" s="33">
        <v>46177</v>
      </c>
      <c r="U3931" s="34">
        <v>2026</v>
      </c>
      <c r="V3931" s="35" t="s">
        <v>1588</v>
      </c>
      <c r="W3931" s="35" t="s">
        <v>17</v>
      </c>
      <c r="X3931" s="37" t="s">
        <v>3094</v>
      </c>
      <c r="Y3931" s="36" t="s">
        <v>1435</v>
      </c>
      <c r="Z3931" s="30" t="s">
        <v>845</v>
      </c>
      <c r="AA3931" s="30" t="s">
        <v>13</v>
      </c>
      <c r="AD3931" s="38">
        <v>2000</v>
      </c>
      <c r="AF3931" s="76">
        <f t="shared" si="376"/>
        <v>83310.289999999979</v>
      </c>
    </row>
    <row r="3932" spans="9:32" ht="8.25" customHeight="1" x14ac:dyDescent="0.25">
      <c r="R3932" s="53">
        <v>4</v>
      </c>
      <c r="T3932" s="33">
        <v>46177</v>
      </c>
      <c r="U3932" s="34">
        <v>2026</v>
      </c>
      <c r="V3932" s="35" t="s">
        <v>1588</v>
      </c>
      <c r="W3932" s="35" t="s">
        <v>5</v>
      </c>
      <c r="X3932" s="37" t="s">
        <v>3093</v>
      </c>
      <c r="Y3932" s="36" t="s">
        <v>2012</v>
      </c>
      <c r="Z3932" s="30" t="s">
        <v>1942</v>
      </c>
      <c r="AA3932" s="30" t="s">
        <v>1050</v>
      </c>
      <c r="AE3932" s="38">
        <v>500</v>
      </c>
      <c r="AF3932" s="76">
        <f t="shared" si="376"/>
        <v>82810.289999999979</v>
      </c>
    </row>
    <row r="3933" spans="9:32" ht="8.25" customHeight="1" x14ac:dyDescent="0.25">
      <c r="R3933" s="53">
        <v>5</v>
      </c>
      <c r="T3933" s="33">
        <v>46177</v>
      </c>
      <c r="U3933" s="34">
        <v>2026</v>
      </c>
      <c r="V3933" s="35" t="s">
        <v>1588</v>
      </c>
      <c r="W3933" s="35" t="s">
        <v>5</v>
      </c>
      <c r="X3933" s="37" t="s">
        <v>3095</v>
      </c>
      <c r="Y3933" s="36" t="s">
        <v>116</v>
      </c>
      <c r="Z3933" s="30" t="s">
        <v>1597</v>
      </c>
      <c r="AA3933" s="30" t="s">
        <v>1050</v>
      </c>
      <c r="AE3933" s="38">
        <v>2000</v>
      </c>
      <c r="AF3933" s="76">
        <f t="shared" si="376"/>
        <v>80810.289999999979</v>
      </c>
    </row>
    <row r="3934" spans="9:32" ht="8.25" customHeight="1" x14ac:dyDescent="0.25">
      <c r="R3934" s="53">
        <v>6</v>
      </c>
      <c r="T3934" s="33">
        <v>46177</v>
      </c>
      <c r="U3934" s="34">
        <v>2026</v>
      </c>
      <c r="V3934" s="35" t="s">
        <v>1588</v>
      </c>
      <c r="W3934" s="35" t="s">
        <v>5</v>
      </c>
      <c r="X3934" s="37" t="s">
        <v>3096</v>
      </c>
      <c r="Y3934" s="36" t="s">
        <v>3088</v>
      </c>
      <c r="Z3934" s="30" t="s">
        <v>2969</v>
      </c>
      <c r="AA3934" s="30" t="s">
        <v>1050</v>
      </c>
      <c r="AE3934" s="38">
        <v>5000</v>
      </c>
      <c r="AF3934" s="76">
        <f t="shared" si="376"/>
        <v>75810.289999999979</v>
      </c>
    </row>
    <row r="3935" spans="9:32" ht="8.25" customHeight="1" thickBot="1" x14ac:dyDescent="0.3">
      <c r="AA3935" s="260" t="s">
        <v>2893</v>
      </c>
      <c r="AD3935" s="253">
        <f>SUM(AD3929:AD3934)</f>
        <v>15700</v>
      </c>
      <c r="AE3935" s="253">
        <f>SUM(AE3929:AE3934)</f>
        <v>7500</v>
      </c>
      <c r="AF3935" s="233">
        <f>AF3928+AD3935-AE3935</f>
        <v>75810.289999999979</v>
      </c>
    </row>
    <row r="3936" spans="9:32" ht="8.25" customHeight="1" thickTop="1" x14ac:dyDescent="0.25"/>
    <row r="3937" spans="24:32" ht="8.25" customHeight="1" x14ac:dyDescent="0.25">
      <c r="X3937" s="109"/>
      <c r="Y3937" s="67" t="s">
        <v>214</v>
      </c>
      <c r="Z3937" s="68"/>
      <c r="AA3937" s="75"/>
    </row>
    <row r="3938" spans="24:32" ht="8.25" customHeight="1" x14ac:dyDescent="0.25">
      <c r="X3938" s="110" t="s">
        <v>3097</v>
      </c>
      <c r="Y3938" s="111">
        <v>200</v>
      </c>
      <c r="Z3938" s="111">
        <f t="shared" ref="Z3938:Z3943" si="377">X3938*Y3938</f>
        <v>25200</v>
      </c>
      <c r="AA3938" s="112"/>
    </row>
    <row r="3939" spans="24:32" ht="8.25" customHeight="1" x14ac:dyDescent="0.25">
      <c r="X3939" s="110" t="s">
        <v>3098</v>
      </c>
      <c r="Y3939" s="111">
        <v>100</v>
      </c>
      <c r="Z3939" s="111">
        <f t="shared" si="377"/>
        <v>48600</v>
      </c>
      <c r="AA3939" s="112"/>
    </row>
    <row r="3940" spans="24:32" ht="8.25" customHeight="1" x14ac:dyDescent="0.25">
      <c r="X3940" s="110" t="s">
        <v>222</v>
      </c>
      <c r="Y3940" s="111">
        <v>50</v>
      </c>
      <c r="Z3940" s="111">
        <f t="shared" si="377"/>
        <v>50</v>
      </c>
      <c r="AA3940" s="76"/>
    </row>
    <row r="3941" spans="24:32" ht="8.25" customHeight="1" x14ac:dyDescent="0.25">
      <c r="X3941" s="110" t="s">
        <v>299</v>
      </c>
      <c r="Y3941" s="111">
        <v>20</v>
      </c>
      <c r="Z3941" s="111">
        <f t="shared" si="377"/>
        <v>80</v>
      </c>
      <c r="AA3941" s="38"/>
    </row>
    <row r="3942" spans="24:32" ht="8.25" customHeight="1" x14ac:dyDescent="0.25">
      <c r="X3942" s="110" t="s">
        <v>224</v>
      </c>
      <c r="Y3942" s="111">
        <v>10</v>
      </c>
      <c r="Z3942" s="111">
        <f t="shared" si="377"/>
        <v>20</v>
      </c>
      <c r="AA3942" s="112"/>
    </row>
    <row r="3943" spans="24:32" ht="8.25" customHeight="1" x14ac:dyDescent="0.25">
      <c r="X3943" s="110" t="s">
        <v>3086</v>
      </c>
      <c r="Y3943" s="111">
        <v>5</v>
      </c>
      <c r="Z3943" s="111">
        <f t="shared" si="377"/>
        <v>1320</v>
      </c>
      <c r="AA3943" s="112"/>
    </row>
    <row r="3944" spans="24:32" ht="8.25" customHeight="1" x14ac:dyDescent="0.25">
      <c r="X3944" s="269"/>
      <c r="Y3944" s="270"/>
      <c r="Z3944" s="271"/>
      <c r="AA3944" s="38"/>
    </row>
    <row r="3945" spans="24:32" ht="8.25" customHeight="1" x14ac:dyDescent="0.25">
      <c r="X3945" s="110" t="s">
        <v>3054</v>
      </c>
      <c r="Y3945" s="111">
        <v>1</v>
      </c>
      <c r="Z3945" s="111">
        <f t="shared" ref="Z3945:Z3950" si="378">X3945*Y3945</f>
        <v>455</v>
      </c>
      <c r="AA3945" s="76"/>
    </row>
    <row r="3946" spans="24:32" ht="8.25" customHeight="1" x14ac:dyDescent="0.25">
      <c r="X3946" s="110" t="s">
        <v>259</v>
      </c>
      <c r="Y3946" s="111">
        <v>0.5</v>
      </c>
      <c r="Z3946" s="111">
        <f t="shared" si="378"/>
        <v>40</v>
      </c>
      <c r="AA3946" s="112"/>
    </row>
    <row r="3947" spans="24:32" ht="8.25" customHeight="1" x14ac:dyDescent="0.25">
      <c r="X3947" s="110" t="s">
        <v>1733</v>
      </c>
      <c r="Y3947" s="111">
        <v>0.25</v>
      </c>
      <c r="Z3947" s="111">
        <f t="shared" si="378"/>
        <v>45.25</v>
      </c>
      <c r="AA3947" s="113"/>
    </row>
    <row r="3948" spans="24:32" ht="8.25" customHeight="1" x14ac:dyDescent="0.25">
      <c r="X3948" s="110"/>
      <c r="Y3948" s="111">
        <v>0.1</v>
      </c>
      <c r="Z3948" s="111">
        <f t="shared" si="378"/>
        <v>0</v>
      </c>
      <c r="AA3948" s="114" t="s">
        <v>219</v>
      </c>
    </row>
    <row r="3949" spans="24:32" ht="8.25" customHeight="1" thickBot="1" x14ac:dyDescent="0.3">
      <c r="X3949" s="110"/>
      <c r="Y3949" s="111">
        <v>0.05</v>
      </c>
      <c r="Z3949" s="111">
        <f t="shared" si="378"/>
        <v>0</v>
      </c>
      <c r="AA3949" s="115">
        <f>SUM(Z3938:Z3943)+Z3945+Z3946+Z3947+Z3948+Z3949+Z3950</f>
        <v>75810.289999999994</v>
      </c>
    </row>
    <row r="3950" spans="24:32" ht="8.25" customHeight="1" thickTop="1" x14ac:dyDescent="0.25">
      <c r="X3950" s="110" t="s">
        <v>299</v>
      </c>
      <c r="Y3950" s="111">
        <v>0.01</v>
      </c>
      <c r="Z3950" s="111">
        <f t="shared" si="378"/>
        <v>0.04</v>
      </c>
    </row>
    <row r="3952" spans="24:32" ht="8.25" customHeight="1" x14ac:dyDescent="0.25">
      <c r="Z3952" s="231" t="s">
        <v>1376</v>
      </c>
      <c r="AF3952" s="76">
        <f>AF3935</f>
        <v>75810.289999999979</v>
      </c>
    </row>
    <row r="3953" spans="9:32" ht="8.25" customHeight="1" x14ac:dyDescent="0.25">
      <c r="I3953" s="52">
        <v>14</v>
      </c>
      <c r="T3953" s="33">
        <v>46178</v>
      </c>
      <c r="U3953" s="34">
        <v>2026</v>
      </c>
      <c r="V3953" s="35" t="s">
        <v>1588</v>
      </c>
      <c r="W3953" s="35" t="s">
        <v>17</v>
      </c>
      <c r="X3953" s="37" t="s">
        <v>3102</v>
      </c>
      <c r="Y3953" s="36" t="s">
        <v>713</v>
      </c>
      <c r="Z3953" s="30" t="s">
        <v>712</v>
      </c>
      <c r="AA3953" s="30" t="s">
        <v>13</v>
      </c>
      <c r="AD3953" s="38">
        <v>1500</v>
      </c>
      <c r="AF3953" s="76">
        <f>AF3952+AD3953-AE3953</f>
        <v>77310.289999999979</v>
      </c>
    </row>
    <row r="3954" spans="9:32" ht="8.25" customHeight="1" x14ac:dyDescent="0.25">
      <c r="N3954" s="52">
        <v>9</v>
      </c>
      <c r="T3954" s="33">
        <v>46178</v>
      </c>
      <c r="U3954" s="34">
        <v>2026</v>
      </c>
      <c r="V3954" s="35" t="s">
        <v>1588</v>
      </c>
      <c r="W3954" s="35" t="s">
        <v>17</v>
      </c>
      <c r="X3954" s="37" t="s">
        <v>3103</v>
      </c>
      <c r="Y3954" s="36" t="s">
        <v>252</v>
      </c>
      <c r="Z3954" s="30" t="s">
        <v>2522</v>
      </c>
      <c r="AA3954" s="30" t="s">
        <v>3899</v>
      </c>
      <c r="AD3954" s="38">
        <v>654.65</v>
      </c>
      <c r="AF3954" s="76">
        <f t="shared" ref="AF3954:AF3993" si="379">AF3953+AD3954-AE3954</f>
        <v>77964.939999999973</v>
      </c>
    </row>
    <row r="3955" spans="9:32" ht="8.25" customHeight="1" x14ac:dyDescent="0.15">
      <c r="N3955" s="52">
        <v>9</v>
      </c>
      <c r="T3955" s="33">
        <v>46178</v>
      </c>
      <c r="U3955" s="34">
        <v>2026</v>
      </c>
      <c r="V3955" s="35" t="s">
        <v>1588</v>
      </c>
      <c r="W3955" s="35" t="s">
        <v>17</v>
      </c>
      <c r="X3955" s="37" t="s">
        <v>3103</v>
      </c>
      <c r="Y3955" s="36" t="s">
        <v>252</v>
      </c>
      <c r="Z3955" s="30" t="s">
        <v>2522</v>
      </c>
      <c r="AA3955" s="134" t="s">
        <v>166</v>
      </c>
      <c r="AD3955" s="38">
        <v>45.35</v>
      </c>
      <c r="AF3955" s="76">
        <f t="shared" si="379"/>
        <v>78010.289999999979</v>
      </c>
    </row>
    <row r="3956" spans="9:32" ht="8.25" customHeight="1" x14ac:dyDescent="0.25">
      <c r="N3956" s="52">
        <v>10</v>
      </c>
      <c r="T3956" s="33">
        <v>46178</v>
      </c>
      <c r="U3956" s="34">
        <v>2026</v>
      </c>
      <c r="V3956" s="35" t="s">
        <v>1588</v>
      </c>
      <c r="W3956" s="35" t="s">
        <v>17</v>
      </c>
      <c r="X3956" s="37" t="s">
        <v>3104</v>
      </c>
      <c r="Y3956" s="36" t="s">
        <v>3106</v>
      </c>
      <c r="Z3956" s="30" t="s">
        <v>2522</v>
      </c>
      <c r="AA3956" s="30" t="s">
        <v>3899</v>
      </c>
      <c r="AD3956" s="38">
        <v>1936.74</v>
      </c>
      <c r="AF3956" s="76">
        <f t="shared" si="379"/>
        <v>79947.029999999984</v>
      </c>
    </row>
    <row r="3957" spans="9:32" ht="8.25" customHeight="1" x14ac:dyDescent="0.15">
      <c r="N3957" s="52">
        <v>10</v>
      </c>
      <c r="T3957" s="33">
        <v>46178</v>
      </c>
      <c r="U3957" s="34">
        <v>2026</v>
      </c>
      <c r="V3957" s="35" t="s">
        <v>1588</v>
      </c>
      <c r="W3957" s="35" t="s">
        <v>17</v>
      </c>
      <c r="X3957" s="37" t="s">
        <v>3104</v>
      </c>
      <c r="Y3957" s="36" t="s">
        <v>3106</v>
      </c>
      <c r="Z3957" s="30" t="s">
        <v>2522</v>
      </c>
      <c r="AA3957" s="134" t="s">
        <v>166</v>
      </c>
      <c r="AD3957" s="38">
        <v>463.26</v>
      </c>
      <c r="AF3957" s="76">
        <f t="shared" si="379"/>
        <v>80410.289999999979</v>
      </c>
    </row>
    <row r="3958" spans="9:32" ht="8.25" customHeight="1" x14ac:dyDescent="0.25">
      <c r="N3958" s="52">
        <v>11</v>
      </c>
      <c r="T3958" s="33">
        <v>46178</v>
      </c>
      <c r="U3958" s="34">
        <v>2026</v>
      </c>
      <c r="V3958" s="35" t="s">
        <v>1588</v>
      </c>
      <c r="W3958" s="35" t="s">
        <v>17</v>
      </c>
      <c r="X3958" s="37" t="s">
        <v>3105</v>
      </c>
      <c r="Y3958" s="36" t="s">
        <v>1990</v>
      </c>
      <c r="Z3958" s="30" t="s">
        <v>1432</v>
      </c>
      <c r="AA3958" s="30" t="s">
        <v>3899</v>
      </c>
      <c r="AD3958" s="38">
        <v>8387.08</v>
      </c>
      <c r="AF3958" s="76">
        <f t="shared" si="379"/>
        <v>88797.369999999981</v>
      </c>
    </row>
    <row r="3959" spans="9:32" ht="8.25" customHeight="1" x14ac:dyDescent="0.15">
      <c r="N3959" s="52">
        <v>11</v>
      </c>
      <c r="T3959" s="33">
        <v>46178</v>
      </c>
      <c r="U3959" s="34">
        <v>2026</v>
      </c>
      <c r="V3959" s="35" t="s">
        <v>1588</v>
      </c>
      <c r="W3959" s="35" t="s">
        <v>17</v>
      </c>
      <c r="X3959" s="37" t="s">
        <v>3105</v>
      </c>
      <c r="Y3959" s="36" t="s">
        <v>1990</v>
      </c>
      <c r="Z3959" s="30" t="s">
        <v>1432</v>
      </c>
      <c r="AA3959" s="134" t="s">
        <v>166</v>
      </c>
      <c r="AD3959" s="38">
        <v>6612.92</v>
      </c>
      <c r="AF3959" s="76">
        <f t="shared" si="379"/>
        <v>95410.289999999979</v>
      </c>
    </row>
    <row r="3960" spans="9:32" ht="8.25" customHeight="1" x14ac:dyDescent="0.25">
      <c r="N3960" s="52">
        <v>12</v>
      </c>
      <c r="T3960" s="33">
        <v>46178</v>
      </c>
      <c r="U3960" s="34">
        <v>2026</v>
      </c>
      <c r="V3960" s="35" t="s">
        <v>1588</v>
      </c>
      <c r="W3960" s="35" t="s">
        <v>17</v>
      </c>
      <c r="X3960" s="37" t="s">
        <v>3109</v>
      </c>
      <c r="Y3960" s="36" t="s">
        <v>1546</v>
      </c>
      <c r="Z3960" s="30" t="s">
        <v>1547</v>
      </c>
      <c r="AA3960" s="30" t="s">
        <v>3899</v>
      </c>
      <c r="AD3960" s="38">
        <v>7548.85</v>
      </c>
      <c r="AF3960" s="76">
        <f t="shared" si="379"/>
        <v>102959.13999999998</v>
      </c>
    </row>
    <row r="3961" spans="9:32" ht="8.25" customHeight="1" x14ac:dyDescent="0.15">
      <c r="N3961" s="52">
        <v>12</v>
      </c>
      <c r="T3961" s="33">
        <v>46178</v>
      </c>
      <c r="U3961" s="34">
        <v>2026</v>
      </c>
      <c r="V3961" s="35" t="s">
        <v>1588</v>
      </c>
      <c r="W3961" s="35" t="s">
        <v>17</v>
      </c>
      <c r="X3961" s="37" t="s">
        <v>3109</v>
      </c>
      <c r="Y3961" s="36" t="s">
        <v>1546</v>
      </c>
      <c r="Z3961" s="30" t="s">
        <v>1547</v>
      </c>
      <c r="AA3961" s="134" t="s">
        <v>166</v>
      </c>
      <c r="AD3961" s="38">
        <v>6451.15</v>
      </c>
      <c r="AF3961" s="76">
        <f t="shared" si="379"/>
        <v>109410.28999999998</v>
      </c>
    </row>
    <row r="3962" spans="9:32" ht="8.25" customHeight="1" x14ac:dyDescent="0.25">
      <c r="I3962" s="52">
        <v>15</v>
      </c>
      <c r="T3962" s="33">
        <v>46178</v>
      </c>
      <c r="U3962" s="34">
        <v>2026</v>
      </c>
      <c r="V3962" s="35" t="s">
        <v>1588</v>
      </c>
      <c r="W3962" s="35" t="s">
        <v>17</v>
      </c>
      <c r="X3962" s="37" t="s">
        <v>3110</v>
      </c>
      <c r="Y3962" s="36" t="s">
        <v>419</v>
      </c>
      <c r="Z3962" s="30" t="s">
        <v>1565</v>
      </c>
      <c r="AA3962" s="30" t="s">
        <v>13</v>
      </c>
      <c r="AD3962" s="38">
        <v>2800</v>
      </c>
      <c r="AF3962" s="76">
        <f t="shared" si="379"/>
        <v>112210.28999999998</v>
      </c>
    </row>
    <row r="3963" spans="9:32" ht="8.25" customHeight="1" x14ac:dyDescent="0.25">
      <c r="N3963" s="52">
        <v>13</v>
      </c>
      <c r="T3963" s="33">
        <v>46178</v>
      </c>
      <c r="U3963" s="34">
        <v>2026</v>
      </c>
      <c r="V3963" s="35" t="s">
        <v>1588</v>
      </c>
      <c r="W3963" s="35" t="s">
        <v>17</v>
      </c>
      <c r="X3963" s="37" t="s">
        <v>3111</v>
      </c>
      <c r="Y3963" s="36" t="s">
        <v>453</v>
      </c>
      <c r="Z3963" s="30" t="s">
        <v>1467</v>
      </c>
      <c r="AA3963" s="30" t="s">
        <v>3899</v>
      </c>
      <c r="AD3963" s="38">
        <v>76996.679999999993</v>
      </c>
      <c r="AF3963" s="76">
        <f t="shared" si="379"/>
        <v>189206.96999999997</v>
      </c>
    </row>
    <row r="3964" spans="9:32" ht="8.25" customHeight="1" x14ac:dyDescent="0.15">
      <c r="N3964" s="52">
        <v>13</v>
      </c>
      <c r="T3964" s="33">
        <v>46178</v>
      </c>
      <c r="U3964" s="34">
        <v>2026</v>
      </c>
      <c r="V3964" s="35" t="s">
        <v>1588</v>
      </c>
      <c r="W3964" s="35" t="s">
        <v>17</v>
      </c>
      <c r="X3964" s="37" t="s">
        <v>3111</v>
      </c>
      <c r="Y3964" s="36" t="s">
        <v>453</v>
      </c>
      <c r="Z3964" s="30" t="s">
        <v>1467</v>
      </c>
      <c r="AA3964" s="134" t="s">
        <v>166</v>
      </c>
      <c r="AD3964" s="38">
        <v>2784.54</v>
      </c>
      <c r="AF3964" s="76">
        <f t="shared" si="379"/>
        <v>191991.50999999998</v>
      </c>
    </row>
    <row r="3965" spans="9:32" ht="8.25" customHeight="1" x14ac:dyDescent="0.25">
      <c r="N3965" s="52">
        <v>13</v>
      </c>
      <c r="T3965" s="33">
        <v>46178</v>
      </c>
      <c r="U3965" s="34">
        <v>2026</v>
      </c>
      <c r="V3965" s="35" t="s">
        <v>1588</v>
      </c>
      <c r="W3965" s="35" t="s">
        <v>17</v>
      </c>
      <c r="X3965" s="37" t="s">
        <v>3111</v>
      </c>
      <c r="Y3965" s="36" t="s">
        <v>453</v>
      </c>
      <c r="Z3965" s="30" t="s">
        <v>1467</v>
      </c>
      <c r="AA3965" s="30" t="s">
        <v>3305</v>
      </c>
      <c r="AD3965" s="38">
        <v>30.59</v>
      </c>
      <c r="AF3965" s="76">
        <f t="shared" si="379"/>
        <v>192022.09999999998</v>
      </c>
    </row>
    <row r="3966" spans="9:32" ht="8.25" customHeight="1" x14ac:dyDescent="0.25">
      <c r="T3966" s="33">
        <v>46178</v>
      </c>
      <c r="U3966" s="34">
        <v>2026</v>
      </c>
      <c r="V3966" s="35" t="s">
        <v>1588</v>
      </c>
      <c r="W3966" s="35" t="s">
        <v>5</v>
      </c>
      <c r="X3966" s="37" t="s">
        <v>3112</v>
      </c>
      <c r="Y3966" s="36" t="s">
        <v>411</v>
      </c>
      <c r="Z3966" s="30" t="s">
        <v>3074</v>
      </c>
      <c r="AA3966" s="30" t="s">
        <v>2719</v>
      </c>
      <c r="AE3966" s="38">
        <v>79811.83</v>
      </c>
      <c r="AF3966" s="76">
        <f t="shared" si="379"/>
        <v>112210.26999999997</v>
      </c>
    </row>
    <row r="3967" spans="9:32" ht="8.25" customHeight="1" x14ac:dyDescent="0.25">
      <c r="I3967" s="52">
        <v>16</v>
      </c>
      <c r="T3967" s="33">
        <v>46178</v>
      </c>
      <c r="U3967" s="34">
        <v>2026</v>
      </c>
      <c r="V3967" s="35" t="s">
        <v>1588</v>
      </c>
      <c r="W3967" s="35" t="s">
        <v>17</v>
      </c>
      <c r="X3967" s="37" t="s">
        <v>3113</v>
      </c>
      <c r="Y3967" s="36" t="s">
        <v>3115</v>
      </c>
      <c r="Z3967" s="30" t="s">
        <v>1467</v>
      </c>
      <c r="AA3967" s="30" t="s">
        <v>13</v>
      </c>
      <c r="AD3967" s="38">
        <v>31796.79</v>
      </c>
      <c r="AF3967" s="76">
        <f t="shared" si="379"/>
        <v>144007.05999999997</v>
      </c>
    </row>
    <row r="3968" spans="9:32" ht="8.25" customHeight="1" x14ac:dyDescent="0.25">
      <c r="M3968" s="52">
        <v>3</v>
      </c>
      <c r="T3968" s="33">
        <v>46178</v>
      </c>
      <c r="U3968" s="34">
        <v>2026</v>
      </c>
      <c r="V3968" s="35" t="s">
        <v>1588</v>
      </c>
      <c r="W3968" s="35" t="s">
        <v>17</v>
      </c>
      <c r="X3968" s="37" t="s">
        <v>3114</v>
      </c>
      <c r="Y3968" s="36" t="s">
        <v>120</v>
      </c>
      <c r="Z3968" s="30" t="s">
        <v>1467</v>
      </c>
      <c r="AA3968" s="30" t="s">
        <v>385</v>
      </c>
      <c r="AD3968" s="38">
        <v>6359.35</v>
      </c>
      <c r="AF3968" s="76">
        <f t="shared" si="379"/>
        <v>150366.40999999997</v>
      </c>
    </row>
    <row r="3969" spans="14:32" ht="8.25" customHeight="1" x14ac:dyDescent="0.25">
      <c r="T3969" s="33">
        <v>46178</v>
      </c>
      <c r="U3969" s="34">
        <v>2026</v>
      </c>
      <c r="V3969" s="35" t="s">
        <v>1588</v>
      </c>
      <c r="W3969" s="35" t="s">
        <v>5</v>
      </c>
      <c r="X3969" s="37" t="s">
        <v>3116</v>
      </c>
      <c r="Y3969" s="36" t="s">
        <v>411</v>
      </c>
      <c r="Z3969" s="30" t="s">
        <v>3074</v>
      </c>
      <c r="AA3969" s="30" t="s">
        <v>2719</v>
      </c>
      <c r="AE3969" s="38">
        <f>SUM(AD3967:AD3968)</f>
        <v>38156.14</v>
      </c>
      <c r="AF3969" s="76">
        <f t="shared" si="379"/>
        <v>112210.26999999997</v>
      </c>
    </row>
    <row r="3970" spans="14:32" ht="8.25" customHeight="1" x14ac:dyDescent="0.25">
      <c r="N3970" s="52">
        <v>14</v>
      </c>
      <c r="T3970" s="33">
        <v>46178</v>
      </c>
      <c r="U3970" s="34">
        <v>2026</v>
      </c>
      <c r="V3970" s="35" t="s">
        <v>1588</v>
      </c>
      <c r="W3970" s="35" t="s">
        <v>17</v>
      </c>
      <c r="X3970" s="37" t="s">
        <v>3117</v>
      </c>
      <c r="Y3970" s="36" t="s">
        <v>346</v>
      </c>
      <c r="Z3970" s="30" t="s">
        <v>1483</v>
      </c>
      <c r="AA3970" s="30" t="s">
        <v>3899</v>
      </c>
      <c r="AD3970" s="38">
        <v>7612.55</v>
      </c>
      <c r="AF3970" s="76">
        <f t="shared" si="379"/>
        <v>119822.81999999998</v>
      </c>
    </row>
    <row r="3971" spans="14:32" ht="8.25" customHeight="1" x14ac:dyDescent="0.15">
      <c r="N3971" s="52">
        <v>14</v>
      </c>
      <c r="T3971" s="33">
        <v>46178</v>
      </c>
      <c r="U3971" s="34">
        <v>2026</v>
      </c>
      <c r="V3971" s="35" t="s">
        <v>1588</v>
      </c>
      <c r="W3971" s="35" t="s">
        <v>17</v>
      </c>
      <c r="X3971" s="37" t="s">
        <v>3117</v>
      </c>
      <c r="Y3971" s="36" t="s">
        <v>346</v>
      </c>
      <c r="Z3971" s="30" t="s">
        <v>1483</v>
      </c>
      <c r="AA3971" s="134" t="s">
        <v>166</v>
      </c>
      <c r="AD3971" s="38">
        <v>5887.45</v>
      </c>
      <c r="AF3971" s="76">
        <f t="shared" si="379"/>
        <v>125710.26999999997</v>
      </c>
    </row>
    <row r="3972" spans="14:32" ht="8.25" customHeight="1" x14ac:dyDescent="0.25">
      <c r="N3972" s="52">
        <v>15</v>
      </c>
      <c r="T3972" s="33">
        <v>46178</v>
      </c>
      <c r="U3972" s="34">
        <v>2026</v>
      </c>
      <c r="V3972" s="35" t="s">
        <v>1588</v>
      </c>
      <c r="W3972" s="35" t="s">
        <v>17</v>
      </c>
      <c r="X3972" s="37" t="s">
        <v>3118</v>
      </c>
      <c r="Y3972" s="36" t="s">
        <v>1549</v>
      </c>
      <c r="Z3972" s="30" t="s">
        <v>756</v>
      </c>
      <c r="AA3972" s="30" t="s">
        <v>3899</v>
      </c>
      <c r="AD3972" s="38">
        <v>7548.85</v>
      </c>
      <c r="AF3972" s="76">
        <f t="shared" si="379"/>
        <v>133259.11999999997</v>
      </c>
    </row>
    <row r="3973" spans="14:32" ht="8.25" customHeight="1" x14ac:dyDescent="0.15">
      <c r="N3973" s="52">
        <v>15</v>
      </c>
      <c r="T3973" s="33">
        <v>46178</v>
      </c>
      <c r="U3973" s="34">
        <v>2026</v>
      </c>
      <c r="V3973" s="35" t="s">
        <v>1588</v>
      </c>
      <c r="W3973" s="35" t="s">
        <v>17</v>
      </c>
      <c r="X3973" s="37" t="s">
        <v>3118</v>
      </c>
      <c r="Y3973" s="36" t="s">
        <v>1549</v>
      </c>
      <c r="Z3973" s="30" t="s">
        <v>756</v>
      </c>
      <c r="AA3973" s="134" t="s">
        <v>166</v>
      </c>
      <c r="AD3973" s="38">
        <v>6451.15</v>
      </c>
      <c r="AF3973" s="76">
        <f t="shared" si="379"/>
        <v>139710.26999999996</v>
      </c>
    </row>
    <row r="3974" spans="14:32" ht="8.25" customHeight="1" x14ac:dyDescent="0.25">
      <c r="N3974" s="52">
        <v>16</v>
      </c>
      <c r="T3974" s="33">
        <v>46178</v>
      </c>
      <c r="U3974" s="34">
        <v>2026</v>
      </c>
      <c r="V3974" s="35" t="s">
        <v>1588</v>
      </c>
      <c r="W3974" s="35" t="s">
        <v>17</v>
      </c>
      <c r="X3974" s="37" t="s">
        <v>3119</v>
      </c>
      <c r="Y3974" s="36" t="s">
        <v>347</v>
      </c>
      <c r="Z3974" s="30" t="s">
        <v>1461</v>
      </c>
      <c r="AA3974" s="30" t="s">
        <v>3899</v>
      </c>
      <c r="AD3974" s="38">
        <v>6083.98</v>
      </c>
      <c r="AF3974" s="76">
        <f t="shared" si="379"/>
        <v>145794.24999999997</v>
      </c>
    </row>
    <row r="3975" spans="14:32" ht="8.25" customHeight="1" x14ac:dyDescent="0.15">
      <c r="N3975" s="52">
        <v>16</v>
      </c>
      <c r="T3975" s="33">
        <v>46178</v>
      </c>
      <c r="U3975" s="34">
        <v>2026</v>
      </c>
      <c r="V3975" s="35" t="s">
        <v>1588</v>
      </c>
      <c r="W3975" s="35" t="s">
        <v>17</v>
      </c>
      <c r="X3975" s="37" t="s">
        <v>3119</v>
      </c>
      <c r="Y3975" s="36" t="s">
        <v>347</v>
      </c>
      <c r="Z3975" s="30" t="s">
        <v>1461</v>
      </c>
      <c r="AA3975" s="134" t="s">
        <v>166</v>
      </c>
      <c r="AD3975" s="38">
        <v>4916.0200000000004</v>
      </c>
      <c r="AF3975" s="76">
        <f t="shared" si="379"/>
        <v>150710.26999999996</v>
      </c>
    </row>
    <row r="3976" spans="14:32" ht="8.25" customHeight="1" x14ac:dyDescent="0.25">
      <c r="N3976" s="52">
        <v>17</v>
      </c>
      <c r="T3976" s="33">
        <v>46178</v>
      </c>
      <c r="U3976" s="34">
        <v>2026</v>
      </c>
      <c r="V3976" s="35" t="s">
        <v>1588</v>
      </c>
      <c r="W3976" s="35" t="s">
        <v>17</v>
      </c>
      <c r="X3976" s="37" t="s">
        <v>3120</v>
      </c>
      <c r="Y3976" s="36" t="s">
        <v>225</v>
      </c>
      <c r="Z3976" s="30" t="s">
        <v>1409</v>
      </c>
      <c r="AA3976" s="30" t="s">
        <v>3899</v>
      </c>
      <c r="AD3976" s="38">
        <v>9620.93</v>
      </c>
      <c r="AF3976" s="76">
        <f t="shared" si="379"/>
        <v>160331.19999999995</v>
      </c>
    </row>
    <row r="3977" spans="14:32" ht="8.25" customHeight="1" x14ac:dyDescent="0.15">
      <c r="N3977" s="52">
        <v>17</v>
      </c>
      <c r="T3977" s="33">
        <v>46178</v>
      </c>
      <c r="U3977" s="34">
        <v>2026</v>
      </c>
      <c r="V3977" s="35" t="s">
        <v>1588</v>
      </c>
      <c r="W3977" s="35" t="s">
        <v>17</v>
      </c>
      <c r="X3977" s="37" t="s">
        <v>3120</v>
      </c>
      <c r="Y3977" s="36" t="s">
        <v>225</v>
      </c>
      <c r="Z3977" s="30" t="s">
        <v>1409</v>
      </c>
      <c r="AA3977" s="134" t="s">
        <v>166</v>
      </c>
      <c r="AD3977" s="38">
        <v>2581.0700000000002</v>
      </c>
      <c r="AF3977" s="76">
        <f t="shared" si="379"/>
        <v>162912.26999999996</v>
      </c>
    </row>
    <row r="3978" spans="14:32" ht="8.25" customHeight="1" x14ac:dyDescent="0.25">
      <c r="N3978" s="52">
        <v>17</v>
      </c>
      <c r="T3978" s="33">
        <v>46178</v>
      </c>
      <c r="U3978" s="34">
        <v>2026</v>
      </c>
      <c r="V3978" s="35" t="s">
        <v>1588</v>
      </c>
      <c r="W3978" s="35" t="s">
        <v>17</v>
      </c>
      <c r="X3978" s="37" t="s">
        <v>3120</v>
      </c>
      <c r="Y3978" s="36" t="s">
        <v>225</v>
      </c>
      <c r="Z3978" s="30" t="s">
        <v>1409</v>
      </c>
      <c r="AA3978" s="30" t="s">
        <v>3305</v>
      </c>
      <c r="AD3978" s="38">
        <v>50</v>
      </c>
      <c r="AF3978" s="76">
        <f t="shared" si="379"/>
        <v>162962.26999999996</v>
      </c>
    </row>
    <row r="3979" spans="14:32" ht="8.25" customHeight="1" x14ac:dyDescent="0.25">
      <c r="N3979" s="52">
        <v>18</v>
      </c>
      <c r="T3979" s="33">
        <v>46178</v>
      </c>
      <c r="U3979" s="34">
        <v>2026</v>
      </c>
      <c r="V3979" s="35" t="s">
        <v>1588</v>
      </c>
      <c r="W3979" s="35" t="s">
        <v>17</v>
      </c>
      <c r="X3979" s="37" t="s">
        <v>3121</v>
      </c>
      <c r="Y3979" s="36" t="s">
        <v>3122</v>
      </c>
      <c r="Z3979" s="30" t="s">
        <v>1459</v>
      </c>
      <c r="AA3979" s="30" t="s">
        <v>3899</v>
      </c>
      <c r="AD3979" s="38">
        <v>9354.44</v>
      </c>
      <c r="AF3979" s="76">
        <f t="shared" si="379"/>
        <v>172316.70999999996</v>
      </c>
    </row>
    <row r="3980" spans="14:32" ht="8.25" customHeight="1" x14ac:dyDescent="0.15">
      <c r="N3980" s="52">
        <v>18</v>
      </c>
      <c r="T3980" s="33">
        <v>46178</v>
      </c>
      <c r="U3980" s="34">
        <v>2026</v>
      </c>
      <c r="V3980" s="35" t="s">
        <v>1588</v>
      </c>
      <c r="W3980" s="35" t="s">
        <v>17</v>
      </c>
      <c r="X3980" s="37" t="s">
        <v>3121</v>
      </c>
      <c r="Y3980" s="36" t="s">
        <v>3122</v>
      </c>
      <c r="Z3980" s="30" t="s">
        <v>1459</v>
      </c>
      <c r="AA3980" s="134" t="s">
        <v>166</v>
      </c>
      <c r="AD3980" s="38">
        <v>11145.56</v>
      </c>
      <c r="AF3980" s="76">
        <f t="shared" si="379"/>
        <v>183462.26999999996</v>
      </c>
    </row>
    <row r="3981" spans="14:32" ht="8.25" customHeight="1" x14ac:dyDescent="0.25">
      <c r="N3981" s="52">
        <v>19</v>
      </c>
      <c r="T3981" s="33">
        <v>46178</v>
      </c>
      <c r="U3981" s="34">
        <v>2026</v>
      </c>
      <c r="V3981" s="35" t="s">
        <v>1588</v>
      </c>
      <c r="W3981" s="35" t="s">
        <v>17</v>
      </c>
      <c r="X3981" s="37" t="s">
        <v>3123</v>
      </c>
      <c r="Y3981" s="36" t="s">
        <v>1381</v>
      </c>
      <c r="Z3981" s="30" t="s">
        <v>3005</v>
      </c>
      <c r="AA3981" s="30" t="s">
        <v>3899</v>
      </c>
      <c r="AD3981" s="38">
        <v>7694.06</v>
      </c>
      <c r="AF3981" s="76">
        <f t="shared" si="379"/>
        <v>191156.32999999996</v>
      </c>
    </row>
    <row r="3982" spans="14:32" ht="8.25" customHeight="1" x14ac:dyDescent="0.15">
      <c r="N3982" s="52">
        <v>19</v>
      </c>
      <c r="T3982" s="33">
        <v>46178</v>
      </c>
      <c r="U3982" s="34">
        <v>2026</v>
      </c>
      <c r="V3982" s="35" t="s">
        <v>1588</v>
      </c>
      <c r="W3982" s="35" t="s">
        <v>17</v>
      </c>
      <c r="X3982" s="37" t="s">
        <v>3123</v>
      </c>
      <c r="Y3982" s="36" t="s">
        <v>1381</v>
      </c>
      <c r="Z3982" s="30" t="s">
        <v>3005</v>
      </c>
      <c r="AA3982" s="134" t="s">
        <v>166</v>
      </c>
      <c r="AD3982" s="38">
        <v>7305.94</v>
      </c>
      <c r="AF3982" s="76">
        <f t="shared" si="379"/>
        <v>198462.26999999996</v>
      </c>
    </row>
    <row r="3983" spans="14:32" ht="8.25" customHeight="1" x14ac:dyDescent="0.25">
      <c r="T3983" s="33">
        <v>46178</v>
      </c>
      <c r="U3983" s="34">
        <v>2026</v>
      </c>
      <c r="V3983" s="35" t="s">
        <v>1588</v>
      </c>
      <c r="W3983" s="35" t="s">
        <v>5</v>
      </c>
      <c r="X3983" s="37" t="s">
        <v>3124</v>
      </c>
      <c r="Y3983" s="36" t="s">
        <v>411</v>
      </c>
      <c r="Z3983" s="30" t="s">
        <v>3074</v>
      </c>
      <c r="AA3983" s="30" t="s">
        <v>2719</v>
      </c>
      <c r="AE3983" s="38">
        <f>SUM(AD3981:AD3982)</f>
        <v>15000</v>
      </c>
      <c r="AF3983" s="76">
        <f t="shared" si="379"/>
        <v>183462.26999999996</v>
      </c>
    </row>
    <row r="3984" spans="14:32" ht="8.25" customHeight="1" x14ac:dyDescent="0.25">
      <c r="N3984" s="52">
        <v>20</v>
      </c>
      <c r="T3984" s="33">
        <v>46178</v>
      </c>
      <c r="U3984" s="34">
        <v>2026</v>
      </c>
      <c r="V3984" s="35" t="s">
        <v>1588</v>
      </c>
      <c r="W3984" s="35" t="s">
        <v>17</v>
      </c>
      <c r="X3984" s="37" t="s">
        <v>3125</v>
      </c>
      <c r="Y3984" s="36" t="s">
        <v>1381</v>
      </c>
      <c r="Z3984" s="30" t="s">
        <v>3005</v>
      </c>
      <c r="AA3984" s="30" t="s">
        <v>3899</v>
      </c>
      <c r="AC3984" s="26" t="s">
        <v>3163</v>
      </c>
      <c r="AD3984" s="38">
        <v>20000</v>
      </c>
      <c r="AF3984" s="76">
        <f t="shared" si="379"/>
        <v>203462.26999999996</v>
      </c>
    </row>
    <row r="3985" spans="6:32" ht="8.25" customHeight="1" x14ac:dyDescent="0.25">
      <c r="N3985" s="52">
        <v>20</v>
      </c>
      <c r="T3985" s="33">
        <v>46178</v>
      </c>
      <c r="U3985" s="34">
        <v>2026</v>
      </c>
      <c r="V3985" s="35" t="s">
        <v>1588</v>
      </c>
      <c r="W3985" s="35" t="s">
        <v>17</v>
      </c>
      <c r="X3985" s="37" t="s">
        <v>3126</v>
      </c>
      <c r="Y3985" s="36" t="s">
        <v>411</v>
      </c>
      <c r="Z3985" s="30" t="s">
        <v>398</v>
      </c>
      <c r="AA3985" s="30" t="s">
        <v>2719</v>
      </c>
      <c r="AE3985" s="38">
        <f>AD3984</f>
        <v>20000</v>
      </c>
      <c r="AF3985" s="76">
        <f t="shared" si="379"/>
        <v>183462.26999999996</v>
      </c>
    </row>
    <row r="3986" spans="6:32" ht="8.25" customHeight="1" x14ac:dyDescent="0.25">
      <c r="N3986" s="52">
        <v>21</v>
      </c>
      <c r="T3986" s="33">
        <v>46178</v>
      </c>
      <c r="U3986" s="34">
        <v>2026</v>
      </c>
      <c r="V3986" s="35" t="s">
        <v>1588</v>
      </c>
      <c r="W3986" s="35" t="s">
        <v>17</v>
      </c>
      <c r="X3986" s="37" t="s">
        <v>3127</v>
      </c>
      <c r="Y3986" s="36" t="s">
        <v>1411</v>
      </c>
      <c r="Z3986" s="30" t="s">
        <v>3129</v>
      </c>
      <c r="AA3986" s="30" t="s">
        <v>3899</v>
      </c>
      <c r="AD3986" s="38">
        <v>2138.6</v>
      </c>
      <c r="AF3986" s="76">
        <f t="shared" si="379"/>
        <v>185600.86999999997</v>
      </c>
    </row>
    <row r="3987" spans="6:32" ht="8.25" customHeight="1" x14ac:dyDescent="0.15">
      <c r="N3987" s="52">
        <v>21</v>
      </c>
      <c r="T3987" s="33">
        <v>46178</v>
      </c>
      <c r="U3987" s="34">
        <v>2026</v>
      </c>
      <c r="V3987" s="35" t="s">
        <v>1588</v>
      </c>
      <c r="W3987" s="35" t="s">
        <v>17</v>
      </c>
      <c r="X3987" s="37" t="s">
        <v>3127</v>
      </c>
      <c r="Y3987" s="36" t="s">
        <v>1411</v>
      </c>
      <c r="Z3987" s="30" t="s">
        <v>3129</v>
      </c>
      <c r="AA3987" s="134" t="s">
        <v>166</v>
      </c>
      <c r="AD3987" s="38">
        <v>1161.4000000000001</v>
      </c>
      <c r="AF3987" s="76">
        <f t="shared" si="379"/>
        <v>186762.26999999996</v>
      </c>
    </row>
    <row r="3988" spans="6:32" ht="8.25" customHeight="1" x14ac:dyDescent="0.25">
      <c r="N3988" s="52">
        <v>22</v>
      </c>
      <c r="T3988" s="33">
        <v>46178</v>
      </c>
      <c r="U3988" s="34">
        <v>2026</v>
      </c>
      <c r="V3988" s="35" t="s">
        <v>1588</v>
      </c>
      <c r="W3988" s="35" t="s">
        <v>17</v>
      </c>
      <c r="X3988" s="37" t="s">
        <v>3128</v>
      </c>
      <c r="Y3988" s="36" t="s">
        <v>1411</v>
      </c>
      <c r="Z3988" s="30" t="s">
        <v>3129</v>
      </c>
      <c r="AA3988" s="30" t="s">
        <v>3899</v>
      </c>
      <c r="AD3988" s="38">
        <v>20.03</v>
      </c>
      <c r="AF3988" s="76">
        <f t="shared" si="379"/>
        <v>186782.29999999996</v>
      </c>
    </row>
    <row r="3989" spans="6:32" ht="8.25" customHeight="1" x14ac:dyDescent="0.15">
      <c r="N3989" s="52">
        <v>23</v>
      </c>
      <c r="T3989" s="33">
        <v>46178</v>
      </c>
      <c r="U3989" s="34">
        <v>2026</v>
      </c>
      <c r="V3989" s="35" t="s">
        <v>1588</v>
      </c>
      <c r="W3989" s="35" t="s">
        <v>17</v>
      </c>
      <c r="X3989" s="37" t="s">
        <v>3128</v>
      </c>
      <c r="Y3989" s="36" t="s">
        <v>1411</v>
      </c>
      <c r="Z3989" s="30" t="s">
        <v>3129</v>
      </c>
      <c r="AA3989" s="134" t="s">
        <v>166</v>
      </c>
      <c r="AD3989" s="38">
        <v>59.97</v>
      </c>
      <c r="AF3989" s="76">
        <f t="shared" si="379"/>
        <v>186842.26999999996</v>
      </c>
    </row>
    <row r="3990" spans="6:32" ht="8.25" customHeight="1" x14ac:dyDescent="0.25">
      <c r="R3990" s="53">
        <v>7</v>
      </c>
      <c r="T3990" s="33">
        <v>46178</v>
      </c>
      <c r="U3990" s="34">
        <v>2026</v>
      </c>
      <c r="V3990" s="35" t="s">
        <v>1588</v>
      </c>
      <c r="W3990" s="35" t="s">
        <v>5</v>
      </c>
      <c r="X3990" s="37" t="s">
        <v>3099</v>
      </c>
      <c r="Y3990" s="36" t="s">
        <v>3100</v>
      </c>
      <c r="Z3990" s="30" t="s">
        <v>3101</v>
      </c>
      <c r="AA3990" s="30" t="s">
        <v>1050</v>
      </c>
      <c r="AE3990" s="38">
        <v>3500</v>
      </c>
      <c r="AF3990" s="76">
        <f t="shared" si="379"/>
        <v>183342.26999999996</v>
      </c>
    </row>
    <row r="3991" spans="6:32" ht="8.25" customHeight="1" x14ac:dyDescent="0.25">
      <c r="T3991" s="33">
        <v>46178</v>
      </c>
      <c r="U3991" s="34">
        <v>2026</v>
      </c>
      <c r="V3991" s="35" t="s">
        <v>1588</v>
      </c>
      <c r="W3991" s="35" t="s">
        <v>5</v>
      </c>
      <c r="X3991" s="37" t="s">
        <v>3107</v>
      </c>
      <c r="Y3991" s="36" t="s">
        <v>411</v>
      </c>
      <c r="Z3991" s="30" t="s">
        <v>398</v>
      </c>
      <c r="AA3991" s="30" t="s">
        <v>1882</v>
      </c>
      <c r="AE3991" s="38">
        <v>50000</v>
      </c>
      <c r="AF3991" s="76">
        <f t="shared" si="379"/>
        <v>133342.26999999996</v>
      </c>
    </row>
    <row r="3992" spans="6:32" ht="8.25" customHeight="1" x14ac:dyDescent="0.25">
      <c r="G3992" s="53">
        <v>1</v>
      </c>
      <c r="T3992" s="33">
        <v>46178</v>
      </c>
      <c r="U3992" s="34">
        <v>2026</v>
      </c>
      <c r="V3992" s="35" t="s">
        <v>1588</v>
      </c>
      <c r="W3992" s="35" t="s">
        <v>2655</v>
      </c>
      <c r="X3992" s="37" t="s">
        <v>3131</v>
      </c>
      <c r="Y3992" s="36" t="s">
        <v>3130</v>
      </c>
      <c r="Z3992" s="30" t="s">
        <v>1409</v>
      </c>
      <c r="AA3992" s="30" t="s">
        <v>3945</v>
      </c>
      <c r="AE3992" s="38">
        <v>12252</v>
      </c>
      <c r="AF3992" s="76">
        <f t="shared" si="379"/>
        <v>121090.26999999996</v>
      </c>
    </row>
    <row r="3993" spans="6:32" ht="8.25" customHeight="1" x14ac:dyDescent="0.25">
      <c r="F3993" s="53">
        <v>1</v>
      </c>
      <c r="T3993" s="33">
        <v>46178</v>
      </c>
      <c r="U3993" s="34">
        <v>2026</v>
      </c>
      <c r="V3993" s="35" t="s">
        <v>1588</v>
      </c>
      <c r="W3993" s="35" t="s">
        <v>2655</v>
      </c>
      <c r="X3993" s="37" t="s">
        <v>3132</v>
      </c>
      <c r="Z3993" s="30" t="s">
        <v>3133</v>
      </c>
      <c r="AA3993" s="30" t="s">
        <v>3939</v>
      </c>
      <c r="AE3993" s="38">
        <v>2000</v>
      </c>
      <c r="AF3993" s="76">
        <f t="shared" si="379"/>
        <v>119090.26999999996</v>
      </c>
    </row>
    <row r="3994" spans="6:32" ht="8.25" customHeight="1" thickBot="1" x14ac:dyDescent="0.3">
      <c r="AA3994" s="260" t="s">
        <v>2893</v>
      </c>
      <c r="AD3994" s="253">
        <f>SUM(AD3953:AD3991)</f>
        <v>263999.95</v>
      </c>
      <c r="AE3994" s="253">
        <f>SUM(AE3953:AE3993)</f>
        <v>220719.97</v>
      </c>
      <c r="AF3994" s="233">
        <f>AF3952+AD3994-AE3994</f>
        <v>119090.26999999999</v>
      </c>
    </row>
    <row r="3995" spans="6:32" ht="8.25" customHeight="1" thickTop="1" x14ac:dyDescent="0.25">
      <c r="X3995" s="109"/>
      <c r="Y3995" s="67" t="s">
        <v>214</v>
      </c>
      <c r="Z3995" s="68"/>
      <c r="AA3995" s="75"/>
    </row>
    <row r="3996" spans="6:32" ht="8.25" customHeight="1" x14ac:dyDescent="0.25">
      <c r="X3996" s="110" t="s">
        <v>3134</v>
      </c>
      <c r="Y3996" s="111">
        <v>200</v>
      </c>
      <c r="Z3996" s="111">
        <f t="shared" ref="Z3996:Z4001" si="380">X3996*Y3996</f>
        <v>15400</v>
      </c>
      <c r="AA3996" s="112"/>
    </row>
    <row r="3997" spans="6:32" ht="8.25" customHeight="1" x14ac:dyDescent="0.25">
      <c r="X3997" s="110" t="s">
        <v>3135</v>
      </c>
      <c r="Y3997" s="111">
        <v>100</v>
      </c>
      <c r="Z3997" s="111">
        <f t="shared" si="380"/>
        <v>101600</v>
      </c>
      <c r="AA3997" s="112"/>
    </row>
    <row r="3998" spans="6:32" ht="8.25" customHeight="1" x14ac:dyDescent="0.25">
      <c r="X3998" s="110" t="s">
        <v>224</v>
      </c>
      <c r="Y3998" s="111">
        <v>50</v>
      </c>
      <c r="Z3998" s="111">
        <f t="shared" si="380"/>
        <v>100</v>
      </c>
      <c r="AA3998" s="76"/>
    </row>
    <row r="3999" spans="6:32" ht="8.25" customHeight="1" x14ac:dyDescent="0.25">
      <c r="X3999" s="110" t="s">
        <v>319</v>
      </c>
      <c r="Y3999" s="111">
        <v>20</v>
      </c>
      <c r="Z3999" s="111">
        <f t="shared" si="380"/>
        <v>120</v>
      </c>
      <c r="AA3999" s="38"/>
    </row>
    <row r="4000" spans="6:32" ht="8.25" customHeight="1" x14ac:dyDescent="0.25">
      <c r="X4000" s="110" t="s">
        <v>222</v>
      </c>
      <c r="Y4000" s="111">
        <v>10</v>
      </c>
      <c r="Z4000" s="111">
        <f t="shared" si="380"/>
        <v>10</v>
      </c>
      <c r="AA4000" s="112"/>
    </row>
    <row r="4001" spans="11:32" ht="8.25" customHeight="1" x14ac:dyDescent="0.25">
      <c r="X4001" s="110" t="s">
        <v>3086</v>
      </c>
      <c r="Y4001" s="111">
        <v>5</v>
      </c>
      <c r="Z4001" s="111">
        <f t="shared" si="380"/>
        <v>1320</v>
      </c>
      <c r="AA4001" s="112"/>
    </row>
    <row r="4002" spans="11:32" ht="8.25" customHeight="1" x14ac:dyDescent="0.25">
      <c r="X4002" s="269"/>
      <c r="Y4002" s="270"/>
      <c r="Z4002" s="271"/>
      <c r="AA4002" s="38"/>
    </row>
    <row r="4003" spans="11:32" ht="8.25" customHeight="1" x14ac:dyDescent="0.25">
      <c r="X4003" s="110" t="s">
        <v>3054</v>
      </c>
      <c r="Y4003" s="111">
        <v>1</v>
      </c>
      <c r="Z4003" s="111">
        <f t="shared" ref="Z4003:Z4008" si="381">X4003*Y4003</f>
        <v>455</v>
      </c>
      <c r="AA4003" s="76"/>
    </row>
    <row r="4004" spans="11:32" ht="8.25" customHeight="1" x14ac:dyDescent="0.25">
      <c r="X4004" s="110" t="s">
        <v>259</v>
      </c>
      <c r="Y4004" s="111">
        <v>0.5</v>
      </c>
      <c r="Z4004" s="111">
        <f t="shared" si="381"/>
        <v>40</v>
      </c>
      <c r="AA4004" s="112"/>
    </row>
    <row r="4005" spans="11:32" ht="8.25" customHeight="1" x14ac:dyDescent="0.25">
      <c r="X4005" s="110" t="s">
        <v>1733</v>
      </c>
      <c r="Y4005" s="111">
        <v>0.25</v>
      </c>
      <c r="Z4005" s="111">
        <f t="shared" si="381"/>
        <v>45.25</v>
      </c>
      <c r="AA4005" s="113"/>
    </row>
    <row r="4006" spans="11:32" ht="8.25" customHeight="1" x14ac:dyDescent="0.25">
      <c r="X4006" s="110"/>
      <c r="Y4006" s="111">
        <v>0.1</v>
      </c>
      <c r="Z4006" s="111">
        <f t="shared" si="381"/>
        <v>0</v>
      </c>
      <c r="AA4006" s="114" t="s">
        <v>219</v>
      </c>
    </row>
    <row r="4007" spans="11:32" ht="8.25" customHeight="1" thickBot="1" x14ac:dyDescent="0.3">
      <c r="X4007" s="110"/>
      <c r="Y4007" s="111">
        <v>0.05</v>
      </c>
      <c r="Z4007" s="111">
        <f t="shared" si="381"/>
        <v>0</v>
      </c>
      <c r="AA4007" s="115">
        <f>SUM(Z3996:Z4001)+Z4003+Z4004+Z4005+Z4006+Z4007+Z4008</f>
        <v>119090.27</v>
      </c>
    </row>
    <row r="4008" spans="11:32" ht="8.25" customHeight="1" thickTop="1" x14ac:dyDescent="0.25">
      <c r="X4008" s="110" t="s">
        <v>224</v>
      </c>
      <c r="Y4008" s="111">
        <v>0.01</v>
      </c>
      <c r="Z4008" s="111">
        <f t="shared" si="381"/>
        <v>0.02</v>
      </c>
    </row>
    <row r="4010" spans="11:32" ht="8.25" customHeight="1" x14ac:dyDescent="0.25">
      <c r="Z4010" s="231" t="s">
        <v>1376</v>
      </c>
      <c r="AF4010" s="76">
        <f>AF3994</f>
        <v>119090.26999999999</v>
      </c>
    </row>
    <row r="4011" spans="11:32" ht="8.25" customHeight="1" x14ac:dyDescent="0.25">
      <c r="N4011" s="52">
        <v>24</v>
      </c>
      <c r="T4011" s="33">
        <v>46179</v>
      </c>
      <c r="U4011" s="34">
        <v>2026</v>
      </c>
      <c r="V4011" s="35" t="s">
        <v>1588</v>
      </c>
      <c r="W4011" s="35" t="s">
        <v>17</v>
      </c>
      <c r="X4011" s="37" t="s">
        <v>3138</v>
      </c>
      <c r="Y4011" s="36" t="s">
        <v>983</v>
      </c>
      <c r="Z4011" s="30" t="s">
        <v>1504</v>
      </c>
      <c r="AA4011" s="30" t="s">
        <v>3899</v>
      </c>
      <c r="AD4011" s="38">
        <v>15956.28</v>
      </c>
      <c r="AF4011" s="76">
        <f>AF4010+AD4011-AE4011</f>
        <v>135046.54999999999</v>
      </c>
    </row>
    <row r="4012" spans="11:32" ht="8.25" customHeight="1" x14ac:dyDescent="0.15">
      <c r="N4012" s="52">
        <v>24</v>
      </c>
      <c r="T4012" s="33">
        <v>46179</v>
      </c>
      <c r="U4012" s="34">
        <v>2026</v>
      </c>
      <c r="V4012" s="35" t="s">
        <v>1588</v>
      </c>
      <c r="W4012" s="35" t="s">
        <v>17</v>
      </c>
      <c r="X4012" s="37" t="s">
        <v>3138</v>
      </c>
      <c r="Y4012" s="36" t="s">
        <v>983</v>
      </c>
      <c r="Z4012" s="30" t="s">
        <v>1504</v>
      </c>
      <c r="AA4012" s="134" t="s">
        <v>166</v>
      </c>
      <c r="AD4012" s="38">
        <v>1043.72</v>
      </c>
      <c r="AF4012" s="76">
        <f t="shared" ref="AF4012:AF4027" si="382">AF4011+AD4012-AE4012</f>
        <v>136090.26999999999</v>
      </c>
    </row>
    <row r="4013" spans="11:32" ht="8.25" customHeight="1" x14ac:dyDescent="0.25">
      <c r="K4013" s="52">
        <v>1</v>
      </c>
      <c r="T4013" s="33">
        <v>46179</v>
      </c>
      <c r="U4013" s="34">
        <v>2026</v>
      </c>
      <c r="V4013" s="35" t="s">
        <v>1588</v>
      </c>
      <c r="W4013" s="35" t="s">
        <v>17</v>
      </c>
      <c r="X4013" s="37" t="s">
        <v>3142</v>
      </c>
      <c r="Y4013" s="36" t="s">
        <v>3146</v>
      </c>
      <c r="Z4013" s="30" t="s">
        <v>3147</v>
      </c>
      <c r="AA4013" s="30" t="s">
        <v>1788</v>
      </c>
      <c r="AD4013" s="38">
        <v>100</v>
      </c>
      <c r="AF4013" s="76">
        <f t="shared" si="382"/>
        <v>136190.26999999999</v>
      </c>
    </row>
    <row r="4014" spans="11:32" ht="8.25" customHeight="1" x14ac:dyDescent="0.25">
      <c r="L4014" s="52">
        <v>2</v>
      </c>
      <c r="T4014" s="33">
        <v>46179</v>
      </c>
      <c r="U4014" s="34">
        <v>2026</v>
      </c>
      <c r="V4014" s="35" t="s">
        <v>1588</v>
      </c>
      <c r="W4014" s="35" t="s">
        <v>17</v>
      </c>
      <c r="X4014" s="37" t="s">
        <v>3143</v>
      </c>
      <c r="Y4014" s="36" t="s">
        <v>120</v>
      </c>
      <c r="Z4014" s="30" t="s">
        <v>3147</v>
      </c>
      <c r="AA4014" s="30" t="s">
        <v>373</v>
      </c>
      <c r="AD4014" s="38">
        <v>50</v>
      </c>
      <c r="AF4014" s="76">
        <f t="shared" si="382"/>
        <v>136240.26999999999</v>
      </c>
    </row>
    <row r="4015" spans="11:32" ht="8.25" customHeight="1" x14ac:dyDescent="0.25">
      <c r="K4015" s="52">
        <v>3</v>
      </c>
      <c r="T4015" s="33">
        <v>46179</v>
      </c>
      <c r="U4015" s="34">
        <v>2026</v>
      </c>
      <c r="V4015" s="35" t="s">
        <v>1588</v>
      </c>
      <c r="W4015" s="35" t="s">
        <v>17</v>
      </c>
      <c r="X4015" s="37" t="s">
        <v>3144</v>
      </c>
      <c r="Y4015" s="36" t="s">
        <v>3148</v>
      </c>
      <c r="Z4015" s="30" t="s">
        <v>3149</v>
      </c>
      <c r="AA4015" s="30" t="s">
        <v>1788</v>
      </c>
      <c r="AD4015" s="38">
        <v>100</v>
      </c>
      <c r="AF4015" s="76">
        <f t="shared" si="382"/>
        <v>136340.26999999999</v>
      </c>
    </row>
    <row r="4016" spans="11:32" ht="8.25" customHeight="1" x14ac:dyDescent="0.25">
      <c r="L4016" s="52">
        <v>3</v>
      </c>
      <c r="T4016" s="33">
        <v>46179</v>
      </c>
      <c r="U4016" s="34">
        <v>2026</v>
      </c>
      <c r="V4016" s="35" t="s">
        <v>1588</v>
      </c>
      <c r="W4016" s="35" t="s">
        <v>17</v>
      </c>
      <c r="X4016" s="37" t="s">
        <v>3145</v>
      </c>
      <c r="Y4016" s="36" t="s">
        <v>120</v>
      </c>
      <c r="Z4016" s="30" t="s">
        <v>3149</v>
      </c>
      <c r="AA4016" s="30" t="s">
        <v>373</v>
      </c>
      <c r="AD4016" s="38">
        <v>50</v>
      </c>
      <c r="AF4016" s="76">
        <f t="shared" si="382"/>
        <v>136390.26999999999</v>
      </c>
    </row>
    <row r="4017" spans="9:32" ht="8.25" customHeight="1" x14ac:dyDescent="0.25">
      <c r="I4017" s="52">
        <v>17</v>
      </c>
      <c r="T4017" s="33">
        <v>46179</v>
      </c>
      <c r="U4017" s="34">
        <v>2026</v>
      </c>
      <c r="V4017" s="35" t="s">
        <v>1588</v>
      </c>
      <c r="W4017" s="35" t="s">
        <v>17</v>
      </c>
      <c r="X4017" s="37" t="s">
        <v>3152</v>
      </c>
      <c r="Y4017" s="36" t="s">
        <v>3154</v>
      </c>
      <c r="Z4017" s="30" t="s">
        <v>3147</v>
      </c>
      <c r="AA4017" s="30" t="s">
        <v>13</v>
      </c>
      <c r="AD4017" s="38">
        <v>1136.3599999999999</v>
      </c>
      <c r="AF4017" s="76">
        <f t="shared" si="382"/>
        <v>137526.62999999998</v>
      </c>
    </row>
    <row r="4018" spans="9:32" ht="8.25" customHeight="1" x14ac:dyDescent="0.25">
      <c r="M4018" s="52">
        <v>4</v>
      </c>
      <c r="T4018" s="33">
        <v>46179</v>
      </c>
      <c r="U4018" s="34">
        <v>2026</v>
      </c>
      <c r="V4018" s="35" t="s">
        <v>1588</v>
      </c>
      <c r="W4018" s="35" t="s">
        <v>17</v>
      </c>
      <c r="X4018" s="37" t="s">
        <v>3153</v>
      </c>
      <c r="Y4018" s="36" t="s">
        <v>120</v>
      </c>
      <c r="Z4018" s="30" t="s">
        <v>3147</v>
      </c>
      <c r="AA4018" s="30" t="s">
        <v>385</v>
      </c>
      <c r="AD4018" s="38">
        <v>227.28</v>
      </c>
      <c r="AF4018" s="76">
        <f t="shared" si="382"/>
        <v>137753.90999999997</v>
      </c>
    </row>
    <row r="4019" spans="9:32" ht="8.25" customHeight="1" x14ac:dyDescent="0.25">
      <c r="I4019" s="52">
        <v>18</v>
      </c>
      <c r="T4019" s="33">
        <v>46179</v>
      </c>
      <c r="U4019" s="34">
        <v>2026</v>
      </c>
      <c r="V4019" s="35" t="s">
        <v>1588</v>
      </c>
      <c r="W4019" s="35" t="s">
        <v>17</v>
      </c>
      <c r="X4019" s="37" t="s">
        <v>3155</v>
      </c>
      <c r="Y4019" s="36" t="s">
        <v>3148</v>
      </c>
      <c r="Z4019" s="30" t="s">
        <v>3149</v>
      </c>
      <c r="AA4019" s="30" t="s">
        <v>13</v>
      </c>
      <c r="AD4019" s="38">
        <v>1136.3599999999999</v>
      </c>
      <c r="AF4019" s="76">
        <f t="shared" si="382"/>
        <v>138890.26999999996</v>
      </c>
    </row>
    <row r="4020" spans="9:32" ht="8.25" customHeight="1" x14ac:dyDescent="0.25">
      <c r="M4020" s="52">
        <v>5</v>
      </c>
      <c r="T4020" s="33">
        <v>46179</v>
      </c>
      <c r="U4020" s="34">
        <v>2026</v>
      </c>
      <c r="V4020" s="35" t="s">
        <v>1588</v>
      </c>
      <c r="W4020" s="35" t="s">
        <v>17</v>
      </c>
      <c r="X4020" s="37" t="s">
        <v>3156</v>
      </c>
      <c r="Y4020" s="36" t="s">
        <v>120</v>
      </c>
      <c r="Z4020" s="30" t="s">
        <v>3149</v>
      </c>
      <c r="AA4020" s="30" t="s">
        <v>385</v>
      </c>
      <c r="AD4020" s="38">
        <v>227.28</v>
      </c>
      <c r="AF4020" s="76">
        <f t="shared" si="382"/>
        <v>139117.54999999996</v>
      </c>
    </row>
    <row r="4021" spans="9:32" ht="8.25" customHeight="1" x14ac:dyDescent="0.25">
      <c r="T4021" s="33">
        <v>46179</v>
      </c>
      <c r="U4021" s="34">
        <v>2026</v>
      </c>
      <c r="V4021" s="35" t="s">
        <v>1588</v>
      </c>
      <c r="W4021" s="35" t="s">
        <v>17</v>
      </c>
      <c r="X4021" s="37" t="s">
        <v>3112</v>
      </c>
      <c r="Y4021" s="36" t="s">
        <v>411</v>
      </c>
      <c r="Z4021" s="30" t="s">
        <v>3162</v>
      </c>
      <c r="AA4021" s="30" t="s">
        <v>3167</v>
      </c>
      <c r="AD4021" s="38">
        <v>0.02</v>
      </c>
      <c r="AF4021" s="76">
        <f t="shared" si="382"/>
        <v>139117.56999999995</v>
      </c>
    </row>
    <row r="4022" spans="9:32" ht="8.25" customHeight="1" x14ac:dyDescent="0.25">
      <c r="T4022" s="33">
        <v>46179</v>
      </c>
      <c r="U4022" s="34">
        <v>2026</v>
      </c>
      <c r="V4022" s="35" t="s">
        <v>1588</v>
      </c>
      <c r="W4022" s="35" t="s">
        <v>2655</v>
      </c>
      <c r="X4022" s="37" t="s">
        <v>3141</v>
      </c>
      <c r="Y4022" s="36" t="s">
        <v>3140</v>
      </c>
      <c r="Z4022" s="30" t="s">
        <v>995</v>
      </c>
      <c r="AA4022" s="30" t="s">
        <v>3945</v>
      </c>
      <c r="AE4022" s="38">
        <v>22980</v>
      </c>
      <c r="AF4022" s="76">
        <f t="shared" si="382"/>
        <v>116137.56999999995</v>
      </c>
    </row>
    <row r="4023" spans="9:32" ht="8.25" customHeight="1" x14ac:dyDescent="0.25">
      <c r="T4023" s="33">
        <v>46179</v>
      </c>
      <c r="U4023" s="34">
        <v>2026</v>
      </c>
      <c r="V4023" s="35" t="s">
        <v>1588</v>
      </c>
      <c r="W4023" s="35" t="s">
        <v>2655</v>
      </c>
      <c r="X4023" s="37" t="s">
        <v>3136</v>
      </c>
      <c r="Y4023" s="36" t="s">
        <v>3137</v>
      </c>
      <c r="Z4023" s="30" t="s">
        <v>1999</v>
      </c>
      <c r="AA4023" s="30" t="s">
        <v>3945</v>
      </c>
      <c r="AE4023" s="38">
        <v>5320</v>
      </c>
      <c r="AF4023" s="76">
        <f t="shared" si="382"/>
        <v>110817.56999999995</v>
      </c>
    </row>
    <row r="4024" spans="9:32" ht="8.25" customHeight="1" x14ac:dyDescent="0.25">
      <c r="Q4024" s="52">
        <v>1</v>
      </c>
      <c r="T4024" s="33">
        <v>46179</v>
      </c>
      <c r="U4024" s="34">
        <v>2026</v>
      </c>
      <c r="V4024" s="35" t="s">
        <v>1588</v>
      </c>
      <c r="W4024" s="35" t="s">
        <v>544</v>
      </c>
      <c r="X4024" s="37" t="s">
        <v>3150</v>
      </c>
      <c r="Y4024" s="36" t="s">
        <v>3151</v>
      </c>
      <c r="Z4024" s="30" t="s">
        <v>3147</v>
      </c>
      <c r="AA4024" s="30" t="s">
        <v>1509</v>
      </c>
      <c r="AE4024" s="38">
        <v>11363.64</v>
      </c>
      <c r="AF4024" s="76">
        <f t="shared" si="382"/>
        <v>99453.929999999949</v>
      </c>
    </row>
    <row r="4025" spans="9:32" ht="8.25" customHeight="1" x14ac:dyDescent="0.25">
      <c r="Q4025" s="52">
        <v>1</v>
      </c>
      <c r="T4025" s="33">
        <v>46179</v>
      </c>
      <c r="U4025" s="34">
        <v>2026</v>
      </c>
      <c r="V4025" s="35" t="s">
        <v>1588</v>
      </c>
      <c r="W4025" s="35" t="s">
        <v>544</v>
      </c>
      <c r="X4025" s="37" t="s">
        <v>3157</v>
      </c>
      <c r="Y4025" s="36" t="s">
        <v>3158</v>
      </c>
      <c r="Z4025" s="30" t="s">
        <v>3149</v>
      </c>
      <c r="AA4025" s="30" t="s">
        <v>1509</v>
      </c>
      <c r="AE4025" s="38">
        <v>11363.64</v>
      </c>
      <c r="AF4025" s="76">
        <f t="shared" si="382"/>
        <v>88090.28999999995</v>
      </c>
    </row>
    <row r="4026" spans="9:32" ht="8.25" customHeight="1" x14ac:dyDescent="0.25">
      <c r="R4026" s="53">
        <v>8</v>
      </c>
      <c r="T4026" s="33">
        <v>46179</v>
      </c>
      <c r="U4026" s="34">
        <v>2026</v>
      </c>
      <c r="V4026" s="35" t="s">
        <v>1588</v>
      </c>
      <c r="W4026" s="35" t="s">
        <v>5</v>
      </c>
      <c r="X4026" s="37" t="s">
        <v>3159</v>
      </c>
      <c r="Y4026" s="36" t="s">
        <v>2010</v>
      </c>
      <c r="Z4026" s="30" t="s">
        <v>1936</v>
      </c>
      <c r="AA4026" s="30" t="s">
        <v>1050</v>
      </c>
      <c r="AE4026" s="38">
        <v>310</v>
      </c>
      <c r="AF4026" s="76">
        <f t="shared" si="382"/>
        <v>87780.28999999995</v>
      </c>
    </row>
    <row r="4027" spans="9:32" ht="8.25" customHeight="1" x14ac:dyDescent="0.25">
      <c r="R4027" s="53">
        <v>9</v>
      </c>
      <c r="T4027" s="33">
        <v>46179</v>
      </c>
      <c r="U4027" s="34">
        <v>2026</v>
      </c>
      <c r="V4027" s="35" t="s">
        <v>1588</v>
      </c>
      <c r="W4027" s="35" t="s">
        <v>5</v>
      </c>
      <c r="X4027" s="37" t="s">
        <v>3160</v>
      </c>
      <c r="Y4027" s="36" t="s">
        <v>2012</v>
      </c>
      <c r="Z4027" s="30" t="s">
        <v>2556</v>
      </c>
      <c r="AA4027" s="30" t="s">
        <v>1050</v>
      </c>
      <c r="AE4027" s="38">
        <v>300</v>
      </c>
      <c r="AF4027" s="76">
        <f t="shared" si="382"/>
        <v>87480.28999999995</v>
      </c>
    </row>
    <row r="4028" spans="9:32" ht="8.25" customHeight="1" thickBot="1" x14ac:dyDescent="0.3">
      <c r="AA4028" s="260" t="s">
        <v>2893</v>
      </c>
      <c r="AD4028" s="253">
        <f>SUM(AD4011:AD4027)</f>
        <v>20027.3</v>
      </c>
      <c r="AE4028" s="253">
        <f>SUM(AE4011:AE4027)</f>
        <v>51637.279999999999</v>
      </c>
      <c r="AF4028" s="233">
        <f>AF4010+AD4028-AE4028</f>
        <v>87480.289999999979</v>
      </c>
    </row>
    <row r="4029" spans="9:32" ht="8.25" customHeight="1" thickTop="1" x14ac:dyDescent="0.25"/>
    <row r="4030" spans="9:32" ht="8.25" customHeight="1" x14ac:dyDescent="0.25">
      <c r="X4030" s="109"/>
      <c r="Y4030" s="67" t="s">
        <v>214</v>
      </c>
      <c r="Z4030" s="68"/>
      <c r="AA4030" s="75"/>
    </row>
    <row r="4031" spans="9:32" ht="8.25" customHeight="1" x14ac:dyDescent="0.25">
      <c r="X4031" s="110" t="s">
        <v>3139</v>
      </c>
      <c r="Y4031" s="111">
        <v>200</v>
      </c>
      <c r="Z4031" s="111">
        <f t="shared" ref="Z4031:Z4036" si="383">X4031*Y4031</f>
        <v>11400</v>
      </c>
      <c r="AA4031" s="112"/>
    </row>
    <row r="4032" spans="9:32" ht="8.25" customHeight="1" x14ac:dyDescent="0.25">
      <c r="X4032" s="110" t="s">
        <v>3161</v>
      </c>
      <c r="Y4032" s="111">
        <v>100</v>
      </c>
      <c r="Z4032" s="111">
        <f t="shared" si="383"/>
        <v>74100</v>
      </c>
      <c r="AA4032" s="112"/>
    </row>
    <row r="4033" spans="18:32" ht="8.25" customHeight="1" x14ac:dyDescent="0.25">
      <c r="X4033" s="110" t="s">
        <v>222</v>
      </c>
      <c r="Y4033" s="111">
        <v>50</v>
      </c>
      <c r="Z4033" s="111">
        <f t="shared" si="383"/>
        <v>50</v>
      </c>
      <c r="AA4033" s="76"/>
    </row>
    <row r="4034" spans="18:32" ht="8.25" customHeight="1" x14ac:dyDescent="0.25">
      <c r="X4034" s="110" t="s">
        <v>299</v>
      </c>
      <c r="Y4034" s="111">
        <v>20</v>
      </c>
      <c r="Z4034" s="111">
        <f t="shared" si="383"/>
        <v>80</v>
      </c>
      <c r="AA4034" s="38"/>
    </row>
    <row r="4035" spans="18:32" ht="8.25" customHeight="1" x14ac:dyDescent="0.25">
      <c r="X4035" s="110"/>
      <c r="Y4035" s="111">
        <v>10</v>
      </c>
      <c r="Z4035" s="111">
        <f t="shared" si="383"/>
        <v>0</v>
      </c>
      <c r="AA4035" s="112"/>
    </row>
    <row r="4036" spans="18:32" ht="8.25" customHeight="1" x14ac:dyDescent="0.25">
      <c r="X4036" s="110" t="s">
        <v>3047</v>
      </c>
      <c r="Y4036" s="111">
        <v>5</v>
      </c>
      <c r="Z4036" s="111">
        <f t="shared" si="383"/>
        <v>1310</v>
      </c>
      <c r="AA4036" s="112"/>
    </row>
    <row r="4037" spans="18:32" ht="8.25" customHeight="1" x14ac:dyDescent="0.25">
      <c r="X4037" s="269"/>
      <c r="Y4037" s="270"/>
      <c r="Z4037" s="271"/>
      <c r="AA4037" s="38"/>
    </row>
    <row r="4038" spans="18:32" ht="8.25" customHeight="1" x14ac:dyDescent="0.25">
      <c r="X4038" s="110" t="s">
        <v>3054</v>
      </c>
      <c r="Y4038" s="111">
        <v>1</v>
      </c>
      <c r="Z4038" s="111">
        <f t="shared" ref="Z4038:Z4043" si="384">X4038*Y4038</f>
        <v>455</v>
      </c>
      <c r="AA4038" s="76"/>
    </row>
    <row r="4039" spans="18:32" ht="8.25" customHeight="1" x14ac:dyDescent="0.25">
      <c r="X4039" s="110" t="s">
        <v>259</v>
      </c>
      <c r="Y4039" s="111">
        <v>0.5</v>
      </c>
      <c r="Z4039" s="111">
        <f t="shared" si="384"/>
        <v>40</v>
      </c>
      <c r="AA4039" s="112"/>
    </row>
    <row r="4040" spans="18:32" ht="8.25" customHeight="1" x14ac:dyDescent="0.25">
      <c r="X4040" s="110" t="s">
        <v>1733</v>
      </c>
      <c r="Y4040" s="111">
        <v>0.25</v>
      </c>
      <c r="Z4040" s="111">
        <f t="shared" si="384"/>
        <v>45.25</v>
      </c>
      <c r="AA4040" s="113"/>
    </row>
    <row r="4041" spans="18:32" ht="8.25" customHeight="1" x14ac:dyDescent="0.25">
      <c r="X4041" s="110"/>
      <c r="Y4041" s="111">
        <v>0.1</v>
      </c>
      <c r="Z4041" s="111">
        <f t="shared" si="384"/>
        <v>0</v>
      </c>
      <c r="AA4041" s="114" t="s">
        <v>219</v>
      </c>
    </row>
    <row r="4042" spans="18:32" ht="8.25" customHeight="1" thickBot="1" x14ac:dyDescent="0.3">
      <c r="X4042" s="110"/>
      <c r="Y4042" s="111">
        <v>0.05</v>
      </c>
      <c r="Z4042" s="111">
        <f t="shared" si="384"/>
        <v>0</v>
      </c>
      <c r="AA4042" s="115">
        <f>SUM(Z4031:Z4036)+Z4038+Z4039+Z4040+Z4041+Z4042+Z4043</f>
        <v>87480.29</v>
      </c>
    </row>
    <row r="4043" spans="18:32" ht="8.25" customHeight="1" thickTop="1" x14ac:dyDescent="0.25">
      <c r="X4043" s="110" t="s">
        <v>299</v>
      </c>
      <c r="Y4043" s="111">
        <v>0.01</v>
      </c>
      <c r="Z4043" s="111">
        <f t="shared" si="384"/>
        <v>0.04</v>
      </c>
    </row>
    <row r="4045" spans="18:32" ht="8.25" customHeight="1" x14ac:dyDescent="0.25">
      <c r="Z4045" s="231" t="s">
        <v>1376</v>
      </c>
      <c r="AF4045" s="76">
        <f>AF4028</f>
        <v>87480.289999999979</v>
      </c>
    </row>
    <row r="4046" spans="18:32" ht="8.25" customHeight="1" x14ac:dyDescent="0.25">
      <c r="R4046" s="53">
        <v>10</v>
      </c>
      <c r="T4046" s="33">
        <v>46181</v>
      </c>
      <c r="U4046" s="34">
        <v>2026</v>
      </c>
      <c r="V4046" s="35" t="s">
        <v>1588</v>
      </c>
      <c r="W4046" s="35" t="s">
        <v>5</v>
      </c>
      <c r="X4046" s="37" t="s">
        <v>3165</v>
      </c>
      <c r="Y4046" s="36" t="s">
        <v>2484</v>
      </c>
      <c r="Z4046" s="30" t="s">
        <v>1860</v>
      </c>
      <c r="AA4046" s="30" t="s">
        <v>1050</v>
      </c>
      <c r="AE4046" s="38">
        <v>500</v>
      </c>
      <c r="AF4046" s="76">
        <f>AF4045+AD4046-AE4046</f>
        <v>86980.289999999979</v>
      </c>
    </row>
    <row r="4047" spans="18:32" ht="8.25" customHeight="1" x14ac:dyDescent="0.25">
      <c r="R4047" s="53">
        <v>11</v>
      </c>
      <c r="T4047" s="33">
        <v>46181</v>
      </c>
      <c r="U4047" s="34">
        <v>2026</v>
      </c>
      <c r="V4047" s="35" t="s">
        <v>1588</v>
      </c>
      <c r="W4047" s="35" t="s">
        <v>5</v>
      </c>
      <c r="X4047" s="37" t="s">
        <v>3166</v>
      </c>
      <c r="Y4047" s="36" t="s">
        <v>825</v>
      </c>
      <c r="Z4047" s="30" t="s">
        <v>1049</v>
      </c>
      <c r="AA4047" s="30" t="s">
        <v>1050</v>
      </c>
      <c r="AE4047" s="38">
        <v>1000</v>
      </c>
      <c r="AF4047" s="76">
        <f t="shared" ref="AF4047:AF4048" si="385">AF4046+AD4047-AE4047</f>
        <v>85980.289999999979</v>
      </c>
    </row>
    <row r="4048" spans="18:32" ht="8.25" customHeight="1" x14ac:dyDescent="0.25">
      <c r="R4048" s="53">
        <v>12</v>
      </c>
      <c r="T4048" s="33">
        <v>46181</v>
      </c>
      <c r="U4048" s="34">
        <v>2026</v>
      </c>
      <c r="V4048" s="35" t="s">
        <v>1588</v>
      </c>
      <c r="W4048" s="35" t="s">
        <v>5</v>
      </c>
      <c r="X4048" s="37" t="s">
        <v>3168</v>
      </c>
      <c r="Y4048" s="36" t="s">
        <v>2034</v>
      </c>
      <c r="Z4048" s="30" t="s">
        <v>2634</v>
      </c>
      <c r="AA4048" s="30" t="s">
        <v>1050</v>
      </c>
      <c r="AE4048" s="38">
        <v>200</v>
      </c>
      <c r="AF4048" s="76">
        <f t="shared" si="385"/>
        <v>85780.289999999979</v>
      </c>
    </row>
    <row r="4049" spans="24:32" ht="8.25" customHeight="1" thickBot="1" x14ac:dyDescent="0.3">
      <c r="AA4049" s="260" t="s">
        <v>2893</v>
      </c>
      <c r="AD4049" s="253">
        <f>SUM(AD4046:AD4048)</f>
        <v>0</v>
      </c>
      <c r="AE4049" s="253">
        <f>SUM(AE4046:AE4048)</f>
        <v>1700</v>
      </c>
      <c r="AF4049" s="233">
        <f>AF4045+AD4049-AE4049</f>
        <v>85780.289999999979</v>
      </c>
    </row>
    <row r="4050" spans="24:32" ht="8.25" customHeight="1" thickTop="1" x14ac:dyDescent="0.25"/>
    <row r="4051" spans="24:32" ht="8.25" customHeight="1" x14ac:dyDescent="0.25">
      <c r="X4051" s="109"/>
      <c r="Y4051" s="67" t="s">
        <v>214</v>
      </c>
      <c r="Z4051" s="68"/>
      <c r="AA4051" s="75"/>
    </row>
    <row r="4052" spans="24:32" ht="8.25" customHeight="1" x14ac:dyDescent="0.25">
      <c r="X4052" s="110" t="s">
        <v>3139</v>
      </c>
      <c r="Y4052" s="111">
        <v>200</v>
      </c>
      <c r="Z4052" s="111">
        <f t="shared" ref="Z4052:Z4057" si="386">X4052*Y4052</f>
        <v>11400</v>
      </c>
      <c r="AA4052" s="112"/>
    </row>
    <row r="4053" spans="24:32" ht="8.25" customHeight="1" x14ac:dyDescent="0.25">
      <c r="X4053" s="110" t="s">
        <v>3169</v>
      </c>
      <c r="Y4053" s="111">
        <v>100</v>
      </c>
      <c r="Z4053" s="111">
        <f t="shared" si="386"/>
        <v>72400</v>
      </c>
      <c r="AA4053" s="112"/>
    </row>
    <row r="4054" spans="24:32" ht="8.25" customHeight="1" x14ac:dyDescent="0.25">
      <c r="X4054" s="110" t="s">
        <v>222</v>
      </c>
      <c r="Y4054" s="111">
        <v>50</v>
      </c>
      <c r="Z4054" s="111">
        <f t="shared" si="386"/>
        <v>50</v>
      </c>
      <c r="AA4054" s="76"/>
    </row>
    <row r="4055" spans="24:32" ht="8.25" customHeight="1" x14ac:dyDescent="0.25">
      <c r="X4055" s="110" t="s">
        <v>299</v>
      </c>
      <c r="Y4055" s="111">
        <v>20</v>
      </c>
      <c r="Z4055" s="111">
        <f t="shared" si="386"/>
        <v>80</v>
      </c>
      <c r="AA4055" s="38"/>
    </row>
    <row r="4056" spans="24:32" ht="8.25" customHeight="1" x14ac:dyDescent="0.25">
      <c r="X4056" s="110"/>
      <c r="Y4056" s="111">
        <v>10</v>
      </c>
      <c r="Z4056" s="111">
        <f t="shared" si="386"/>
        <v>0</v>
      </c>
      <c r="AA4056" s="112"/>
    </row>
    <row r="4057" spans="24:32" ht="8.25" customHeight="1" x14ac:dyDescent="0.25">
      <c r="X4057" s="110" t="s">
        <v>3047</v>
      </c>
      <c r="Y4057" s="111">
        <v>5</v>
      </c>
      <c r="Z4057" s="111">
        <f t="shared" si="386"/>
        <v>1310</v>
      </c>
      <c r="AA4057" s="112"/>
    </row>
    <row r="4058" spans="24:32" ht="8.25" customHeight="1" x14ac:dyDescent="0.25">
      <c r="X4058" s="269"/>
      <c r="Y4058" s="270"/>
      <c r="Z4058" s="271"/>
      <c r="AA4058" s="38"/>
    </row>
    <row r="4059" spans="24:32" ht="8.25" customHeight="1" x14ac:dyDescent="0.25">
      <c r="X4059" s="110" t="s">
        <v>3054</v>
      </c>
      <c r="Y4059" s="111">
        <v>1</v>
      </c>
      <c r="Z4059" s="111">
        <f t="shared" ref="Z4059:Z4064" si="387">X4059*Y4059</f>
        <v>455</v>
      </c>
      <c r="AA4059" s="76"/>
    </row>
    <row r="4060" spans="24:32" ht="8.25" customHeight="1" x14ac:dyDescent="0.25">
      <c r="X4060" s="110" t="s">
        <v>259</v>
      </c>
      <c r="Y4060" s="111">
        <v>0.5</v>
      </c>
      <c r="Z4060" s="111">
        <f t="shared" si="387"/>
        <v>40</v>
      </c>
      <c r="AA4060" s="112"/>
    </row>
    <row r="4061" spans="24:32" ht="8.25" customHeight="1" x14ac:dyDescent="0.25">
      <c r="X4061" s="110" t="s">
        <v>1733</v>
      </c>
      <c r="Y4061" s="111">
        <v>0.25</v>
      </c>
      <c r="Z4061" s="111">
        <f t="shared" si="387"/>
        <v>45.25</v>
      </c>
      <c r="AA4061" s="113"/>
    </row>
    <row r="4062" spans="24:32" ht="8.25" customHeight="1" x14ac:dyDescent="0.25">
      <c r="X4062" s="110"/>
      <c r="Y4062" s="111">
        <v>0.1</v>
      </c>
      <c r="Z4062" s="111">
        <f t="shared" si="387"/>
        <v>0</v>
      </c>
      <c r="AA4062" s="114" t="s">
        <v>219</v>
      </c>
    </row>
    <row r="4063" spans="24:32" ht="8.25" customHeight="1" thickBot="1" x14ac:dyDescent="0.3">
      <c r="X4063" s="110"/>
      <c r="Y4063" s="111">
        <v>0.05</v>
      </c>
      <c r="Z4063" s="111">
        <f t="shared" si="387"/>
        <v>0</v>
      </c>
      <c r="AA4063" s="115">
        <f>SUM(Z4052:Z4057)+Z4059+Z4060+Z4061+Z4062+Z4063+Z4064</f>
        <v>85780.29</v>
      </c>
    </row>
    <row r="4064" spans="24:32" ht="8.25" customHeight="1" thickTop="1" x14ac:dyDescent="0.25">
      <c r="X4064" s="110" t="s">
        <v>299</v>
      </c>
      <c r="Y4064" s="111">
        <v>0.01</v>
      </c>
      <c r="Z4064" s="111">
        <f t="shared" si="387"/>
        <v>0.04</v>
      </c>
    </row>
    <row r="4066" spans="9:32" ht="8.25" customHeight="1" x14ac:dyDescent="0.25">
      <c r="Z4066" s="231" t="s">
        <v>1376</v>
      </c>
      <c r="AF4066" s="76">
        <f>AF4049</f>
        <v>85780.289999999979</v>
      </c>
    </row>
    <row r="4067" spans="9:32" ht="8.25" customHeight="1" x14ac:dyDescent="0.25">
      <c r="K4067" s="52">
        <v>4</v>
      </c>
      <c r="T4067" s="33">
        <v>46182</v>
      </c>
      <c r="U4067" s="34">
        <v>2026</v>
      </c>
      <c r="V4067" s="35" t="s">
        <v>1588</v>
      </c>
      <c r="W4067" s="35" t="s">
        <v>17</v>
      </c>
      <c r="X4067" s="37" t="s">
        <v>3170</v>
      </c>
      <c r="Y4067" s="36" t="s">
        <v>3179</v>
      </c>
      <c r="Z4067" s="30" t="s">
        <v>3180</v>
      </c>
      <c r="AA4067" s="30" t="s">
        <v>1787</v>
      </c>
      <c r="AD4067" s="38">
        <v>100</v>
      </c>
      <c r="AF4067" s="76">
        <f>AF4066+AD4067-AE4067</f>
        <v>85880.289999999979</v>
      </c>
    </row>
    <row r="4068" spans="9:32" ht="8.25" customHeight="1" x14ac:dyDescent="0.25">
      <c r="L4068" s="52">
        <v>4</v>
      </c>
      <c r="T4068" s="33">
        <v>46182</v>
      </c>
      <c r="U4068" s="34">
        <v>2026</v>
      </c>
      <c r="V4068" s="35" t="s">
        <v>1588</v>
      </c>
      <c r="W4068" s="35" t="s">
        <v>17</v>
      </c>
      <c r="X4068" s="37" t="s">
        <v>3171</v>
      </c>
      <c r="Y4068" s="36" t="s">
        <v>120</v>
      </c>
      <c r="Z4068" s="30" t="s">
        <v>3180</v>
      </c>
      <c r="AA4068" s="30" t="s">
        <v>1054</v>
      </c>
      <c r="AD4068" s="38">
        <v>50</v>
      </c>
      <c r="AF4068" s="76">
        <f t="shared" ref="AF4068:AF4084" si="388">AF4067+AD4068-AE4068</f>
        <v>85930.289999999979</v>
      </c>
    </row>
    <row r="4069" spans="9:32" ht="8.25" customHeight="1" x14ac:dyDescent="0.25">
      <c r="K4069" s="52">
        <v>5</v>
      </c>
      <c r="T4069" s="33">
        <v>46182</v>
      </c>
      <c r="U4069" s="34">
        <v>2026</v>
      </c>
      <c r="V4069" s="35" t="s">
        <v>1588</v>
      </c>
      <c r="W4069" s="35" t="s">
        <v>17</v>
      </c>
      <c r="X4069" s="37" t="s">
        <v>3172</v>
      </c>
      <c r="Y4069" s="36" t="s">
        <v>3181</v>
      </c>
      <c r="Z4069" s="30" t="s">
        <v>3182</v>
      </c>
      <c r="AA4069" s="30" t="s">
        <v>1787</v>
      </c>
      <c r="AD4069" s="38">
        <v>100</v>
      </c>
      <c r="AF4069" s="76">
        <f t="shared" si="388"/>
        <v>86030.289999999979</v>
      </c>
    </row>
    <row r="4070" spans="9:32" ht="8.25" customHeight="1" x14ac:dyDescent="0.25">
      <c r="L4070" s="52">
        <v>5</v>
      </c>
      <c r="T4070" s="33">
        <v>46182</v>
      </c>
      <c r="U4070" s="34">
        <v>2026</v>
      </c>
      <c r="V4070" s="35" t="s">
        <v>1588</v>
      </c>
      <c r="W4070" s="35" t="s">
        <v>17</v>
      </c>
      <c r="X4070" s="37" t="s">
        <v>3173</v>
      </c>
      <c r="Y4070" s="36" t="s">
        <v>120</v>
      </c>
      <c r="Z4070" s="30" t="s">
        <v>3182</v>
      </c>
      <c r="AA4070" s="30" t="s">
        <v>1054</v>
      </c>
      <c r="AD4070" s="38">
        <v>50</v>
      </c>
      <c r="AF4070" s="76">
        <f t="shared" si="388"/>
        <v>86080.289999999979</v>
      </c>
    </row>
    <row r="4071" spans="9:32" ht="8.25" customHeight="1" x14ac:dyDescent="0.25">
      <c r="I4071" s="52">
        <v>19</v>
      </c>
      <c r="T4071" s="33">
        <v>46182</v>
      </c>
      <c r="U4071" s="34">
        <v>2026</v>
      </c>
      <c r="V4071" s="35" t="s">
        <v>1588</v>
      </c>
      <c r="W4071" s="35" t="s">
        <v>17</v>
      </c>
      <c r="X4071" s="37" t="s">
        <v>3174</v>
      </c>
      <c r="Y4071" s="36" t="s">
        <v>3183</v>
      </c>
      <c r="Z4071" s="30" t="s">
        <v>3184</v>
      </c>
      <c r="AA4071" s="30" t="s">
        <v>13</v>
      </c>
      <c r="AD4071" s="38">
        <v>200</v>
      </c>
      <c r="AF4071" s="76">
        <f t="shared" si="388"/>
        <v>86280.289999999979</v>
      </c>
    </row>
    <row r="4072" spans="9:32" ht="8.25" customHeight="1" x14ac:dyDescent="0.25">
      <c r="I4072" s="52">
        <v>20</v>
      </c>
      <c r="T4072" s="33">
        <v>46182</v>
      </c>
      <c r="U4072" s="34">
        <v>2026</v>
      </c>
      <c r="V4072" s="35" t="s">
        <v>1588</v>
      </c>
      <c r="W4072" s="35" t="s">
        <v>17</v>
      </c>
      <c r="X4072" s="37" t="s">
        <v>3175</v>
      </c>
      <c r="Y4072" s="36" t="s">
        <v>3185</v>
      </c>
      <c r="Z4072" s="30" t="s">
        <v>3186</v>
      </c>
      <c r="AA4072" s="30" t="s">
        <v>13</v>
      </c>
      <c r="AD4072" s="38">
        <v>500</v>
      </c>
      <c r="AF4072" s="76">
        <f t="shared" si="388"/>
        <v>86780.289999999979</v>
      </c>
    </row>
    <row r="4073" spans="9:32" ht="8.25" customHeight="1" x14ac:dyDescent="0.25">
      <c r="I4073" s="52">
        <v>21</v>
      </c>
      <c r="T4073" s="33">
        <v>46182</v>
      </c>
      <c r="U4073" s="34">
        <v>2026</v>
      </c>
      <c r="V4073" s="35" t="s">
        <v>1588</v>
      </c>
      <c r="W4073" s="35" t="s">
        <v>17</v>
      </c>
      <c r="X4073" s="37" t="s">
        <v>3176</v>
      </c>
      <c r="Y4073" s="36" t="s">
        <v>419</v>
      </c>
      <c r="Z4073" s="30" t="s">
        <v>1565</v>
      </c>
      <c r="AA4073" s="30" t="s">
        <v>13</v>
      </c>
      <c r="AD4073" s="38">
        <v>300</v>
      </c>
      <c r="AF4073" s="76">
        <f t="shared" si="388"/>
        <v>87080.289999999979</v>
      </c>
    </row>
    <row r="4074" spans="9:32" ht="8.25" customHeight="1" x14ac:dyDescent="0.25">
      <c r="I4074" s="52">
        <v>22</v>
      </c>
      <c r="T4074" s="33">
        <v>46182</v>
      </c>
      <c r="U4074" s="34">
        <v>2026</v>
      </c>
      <c r="V4074" s="35" t="s">
        <v>1588</v>
      </c>
      <c r="W4074" s="35" t="s">
        <v>17</v>
      </c>
      <c r="X4074" s="37" t="s">
        <v>3177</v>
      </c>
      <c r="Y4074" s="36" t="s">
        <v>364</v>
      </c>
      <c r="Z4074" s="30" t="s">
        <v>1438</v>
      </c>
      <c r="AA4074" s="30" t="s">
        <v>13</v>
      </c>
      <c r="AD4074" s="38">
        <v>200</v>
      </c>
      <c r="AF4074" s="76">
        <f t="shared" si="388"/>
        <v>87280.289999999979</v>
      </c>
    </row>
    <row r="4075" spans="9:32" ht="8.25" customHeight="1" x14ac:dyDescent="0.25">
      <c r="N4075" s="52">
        <v>25</v>
      </c>
      <c r="T4075" s="33">
        <v>46182</v>
      </c>
      <c r="U4075" s="34">
        <v>2026</v>
      </c>
      <c r="V4075" s="35" t="s">
        <v>1588</v>
      </c>
      <c r="W4075" s="35" t="s">
        <v>17</v>
      </c>
      <c r="X4075" s="37" t="s">
        <v>3178</v>
      </c>
      <c r="Y4075" s="36" t="s">
        <v>456</v>
      </c>
      <c r="Z4075" s="30" t="s">
        <v>2170</v>
      </c>
      <c r="AA4075" s="30" t="s">
        <v>3899</v>
      </c>
      <c r="AD4075" s="38">
        <v>2333.11</v>
      </c>
      <c r="AF4075" s="76">
        <f t="shared" si="388"/>
        <v>89613.39999999998</v>
      </c>
    </row>
    <row r="4076" spans="9:32" ht="8.25" customHeight="1" x14ac:dyDescent="0.15">
      <c r="N4076" s="52">
        <v>25</v>
      </c>
      <c r="T4076" s="33">
        <v>46182</v>
      </c>
      <c r="U4076" s="34">
        <v>2026</v>
      </c>
      <c r="V4076" s="35" t="s">
        <v>1588</v>
      </c>
      <c r="W4076" s="35" t="s">
        <v>17</v>
      </c>
      <c r="X4076" s="37" t="s">
        <v>3178</v>
      </c>
      <c r="Y4076" s="36" t="s">
        <v>456</v>
      </c>
      <c r="Z4076" s="30" t="s">
        <v>2170</v>
      </c>
      <c r="AA4076" s="134" t="s">
        <v>166</v>
      </c>
      <c r="AD4076" s="38">
        <v>1166.8900000000001</v>
      </c>
      <c r="AF4076" s="76">
        <f t="shared" si="388"/>
        <v>90780.289999999979</v>
      </c>
    </row>
    <row r="4077" spans="9:32" ht="8.25" customHeight="1" x14ac:dyDescent="0.25">
      <c r="N4077" s="52">
        <v>26</v>
      </c>
      <c r="T4077" s="33">
        <v>46182</v>
      </c>
      <c r="U4077" s="34">
        <v>2026</v>
      </c>
      <c r="V4077" s="35" t="s">
        <v>1588</v>
      </c>
      <c r="W4077" s="35" t="s">
        <v>17</v>
      </c>
      <c r="X4077" s="37" t="s">
        <v>3193</v>
      </c>
      <c r="Y4077" s="36" t="s">
        <v>3196</v>
      </c>
      <c r="Z4077" s="30" t="s">
        <v>2453</v>
      </c>
      <c r="AA4077" s="30" t="s">
        <v>3708</v>
      </c>
      <c r="AD4077" s="38">
        <v>345.04</v>
      </c>
      <c r="AF4077" s="76">
        <f t="shared" si="388"/>
        <v>91125.329999999973</v>
      </c>
    </row>
    <row r="4078" spans="9:32" ht="8.25" customHeight="1" x14ac:dyDescent="0.15">
      <c r="N4078" s="52">
        <v>26</v>
      </c>
      <c r="T4078" s="33">
        <v>46182</v>
      </c>
      <c r="U4078" s="34">
        <v>2026</v>
      </c>
      <c r="V4078" s="35" t="s">
        <v>1588</v>
      </c>
      <c r="W4078" s="35" t="s">
        <v>17</v>
      </c>
      <c r="X4078" s="37" t="s">
        <v>3193</v>
      </c>
      <c r="Y4078" s="36" t="s">
        <v>3196</v>
      </c>
      <c r="Z4078" s="30" t="s">
        <v>2453</v>
      </c>
      <c r="AA4078" s="134" t="s">
        <v>183</v>
      </c>
      <c r="AD4078" s="38">
        <v>119.96</v>
      </c>
      <c r="AF4078" s="76">
        <f t="shared" si="388"/>
        <v>91245.289999999979</v>
      </c>
    </row>
    <row r="4079" spans="9:32" ht="8.25" customHeight="1" x14ac:dyDescent="0.25">
      <c r="N4079" s="52">
        <v>26</v>
      </c>
      <c r="T4079" s="33">
        <v>46182</v>
      </c>
      <c r="U4079" s="34">
        <v>2026</v>
      </c>
      <c r="V4079" s="35" t="s">
        <v>1588</v>
      </c>
      <c r="W4079" s="35" t="s">
        <v>17</v>
      </c>
      <c r="X4079" s="37" t="s">
        <v>3193</v>
      </c>
      <c r="Y4079" s="36" t="s">
        <v>3196</v>
      </c>
      <c r="Z4079" s="30" t="s">
        <v>2453</v>
      </c>
      <c r="AA4079" s="30" t="s">
        <v>3306</v>
      </c>
      <c r="AD4079" s="38">
        <v>35</v>
      </c>
      <c r="AF4079" s="76">
        <f t="shared" si="388"/>
        <v>91280.289999999979</v>
      </c>
    </row>
    <row r="4080" spans="9:32" ht="8.25" customHeight="1" x14ac:dyDescent="0.25">
      <c r="N4080" s="52">
        <v>27</v>
      </c>
      <c r="T4080" s="33">
        <v>46182</v>
      </c>
      <c r="U4080" s="34">
        <v>2026</v>
      </c>
      <c r="V4080" s="35" t="s">
        <v>1588</v>
      </c>
      <c r="W4080" s="35" t="s">
        <v>17</v>
      </c>
      <c r="X4080" s="37" t="s">
        <v>3197</v>
      </c>
      <c r="Y4080" s="36" t="s">
        <v>3198</v>
      </c>
      <c r="Z4080" s="30" t="s">
        <v>2578</v>
      </c>
      <c r="AA4080" s="30" t="s">
        <v>3899</v>
      </c>
      <c r="AD4080" s="38">
        <v>5051.0600000000004</v>
      </c>
      <c r="AF4080" s="76">
        <f t="shared" si="388"/>
        <v>96331.349999999977</v>
      </c>
    </row>
    <row r="4081" spans="7:32" ht="8.25" customHeight="1" x14ac:dyDescent="0.15">
      <c r="N4081" s="52">
        <v>27</v>
      </c>
      <c r="T4081" s="33">
        <v>46182</v>
      </c>
      <c r="U4081" s="34">
        <v>2026</v>
      </c>
      <c r="V4081" s="35" t="s">
        <v>1588</v>
      </c>
      <c r="W4081" s="35" t="s">
        <v>17</v>
      </c>
      <c r="X4081" s="37" t="s">
        <v>3197</v>
      </c>
      <c r="Y4081" s="36" t="s">
        <v>3198</v>
      </c>
      <c r="Z4081" s="30" t="s">
        <v>2578</v>
      </c>
      <c r="AA4081" s="134" t="s">
        <v>166</v>
      </c>
      <c r="AD4081" s="38">
        <v>6948.94</v>
      </c>
      <c r="AF4081" s="76">
        <f t="shared" si="388"/>
        <v>103280.28999999998</v>
      </c>
    </row>
    <row r="4082" spans="7:32" ht="8.25" customHeight="1" x14ac:dyDescent="0.25">
      <c r="R4082" s="53">
        <v>13</v>
      </c>
      <c r="T4082" s="33">
        <v>46182</v>
      </c>
      <c r="U4082" s="34">
        <v>2026</v>
      </c>
      <c r="V4082" s="35" t="s">
        <v>1588</v>
      </c>
      <c r="W4082" s="35" t="s">
        <v>5</v>
      </c>
      <c r="X4082" s="37" t="s">
        <v>3195</v>
      </c>
      <c r="Y4082" s="36" t="s">
        <v>3194</v>
      </c>
      <c r="Z4082" s="30" t="s">
        <v>2631</v>
      </c>
      <c r="AA4082" s="30" t="s">
        <v>1050</v>
      </c>
      <c r="AE4082" s="38">
        <v>500</v>
      </c>
      <c r="AF4082" s="76">
        <f t="shared" si="388"/>
        <v>102780.28999999998</v>
      </c>
    </row>
    <row r="4083" spans="7:32" ht="8.25" customHeight="1" x14ac:dyDescent="0.25">
      <c r="G4083" s="53">
        <v>2</v>
      </c>
      <c r="T4083" s="33">
        <v>46182</v>
      </c>
      <c r="U4083" s="34">
        <v>2026</v>
      </c>
      <c r="V4083" s="35" t="s">
        <v>1588</v>
      </c>
      <c r="W4083" s="35" t="s">
        <v>5</v>
      </c>
      <c r="X4083" s="37" t="s">
        <v>3187</v>
      </c>
      <c r="Y4083" s="36" t="s">
        <v>3188</v>
      </c>
      <c r="Z4083" s="30" t="s">
        <v>3189</v>
      </c>
      <c r="AA4083" s="30" t="s">
        <v>3945</v>
      </c>
      <c r="AE4083" s="38">
        <v>15960</v>
      </c>
      <c r="AF4083" s="76">
        <f t="shared" si="388"/>
        <v>86820.289999999979</v>
      </c>
    </row>
    <row r="4084" spans="7:32" ht="8.25" customHeight="1" x14ac:dyDescent="0.25">
      <c r="G4084" s="53">
        <v>3</v>
      </c>
      <c r="T4084" s="33">
        <v>46182</v>
      </c>
      <c r="U4084" s="34">
        <v>2026</v>
      </c>
      <c r="V4084" s="35" t="s">
        <v>1588</v>
      </c>
      <c r="W4084" s="35" t="s">
        <v>5</v>
      </c>
      <c r="X4084" s="37" t="s">
        <v>3191</v>
      </c>
      <c r="Y4084" s="36" t="s">
        <v>3190</v>
      </c>
      <c r="Z4084" s="30" t="s">
        <v>1030</v>
      </c>
      <c r="AA4084" s="30" t="s">
        <v>3945</v>
      </c>
      <c r="AE4084" s="38">
        <v>12087.06</v>
      </c>
      <c r="AF4084" s="76">
        <f t="shared" si="388"/>
        <v>74733.229999999981</v>
      </c>
    </row>
    <row r="4085" spans="7:32" ht="8.25" customHeight="1" thickBot="1" x14ac:dyDescent="0.3">
      <c r="AA4085" s="260" t="s">
        <v>2893</v>
      </c>
      <c r="AD4085" s="253">
        <f>SUM(AD4067:AD4084)</f>
        <v>17500</v>
      </c>
      <c r="AE4085" s="253">
        <f>SUM(AE4067:AE4084)</f>
        <v>28547.059999999998</v>
      </c>
      <c r="AF4085" s="233">
        <f>AF4066+AD4085-AE4085</f>
        <v>74733.229999999981</v>
      </c>
    </row>
    <row r="4086" spans="7:32" ht="8.25" customHeight="1" thickTop="1" x14ac:dyDescent="0.25">
      <c r="X4086" s="109"/>
      <c r="Y4086" s="67" t="s">
        <v>214</v>
      </c>
      <c r="Z4086" s="68"/>
      <c r="AA4086" s="75"/>
    </row>
    <row r="4087" spans="7:32" ht="8.25" customHeight="1" x14ac:dyDescent="0.25">
      <c r="X4087" s="110" t="s">
        <v>3139</v>
      </c>
      <c r="Y4087" s="111">
        <v>200</v>
      </c>
      <c r="Z4087" s="111">
        <f t="shared" ref="Z4087:Z4092" si="389">X4087*Y4087</f>
        <v>11400</v>
      </c>
      <c r="AA4087" s="112"/>
    </row>
    <row r="4088" spans="7:32" ht="8.25" customHeight="1" x14ac:dyDescent="0.25">
      <c r="X4088" s="110" t="s">
        <v>3199</v>
      </c>
      <c r="Y4088" s="111">
        <v>100</v>
      </c>
      <c r="Z4088" s="111">
        <f t="shared" si="389"/>
        <v>61500</v>
      </c>
      <c r="AA4088" s="112"/>
    </row>
    <row r="4089" spans="7:32" ht="8.25" customHeight="1" x14ac:dyDescent="0.25">
      <c r="X4089" s="110"/>
      <c r="Y4089" s="111">
        <v>50</v>
      </c>
      <c r="Z4089" s="111">
        <f t="shared" si="389"/>
        <v>0</v>
      </c>
      <c r="AA4089" s="76"/>
    </row>
    <row r="4090" spans="7:32" ht="8.25" customHeight="1" x14ac:dyDescent="0.25">
      <c r="X4090" s="110"/>
      <c r="Y4090" s="111">
        <v>20</v>
      </c>
      <c r="Z4090" s="111">
        <f t="shared" si="389"/>
        <v>0</v>
      </c>
      <c r="AA4090" s="38"/>
    </row>
    <row r="4091" spans="7:32" ht="8.25" customHeight="1" x14ac:dyDescent="0.25">
      <c r="X4091" s="110"/>
      <c r="Y4091" s="111">
        <v>10</v>
      </c>
      <c r="Z4091" s="111">
        <f t="shared" si="389"/>
        <v>0</v>
      </c>
      <c r="AA4091" s="112"/>
    </row>
    <row r="4092" spans="7:32" ht="8.25" customHeight="1" x14ac:dyDescent="0.25">
      <c r="X4092" s="110" t="s">
        <v>1731</v>
      </c>
      <c r="Y4092" s="111">
        <v>5</v>
      </c>
      <c r="Z4092" s="111">
        <f t="shared" si="389"/>
        <v>1295</v>
      </c>
      <c r="AA4092" s="112"/>
    </row>
    <row r="4093" spans="7:32" ht="8.25" customHeight="1" x14ac:dyDescent="0.25">
      <c r="X4093" s="269"/>
      <c r="Y4093" s="270"/>
      <c r="Z4093" s="271"/>
      <c r="AA4093" s="38"/>
    </row>
    <row r="4094" spans="7:32" ht="8.25" customHeight="1" x14ac:dyDescent="0.25">
      <c r="X4094" s="110" t="s">
        <v>3192</v>
      </c>
      <c r="Y4094" s="111">
        <v>1</v>
      </c>
      <c r="Z4094" s="111">
        <f t="shared" ref="Z4094:Z4099" si="390">X4094*Y4094</f>
        <v>453</v>
      </c>
      <c r="AA4094" s="76"/>
    </row>
    <row r="4095" spans="7:32" ht="8.25" customHeight="1" x14ac:dyDescent="0.25">
      <c r="X4095" s="110" t="s">
        <v>259</v>
      </c>
      <c r="Y4095" s="111">
        <v>0.5</v>
      </c>
      <c r="Z4095" s="111">
        <f t="shared" si="390"/>
        <v>40</v>
      </c>
      <c r="AA4095" s="112"/>
    </row>
    <row r="4096" spans="7:32" ht="8.25" customHeight="1" x14ac:dyDescent="0.25">
      <c r="X4096" s="110" t="s">
        <v>1878</v>
      </c>
      <c r="Y4096" s="111">
        <v>0.25</v>
      </c>
      <c r="Z4096" s="111">
        <f t="shared" si="390"/>
        <v>45</v>
      </c>
      <c r="AA4096" s="113"/>
    </row>
    <row r="4097" spans="9:32" ht="8.25" customHeight="1" x14ac:dyDescent="0.25">
      <c r="X4097" s="110" t="s">
        <v>224</v>
      </c>
      <c r="Y4097" s="111">
        <v>0.1</v>
      </c>
      <c r="Z4097" s="111">
        <f t="shared" si="390"/>
        <v>0.2</v>
      </c>
      <c r="AA4097" s="114" t="s">
        <v>219</v>
      </c>
    </row>
    <row r="4098" spans="9:32" ht="8.25" customHeight="1" thickBot="1" x14ac:dyDescent="0.3">
      <c r="X4098" s="110"/>
      <c r="Y4098" s="111">
        <v>0.05</v>
      </c>
      <c r="Z4098" s="111">
        <f t="shared" si="390"/>
        <v>0</v>
      </c>
      <c r="AA4098" s="115">
        <f>SUM(Z4087:Z4092)+Z4094+Z4095+Z4096+Z4097+Z4098+Z4099</f>
        <v>74733.23</v>
      </c>
    </row>
    <row r="4099" spans="9:32" ht="8.25" customHeight="1" thickTop="1" x14ac:dyDescent="0.25">
      <c r="X4099" s="110" t="s">
        <v>223</v>
      </c>
      <c r="Y4099" s="111">
        <v>0.01</v>
      </c>
      <c r="Z4099" s="111">
        <f t="shared" si="390"/>
        <v>0.03</v>
      </c>
    </row>
    <row r="4101" spans="9:32" ht="8.25" customHeight="1" x14ac:dyDescent="0.25">
      <c r="Z4101" s="231" t="s">
        <v>1376</v>
      </c>
      <c r="AF4101" s="76">
        <f>AF4085</f>
        <v>74733.229999999981</v>
      </c>
    </row>
    <row r="4102" spans="9:32" ht="8.25" customHeight="1" x14ac:dyDescent="0.25">
      <c r="N4102" s="52">
        <v>28</v>
      </c>
      <c r="T4102" s="33">
        <v>46183</v>
      </c>
      <c r="U4102" s="34">
        <v>2026</v>
      </c>
      <c r="V4102" s="35" t="s">
        <v>1588</v>
      </c>
      <c r="W4102" s="35" t="s">
        <v>17</v>
      </c>
      <c r="X4102" s="37" t="s">
        <v>3200</v>
      </c>
      <c r="Y4102" s="36" t="s">
        <v>436</v>
      </c>
      <c r="Z4102" s="30" t="s">
        <v>1542</v>
      </c>
      <c r="AA4102" s="30" t="s">
        <v>3899</v>
      </c>
      <c r="AD4102" s="38">
        <v>7139.4</v>
      </c>
      <c r="AF4102" s="76">
        <f>AF4101+AD4102-AE4102</f>
        <v>81872.629999999976</v>
      </c>
    </row>
    <row r="4103" spans="9:32" ht="8.25" customHeight="1" x14ac:dyDescent="0.15">
      <c r="N4103" s="52">
        <v>28</v>
      </c>
      <c r="T4103" s="33">
        <v>46183</v>
      </c>
      <c r="U4103" s="34">
        <v>2026</v>
      </c>
      <c r="V4103" s="35" t="s">
        <v>1588</v>
      </c>
      <c r="W4103" s="35" t="s">
        <v>17</v>
      </c>
      <c r="X4103" s="37" t="s">
        <v>3200</v>
      </c>
      <c r="Y4103" s="36" t="s">
        <v>436</v>
      </c>
      <c r="Z4103" s="30" t="s">
        <v>1542</v>
      </c>
      <c r="AA4103" s="134" t="s">
        <v>166</v>
      </c>
      <c r="AD4103" s="38">
        <v>6060.6</v>
      </c>
      <c r="AF4103" s="76">
        <f t="shared" ref="AF4103:AF4139" si="391">AF4102+AD4103-AE4103</f>
        <v>87933.229999999981</v>
      </c>
    </row>
    <row r="4104" spans="9:32" ht="8.25" customHeight="1" x14ac:dyDescent="0.25">
      <c r="N4104" s="52">
        <v>29</v>
      </c>
      <c r="T4104" s="33">
        <v>46183</v>
      </c>
      <c r="U4104" s="34">
        <v>2026</v>
      </c>
      <c r="V4104" s="35" t="s">
        <v>1588</v>
      </c>
      <c r="W4104" s="35" t="s">
        <v>17</v>
      </c>
      <c r="X4104" s="37" t="s">
        <v>3201</v>
      </c>
      <c r="Y4104" s="36" t="s">
        <v>942</v>
      </c>
      <c r="Z4104" s="30" t="s">
        <v>1540</v>
      </c>
      <c r="AA4104" s="30" t="s">
        <v>3899</v>
      </c>
      <c r="AD4104" s="38">
        <v>7139.15</v>
      </c>
      <c r="AF4104" s="76">
        <f t="shared" si="391"/>
        <v>95072.379999999976</v>
      </c>
    </row>
    <row r="4105" spans="9:32" ht="8.25" customHeight="1" x14ac:dyDescent="0.15">
      <c r="N4105" s="52">
        <v>29</v>
      </c>
      <c r="T4105" s="33">
        <v>46183</v>
      </c>
      <c r="U4105" s="34">
        <v>2026</v>
      </c>
      <c r="V4105" s="35" t="s">
        <v>1588</v>
      </c>
      <c r="W4105" s="35" t="s">
        <v>17</v>
      </c>
      <c r="X4105" s="37" t="s">
        <v>3201</v>
      </c>
      <c r="Y4105" s="36" t="s">
        <v>942</v>
      </c>
      <c r="Z4105" s="30" t="s">
        <v>1540</v>
      </c>
      <c r="AA4105" s="134" t="s">
        <v>166</v>
      </c>
      <c r="AD4105" s="38">
        <v>6360.85</v>
      </c>
      <c r="AF4105" s="76">
        <f t="shared" si="391"/>
        <v>101433.22999999998</v>
      </c>
    </row>
    <row r="4106" spans="9:32" ht="8.25" customHeight="1" x14ac:dyDescent="0.25">
      <c r="N4106" s="52">
        <v>30</v>
      </c>
      <c r="T4106" s="33">
        <v>46183</v>
      </c>
      <c r="U4106" s="34">
        <v>2026</v>
      </c>
      <c r="V4106" s="35" t="s">
        <v>1588</v>
      </c>
      <c r="W4106" s="35" t="s">
        <v>17</v>
      </c>
      <c r="X4106" s="37" t="s">
        <v>3202</v>
      </c>
      <c r="Y4106" s="36" t="s">
        <v>442</v>
      </c>
      <c r="Z4106" s="30" t="s">
        <v>1463</v>
      </c>
      <c r="AA4106" s="30" t="s">
        <v>3899</v>
      </c>
      <c r="AD4106" s="38">
        <v>6318.48</v>
      </c>
      <c r="AF4106" s="76">
        <f t="shared" si="391"/>
        <v>107751.70999999998</v>
      </c>
    </row>
    <row r="4107" spans="9:32" ht="8.25" customHeight="1" x14ac:dyDescent="0.15">
      <c r="N4107" s="52">
        <v>30</v>
      </c>
      <c r="T4107" s="33">
        <v>46183</v>
      </c>
      <c r="U4107" s="34">
        <v>2026</v>
      </c>
      <c r="V4107" s="35" t="s">
        <v>1588</v>
      </c>
      <c r="W4107" s="35" t="s">
        <v>17</v>
      </c>
      <c r="X4107" s="37" t="s">
        <v>3202</v>
      </c>
      <c r="Y4107" s="36" t="s">
        <v>442</v>
      </c>
      <c r="Z4107" s="30" t="s">
        <v>1463</v>
      </c>
      <c r="AA4107" s="134" t="s">
        <v>166</v>
      </c>
      <c r="AD4107" s="38">
        <v>3681.52</v>
      </c>
      <c r="AF4107" s="76">
        <f t="shared" si="391"/>
        <v>111433.22999999998</v>
      </c>
    </row>
    <row r="4108" spans="9:32" ht="8.25" customHeight="1" x14ac:dyDescent="0.25">
      <c r="K4108" s="52">
        <v>6</v>
      </c>
      <c r="T4108" s="33">
        <v>46183</v>
      </c>
      <c r="U4108" s="34">
        <v>2026</v>
      </c>
      <c r="V4108" s="35" t="s">
        <v>1588</v>
      </c>
      <c r="W4108" s="35" t="s">
        <v>17</v>
      </c>
      <c r="X4108" s="37" t="s">
        <v>3203</v>
      </c>
      <c r="Y4108" s="36" t="s">
        <v>3205</v>
      </c>
      <c r="Z4108" s="30" t="s">
        <v>3206</v>
      </c>
      <c r="AA4108" s="30" t="s">
        <v>1787</v>
      </c>
      <c r="AD4108" s="38">
        <v>100</v>
      </c>
      <c r="AF4108" s="76">
        <f t="shared" si="391"/>
        <v>111533.22999999998</v>
      </c>
    </row>
    <row r="4109" spans="9:32" ht="8.25" customHeight="1" x14ac:dyDescent="0.25">
      <c r="L4109" s="52">
        <v>6</v>
      </c>
      <c r="T4109" s="33">
        <v>46183</v>
      </c>
      <c r="U4109" s="34">
        <v>2026</v>
      </c>
      <c r="V4109" s="35" t="s">
        <v>1588</v>
      </c>
      <c r="W4109" s="35" t="s">
        <v>17</v>
      </c>
      <c r="X4109" s="37" t="s">
        <v>3204</v>
      </c>
      <c r="Y4109" s="36" t="s">
        <v>120</v>
      </c>
      <c r="Z4109" s="30" t="s">
        <v>3206</v>
      </c>
      <c r="AA4109" s="30" t="s">
        <v>1054</v>
      </c>
      <c r="AD4109" s="38">
        <v>50</v>
      </c>
      <c r="AF4109" s="76">
        <f t="shared" si="391"/>
        <v>111583.22999999998</v>
      </c>
    </row>
    <row r="4110" spans="9:32" ht="8.25" customHeight="1" x14ac:dyDescent="0.25">
      <c r="N4110" s="52">
        <v>31</v>
      </c>
      <c r="T4110" s="33">
        <v>46183</v>
      </c>
      <c r="U4110" s="34">
        <v>2026</v>
      </c>
      <c r="V4110" s="35" t="s">
        <v>1588</v>
      </c>
      <c r="W4110" s="35" t="s">
        <v>17</v>
      </c>
      <c r="X4110" s="37" t="s">
        <v>3207</v>
      </c>
      <c r="Y4110" s="36" t="s">
        <v>2164</v>
      </c>
      <c r="Z4110" s="30" t="s">
        <v>686</v>
      </c>
      <c r="AA4110" s="30" t="s">
        <v>3899</v>
      </c>
      <c r="AD4110" s="38">
        <v>16771.82</v>
      </c>
      <c r="AF4110" s="76">
        <f t="shared" si="391"/>
        <v>128355.04999999999</v>
      </c>
    </row>
    <row r="4111" spans="9:32" ht="8.25" customHeight="1" x14ac:dyDescent="0.15">
      <c r="N4111" s="52">
        <v>31</v>
      </c>
      <c r="T4111" s="33">
        <v>46183</v>
      </c>
      <c r="U4111" s="34">
        <v>2026</v>
      </c>
      <c r="V4111" s="35" t="s">
        <v>1588</v>
      </c>
      <c r="W4111" s="35" t="s">
        <v>17</v>
      </c>
      <c r="X4111" s="37" t="s">
        <v>3207</v>
      </c>
      <c r="Y4111" s="36" t="s">
        <v>2164</v>
      </c>
      <c r="Z4111" s="30" t="s">
        <v>686</v>
      </c>
      <c r="AA4111" s="134" t="s">
        <v>166</v>
      </c>
      <c r="AD4111" s="38">
        <v>13228.18</v>
      </c>
      <c r="AF4111" s="76">
        <f t="shared" si="391"/>
        <v>141583.22999999998</v>
      </c>
    </row>
    <row r="4112" spans="9:32" ht="8.25" customHeight="1" x14ac:dyDescent="0.25">
      <c r="I4112" s="52">
        <v>23</v>
      </c>
      <c r="T4112" s="33">
        <v>46183</v>
      </c>
      <c r="U4112" s="34">
        <v>2026</v>
      </c>
      <c r="V4112" s="35" t="s">
        <v>1588</v>
      </c>
      <c r="W4112" s="35" t="s">
        <v>17</v>
      </c>
      <c r="X4112" s="37" t="s">
        <v>3208</v>
      </c>
      <c r="Y4112" s="36" t="s">
        <v>3211</v>
      </c>
      <c r="Z4112" s="30" t="s">
        <v>3180</v>
      </c>
      <c r="AA4112" s="30" t="s">
        <v>13</v>
      </c>
      <c r="AD4112" s="38">
        <v>22727.27</v>
      </c>
      <c r="AF4112" s="76">
        <f t="shared" si="391"/>
        <v>164310.49999999997</v>
      </c>
    </row>
    <row r="4113" spans="9:32" ht="8.25" customHeight="1" x14ac:dyDescent="0.25">
      <c r="T4113" s="33">
        <v>46183</v>
      </c>
      <c r="U4113" s="34">
        <v>2026</v>
      </c>
      <c r="V4113" s="35" t="s">
        <v>1588</v>
      </c>
      <c r="W4113" s="35" t="s">
        <v>5</v>
      </c>
      <c r="X4113" s="37" t="s">
        <v>3226</v>
      </c>
      <c r="Y4113" s="36" t="s">
        <v>411</v>
      </c>
      <c r="Z4113" s="30" t="s">
        <v>3221</v>
      </c>
      <c r="AA4113" s="30" t="s">
        <v>2719</v>
      </c>
      <c r="AE4113" s="38">
        <v>22727.27</v>
      </c>
      <c r="AF4113" s="76">
        <f t="shared" si="391"/>
        <v>141583.22999999998</v>
      </c>
    </row>
    <row r="4114" spans="9:32" ht="8.25" customHeight="1" x14ac:dyDescent="0.25">
      <c r="M4114" s="52">
        <v>6</v>
      </c>
      <c r="T4114" s="33">
        <v>46183</v>
      </c>
      <c r="U4114" s="34">
        <v>2026</v>
      </c>
      <c r="V4114" s="35" t="s">
        <v>1588</v>
      </c>
      <c r="W4114" s="35" t="s">
        <v>17</v>
      </c>
      <c r="X4114" s="37" t="s">
        <v>3209</v>
      </c>
      <c r="Y4114" s="36" t="s">
        <v>120</v>
      </c>
      <c r="Z4114" s="30" t="s">
        <v>3180</v>
      </c>
      <c r="AA4114" s="30" t="s">
        <v>385</v>
      </c>
      <c r="AD4114" s="38">
        <v>4545.45</v>
      </c>
      <c r="AF4114" s="76">
        <f t="shared" si="391"/>
        <v>146128.68</v>
      </c>
    </row>
    <row r="4115" spans="9:32" ht="8.25" customHeight="1" x14ac:dyDescent="0.25">
      <c r="T4115" s="33">
        <v>46183</v>
      </c>
      <c r="U4115" s="34">
        <v>2026</v>
      </c>
      <c r="V4115" s="35" t="s">
        <v>1588</v>
      </c>
      <c r="W4115" s="35" t="s">
        <v>5</v>
      </c>
      <c r="X4115" s="37" t="s">
        <v>3227</v>
      </c>
      <c r="Y4115" s="36" t="s">
        <v>411</v>
      </c>
      <c r="Z4115" s="30" t="s">
        <v>3221</v>
      </c>
      <c r="AA4115" s="30" t="s">
        <v>2719</v>
      </c>
      <c r="AE4115" s="38">
        <v>4545.45</v>
      </c>
      <c r="AF4115" s="76">
        <f t="shared" si="391"/>
        <v>141583.22999999998</v>
      </c>
    </row>
    <row r="4116" spans="9:32" ht="8.25" customHeight="1" x14ac:dyDescent="0.25">
      <c r="N4116" s="52">
        <v>32</v>
      </c>
      <c r="T4116" s="33">
        <v>46183</v>
      </c>
      <c r="U4116" s="34">
        <v>2026</v>
      </c>
      <c r="V4116" s="35" t="s">
        <v>1588</v>
      </c>
      <c r="W4116" s="35" t="s">
        <v>17</v>
      </c>
      <c r="X4116" s="37" t="s">
        <v>3210</v>
      </c>
      <c r="Y4116" s="36" t="s">
        <v>439</v>
      </c>
      <c r="Z4116" s="30" t="s">
        <v>1465</v>
      </c>
      <c r="AA4116" s="30" t="s">
        <v>3899</v>
      </c>
      <c r="AD4116" s="38">
        <v>5786.33</v>
      </c>
      <c r="AF4116" s="76">
        <f t="shared" si="391"/>
        <v>147369.55999999997</v>
      </c>
    </row>
    <row r="4117" spans="9:32" ht="8.25" customHeight="1" x14ac:dyDescent="0.15">
      <c r="N4117" s="52">
        <v>32</v>
      </c>
      <c r="T4117" s="33">
        <v>46183</v>
      </c>
      <c r="U4117" s="34">
        <v>2026</v>
      </c>
      <c r="V4117" s="35" t="s">
        <v>1588</v>
      </c>
      <c r="W4117" s="35" t="s">
        <v>17</v>
      </c>
      <c r="X4117" s="37" t="s">
        <v>3210</v>
      </c>
      <c r="Y4117" s="36" t="s">
        <v>439</v>
      </c>
      <c r="Z4117" s="30" t="s">
        <v>1465</v>
      </c>
      <c r="AA4117" s="134" t="s">
        <v>166</v>
      </c>
      <c r="AD4117" s="38">
        <v>4213.67</v>
      </c>
      <c r="AF4117" s="76">
        <f t="shared" si="391"/>
        <v>151583.22999999998</v>
      </c>
    </row>
    <row r="4118" spans="9:32" ht="8.25" customHeight="1" x14ac:dyDescent="0.25">
      <c r="N4118" s="52">
        <v>33</v>
      </c>
      <c r="T4118" s="33">
        <v>46183</v>
      </c>
      <c r="U4118" s="34">
        <v>2026</v>
      </c>
      <c r="V4118" s="35" t="s">
        <v>1588</v>
      </c>
      <c r="W4118" s="35" t="s">
        <v>17</v>
      </c>
      <c r="X4118" s="37" t="s">
        <v>3212</v>
      </c>
      <c r="Y4118" s="36" t="s">
        <v>414</v>
      </c>
      <c r="Z4118" s="30" t="s">
        <v>2150</v>
      </c>
      <c r="AA4118" s="30" t="s">
        <v>3899</v>
      </c>
      <c r="AD4118" s="38">
        <v>203166.26</v>
      </c>
      <c r="AF4118" s="76">
        <f t="shared" si="391"/>
        <v>354749.49</v>
      </c>
    </row>
    <row r="4119" spans="9:32" ht="8.25" customHeight="1" x14ac:dyDescent="0.15">
      <c r="N4119" s="52">
        <v>33</v>
      </c>
      <c r="T4119" s="33">
        <v>46183</v>
      </c>
      <c r="U4119" s="34">
        <v>2026</v>
      </c>
      <c r="V4119" s="35" t="s">
        <v>1588</v>
      </c>
      <c r="W4119" s="35" t="s">
        <v>17</v>
      </c>
      <c r="X4119" s="37" t="s">
        <v>3212</v>
      </c>
      <c r="Y4119" s="36" t="s">
        <v>414</v>
      </c>
      <c r="Z4119" s="30" t="s">
        <v>2150</v>
      </c>
      <c r="AA4119" s="134" t="s">
        <v>166</v>
      </c>
      <c r="AD4119" s="38">
        <v>4141.25</v>
      </c>
      <c r="AF4119" s="76">
        <f t="shared" si="391"/>
        <v>358890.74</v>
      </c>
    </row>
    <row r="4120" spans="9:32" ht="8.25" customHeight="1" x14ac:dyDescent="0.25">
      <c r="T4120" s="33">
        <v>46183</v>
      </c>
      <c r="U4120" s="34">
        <v>2026</v>
      </c>
      <c r="V4120" s="35" t="s">
        <v>1588</v>
      </c>
      <c r="W4120" s="35" t="s">
        <v>5</v>
      </c>
      <c r="X4120" s="37" t="s">
        <v>3223</v>
      </c>
      <c r="Y4120" s="36" t="s">
        <v>411</v>
      </c>
      <c r="Z4120" s="30" t="s">
        <v>3221</v>
      </c>
      <c r="AA4120" s="30" t="s">
        <v>2719</v>
      </c>
      <c r="AE4120" s="38">
        <f>SUM(AD4118:AD4119)</f>
        <v>207307.51</v>
      </c>
      <c r="AF4120" s="76">
        <f t="shared" si="391"/>
        <v>151583.22999999998</v>
      </c>
    </row>
    <row r="4121" spans="9:32" ht="8.25" customHeight="1" x14ac:dyDescent="0.25">
      <c r="I4121" s="52">
        <v>24</v>
      </c>
      <c r="T4121" s="33">
        <v>46183</v>
      </c>
      <c r="U4121" s="34">
        <v>2026</v>
      </c>
      <c r="V4121" s="35" t="s">
        <v>1588</v>
      </c>
      <c r="W4121" s="35" t="s">
        <v>17</v>
      </c>
      <c r="X4121" s="37" t="s">
        <v>3213</v>
      </c>
      <c r="Y4121" s="36" t="s">
        <v>3217</v>
      </c>
      <c r="Z4121" s="30" t="s">
        <v>2150</v>
      </c>
      <c r="AA4121" s="30" t="s">
        <v>13</v>
      </c>
      <c r="AD4121" s="38">
        <v>46284.94</v>
      </c>
      <c r="AF4121" s="76">
        <f t="shared" si="391"/>
        <v>197868.16999999998</v>
      </c>
    </row>
    <row r="4122" spans="9:32" ht="8.25" customHeight="1" x14ac:dyDescent="0.25">
      <c r="T4122" s="33">
        <v>46183</v>
      </c>
      <c r="U4122" s="34">
        <v>2026</v>
      </c>
      <c r="V4122" s="35" t="s">
        <v>1588</v>
      </c>
      <c r="W4122" s="35" t="s">
        <v>5</v>
      </c>
      <c r="X4122" s="37" t="s">
        <v>3222</v>
      </c>
      <c r="Y4122" s="36" t="s">
        <v>411</v>
      </c>
      <c r="Z4122" s="30" t="s">
        <v>3221</v>
      </c>
      <c r="AA4122" s="30" t="s">
        <v>2719</v>
      </c>
      <c r="AE4122" s="38">
        <v>46284.94</v>
      </c>
      <c r="AF4122" s="76">
        <f t="shared" si="391"/>
        <v>151583.22999999998</v>
      </c>
    </row>
    <row r="4123" spans="9:32" ht="8.25" customHeight="1" x14ac:dyDescent="0.25">
      <c r="M4123" s="52">
        <v>7</v>
      </c>
      <c r="T4123" s="33">
        <v>46183</v>
      </c>
      <c r="U4123" s="34">
        <v>2026</v>
      </c>
      <c r="V4123" s="35" t="s">
        <v>1588</v>
      </c>
      <c r="W4123" s="35" t="s">
        <v>17</v>
      </c>
      <c r="X4123" s="37" t="s">
        <v>3214</v>
      </c>
      <c r="Y4123" s="36" t="s">
        <v>120</v>
      </c>
      <c r="Z4123" s="30" t="s">
        <v>2150</v>
      </c>
      <c r="AA4123" s="30" t="s">
        <v>385</v>
      </c>
      <c r="AD4123" s="38">
        <v>9256.99</v>
      </c>
      <c r="AF4123" s="76">
        <f t="shared" si="391"/>
        <v>160840.21999999997</v>
      </c>
    </row>
    <row r="4124" spans="9:32" ht="8.25" customHeight="1" x14ac:dyDescent="0.25">
      <c r="T4124" s="33">
        <v>46183</v>
      </c>
      <c r="U4124" s="34">
        <v>2026</v>
      </c>
      <c r="V4124" s="35" t="s">
        <v>1588</v>
      </c>
      <c r="W4124" s="35" t="s">
        <v>5</v>
      </c>
      <c r="X4124" s="37" t="s">
        <v>3220</v>
      </c>
      <c r="Y4124" s="36" t="s">
        <v>411</v>
      </c>
      <c r="Z4124" s="30" t="s">
        <v>3221</v>
      </c>
      <c r="AA4124" s="30" t="s">
        <v>2719</v>
      </c>
      <c r="AE4124" s="38">
        <v>9256.99</v>
      </c>
      <c r="AF4124" s="76">
        <f t="shared" si="391"/>
        <v>151583.22999999998</v>
      </c>
    </row>
    <row r="4125" spans="9:32" ht="8.25" customHeight="1" x14ac:dyDescent="0.25">
      <c r="I4125" s="52">
        <v>25</v>
      </c>
      <c r="T4125" s="33">
        <v>46183</v>
      </c>
      <c r="U4125" s="34">
        <v>2026</v>
      </c>
      <c r="V4125" s="35" t="s">
        <v>1588</v>
      </c>
      <c r="W4125" s="35" t="s">
        <v>17</v>
      </c>
      <c r="X4125" s="37" t="s">
        <v>3215</v>
      </c>
      <c r="Y4125" s="36" t="s">
        <v>3026</v>
      </c>
      <c r="Z4125" s="30" t="s">
        <v>3027</v>
      </c>
      <c r="AA4125" s="30" t="s">
        <v>13</v>
      </c>
      <c r="AD4125" s="38">
        <v>200000</v>
      </c>
      <c r="AF4125" s="76">
        <f t="shared" si="391"/>
        <v>351583.23</v>
      </c>
    </row>
    <row r="4126" spans="9:32" ht="8.25" customHeight="1" x14ac:dyDescent="0.25">
      <c r="M4126" s="52">
        <v>8</v>
      </c>
      <c r="T4126" s="33">
        <v>46183</v>
      </c>
      <c r="U4126" s="34">
        <v>2026</v>
      </c>
      <c r="V4126" s="35" t="s">
        <v>1588</v>
      </c>
      <c r="W4126" s="35" t="s">
        <v>17</v>
      </c>
      <c r="X4126" s="37" t="s">
        <v>3216</v>
      </c>
      <c r="Y4126" s="36" t="s">
        <v>120</v>
      </c>
      <c r="Z4126" s="30" t="s">
        <v>3027</v>
      </c>
      <c r="AA4126" s="30" t="s">
        <v>385</v>
      </c>
      <c r="AD4126" s="38">
        <v>40000</v>
      </c>
      <c r="AF4126" s="76">
        <f t="shared" si="391"/>
        <v>391583.23</v>
      </c>
    </row>
    <row r="4127" spans="9:32" ht="8.25" customHeight="1" x14ac:dyDescent="0.25">
      <c r="T4127" s="33">
        <v>46183</v>
      </c>
      <c r="U4127" s="34">
        <v>2026</v>
      </c>
      <c r="V4127" s="35" t="s">
        <v>1588</v>
      </c>
      <c r="W4127" s="35" t="s">
        <v>5</v>
      </c>
      <c r="X4127" s="37" t="s">
        <v>3224</v>
      </c>
      <c r="Y4127" s="36" t="s">
        <v>411</v>
      </c>
      <c r="Z4127" s="30" t="s">
        <v>3221</v>
      </c>
      <c r="AA4127" s="30" t="s">
        <v>2719</v>
      </c>
      <c r="AE4127" s="38">
        <v>200000</v>
      </c>
      <c r="AF4127" s="76">
        <f t="shared" si="391"/>
        <v>191583.22999999998</v>
      </c>
    </row>
    <row r="4128" spans="9:32" ht="8.25" customHeight="1" x14ac:dyDescent="0.25">
      <c r="T4128" s="33">
        <v>46183</v>
      </c>
      <c r="U4128" s="34">
        <v>2026</v>
      </c>
      <c r="V4128" s="35" t="s">
        <v>1588</v>
      </c>
      <c r="W4128" s="35" t="s">
        <v>5</v>
      </c>
      <c r="X4128" s="37" t="s">
        <v>3225</v>
      </c>
      <c r="Y4128" s="36" t="s">
        <v>411</v>
      </c>
      <c r="Z4128" s="30" t="s">
        <v>3221</v>
      </c>
      <c r="AA4128" s="30" t="s">
        <v>2719</v>
      </c>
      <c r="AE4128" s="38">
        <v>40000</v>
      </c>
      <c r="AF4128" s="76">
        <f t="shared" si="391"/>
        <v>151583.22999999998</v>
      </c>
    </row>
    <row r="4129" spans="4:32" ht="8.25" customHeight="1" x14ac:dyDescent="0.25">
      <c r="N4129" s="52">
        <v>34</v>
      </c>
      <c r="T4129" s="33">
        <v>46183</v>
      </c>
      <c r="U4129" s="34">
        <v>2026</v>
      </c>
      <c r="V4129" s="35" t="s">
        <v>1588</v>
      </c>
      <c r="W4129" s="35" t="s">
        <v>17</v>
      </c>
      <c r="X4129" s="37" t="s">
        <v>3218</v>
      </c>
      <c r="Y4129" s="36" t="s">
        <v>931</v>
      </c>
      <c r="Z4129" s="30" t="s">
        <v>932</v>
      </c>
      <c r="AA4129" s="30" t="s">
        <v>3899</v>
      </c>
      <c r="AD4129" s="38">
        <v>3125.52</v>
      </c>
      <c r="AF4129" s="76">
        <f t="shared" si="391"/>
        <v>154708.74999999997</v>
      </c>
    </row>
    <row r="4130" spans="4:32" ht="8.25" customHeight="1" x14ac:dyDescent="0.15">
      <c r="N4130" s="52">
        <v>34</v>
      </c>
      <c r="T4130" s="33">
        <v>46183</v>
      </c>
      <c r="U4130" s="34">
        <v>2026</v>
      </c>
      <c r="V4130" s="35" t="s">
        <v>1588</v>
      </c>
      <c r="W4130" s="35" t="s">
        <v>17</v>
      </c>
      <c r="X4130" s="37" t="s">
        <v>3218</v>
      </c>
      <c r="Y4130" s="36" t="s">
        <v>931</v>
      </c>
      <c r="Z4130" s="30" t="s">
        <v>932</v>
      </c>
      <c r="AA4130" s="134" t="s">
        <v>166</v>
      </c>
      <c r="AD4130" s="38">
        <v>1405.48</v>
      </c>
      <c r="AF4130" s="76">
        <f t="shared" si="391"/>
        <v>156114.22999999998</v>
      </c>
    </row>
    <row r="4131" spans="4:32" ht="8.25" customHeight="1" x14ac:dyDescent="0.25">
      <c r="N4131" s="52">
        <v>34</v>
      </c>
      <c r="T4131" s="33">
        <v>46183</v>
      </c>
      <c r="U4131" s="34">
        <v>2026</v>
      </c>
      <c r="V4131" s="35" t="s">
        <v>1588</v>
      </c>
      <c r="W4131" s="35" t="s">
        <v>17</v>
      </c>
      <c r="X4131" s="37" t="s">
        <v>3218</v>
      </c>
      <c r="Y4131" s="36" t="s">
        <v>931</v>
      </c>
      <c r="Z4131" s="30" t="s">
        <v>932</v>
      </c>
      <c r="AA4131" s="30" t="s">
        <v>3305</v>
      </c>
      <c r="AD4131" s="38">
        <v>25</v>
      </c>
      <c r="AF4131" s="76">
        <f t="shared" si="391"/>
        <v>156139.22999999998</v>
      </c>
    </row>
    <row r="4132" spans="4:32" ht="8.25" customHeight="1" x14ac:dyDescent="0.25">
      <c r="N4132" s="52">
        <v>35</v>
      </c>
      <c r="T4132" s="33">
        <v>46183</v>
      </c>
      <c r="U4132" s="34">
        <v>2026</v>
      </c>
      <c r="V4132" s="35" t="s">
        <v>1588</v>
      </c>
      <c r="W4132" s="35" t="s">
        <v>17</v>
      </c>
      <c r="X4132" s="37" t="s">
        <v>3219</v>
      </c>
      <c r="Y4132" s="36" t="s">
        <v>407</v>
      </c>
      <c r="Z4132" s="30" t="s">
        <v>2742</v>
      </c>
      <c r="AA4132" s="30" t="s">
        <v>3899</v>
      </c>
      <c r="AD4132" s="38">
        <v>6987.32</v>
      </c>
      <c r="AF4132" s="76">
        <f t="shared" si="391"/>
        <v>163126.54999999999</v>
      </c>
    </row>
    <row r="4133" spans="4:32" ht="8.25" customHeight="1" x14ac:dyDescent="0.15">
      <c r="N4133" s="52">
        <v>35</v>
      </c>
      <c r="T4133" s="33">
        <v>46183</v>
      </c>
      <c r="U4133" s="34">
        <v>2026</v>
      </c>
      <c r="V4133" s="35" t="s">
        <v>1588</v>
      </c>
      <c r="W4133" s="35" t="s">
        <v>17</v>
      </c>
      <c r="X4133" s="37" t="s">
        <v>3219</v>
      </c>
      <c r="Y4133" s="36" t="s">
        <v>407</v>
      </c>
      <c r="Z4133" s="30" t="s">
        <v>2742</v>
      </c>
      <c r="AA4133" s="134" t="s">
        <v>166</v>
      </c>
      <c r="AD4133" s="38">
        <v>3012.68</v>
      </c>
      <c r="AF4133" s="76">
        <f t="shared" si="391"/>
        <v>166139.22999999998</v>
      </c>
    </row>
    <row r="4134" spans="4:32" ht="8.25" customHeight="1" x14ac:dyDescent="0.15">
      <c r="I4134" s="52">
        <v>26</v>
      </c>
      <c r="T4134" s="33">
        <v>46183</v>
      </c>
      <c r="U4134" s="34">
        <v>2026</v>
      </c>
      <c r="V4134" s="35" t="s">
        <v>1588</v>
      </c>
      <c r="W4134" s="35" t="s">
        <v>17</v>
      </c>
      <c r="X4134" s="37" t="s">
        <v>3233</v>
      </c>
      <c r="Y4134" s="36" t="s">
        <v>3234</v>
      </c>
      <c r="Z4134" s="30" t="s">
        <v>3235</v>
      </c>
      <c r="AA4134" s="134" t="s">
        <v>13</v>
      </c>
      <c r="AD4134" s="38">
        <v>39772.720000000001</v>
      </c>
      <c r="AF4134" s="76">
        <f t="shared" si="391"/>
        <v>205911.94999999998</v>
      </c>
    </row>
    <row r="4135" spans="4:32" ht="8.25" customHeight="1" x14ac:dyDescent="0.25">
      <c r="T4135" s="33">
        <v>46183</v>
      </c>
      <c r="U4135" s="34">
        <v>2026</v>
      </c>
      <c r="V4135" s="35" t="s">
        <v>1588</v>
      </c>
      <c r="W4135" s="35" t="s">
        <v>5</v>
      </c>
      <c r="X4135" s="37" t="s">
        <v>3236</v>
      </c>
      <c r="Y4135" s="36" t="s">
        <v>411</v>
      </c>
      <c r="Z4135" s="30" t="s">
        <v>3221</v>
      </c>
      <c r="AA4135" s="30" t="s">
        <v>2719</v>
      </c>
      <c r="AE4135" s="38">
        <v>39772.720000000001</v>
      </c>
      <c r="AF4135" s="76">
        <f t="shared" si="391"/>
        <v>166139.22999999998</v>
      </c>
    </row>
    <row r="4136" spans="4:32" ht="8.25" customHeight="1" x14ac:dyDescent="0.25">
      <c r="M4136" s="52">
        <v>9</v>
      </c>
      <c r="T4136" s="33">
        <v>46183</v>
      </c>
      <c r="U4136" s="34">
        <v>2026</v>
      </c>
      <c r="V4136" s="35" t="s">
        <v>1588</v>
      </c>
      <c r="W4136" s="35" t="s">
        <v>17</v>
      </c>
      <c r="X4136" s="37" t="s">
        <v>3237</v>
      </c>
      <c r="Y4136" s="36" t="s">
        <v>120</v>
      </c>
      <c r="Z4136" s="30" t="s">
        <v>3235</v>
      </c>
      <c r="AA4136" s="30" t="s">
        <v>385</v>
      </c>
      <c r="AD4136" s="38">
        <v>7954.55</v>
      </c>
      <c r="AF4136" s="76">
        <f t="shared" si="391"/>
        <v>174093.77999999997</v>
      </c>
    </row>
    <row r="4137" spans="4:32" ht="8.25" customHeight="1" x14ac:dyDescent="0.25">
      <c r="T4137" s="33">
        <v>46183</v>
      </c>
      <c r="U4137" s="34">
        <v>2026</v>
      </c>
      <c r="V4137" s="35" t="s">
        <v>1588</v>
      </c>
      <c r="W4137" s="35" t="s">
        <v>5</v>
      </c>
      <c r="X4137" s="37" t="s">
        <v>3391</v>
      </c>
      <c r="Y4137" s="36" t="s">
        <v>411</v>
      </c>
      <c r="Z4137" s="30" t="s">
        <v>3221</v>
      </c>
      <c r="AA4137" s="30" t="s">
        <v>2719</v>
      </c>
      <c r="AE4137" s="38">
        <v>7954.55</v>
      </c>
      <c r="AF4137" s="76">
        <f t="shared" si="391"/>
        <v>166139.22999999998</v>
      </c>
    </row>
    <row r="4138" spans="4:32" ht="8.25" customHeight="1" x14ac:dyDescent="0.25">
      <c r="D4138" s="52">
        <v>1</v>
      </c>
      <c r="T4138" s="33">
        <v>46183</v>
      </c>
      <c r="U4138" s="34">
        <v>2026</v>
      </c>
      <c r="V4138" s="35" t="s">
        <v>1588</v>
      </c>
      <c r="W4138" s="35" t="s">
        <v>2405</v>
      </c>
      <c r="X4138" s="37" t="s">
        <v>3229</v>
      </c>
      <c r="Y4138" s="36" t="s">
        <v>3228</v>
      </c>
      <c r="Z4138" s="30" t="s">
        <v>1208</v>
      </c>
      <c r="AA4138" s="30" t="s">
        <v>256</v>
      </c>
      <c r="AD4138" s="38">
        <v>100</v>
      </c>
      <c r="AF4138" s="76">
        <f t="shared" si="391"/>
        <v>166239.22999999998</v>
      </c>
    </row>
    <row r="4139" spans="4:32" ht="8.25" customHeight="1" x14ac:dyDescent="0.25">
      <c r="R4139" s="53">
        <v>14</v>
      </c>
      <c r="T4139" s="33">
        <v>46183</v>
      </c>
      <c r="U4139" s="34">
        <v>2026</v>
      </c>
      <c r="V4139" s="35" t="s">
        <v>1588</v>
      </c>
      <c r="W4139" s="35" t="s">
        <v>5</v>
      </c>
      <c r="X4139" s="37" t="s">
        <v>3230</v>
      </c>
      <c r="Y4139" s="36" t="s">
        <v>2034</v>
      </c>
      <c r="Z4139" s="30" t="s">
        <v>2634</v>
      </c>
      <c r="AA4139" s="30" t="s">
        <v>1050</v>
      </c>
      <c r="AE4139" s="38">
        <v>300</v>
      </c>
      <c r="AF4139" s="76">
        <f t="shared" si="391"/>
        <v>165939.22999999998</v>
      </c>
    </row>
    <row r="4140" spans="4:32" ht="8.25" customHeight="1" thickBot="1" x14ac:dyDescent="0.3">
      <c r="AA4140" s="260" t="s">
        <v>2893</v>
      </c>
      <c r="AD4140" s="253">
        <f>SUM(AD4102:AD4138)</f>
        <v>669355.42999999993</v>
      </c>
      <c r="AE4140" s="253">
        <f>SUM(AE4102:AE4139)</f>
        <v>578149.43000000005</v>
      </c>
      <c r="AF4140" s="233">
        <f>AF4101+AD4140-AE4140</f>
        <v>165939.22999999986</v>
      </c>
    </row>
    <row r="4141" spans="4:32" ht="8.25" customHeight="1" thickTop="1" x14ac:dyDescent="0.25"/>
    <row r="4142" spans="4:32" ht="8.25" customHeight="1" x14ac:dyDescent="0.25">
      <c r="X4142" s="109"/>
      <c r="Y4142" s="67" t="s">
        <v>214</v>
      </c>
      <c r="Z4142" s="68"/>
      <c r="AA4142" s="75"/>
    </row>
    <row r="4143" spans="4:32" ht="8.25" customHeight="1" x14ac:dyDescent="0.25">
      <c r="X4143" s="110" t="s">
        <v>1383</v>
      </c>
      <c r="Y4143" s="111">
        <v>200</v>
      </c>
      <c r="Z4143" s="111">
        <f t="shared" ref="Z4143:Z4148" si="392">X4143*Y4143</f>
        <v>24200</v>
      </c>
      <c r="AA4143" s="112"/>
    </row>
    <row r="4144" spans="4:32" ht="8.25" customHeight="1" x14ac:dyDescent="0.25">
      <c r="X4144" s="110" t="s">
        <v>3232</v>
      </c>
      <c r="Y4144" s="111">
        <v>100</v>
      </c>
      <c r="Z4144" s="111">
        <f t="shared" si="392"/>
        <v>139900</v>
      </c>
      <c r="AA4144" s="112"/>
    </row>
    <row r="4145" spans="9:32" ht="8.25" customHeight="1" x14ac:dyDescent="0.25">
      <c r="X4145" s="110"/>
      <c r="Y4145" s="111">
        <v>50</v>
      </c>
      <c r="Z4145" s="111">
        <f t="shared" si="392"/>
        <v>0</v>
      </c>
      <c r="AA4145" s="76"/>
    </row>
    <row r="4146" spans="9:32" ht="8.25" customHeight="1" x14ac:dyDescent="0.25">
      <c r="X4146" s="110"/>
      <c r="Y4146" s="111">
        <v>20</v>
      </c>
      <c r="Z4146" s="111">
        <f t="shared" si="392"/>
        <v>0</v>
      </c>
      <c r="AA4146" s="38"/>
    </row>
    <row r="4147" spans="9:32" ht="8.25" customHeight="1" x14ac:dyDescent="0.25">
      <c r="X4147" s="110" t="s">
        <v>222</v>
      </c>
      <c r="Y4147" s="111">
        <v>10</v>
      </c>
      <c r="Z4147" s="111">
        <f t="shared" si="392"/>
        <v>10</v>
      </c>
      <c r="AA4147" s="112"/>
    </row>
    <row r="4148" spans="9:32" ht="8.25" customHeight="1" x14ac:dyDescent="0.25">
      <c r="X4148" s="110" t="s">
        <v>1731</v>
      </c>
      <c r="Y4148" s="111">
        <v>5</v>
      </c>
      <c r="Z4148" s="111">
        <f t="shared" si="392"/>
        <v>1295</v>
      </c>
      <c r="AA4148" s="112"/>
    </row>
    <row r="4149" spans="9:32" ht="8.25" customHeight="1" x14ac:dyDescent="0.25">
      <c r="X4149" s="269"/>
      <c r="Y4149" s="270"/>
      <c r="Z4149" s="271"/>
      <c r="AA4149" s="38"/>
    </row>
    <row r="4150" spans="9:32" ht="8.25" customHeight="1" x14ac:dyDescent="0.25">
      <c r="X4150" s="110" t="s">
        <v>3231</v>
      </c>
      <c r="Y4150" s="111">
        <v>1</v>
      </c>
      <c r="Z4150" s="111">
        <f t="shared" ref="Z4150:Z4155" si="393">X4150*Y4150</f>
        <v>449</v>
      </c>
      <c r="AA4150" s="76"/>
    </row>
    <row r="4151" spans="9:32" ht="8.25" customHeight="1" x14ac:dyDescent="0.25">
      <c r="X4151" s="110" t="s">
        <v>259</v>
      </c>
      <c r="Y4151" s="111">
        <v>0.5</v>
      </c>
      <c r="Z4151" s="111">
        <f t="shared" si="393"/>
        <v>40</v>
      </c>
      <c r="AA4151" s="112"/>
    </row>
    <row r="4152" spans="9:32" ht="8.25" customHeight="1" x14ac:dyDescent="0.25">
      <c r="X4152" s="110" t="s">
        <v>1878</v>
      </c>
      <c r="Y4152" s="111">
        <v>0.25</v>
      </c>
      <c r="Z4152" s="111">
        <f t="shared" si="393"/>
        <v>45</v>
      </c>
      <c r="AA4152" s="113"/>
    </row>
    <row r="4153" spans="9:32" ht="8.25" customHeight="1" x14ac:dyDescent="0.25">
      <c r="X4153" s="110" t="s">
        <v>224</v>
      </c>
      <c r="Y4153" s="111">
        <v>0.1</v>
      </c>
      <c r="Z4153" s="111">
        <f t="shared" si="393"/>
        <v>0.2</v>
      </c>
      <c r="AA4153" s="114" t="s">
        <v>219</v>
      </c>
    </row>
    <row r="4154" spans="9:32" ht="8.25" customHeight="1" thickBot="1" x14ac:dyDescent="0.3">
      <c r="X4154" s="110"/>
      <c r="Y4154" s="111">
        <v>0.05</v>
      </c>
      <c r="Z4154" s="111">
        <f t="shared" si="393"/>
        <v>0</v>
      </c>
      <c r="AA4154" s="115">
        <f>SUM(Z4143:Z4148)+Z4150+Z4151+Z4152+Z4153+Z4154+Z4155</f>
        <v>165939.23000000001</v>
      </c>
    </row>
    <row r="4155" spans="9:32" ht="8.25" customHeight="1" thickTop="1" x14ac:dyDescent="0.25">
      <c r="X4155" s="110" t="s">
        <v>223</v>
      </c>
      <c r="Y4155" s="111">
        <v>0.01</v>
      </c>
      <c r="Z4155" s="111">
        <f t="shared" si="393"/>
        <v>0.03</v>
      </c>
    </row>
    <row r="4157" spans="9:32" ht="8.25" customHeight="1" x14ac:dyDescent="0.25">
      <c r="Z4157" s="231" t="s">
        <v>1376</v>
      </c>
      <c r="AF4157" s="76">
        <f>AF4140</f>
        <v>165939.22999999986</v>
      </c>
    </row>
    <row r="4158" spans="9:32" ht="8.25" customHeight="1" x14ac:dyDescent="0.15">
      <c r="I4158" s="52">
        <v>27</v>
      </c>
      <c r="T4158" s="33">
        <v>46184</v>
      </c>
      <c r="U4158" s="34">
        <v>2026</v>
      </c>
      <c r="V4158" s="35" t="s">
        <v>1588</v>
      </c>
      <c r="W4158" s="35" t="s">
        <v>17</v>
      </c>
      <c r="X4158" s="37" t="s">
        <v>3242</v>
      </c>
      <c r="Y4158" s="36" t="s">
        <v>364</v>
      </c>
      <c r="Z4158" s="30" t="s">
        <v>1438</v>
      </c>
      <c r="AA4158" s="134" t="s">
        <v>13</v>
      </c>
      <c r="AD4158" s="38">
        <v>600</v>
      </c>
      <c r="AF4158" s="76">
        <f>AF4157+AD4158-AE4158</f>
        <v>166539.22999999986</v>
      </c>
    </row>
    <row r="4159" spans="9:32" ht="8.25" customHeight="1" x14ac:dyDescent="0.25">
      <c r="N4159" s="52">
        <v>36</v>
      </c>
      <c r="T4159" s="33">
        <v>46184</v>
      </c>
      <c r="U4159" s="34">
        <v>2026</v>
      </c>
      <c r="V4159" s="35" t="s">
        <v>1588</v>
      </c>
      <c r="W4159" s="35" t="s">
        <v>17</v>
      </c>
      <c r="X4159" s="37" t="s">
        <v>3243</v>
      </c>
      <c r="Y4159" s="36" t="s">
        <v>1374</v>
      </c>
      <c r="Z4159" s="30" t="s">
        <v>1801</v>
      </c>
      <c r="AA4159" s="30" t="s">
        <v>3899</v>
      </c>
      <c r="AD4159" s="38">
        <v>4929.45</v>
      </c>
      <c r="AF4159" s="76">
        <f t="shared" ref="AF4159:AF4176" si="394">AF4158+AD4159-AE4159</f>
        <v>171468.67999999988</v>
      </c>
    </row>
    <row r="4160" spans="9:32" ht="8.25" customHeight="1" x14ac:dyDescent="0.15">
      <c r="N4160" s="52">
        <v>36</v>
      </c>
      <c r="T4160" s="33">
        <v>46184</v>
      </c>
      <c r="U4160" s="34">
        <v>2026</v>
      </c>
      <c r="V4160" s="35" t="s">
        <v>1588</v>
      </c>
      <c r="W4160" s="35" t="s">
        <v>17</v>
      </c>
      <c r="X4160" s="37" t="s">
        <v>3243</v>
      </c>
      <c r="Y4160" s="36" t="s">
        <v>1374</v>
      </c>
      <c r="Z4160" s="30" t="s">
        <v>1801</v>
      </c>
      <c r="AA4160" s="134" t="s">
        <v>166</v>
      </c>
      <c r="AD4160" s="38">
        <v>18515.55</v>
      </c>
      <c r="AF4160" s="76">
        <f t="shared" si="394"/>
        <v>189984.22999999986</v>
      </c>
    </row>
    <row r="4161" spans="7:32" ht="8.25" customHeight="1" x14ac:dyDescent="0.25">
      <c r="N4161" s="52">
        <v>36</v>
      </c>
      <c r="T4161" s="33">
        <v>46184</v>
      </c>
      <c r="U4161" s="34">
        <v>2026</v>
      </c>
      <c r="V4161" s="35" t="s">
        <v>1588</v>
      </c>
      <c r="W4161" s="35" t="s">
        <v>17</v>
      </c>
      <c r="X4161" s="37" t="s">
        <v>3243</v>
      </c>
      <c r="Y4161" s="36" t="s">
        <v>1374</v>
      </c>
      <c r="Z4161" s="30" t="s">
        <v>1801</v>
      </c>
      <c r="AA4161" s="30" t="s">
        <v>3305</v>
      </c>
      <c r="AD4161" s="38">
        <v>55</v>
      </c>
      <c r="AF4161" s="76">
        <f t="shared" si="394"/>
        <v>190039.22999999986</v>
      </c>
    </row>
    <row r="4162" spans="7:32" ht="8.25" customHeight="1" x14ac:dyDescent="0.25">
      <c r="N4162" s="52">
        <v>37</v>
      </c>
      <c r="T4162" s="33">
        <v>46184</v>
      </c>
      <c r="U4162" s="34">
        <v>2026</v>
      </c>
      <c r="V4162" s="35" t="s">
        <v>1588</v>
      </c>
      <c r="W4162" s="35" t="s">
        <v>17</v>
      </c>
      <c r="X4162" s="37" t="s">
        <v>3244</v>
      </c>
      <c r="Y4162" s="36" t="s">
        <v>706</v>
      </c>
      <c r="Z4162" s="30" t="s">
        <v>1869</v>
      </c>
      <c r="AA4162" s="30" t="s">
        <v>3899</v>
      </c>
      <c r="AD4162" s="38">
        <v>9981.0400000000009</v>
      </c>
      <c r="AF4162" s="76">
        <f t="shared" si="394"/>
        <v>200020.26999999987</v>
      </c>
    </row>
    <row r="4163" spans="7:32" ht="8.25" customHeight="1" x14ac:dyDescent="0.15">
      <c r="N4163" s="52">
        <v>37</v>
      </c>
      <c r="T4163" s="33">
        <v>46184</v>
      </c>
      <c r="U4163" s="34">
        <v>2026</v>
      </c>
      <c r="V4163" s="35" t="s">
        <v>1588</v>
      </c>
      <c r="W4163" s="35" t="s">
        <v>17</v>
      </c>
      <c r="X4163" s="37" t="s">
        <v>3244</v>
      </c>
      <c r="Y4163" s="36" t="s">
        <v>2644</v>
      </c>
      <c r="Z4163" s="30" t="s">
        <v>1869</v>
      </c>
      <c r="AA4163" s="134" t="s">
        <v>166</v>
      </c>
      <c r="AD4163" s="38">
        <v>6348.96</v>
      </c>
      <c r="AF4163" s="76">
        <f t="shared" si="394"/>
        <v>206369.22999999986</v>
      </c>
    </row>
    <row r="4164" spans="7:32" ht="8.25" customHeight="1" x14ac:dyDescent="0.25">
      <c r="N4164" s="52">
        <v>37</v>
      </c>
      <c r="T4164" s="33">
        <v>46184</v>
      </c>
      <c r="U4164" s="34">
        <v>2026</v>
      </c>
      <c r="V4164" s="35" t="s">
        <v>1588</v>
      </c>
      <c r="W4164" s="35" t="s">
        <v>17</v>
      </c>
      <c r="X4164" s="37" t="s">
        <v>3244</v>
      </c>
      <c r="Y4164" s="36" t="s">
        <v>2644</v>
      </c>
      <c r="Z4164" s="30" t="s">
        <v>1869</v>
      </c>
      <c r="AA4164" s="30" t="s">
        <v>3305</v>
      </c>
      <c r="AD4164" s="38">
        <v>170</v>
      </c>
      <c r="AF4164" s="76">
        <f t="shared" si="394"/>
        <v>206539.22999999986</v>
      </c>
    </row>
    <row r="4165" spans="7:32" ht="8.25" customHeight="1" x14ac:dyDescent="0.15">
      <c r="I4165" s="52">
        <v>28</v>
      </c>
      <c r="T4165" s="33">
        <v>46184</v>
      </c>
      <c r="U4165" s="34">
        <v>2026</v>
      </c>
      <c r="V4165" s="35" t="s">
        <v>1588</v>
      </c>
      <c r="W4165" s="35" t="s">
        <v>17</v>
      </c>
      <c r="X4165" s="37" t="s">
        <v>3250</v>
      </c>
      <c r="Y4165" s="36" t="s">
        <v>951</v>
      </c>
      <c r="Z4165" s="30" t="s">
        <v>1669</v>
      </c>
      <c r="AA4165" s="134" t="s">
        <v>13</v>
      </c>
      <c r="AD4165" s="38">
        <v>500</v>
      </c>
      <c r="AF4165" s="76">
        <f t="shared" si="394"/>
        <v>207039.22999999986</v>
      </c>
    </row>
    <row r="4166" spans="7:32" ht="8.25" customHeight="1" x14ac:dyDescent="0.15">
      <c r="I4166" s="52">
        <v>29</v>
      </c>
      <c r="T4166" s="33">
        <v>46184</v>
      </c>
      <c r="U4166" s="34">
        <v>2026</v>
      </c>
      <c r="V4166" s="35" t="s">
        <v>1588</v>
      </c>
      <c r="W4166" s="35" t="s">
        <v>17</v>
      </c>
      <c r="X4166" s="37" t="s">
        <v>3251</v>
      </c>
      <c r="Y4166" s="36" t="s">
        <v>1435</v>
      </c>
      <c r="Z4166" s="30" t="s">
        <v>1669</v>
      </c>
      <c r="AA4166" s="134" t="s">
        <v>13</v>
      </c>
      <c r="AD4166" s="38">
        <v>500</v>
      </c>
      <c r="AF4166" s="76">
        <f t="shared" si="394"/>
        <v>207539.22999999986</v>
      </c>
    </row>
    <row r="4167" spans="7:32" ht="8.25" customHeight="1" x14ac:dyDescent="0.15">
      <c r="I4167" s="52">
        <v>30</v>
      </c>
      <c r="T4167" s="33">
        <v>46184</v>
      </c>
      <c r="U4167" s="34">
        <v>2026</v>
      </c>
      <c r="V4167" s="35" t="s">
        <v>1588</v>
      </c>
      <c r="W4167" s="35" t="s">
        <v>17</v>
      </c>
      <c r="X4167" s="37" t="s">
        <v>3254</v>
      </c>
      <c r="Y4167" s="36" t="s">
        <v>3256</v>
      </c>
      <c r="Z4167" s="30" t="s">
        <v>3058</v>
      </c>
      <c r="AA4167" s="134" t="s">
        <v>13</v>
      </c>
      <c r="AD4167" s="38">
        <v>3977.27</v>
      </c>
      <c r="AF4167" s="76">
        <f t="shared" si="394"/>
        <v>211516.49999999985</v>
      </c>
    </row>
    <row r="4168" spans="7:32" ht="8.25" customHeight="1" x14ac:dyDescent="0.25">
      <c r="T4168" s="33">
        <v>46184</v>
      </c>
      <c r="U4168" s="34">
        <v>2026</v>
      </c>
      <c r="V4168" s="35" t="s">
        <v>1588</v>
      </c>
      <c r="W4168" s="35" t="s">
        <v>5</v>
      </c>
      <c r="X4168" s="37" t="s">
        <v>3257</v>
      </c>
      <c r="Y4168" s="36" t="s">
        <v>411</v>
      </c>
      <c r="Z4168" s="30" t="s">
        <v>3221</v>
      </c>
      <c r="AA4168" s="30" t="s">
        <v>2719</v>
      </c>
      <c r="AE4168" s="38">
        <v>3977.27</v>
      </c>
      <c r="AF4168" s="76">
        <f t="shared" si="394"/>
        <v>207539.22999999986</v>
      </c>
    </row>
    <row r="4169" spans="7:32" ht="8.25" customHeight="1" x14ac:dyDescent="0.25">
      <c r="M4169" s="52">
        <v>10</v>
      </c>
      <c r="T4169" s="33">
        <v>46184</v>
      </c>
      <c r="U4169" s="34">
        <v>2026</v>
      </c>
      <c r="V4169" s="35" t="s">
        <v>1588</v>
      </c>
      <c r="W4169" s="35" t="s">
        <v>17</v>
      </c>
      <c r="X4169" s="37" t="s">
        <v>3255</v>
      </c>
      <c r="Y4169" s="36" t="s">
        <v>120</v>
      </c>
      <c r="Z4169" s="30" t="s">
        <v>3058</v>
      </c>
      <c r="AA4169" s="30" t="s">
        <v>385</v>
      </c>
      <c r="AD4169" s="38">
        <v>795.46</v>
      </c>
      <c r="AF4169" s="76">
        <f t="shared" si="394"/>
        <v>208334.68999999986</v>
      </c>
    </row>
    <row r="4170" spans="7:32" ht="8.25" customHeight="1" x14ac:dyDescent="0.25">
      <c r="T4170" s="33">
        <v>46184</v>
      </c>
      <c r="U4170" s="34">
        <v>2026</v>
      </c>
      <c r="V4170" s="35" t="s">
        <v>1588</v>
      </c>
      <c r="W4170" s="35" t="s">
        <v>5</v>
      </c>
      <c r="X4170" s="37" t="s">
        <v>3258</v>
      </c>
      <c r="Y4170" s="36" t="s">
        <v>411</v>
      </c>
      <c r="Z4170" s="30" t="s">
        <v>3221</v>
      </c>
      <c r="AA4170" s="30" t="s">
        <v>2719</v>
      </c>
      <c r="AE4170" s="38">
        <v>795.46</v>
      </c>
      <c r="AF4170" s="76">
        <f t="shared" si="394"/>
        <v>207539.22999999986</v>
      </c>
    </row>
    <row r="4171" spans="7:32" ht="8.25" customHeight="1" x14ac:dyDescent="0.25">
      <c r="R4171" s="53">
        <v>15</v>
      </c>
      <c r="T4171" s="33">
        <v>46184</v>
      </c>
      <c r="U4171" s="34">
        <v>2026</v>
      </c>
      <c r="V4171" s="35" t="s">
        <v>1588</v>
      </c>
      <c r="W4171" s="35" t="s">
        <v>5</v>
      </c>
      <c r="X4171" s="37" t="s">
        <v>3238</v>
      </c>
      <c r="Y4171" s="36" t="s">
        <v>738</v>
      </c>
      <c r="Z4171" s="30" t="s">
        <v>1060</v>
      </c>
      <c r="AA4171" s="30" t="s">
        <v>1050</v>
      </c>
      <c r="AE4171" s="38">
        <v>500</v>
      </c>
      <c r="AF4171" s="76">
        <f t="shared" si="394"/>
        <v>207039.22999999986</v>
      </c>
    </row>
    <row r="4172" spans="7:32" ht="8.25" customHeight="1" x14ac:dyDescent="0.25">
      <c r="R4172" s="53">
        <v>16</v>
      </c>
      <c r="T4172" s="33">
        <v>46184</v>
      </c>
      <c r="U4172" s="34">
        <v>2026</v>
      </c>
      <c r="V4172" s="35" t="s">
        <v>1588</v>
      </c>
      <c r="W4172" s="35" t="s">
        <v>5</v>
      </c>
      <c r="X4172" s="37" t="s">
        <v>3239</v>
      </c>
      <c r="Y4172" s="36" t="s">
        <v>364</v>
      </c>
      <c r="Z4172" s="30" t="s">
        <v>1438</v>
      </c>
      <c r="AA4172" s="30" t="s">
        <v>1050</v>
      </c>
      <c r="AE4172" s="38">
        <v>1500</v>
      </c>
      <c r="AF4172" s="76">
        <f t="shared" si="394"/>
        <v>205539.22999999986</v>
      </c>
    </row>
    <row r="4173" spans="7:32" ht="8.25" customHeight="1" x14ac:dyDescent="0.25">
      <c r="R4173" s="53">
        <v>17</v>
      </c>
      <c r="T4173" s="33">
        <v>46184</v>
      </c>
      <c r="U4173" s="34">
        <v>2026</v>
      </c>
      <c r="V4173" s="35" t="s">
        <v>1588</v>
      </c>
      <c r="W4173" s="35" t="s">
        <v>5</v>
      </c>
      <c r="X4173" s="37" t="s">
        <v>3240</v>
      </c>
      <c r="Y4173" s="36" t="s">
        <v>2304</v>
      </c>
      <c r="Z4173" s="30" t="s">
        <v>3241</v>
      </c>
      <c r="AA4173" s="30" t="s">
        <v>1050</v>
      </c>
      <c r="AE4173" s="38">
        <v>500</v>
      </c>
      <c r="AF4173" s="76">
        <f t="shared" si="394"/>
        <v>205039.22999999986</v>
      </c>
    </row>
    <row r="4174" spans="7:32" ht="8.25" customHeight="1" x14ac:dyDescent="0.25">
      <c r="R4174" s="53">
        <v>18</v>
      </c>
      <c r="T4174" s="33">
        <v>46184</v>
      </c>
      <c r="U4174" s="34">
        <v>2026</v>
      </c>
      <c r="V4174" s="35" t="s">
        <v>1588</v>
      </c>
      <c r="W4174" s="35" t="s">
        <v>5</v>
      </c>
      <c r="X4174" s="37" t="s">
        <v>3248</v>
      </c>
      <c r="Y4174" s="36" t="s">
        <v>2012</v>
      </c>
      <c r="Z4174" s="30" t="s">
        <v>1942</v>
      </c>
      <c r="AA4174" s="30" t="s">
        <v>1050</v>
      </c>
      <c r="AE4174" s="38">
        <v>300</v>
      </c>
      <c r="AF4174" s="76">
        <f t="shared" si="394"/>
        <v>204739.22999999986</v>
      </c>
    </row>
    <row r="4175" spans="7:32" ht="8.25" customHeight="1" x14ac:dyDescent="0.25">
      <c r="R4175" s="53">
        <v>19</v>
      </c>
      <c r="T4175" s="33">
        <v>46184</v>
      </c>
      <c r="U4175" s="34">
        <v>2026</v>
      </c>
      <c r="V4175" s="35" t="s">
        <v>1588</v>
      </c>
      <c r="W4175" s="35" t="s">
        <v>5</v>
      </c>
      <c r="X4175" s="37" t="s">
        <v>3249</v>
      </c>
      <c r="Y4175" s="36" t="s">
        <v>951</v>
      </c>
      <c r="Z4175" s="30" t="s">
        <v>1669</v>
      </c>
      <c r="AA4175" s="30" t="s">
        <v>1050</v>
      </c>
      <c r="AE4175" s="38">
        <v>500</v>
      </c>
      <c r="AF4175" s="76">
        <f t="shared" si="394"/>
        <v>204239.22999999986</v>
      </c>
    </row>
    <row r="4176" spans="7:32" ht="8.25" customHeight="1" x14ac:dyDescent="0.25">
      <c r="G4176" s="53">
        <v>4</v>
      </c>
      <c r="T4176" s="33">
        <v>46184</v>
      </c>
      <c r="U4176" s="34">
        <v>2026</v>
      </c>
      <c r="V4176" s="35" t="s">
        <v>1588</v>
      </c>
      <c r="W4176" s="35" t="s">
        <v>5</v>
      </c>
      <c r="X4176" s="37" t="s">
        <v>3245</v>
      </c>
      <c r="Y4176" s="36" t="s">
        <v>3246</v>
      </c>
      <c r="Z4176" s="30" t="s">
        <v>3247</v>
      </c>
      <c r="AA4176" s="30" t="s">
        <v>3945</v>
      </c>
      <c r="AE4176" s="38">
        <v>7610</v>
      </c>
      <c r="AF4176" s="76">
        <f t="shared" si="394"/>
        <v>196629.22999999986</v>
      </c>
    </row>
    <row r="4177" spans="20:32" ht="8.25" customHeight="1" x14ac:dyDescent="0.25">
      <c r="T4177" s="33">
        <v>46184</v>
      </c>
      <c r="U4177" s="34">
        <v>2026</v>
      </c>
      <c r="V4177" s="35" t="s">
        <v>1588</v>
      </c>
      <c r="W4177" s="35" t="s">
        <v>5</v>
      </c>
      <c r="X4177" s="37" t="s">
        <v>3252</v>
      </c>
      <c r="Y4177" s="36" t="s">
        <v>411</v>
      </c>
      <c r="Z4177" s="30" t="s">
        <v>3162</v>
      </c>
      <c r="AA4177" s="30" t="s">
        <v>3108</v>
      </c>
      <c r="AE4177" s="38">
        <v>100000</v>
      </c>
      <c r="AF4177" s="76">
        <f>AF4176+AD4177-AE4177</f>
        <v>96629.229999999865</v>
      </c>
    </row>
    <row r="4178" spans="20:32" ht="8.25" customHeight="1" thickBot="1" x14ac:dyDescent="0.3">
      <c r="AA4178" s="260" t="s">
        <v>2893</v>
      </c>
      <c r="AD4178" s="253">
        <f>SUM(AD4158:AD4177)</f>
        <v>46372.729999999996</v>
      </c>
      <c r="AE4178" s="253">
        <f>SUM(AE4158:AE4177)</f>
        <v>115682.73</v>
      </c>
      <c r="AF4178" s="233">
        <f>AF4157+AD4178-AE4178</f>
        <v>96629.22999999985</v>
      </c>
    </row>
    <row r="4179" spans="20:32" ht="8.25" customHeight="1" thickTop="1" x14ac:dyDescent="0.25"/>
    <row r="4180" spans="20:32" ht="8.25" customHeight="1" x14ac:dyDescent="0.25">
      <c r="X4180" s="109"/>
      <c r="Y4180" s="67" t="s">
        <v>214</v>
      </c>
      <c r="Z4180" s="68"/>
      <c r="AA4180" s="75"/>
      <c r="AD4180" s="38" t="s">
        <v>1</v>
      </c>
    </row>
    <row r="4181" spans="20:32" ht="8.25" customHeight="1" x14ac:dyDescent="0.25">
      <c r="X4181" s="110" t="s">
        <v>1383</v>
      </c>
      <c r="Y4181" s="111">
        <v>200</v>
      </c>
      <c r="Z4181" s="111">
        <f t="shared" ref="Z4181:Z4186" si="395">X4181*Y4181</f>
        <v>24200</v>
      </c>
      <c r="AA4181" s="112"/>
    </row>
    <row r="4182" spans="20:32" ht="8.25" customHeight="1" x14ac:dyDescent="0.25">
      <c r="X4182" s="110" t="s">
        <v>3253</v>
      </c>
      <c r="Y4182" s="111">
        <v>100</v>
      </c>
      <c r="Z4182" s="111">
        <f t="shared" si="395"/>
        <v>70500</v>
      </c>
      <c r="AA4182" s="112"/>
    </row>
    <row r="4183" spans="20:32" ht="8.25" customHeight="1" x14ac:dyDescent="0.25">
      <c r="X4183" s="110" t="s">
        <v>222</v>
      </c>
      <c r="Y4183" s="111">
        <v>50</v>
      </c>
      <c r="Z4183" s="111">
        <f t="shared" si="395"/>
        <v>50</v>
      </c>
      <c r="AA4183" s="76"/>
    </row>
    <row r="4184" spans="20:32" ht="8.25" customHeight="1" x14ac:dyDescent="0.25">
      <c r="X4184" s="110" t="s">
        <v>224</v>
      </c>
      <c r="Y4184" s="111">
        <v>20</v>
      </c>
      <c r="Z4184" s="111">
        <f t="shared" si="395"/>
        <v>40</v>
      </c>
      <c r="AA4184" s="38"/>
    </row>
    <row r="4185" spans="20:32" ht="8.25" customHeight="1" x14ac:dyDescent="0.25">
      <c r="X4185" s="110" t="s">
        <v>222</v>
      </c>
      <c r="Y4185" s="111">
        <v>10</v>
      </c>
      <c r="Z4185" s="111">
        <f t="shared" si="395"/>
        <v>10</v>
      </c>
      <c r="AA4185" s="112"/>
    </row>
    <row r="4186" spans="20:32" ht="8.25" customHeight="1" x14ac:dyDescent="0.25">
      <c r="X4186" s="110" t="s">
        <v>1731</v>
      </c>
      <c r="Y4186" s="111">
        <v>5</v>
      </c>
      <c r="Z4186" s="111">
        <f t="shared" si="395"/>
        <v>1295</v>
      </c>
      <c r="AA4186" s="112"/>
    </row>
    <row r="4187" spans="20:32" ht="8.25" customHeight="1" x14ac:dyDescent="0.25">
      <c r="X4187" s="269"/>
      <c r="Y4187" s="270"/>
      <c r="Z4187" s="271"/>
      <c r="AA4187" s="38"/>
    </row>
    <row r="4188" spans="20:32" ht="8.25" customHeight="1" x14ac:dyDescent="0.25">
      <c r="X4188" s="110" t="s">
        <v>3231</v>
      </c>
      <c r="Y4188" s="111">
        <v>1</v>
      </c>
      <c r="Z4188" s="111">
        <f t="shared" ref="Z4188:Z4193" si="396">X4188*Y4188</f>
        <v>449</v>
      </c>
      <c r="AA4188" s="76"/>
    </row>
    <row r="4189" spans="20:32" ht="8.25" customHeight="1" x14ac:dyDescent="0.25">
      <c r="X4189" s="110" t="s">
        <v>259</v>
      </c>
      <c r="Y4189" s="111">
        <v>0.5</v>
      </c>
      <c r="Z4189" s="111">
        <f t="shared" si="396"/>
        <v>40</v>
      </c>
      <c r="AA4189" s="112"/>
    </row>
    <row r="4190" spans="20:32" ht="8.25" customHeight="1" x14ac:dyDescent="0.25">
      <c r="X4190" s="110" t="s">
        <v>1878</v>
      </c>
      <c r="Y4190" s="111">
        <v>0.25</v>
      </c>
      <c r="Z4190" s="111">
        <f t="shared" si="396"/>
        <v>45</v>
      </c>
      <c r="AA4190" s="113"/>
    </row>
    <row r="4191" spans="20:32" ht="8.25" customHeight="1" x14ac:dyDescent="0.25">
      <c r="X4191" s="110" t="s">
        <v>224</v>
      </c>
      <c r="Y4191" s="111">
        <v>0.1</v>
      </c>
      <c r="Z4191" s="111">
        <f t="shared" si="396"/>
        <v>0.2</v>
      </c>
      <c r="AA4191" s="114" t="s">
        <v>219</v>
      </c>
    </row>
    <row r="4192" spans="20:32" ht="8.25" customHeight="1" thickBot="1" x14ac:dyDescent="0.3">
      <c r="X4192" s="110"/>
      <c r="Y4192" s="111">
        <v>0.05</v>
      </c>
      <c r="Z4192" s="111">
        <f t="shared" si="396"/>
        <v>0</v>
      </c>
      <c r="AA4192" s="115">
        <f>SUM(Z4181:Z4186)+Z4188+Z4189+Z4190+Z4191+Z4192+Z4193</f>
        <v>96629.23</v>
      </c>
    </row>
    <row r="4193" spans="3:32" ht="8.25" customHeight="1" thickTop="1" x14ac:dyDescent="0.25">
      <c r="X4193" s="110" t="s">
        <v>223</v>
      </c>
      <c r="Y4193" s="111">
        <v>0.01</v>
      </c>
      <c r="Z4193" s="111">
        <f t="shared" si="396"/>
        <v>0.03</v>
      </c>
    </row>
    <row r="4195" spans="3:32" ht="8.25" customHeight="1" x14ac:dyDescent="0.25">
      <c r="Z4195" s="231" t="s">
        <v>1376</v>
      </c>
      <c r="AF4195" s="76">
        <f>AF4177</f>
        <v>96629.229999999865</v>
      </c>
    </row>
    <row r="4196" spans="3:32" ht="8.25" customHeight="1" x14ac:dyDescent="0.25">
      <c r="N4196" s="52">
        <v>38</v>
      </c>
      <c r="T4196" s="33">
        <v>46185</v>
      </c>
      <c r="U4196" s="34">
        <v>2026</v>
      </c>
      <c r="V4196" s="35" t="s">
        <v>1588</v>
      </c>
      <c r="W4196" s="35" t="s">
        <v>17</v>
      </c>
      <c r="X4196" s="37" t="s">
        <v>3260</v>
      </c>
      <c r="Y4196" s="36" t="s">
        <v>433</v>
      </c>
      <c r="Z4196" s="30" t="s">
        <v>1538</v>
      </c>
      <c r="AA4196" s="30" t="s">
        <v>3899</v>
      </c>
      <c r="AD4196" s="38">
        <v>12611.76</v>
      </c>
      <c r="AF4196" s="76">
        <f>SUM(AF4195+AD4196-AE4196)</f>
        <v>109240.98999999986</v>
      </c>
    </row>
    <row r="4197" spans="3:32" ht="8.25" customHeight="1" x14ac:dyDescent="0.15">
      <c r="N4197" s="52">
        <v>38</v>
      </c>
      <c r="T4197" s="33">
        <v>46185</v>
      </c>
      <c r="U4197" s="34">
        <v>2026</v>
      </c>
      <c r="V4197" s="35" t="s">
        <v>1588</v>
      </c>
      <c r="W4197" s="35" t="s">
        <v>17</v>
      </c>
      <c r="X4197" s="37" t="s">
        <v>3260</v>
      </c>
      <c r="Y4197" s="36" t="s">
        <v>433</v>
      </c>
      <c r="Z4197" s="30" t="s">
        <v>1538</v>
      </c>
      <c r="AA4197" s="134" t="s">
        <v>166</v>
      </c>
      <c r="AD4197" s="38">
        <v>2388.2399999999998</v>
      </c>
      <c r="AF4197" s="76">
        <f t="shared" ref="AF4197:AF4205" si="397">SUM(AF4196+AD4197-AE4197)</f>
        <v>111629.22999999986</v>
      </c>
    </row>
    <row r="4198" spans="3:32" ht="8.25" customHeight="1" x14ac:dyDescent="0.15">
      <c r="I4198" s="52">
        <v>31</v>
      </c>
      <c r="T4198" s="33">
        <v>46185</v>
      </c>
      <c r="U4198" s="34">
        <v>2026</v>
      </c>
      <c r="V4198" s="35" t="s">
        <v>1588</v>
      </c>
      <c r="W4198" s="35" t="s">
        <v>17</v>
      </c>
      <c r="X4198" s="37" t="s">
        <v>3261</v>
      </c>
      <c r="Y4198" s="36" t="s">
        <v>1435</v>
      </c>
      <c r="Z4198" s="30" t="s">
        <v>1669</v>
      </c>
      <c r="AA4198" s="134" t="s">
        <v>13</v>
      </c>
      <c r="AD4198" s="38">
        <v>26000</v>
      </c>
      <c r="AF4198" s="76">
        <f t="shared" si="397"/>
        <v>137629.22999999986</v>
      </c>
    </row>
    <row r="4199" spans="3:32" ht="8.25" customHeight="1" x14ac:dyDescent="0.25">
      <c r="T4199" s="33">
        <v>46185</v>
      </c>
      <c r="U4199" s="34">
        <v>2026</v>
      </c>
      <c r="V4199" s="35" t="s">
        <v>1588</v>
      </c>
      <c r="W4199" s="35" t="s">
        <v>5</v>
      </c>
      <c r="X4199" s="37" t="s">
        <v>3262</v>
      </c>
      <c r="Y4199" s="36" t="s">
        <v>411</v>
      </c>
      <c r="Z4199" s="30" t="s">
        <v>3162</v>
      </c>
      <c r="AA4199" s="30" t="s">
        <v>2719</v>
      </c>
      <c r="AE4199" s="38">
        <v>26000</v>
      </c>
      <c r="AF4199" s="76">
        <f t="shared" si="397"/>
        <v>111629.22999999986</v>
      </c>
    </row>
    <row r="4200" spans="3:32" ht="8.25" customHeight="1" x14ac:dyDescent="0.25">
      <c r="C4200" s="52">
        <v>1</v>
      </c>
      <c r="T4200" s="33">
        <v>46185</v>
      </c>
      <c r="U4200" s="34">
        <v>2026</v>
      </c>
      <c r="V4200" s="35" t="s">
        <v>1588</v>
      </c>
      <c r="W4200" s="35" t="s">
        <v>3620</v>
      </c>
      <c r="X4200" s="37" t="s">
        <v>3266</v>
      </c>
      <c r="Y4200" s="36" t="s">
        <v>3267</v>
      </c>
      <c r="Z4200" s="30" t="s">
        <v>1499</v>
      </c>
      <c r="AA4200" s="30" t="s">
        <v>340</v>
      </c>
      <c r="AD4200" s="38">
        <v>139</v>
      </c>
      <c r="AF4200" s="76">
        <f t="shared" si="397"/>
        <v>111768.22999999986</v>
      </c>
    </row>
    <row r="4201" spans="3:32" ht="8.25" customHeight="1" x14ac:dyDescent="0.25">
      <c r="R4201" s="53">
        <v>20</v>
      </c>
      <c r="T4201" s="33">
        <v>46185</v>
      </c>
      <c r="U4201" s="34">
        <v>2026</v>
      </c>
      <c r="V4201" s="35" t="s">
        <v>1588</v>
      </c>
      <c r="W4201" s="35" t="s">
        <v>5</v>
      </c>
      <c r="X4201" s="37" t="s">
        <v>3259</v>
      </c>
      <c r="Y4201" s="36" t="s">
        <v>114</v>
      </c>
      <c r="Z4201" s="30" t="s">
        <v>14</v>
      </c>
      <c r="AA4201" s="30" t="s">
        <v>1050</v>
      </c>
      <c r="AE4201" s="38">
        <v>2000</v>
      </c>
      <c r="AF4201" s="76">
        <f t="shared" si="397"/>
        <v>109768.22999999986</v>
      </c>
    </row>
    <row r="4202" spans="3:32" ht="8.25" customHeight="1" x14ac:dyDescent="0.25">
      <c r="R4202" s="53">
        <v>21</v>
      </c>
      <c r="T4202" s="33">
        <v>46185</v>
      </c>
      <c r="U4202" s="34">
        <v>2026</v>
      </c>
      <c r="V4202" s="35" t="s">
        <v>1588</v>
      </c>
      <c r="W4202" s="35" t="s">
        <v>5</v>
      </c>
      <c r="X4202" s="37" t="s">
        <v>3263</v>
      </c>
      <c r="Y4202" s="36" t="s">
        <v>825</v>
      </c>
      <c r="Z4202" s="30" t="s">
        <v>1049</v>
      </c>
      <c r="AA4202" s="30" t="s">
        <v>1050</v>
      </c>
      <c r="AE4202" s="38">
        <v>200</v>
      </c>
      <c r="AF4202" s="76">
        <f t="shared" si="397"/>
        <v>109568.22999999986</v>
      </c>
    </row>
    <row r="4203" spans="3:32" ht="8.25" customHeight="1" x14ac:dyDescent="0.25">
      <c r="R4203" s="53">
        <v>22</v>
      </c>
      <c r="T4203" s="33">
        <v>46185</v>
      </c>
      <c r="U4203" s="34">
        <v>2026</v>
      </c>
      <c r="V4203" s="35" t="s">
        <v>1588</v>
      </c>
      <c r="W4203" s="35" t="s">
        <v>5</v>
      </c>
      <c r="X4203" s="37" t="s">
        <v>3264</v>
      </c>
      <c r="Y4203" s="36" t="s">
        <v>2987</v>
      </c>
      <c r="Z4203" s="30" t="s">
        <v>2984</v>
      </c>
      <c r="AA4203" s="30" t="s">
        <v>1050</v>
      </c>
      <c r="AE4203" s="38">
        <v>4000</v>
      </c>
      <c r="AF4203" s="76">
        <f t="shared" si="397"/>
        <v>105568.22999999986</v>
      </c>
    </row>
    <row r="4204" spans="3:32" ht="8.25" customHeight="1" x14ac:dyDescent="0.25">
      <c r="R4204" s="53">
        <v>23</v>
      </c>
      <c r="T4204" s="33">
        <v>46185</v>
      </c>
      <c r="U4204" s="34">
        <v>2026</v>
      </c>
      <c r="V4204" s="35" t="s">
        <v>1588</v>
      </c>
      <c r="W4204" s="35" t="s">
        <v>5</v>
      </c>
      <c r="X4204" s="37" t="s">
        <v>3265</v>
      </c>
      <c r="Y4204" s="36" t="s">
        <v>262</v>
      </c>
      <c r="Z4204" s="30" t="s">
        <v>1600</v>
      </c>
      <c r="AA4204" s="30" t="s">
        <v>1050</v>
      </c>
      <c r="AE4204" s="38">
        <v>1000</v>
      </c>
      <c r="AF4204" s="76">
        <f t="shared" si="397"/>
        <v>104568.22999999986</v>
      </c>
    </row>
    <row r="4205" spans="3:32" ht="8.25" customHeight="1" x14ac:dyDescent="0.25">
      <c r="G4205" s="53">
        <v>5</v>
      </c>
      <c r="T4205" s="33">
        <v>46185</v>
      </c>
      <c r="U4205" s="34">
        <v>2026</v>
      </c>
      <c r="V4205" s="35" t="s">
        <v>1588</v>
      </c>
      <c r="W4205" s="35" t="s">
        <v>2655</v>
      </c>
      <c r="X4205" s="37" t="s">
        <v>3269</v>
      </c>
      <c r="Y4205" s="36" t="s">
        <v>3268</v>
      </c>
      <c r="Z4205" s="30" t="s">
        <v>1999</v>
      </c>
      <c r="AA4205" s="30" t="s">
        <v>3945</v>
      </c>
      <c r="AE4205" s="38">
        <v>5320</v>
      </c>
      <c r="AF4205" s="76">
        <f t="shared" si="397"/>
        <v>99248.229999999865</v>
      </c>
    </row>
    <row r="4206" spans="3:32" ht="8.25" customHeight="1" thickBot="1" x14ac:dyDescent="0.3">
      <c r="AA4206" s="260" t="s">
        <v>2893</v>
      </c>
      <c r="AD4206" s="253">
        <f>SUM(AD4196:AD4205)</f>
        <v>41139</v>
      </c>
      <c r="AE4206" s="253">
        <f>SUM(AE4196:AE4205)</f>
        <v>38520</v>
      </c>
      <c r="AF4206" s="233">
        <f>AF4195+AD4206-AE4206</f>
        <v>99248.229999999865</v>
      </c>
    </row>
    <row r="4207" spans="3:32" ht="8.25" customHeight="1" thickTop="1" x14ac:dyDescent="0.25">
      <c r="AA4207" s="260"/>
    </row>
    <row r="4208" spans="3:32" ht="8.25" customHeight="1" x14ac:dyDescent="0.25">
      <c r="X4208" s="109"/>
      <c r="Y4208" s="67" t="s">
        <v>214</v>
      </c>
      <c r="Z4208" s="68"/>
      <c r="AA4208" s="75"/>
    </row>
    <row r="4209" spans="14:32" ht="8.25" customHeight="1" x14ac:dyDescent="0.25">
      <c r="X4209" s="110" t="s">
        <v>1383</v>
      </c>
      <c r="Y4209" s="111">
        <v>200</v>
      </c>
      <c r="Z4209" s="111">
        <f t="shared" ref="Z4209:Z4214" si="398">X4209*Y4209</f>
        <v>24200</v>
      </c>
      <c r="AA4209" s="112"/>
    </row>
    <row r="4210" spans="14:32" ht="8.25" customHeight="1" x14ac:dyDescent="0.25">
      <c r="X4210" s="110" t="s">
        <v>3272</v>
      </c>
      <c r="Y4210" s="111">
        <v>100</v>
      </c>
      <c r="Z4210" s="111">
        <f t="shared" si="398"/>
        <v>73100</v>
      </c>
      <c r="AA4210" s="112"/>
    </row>
    <row r="4211" spans="14:32" ht="8.25" customHeight="1" x14ac:dyDescent="0.25">
      <c r="X4211" s="110" t="s">
        <v>224</v>
      </c>
      <c r="Y4211" s="111">
        <v>50</v>
      </c>
      <c r="Z4211" s="111">
        <f t="shared" si="398"/>
        <v>100</v>
      </c>
      <c r="AA4211" s="76"/>
    </row>
    <row r="4212" spans="14:32" ht="8.25" customHeight="1" x14ac:dyDescent="0.25">
      <c r="X4212" s="110" t="s">
        <v>222</v>
      </c>
      <c r="Y4212" s="111">
        <v>20</v>
      </c>
      <c r="Z4212" s="111">
        <f t="shared" si="398"/>
        <v>20</v>
      </c>
      <c r="AA4212" s="38"/>
    </row>
    <row r="4213" spans="14:32" ht="8.25" customHeight="1" x14ac:dyDescent="0.25">
      <c r="X4213" s="110" t="s">
        <v>222</v>
      </c>
      <c r="Y4213" s="111">
        <v>10</v>
      </c>
      <c r="Z4213" s="111">
        <f t="shared" si="398"/>
        <v>10</v>
      </c>
      <c r="AA4213" s="112"/>
    </row>
    <row r="4214" spans="14:32" ht="8.25" customHeight="1" x14ac:dyDescent="0.25">
      <c r="X4214" s="110" t="s">
        <v>3271</v>
      </c>
      <c r="Y4214" s="111">
        <v>5</v>
      </c>
      <c r="Z4214" s="111">
        <f t="shared" si="398"/>
        <v>1285</v>
      </c>
      <c r="AA4214" s="112"/>
    </row>
    <row r="4215" spans="14:32" ht="8.25" customHeight="1" x14ac:dyDescent="0.25">
      <c r="X4215" s="269"/>
      <c r="Y4215" s="270"/>
      <c r="Z4215" s="271"/>
      <c r="AA4215" s="38"/>
    </row>
    <row r="4216" spans="14:32" ht="8.25" customHeight="1" x14ac:dyDescent="0.25">
      <c r="X4216" s="110" t="s">
        <v>3270</v>
      </c>
      <c r="Y4216" s="111">
        <v>1</v>
      </c>
      <c r="Z4216" s="111">
        <f t="shared" ref="Z4216:Z4221" si="399">X4216*Y4216</f>
        <v>448</v>
      </c>
      <c r="AA4216" s="76"/>
    </row>
    <row r="4217" spans="14:32" ht="8.25" customHeight="1" x14ac:dyDescent="0.25">
      <c r="X4217" s="110" t="s">
        <v>259</v>
      </c>
      <c r="Y4217" s="111">
        <v>0.5</v>
      </c>
      <c r="Z4217" s="111">
        <f t="shared" si="399"/>
        <v>40</v>
      </c>
      <c r="AA4217" s="112"/>
    </row>
    <row r="4218" spans="14:32" ht="8.25" customHeight="1" x14ac:dyDescent="0.25">
      <c r="X4218" s="110" t="s">
        <v>1878</v>
      </c>
      <c r="Y4218" s="111">
        <v>0.25</v>
      </c>
      <c r="Z4218" s="111">
        <f t="shared" si="399"/>
        <v>45</v>
      </c>
      <c r="AA4218" s="113"/>
    </row>
    <row r="4219" spans="14:32" ht="8.25" customHeight="1" x14ac:dyDescent="0.25">
      <c r="X4219" s="110" t="s">
        <v>224</v>
      </c>
      <c r="Y4219" s="111">
        <v>0.1</v>
      </c>
      <c r="Z4219" s="111">
        <f t="shared" si="399"/>
        <v>0.2</v>
      </c>
      <c r="AA4219" s="114" t="s">
        <v>219</v>
      </c>
    </row>
    <row r="4220" spans="14:32" ht="8.25" customHeight="1" thickBot="1" x14ac:dyDescent="0.3">
      <c r="X4220" s="110"/>
      <c r="Y4220" s="111">
        <v>0.05</v>
      </c>
      <c r="Z4220" s="111">
        <f t="shared" si="399"/>
        <v>0</v>
      </c>
      <c r="AA4220" s="115">
        <f>SUM(Z4209:Z4214)+Z4216+Z4217+Z4218+Z4219+Z4220+Z4221</f>
        <v>99248.23</v>
      </c>
    </row>
    <row r="4221" spans="14:32" ht="8.25" customHeight="1" thickTop="1" x14ac:dyDescent="0.25">
      <c r="X4221" s="110" t="s">
        <v>223</v>
      </c>
      <c r="Y4221" s="111">
        <v>0.01</v>
      </c>
      <c r="Z4221" s="111">
        <f t="shared" si="399"/>
        <v>0.03</v>
      </c>
    </row>
    <row r="4223" spans="14:32" ht="8.25" customHeight="1" x14ac:dyDescent="0.25">
      <c r="Z4223" s="231" t="s">
        <v>1376</v>
      </c>
      <c r="AF4223" s="76">
        <f>AF4206</f>
        <v>99248.229999999865</v>
      </c>
    </row>
    <row r="4224" spans="14:32" ht="8.25" customHeight="1" x14ac:dyDescent="0.25">
      <c r="N4224" s="52">
        <v>39</v>
      </c>
      <c r="T4224" s="33">
        <v>46186</v>
      </c>
      <c r="U4224" s="34">
        <v>2026</v>
      </c>
      <c r="V4224" s="35" t="s">
        <v>1588</v>
      </c>
      <c r="W4224" s="35" t="s">
        <v>17</v>
      </c>
      <c r="X4224" s="37" t="s">
        <v>3274</v>
      </c>
      <c r="Y4224" s="36" t="s">
        <v>2038</v>
      </c>
      <c r="Z4224" s="30" t="s">
        <v>1573</v>
      </c>
      <c r="AA4224" s="30" t="s">
        <v>3899</v>
      </c>
      <c r="AD4224" s="38">
        <v>3334.59</v>
      </c>
      <c r="AF4224" s="76">
        <f>AF4223+AD4224-AE4224</f>
        <v>102582.81999999986</v>
      </c>
    </row>
    <row r="4225" spans="7:32" ht="8.25" customHeight="1" x14ac:dyDescent="0.15">
      <c r="N4225" s="52">
        <v>39</v>
      </c>
      <c r="T4225" s="33">
        <v>46186</v>
      </c>
      <c r="U4225" s="34">
        <v>2026</v>
      </c>
      <c r="V4225" s="35" t="s">
        <v>1588</v>
      </c>
      <c r="W4225" s="35" t="s">
        <v>17</v>
      </c>
      <c r="X4225" s="37" t="s">
        <v>3274</v>
      </c>
      <c r="Y4225" s="36" t="s">
        <v>2038</v>
      </c>
      <c r="Z4225" s="30" t="s">
        <v>1573</v>
      </c>
      <c r="AA4225" s="134" t="s">
        <v>166</v>
      </c>
      <c r="AD4225" s="38">
        <v>3940.41</v>
      </c>
      <c r="AF4225" s="76">
        <f t="shared" ref="AF4225:AF4234" si="400">AF4224+AD4225-AE4225</f>
        <v>106523.22999999986</v>
      </c>
    </row>
    <row r="4226" spans="7:32" ht="8.25" customHeight="1" x14ac:dyDescent="0.25">
      <c r="N4226" s="52">
        <v>40</v>
      </c>
      <c r="T4226" s="33">
        <v>46186</v>
      </c>
      <c r="U4226" s="34">
        <v>2026</v>
      </c>
      <c r="V4226" s="35" t="s">
        <v>1588</v>
      </c>
      <c r="W4226" s="35" t="s">
        <v>17</v>
      </c>
      <c r="X4226" s="37" t="s">
        <v>3278</v>
      </c>
      <c r="Y4226" s="36" t="s">
        <v>1552</v>
      </c>
      <c r="Z4226" s="30" t="s">
        <v>1553</v>
      </c>
      <c r="AA4226" s="30" t="s">
        <v>3899</v>
      </c>
      <c r="AD4226" s="38">
        <v>4735.8</v>
      </c>
      <c r="AF4226" s="76">
        <f t="shared" si="400"/>
        <v>111259.02999999987</v>
      </c>
    </row>
    <row r="4227" spans="7:32" ht="8.25" customHeight="1" x14ac:dyDescent="0.15">
      <c r="N4227" s="52">
        <v>40</v>
      </c>
      <c r="T4227" s="33">
        <v>46186</v>
      </c>
      <c r="U4227" s="34">
        <v>2026</v>
      </c>
      <c r="V4227" s="35" t="s">
        <v>1588</v>
      </c>
      <c r="W4227" s="35" t="s">
        <v>17</v>
      </c>
      <c r="X4227" s="37" t="s">
        <v>3278</v>
      </c>
      <c r="Y4227" s="36" t="s">
        <v>1552</v>
      </c>
      <c r="Z4227" s="30" t="s">
        <v>1553</v>
      </c>
      <c r="AA4227" s="134" t="s">
        <v>166</v>
      </c>
      <c r="AD4227" s="38">
        <v>6659.2</v>
      </c>
      <c r="AF4227" s="76">
        <f t="shared" si="400"/>
        <v>117918.22999999986</v>
      </c>
    </row>
    <row r="4228" spans="7:32" ht="8.25" customHeight="1" x14ac:dyDescent="0.15">
      <c r="M4228" s="52">
        <v>11</v>
      </c>
      <c r="T4228" s="33">
        <v>46186</v>
      </c>
      <c r="U4228" s="34">
        <v>2026</v>
      </c>
      <c r="V4228" s="35" t="s">
        <v>1588</v>
      </c>
      <c r="W4228" s="35" t="s">
        <v>17</v>
      </c>
      <c r="X4228" s="37" t="s">
        <v>3283</v>
      </c>
      <c r="Y4228" s="36" t="s">
        <v>120</v>
      </c>
      <c r="Z4228" s="30" t="s">
        <v>2522</v>
      </c>
      <c r="AA4228" s="134" t="s">
        <v>385</v>
      </c>
      <c r="AD4228" s="38">
        <v>113.93</v>
      </c>
      <c r="AF4228" s="76">
        <f t="shared" si="400"/>
        <v>118032.15999999986</v>
      </c>
    </row>
    <row r="4229" spans="7:32" ht="8.25" customHeight="1" x14ac:dyDescent="0.25">
      <c r="N4229" s="52">
        <v>41</v>
      </c>
      <c r="T4229" s="33">
        <v>46186</v>
      </c>
      <c r="U4229" s="34">
        <v>2026</v>
      </c>
      <c r="V4229" s="35" t="s">
        <v>1588</v>
      </c>
      <c r="W4229" s="35" t="s">
        <v>17</v>
      </c>
      <c r="X4229" s="37" t="s">
        <v>3283</v>
      </c>
      <c r="Y4229" s="36" t="s">
        <v>252</v>
      </c>
      <c r="Z4229" s="30" t="s">
        <v>2522</v>
      </c>
      <c r="AA4229" s="30" t="s">
        <v>3899</v>
      </c>
      <c r="AD4229" s="38">
        <v>1570.28</v>
      </c>
      <c r="AF4229" s="76">
        <f t="shared" si="400"/>
        <v>119602.43999999986</v>
      </c>
    </row>
    <row r="4230" spans="7:32" ht="8.25" customHeight="1" x14ac:dyDescent="0.15">
      <c r="N4230" s="52">
        <v>41</v>
      </c>
      <c r="T4230" s="33">
        <v>46186</v>
      </c>
      <c r="U4230" s="34">
        <v>2026</v>
      </c>
      <c r="V4230" s="35" t="s">
        <v>1588</v>
      </c>
      <c r="W4230" s="35" t="s">
        <v>17</v>
      </c>
      <c r="X4230" s="37" t="s">
        <v>3284</v>
      </c>
      <c r="Y4230" s="36" t="s">
        <v>252</v>
      </c>
      <c r="Z4230" s="30" t="s">
        <v>2522</v>
      </c>
      <c r="AA4230" s="134" t="s">
        <v>166</v>
      </c>
      <c r="AD4230" s="38">
        <v>12.39</v>
      </c>
      <c r="AF4230" s="76">
        <f t="shared" si="400"/>
        <v>119614.82999999986</v>
      </c>
    </row>
    <row r="4231" spans="7:32" ht="8.25" customHeight="1" x14ac:dyDescent="0.25">
      <c r="R4231" s="53">
        <v>24</v>
      </c>
      <c r="T4231" s="33">
        <v>46186</v>
      </c>
      <c r="U4231" s="34">
        <v>2026</v>
      </c>
      <c r="V4231" s="35" t="s">
        <v>1588</v>
      </c>
      <c r="W4231" s="35" t="s">
        <v>5</v>
      </c>
      <c r="X4231" s="37" t="s">
        <v>3275</v>
      </c>
      <c r="Y4231" s="36" t="s">
        <v>2010</v>
      </c>
      <c r="Z4231" s="30" t="s">
        <v>2136</v>
      </c>
      <c r="AA4231" s="30" t="s">
        <v>1050</v>
      </c>
      <c r="AE4231" s="38">
        <v>250</v>
      </c>
      <c r="AF4231" s="76">
        <f t="shared" si="400"/>
        <v>119364.82999999986</v>
      </c>
    </row>
    <row r="4232" spans="7:32" ht="8.25" customHeight="1" x14ac:dyDescent="0.25">
      <c r="Q4232" s="52">
        <v>2</v>
      </c>
      <c r="T4232" s="33">
        <v>46186</v>
      </c>
      <c r="U4232" s="34">
        <v>2026</v>
      </c>
      <c r="V4232" s="35" t="s">
        <v>1588</v>
      </c>
      <c r="W4232" s="35" t="s">
        <v>5</v>
      </c>
      <c r="X4232" s="37" t="s">
        <v>3280</v>
      </c>
      <c r="Y4232" s="36" t="s">
        <v>3281</v>
      </c>
      <c r="Z4232" s="30" t="s">
        <v>2522</v>
      </c>
      <c r="AA4232" s="30" t="s">
        <v>3282</v>
      </c>
      <c r="AE4232" s="38">
        <v>5696.6</v>
      </c>
      <c r="AF4232" s="76">
        <f t="shared" si="400"/>
        <v>113668.22999999985</v>
      </c>
    </row>
    <row r="4233" spans="7:32" ht="8.25" customHeight="1" x14ac:dyDescent="0.25">
      <c r="G4233" s="53">
        <v>6</v>
      </c>
      <c r="T4233" s="33">
        <v>46186</v>
      </c>
      <c r="U4233" s="34">
        <v>2026</v>
      </c>
      <c r="V4233" s="35" t="s">
        <v>1588</v>
      </c>
      <c r="W4233" s="35" t="s">
        <v>2655</v>
      </c>
      <c r="X4233" s="37" t="s">
        <v>3277</v>
      </c>
      <c r="Y4233" s="36" t="s">
        <v>3276</v>
      </c>
      <c r="Z4233" s="30" t="s">
        <v>2206</v>
      </c>
      <c r="AA4233" s="30" t="s">
        <v>3945</v>
      </c>
      <c r="AE4233" s="38">
        <v>4590</v>
      </c>
      <c r="AF4233" s="76">
        <f t="shared" si="400"/>
        <v>109078.22999999985</v>
      </c>
    </row>
    <row r="4234" spans="7:32" ht="8.25" customHeight="1" x14ac:dyDescent="0.25">
      <c r="T4234" s="33">
        <v>46186</v>
      </c>
      <c r="U4234" s="34">
        <v>2026</v>
      </c>
      <c r="V4234" s="35" t="s">
        <v>1588</v>
      </c>
      <c r="W4234" s="35" t="s">
        <v>5</v>
      </c>
      <c r="X4234" s="37" t="s">
        <v>3279</v>
      </c>
      <c r="Y4234" s="36" t="s">
        <v>411</v>
      </c>
      <c r="Z4234" s="30" t="s">
        <v>3162</v>
      </c>
      <c r="AA4234" s="30" t="s">
        <v>3108</v>
      </c>
      <c r="AE4234" s="38">
        <v>70000</v>
      </c>
      <c r="AF4234" s="76">
        <f t="shared" si="400"/>
        <v>39078.22999999985</v>
      </c>
    </row>
    <row r="4235" spans="7:32" ht="8.25" customHeight="1" thickBot="1" x14ac:dyDescent="0.3">
      <c r="AA4235" s="260" t="s">
        <v>2893</v>
      </c>
      <c r="AD4235" s="253">
        <f>SUM(AD4224:AD4234)</f>
        <v>20366.599999999999</v>
      </c>
      <c r="AE4235" s="253">
        <f>SUM(AE4224:AE4234)</f>
        <v>80536.600000000006</v>
      </c>
      <c r="AF4235" s="233">
        <f>AF4223+AD4235-AE4235</f>
        <v>39078.229999999865</v>
      </c>
    </row>
    <row r="4236" spans="7:32" ht="8.25" customHeight="1" thickTop="1" x14ac:dyDescent="0.25">
      <c r="X4236" s="109"/>
      <c r="Y4236" s="67" t="s">
        <v>214</v>
      </c>
      <c r="Z4236" s="68"/>
      <c r="AA4236" s="75"/>
    </row>
    <row r="4237" spans="7:32" ht="8.25" customHeight="1" x14ac:dyDescent="0.25">
      <c r="X4237" s="110" t="s">
        <v>662</v>
      </c>
      <c r="Y4237" s="111">
        <v>200</v>
      </c>
      <c r="Z4237" s="111">
        <f t="shared" ref="Z4237:Z4242" si="401">X4237*Y4237</f>
        <v>4200</v>
      </c>
      <c r="AA4237" s="112"/>
    </row>
    <row r="4238" spans="7:32" ht="8.25" customHeight="1" x14ac:dyDescent="0.25">
      <c r="X4238" s="110" t="s">
        <v>3285</v>
      </c>
      <c r="Y4238" s="111">
        <v>100</v>
      </c>
      <c r="Z4238" s="111">
        <f t="shared" si="401"/>
        <v>33200</v>
      </c>
      <c r="AA4238" s="112"/>
    </row>
    <row r="4239" spans="7:32" ht="8.25" customHeight="1" x14ac:dyDescent="0.25">
      <c r="X4239" s="110"/>
      <c r="Y4239" s="111">
        <v>50</v>
      </c>
      <c r="Z4239" s="111">
        <f t="shared" si="401"/>
        <v>0</v>
      </c>
      <c r="AA4239" s="76"/>
    </row>
    <row r="4240" spans="7:32" ht="8.25" customHeight="1" x14ac:dyDescent="0.25">
      <c r="X4240" s="110"/>
      <c r="Y4240" s="111">
        <v>20</v>
      </c>
      <c r="Z4240" s="111">
        <f t="shared" si="401"/>
        <v>0</v>
      </c>
      <c r="AA4240" s="38"/>
    </row>
    <row r="4241" spans="14:32" ht="8.25" customHeight="1" x14ac:dyDescent="0.25">
      <c r="X4241" s="110"/>
      <c r="Y4241" s="111">
        <v>10</v>
      </c>
      <c r="Z4241" s="111">
        <f t="shared" si="401"/>
        <v>0</v>
      </c>
      <c r="AA4241" s="112"/>
    </row>
    <row r="4242" spans="14:32" ht="8.25" customHeight="1" x14ac:dyDescent="0.25">
      <c r="X4242" s="110" t="s">
        <v>3286</v>
      </c>
      <c r="Y4242" s="111">
        <v>5</v>
      </c>
      <c r="Z4242" s="111">
        <f t="shared" si="401"/>
        <v>1145</v>
      </c>
      <c r="AA4242" s="112"/>
    </row>
    <row r="4243" spans="14:32" ht="8.25" customHeight="1" x14ac:dyDescent="0.25">
      <c r="X4243" s="269"/>
      <c r="Y4243" s="270"/>
      <c r="Z4243" s="271"/>
      <c r="AA4243" s="38"/>
    </row>
    <row r="4244" spans="14:32" ht="8.25" customHeight="1" x14ac:dyDescent="0.25">
      <c r="X4244" s="110" t="s">
        <v>3270</v>
      </c>
      <c r="Y4244" s="111">
        <v>1</v>
      </c>
      <c r="Z4244" s="111">
        <f t="shared" ref="Z4244:Z4249" si="402">X4244*Y4244</f>
        <v>448</v>
      </c>
      <c r="AA4244" s="76"/>
    </row>
    <row r="4245" spans="14:32" ht="8.25" customHeight="1" x14ac:dyDescent="0.25">
      <c r="X4245" s="110" t="s">
        <v>259</v>
      </c>
      <c r="Y4245" s="111">
        <v>0.5</v>
      </c>
      <c r="Z4245" s="111">
        <f t="shared" si="402"/>
        <v>40</v>
      </c>
      <c r="AA4245" s="112"/>
    </row>
    <row r="4246" spans="14:32" ht="8.25" customHeight="1" x14ac:dyDescent="0.25">
      <c r="X4246" s="110" t="s">
        <v>1878</v>
      </c>
      <c r="Y4246" s="111">
        <v>0.25</v>
      </c>
      <c r="Z4246" s="111">
        <f t="shared" si="402"/>
        <v>45</v>
      </c>
      <c r="AA4246" s="113"/>
    </row>
    <row r="4247" spans="14:32" ht="8.25" customHeight="1" x14ac:dyDescent="0.25">
      <c r="X4247" s="110" t="s">
        <v>224</v>
      </c>
      <c r="Y4247" s="111">
        <v>0.1</v>
      </c>
      <c r="Z4247" s="111">
        <f t="shared" si="402"/>
        <v>0.2</v>
      </c>
      <c r="AA4247" s="114" t="s">
        <v>219</v>
      </c>
    </row>
    <row r="4248" spans="14:32" ht="8.25" customHeight="1" thickBot="1" x14ac:dyDescent="0.3">
      <c r="X4248" s="110"/>
      <c r="Y4248" s="111">
        <v>0.05</v>
      </c>
      <c r="Z4248" s="111">
        <f t="shared" si="402"/>
        <v>0</v>
      </c>
      <c r="AA4248" s="115">
        <f>SUM(Z4237:Z4242)+Z4244+Z4245+Z4246+Z4247+Z4248+Z4249</f>
        <v>39078.229999999996</v>
      </c>
    </row>
    <row r="4249" spans="14:32" ht="8.25" customHeight="1" thickTop="1" x14ac:dyDescent="0.25">
      <c r="X4249" s="110" t="s">
        <v>223</v>
      </c>
      <c r="Y4249" s="111">
        <v>0.01</v>
      </c>
      <c r="Z4249" s="111">
        <f t="shared" si="402"/>
        <v>0.03</v>
      </c>
    </row>
    <row r="4251" spans="14:32" ht="8.25" customHeight="1" x14ac:dyDescent="0.25">
      <c r="Z4251" s="231" t="s">
        <v>1376</v>
      </c>
      <c r="AF4251" s="76">
        <f>AF4235</f>
        <v>39078.229999999865</v>
      </c>
    </row>
    <row r="4252" spans="14:32" ht="8.25" customHeight="1" x14ac:dyDescent="0.25">
      <c r="N4252" s="52">
        <v>42</v>
      </c>
      <c r="T4252" s="33">
        <v>46188</v>
      </c>
      <c r="U4252" s="34">
        <v>2026</v>
      </c>
      <c r="V4252" s="35" t="s">
        <v>1588</v>
      </c>
      <c r="W4252" s="35" t="s">
        <v>17</v>
      </c>
      <c r="X4252" s="37" t="s">
        <v>3287</v>
      </c>
      <c r="Y4252" s="36" t="s">
        <v>3288</v>
      </c>
      <c r="Z4252" s="30" t="s">
        <v>1641</v>
      </c>
      <c r="AA4252" s="30" t="s">
        <v>3899</v>
      </c>
      <c r="AD4252" s="38">
        <v>4113.9799999999996</v>
      </c>
      <c r="AF4252" s="76">
        <f>AF4251+AD4252-AE4252</f>
        <v>43192.209999999861</v>
      </c>
    </row>
    <row r="4253" spans="14:32" ht="8.25" customHeight="1" x14ac:dyDescent="0.15">
      <c r="N4253" s="52">
        <v>42</v>
      </c>
      <c r="T4253" s="33">
        <v>46188</v>
      </c>
      <c r="U4253" s="34">
        <v>2026</v>
      </c>
      <c r="V4253" s="35" t="s">
        <v>1588</v>
      </c>
      <c r="W4253" s="35" t="s">
        <v>17</v>
      </c>
      <c r="X4253" s="37" t="s">
        <v>3287</v>
      </c>
      <c r="Y4253" s="36" t="s">
        <v>2083</v>
      </c>
      <c r="Z4253" s="30" t="s">
        <v>2084</v>
      </c>
      <c r="AA4253" s="134" t="s">
        <v>166</v>
      </c>
      <c r="AD4253" s="38">
        <v>10286.02</v>
      </c>
      <c r="AF4253" s="76">
        <f t="shared" ref="AF4253:AF4275" si="403">AF4252+AD4253-AE4253</f>
        <v>53478.229999999865</v>
      </c>
    </row>
    <row r="4254" spans="14:32" ht="8.25" customHeight="1" x14ac:dyDescent="0.15">
      <c r="N4254" s="52">
        <v>43</v>
      </c>
      <c r="T4254" s="33">
        <v>46188</v>
      </c>
      <c r="U4254" s="34">
        <v>2026</v>
      </c>
      <c r="V4254" s="35" t="s">
        <v>1588</v>
      </c>
      <c r="W4254" s="35" t="s">
        <v>17</v>
      </c>
      <c r="X4254" s="37" t="s">
        <v>3289</v>
      </c>
      <c r="Y4254" s="36" t="s">
        <v>3291</v>
      </c>
      <c r="Z4254" s="30" t="s">
        <v>2645</v>
      </c>
      <c r="AA4254" s="134" t="s">
        <v>166</v>
      </c>
      <c r="AD4254" s="38">
        <v>500</v>
      </c>
      <c r="AF4254" s="76">
        <f t="shared" si="403"/>
        <v>53978.229999999865</v>
      </c>
    </row>
    <row r="4255" spans="14:32" ht="8.25" customHeight="1" x14ac:dyDescent="0.25">
      <c r="N4255" s="52">
        <v>44</v>
      </c>
      <c r="T4255" s="33">
        <v>46188</v>
      </c>
      <c r="U4255" s="34">
        <v>2026</v>
      </c>
      <c r="V4255" s="35" t="s">
        <v>1588</v>
      </c>
      <c r="W4255" s="35" t="s">
        <v>17</v>
      </c>
      <c r="X4255" s="37" t="s">
        <v>3290</v>
      </c>
      <c r="Y4255" s="36" t="s">
        <v>1008</v>
      </c>
      <c r="Z4255" s="30" t="s">
        <v>1534</v>
      </c>
      <c r="AA4255" s="30" t="s">
        <v>3899</v>
      </c>
      <c r="AD4255" s="38">
        <v>1629.59</v>
      </c>
      <c r="AF4255" s="76">
        <f t="shared" si="403"/>
        <v>55607.819999999861</v>
      </c>
    </row>
    <row r="4256" spans="14:32" ht="8.25" customHeight="1" x14ac:dyDescent="0.15">
      <c r="N4256" s="52">
        <v>44</v>
      </c>
      <c r="T4256" s="33">
        <v>46188</v>
      </c>
      <c r="U4256" s="34">
        <v>2026</v>
      </c>
      <c r="V4256" s="35" t="s">
        <v>1588</v>
      </c>
      <c r="W4256" s="35" t="s">
        <v>17</v>
      </c>
      <c r="X4256" s="37" t="s">
        <v>3290</v>
      </c>
      <c r="Y4256" s="36" t="s">
        <v>1008</v>
      </c>
      <c r="Z4256" s="30" t="s">
        <v>1534</v>
      </c>
      <c r="AA4256" s="134" t="s">
        <v>166</v>
      </c>
      <c r="AD4256" s="38">
        <v>1095.4100000000001</v>
      </c>
      <c r="AF4256" s="76">
        <f t="shared" si="403"/>
        <v>56703.229999999865</v>
      </c>
    </row>
    <row r="4257" spans="4:32" ht="8.25" customHeight="1" x14ac:dyDescent="0.25">
      <c r="N4257" s="52">
        <v>45</v>
      </c>
      <c r="T4257" s="33">
        <v>46188</v>
      </c>
      <c r="U4257" s="34">
        <v>2026</v>
      </c>
      <c r="V4257" s="35" t="s">
        <v>1588</v>
      </c>
      <c r="W4257" s="35" t="s">
        <v>17</v>
      </c>
      <c r="X4257" s="37" t="s">
        <v>3292</v>
      </c>
      <c r="Y4257" s="36" t="s">
        <v>335</v>
      </c>
      <c r="Z4257" s="30" t="s">
        <v>3293</v>
      </c>
      <c r="AA4257" s="30" t="s">
        <v>3899</v>
      </c>
      <c r="AD4257" s="38">
        <v>23263.07</v>
      </c>
      <c r="AF4257" s="76">
        <f t="shared" si="403"/>
        <v>79966.299999999872</v>
      </c>
    </row>
    <row r="4258" spans="4:32" ht="8.25" customHeight="1" x14ac:dyDescent="0.15">
      <c r="N4258" s="52">
        <v>45</v>
      </c>
      <c r="T4258" s="33">
        <v>46188</v>
      </c>
      <c r="U4258" s="34">
        <v>2026</v>
      </c>
      <c r="V4258" s="35" t="s">
        <v>1588</v>
      </c>
      <c r="W4258" s="35" t="s">
        <v>17</v>
      </c>
      <c r="X4258" s="37" t="s">
        <v>3292</v>
      </c>
      <c r="Y4258" s="36" t="s">
        <v>335</v>
      </c>
      <c r="Z4258" s="30" t="s">
        <v>3293</v>
      </c>
      <c r="AA4258" s="134" t="s">
        <v>166</v>
      </c>
      <c r="AD4258" s="38">
        <v>474.18</v>
      </c>
      <c r="AF4258" s="76">
        <f t="shared" si="403"/>
        <v>80440.479999999865</v>
      </c>
    </row>
    <row r="4259" spans="4:32" ht="8.25" customHeight="1" x14ac:dyDescent="0.25">
      <c r="N4259" s="52">
        <v>46</v>
      </c>
      <c r="T4259" s="33">
        <v>46188</v>
      </c>
      <c r="U4259" s="34">
        <v>2026</v>
      </c>
      <c r="V4259" s="35" t="s">
        <v>1588</v>
      </c>
      <c r="W4259" s="35" t="s">
        <v>17</v>
      </c>
      <c r="X4259" s="37" t="s">
        <v>3303</v>
      </c>
      <c r="Y4259" s="36" t="s">
        <v>1586</v>
      </c>
      <c r="Z4259" s="30" t="s">
        <v>973</v>
      </c>
      <c r="AA4259" s="30" t="s">
        <v>3708</v>
      </c>
      <c r="AD4259" s="38">
        <v>210.35</v>
      </c>
      <c r="AF4259" s="76">
        <f t="shared" si="403"/>
        <v>80650.829999999871</v>
      </c>
    </row>
    <row r="4260" spans="4:32" ht="8.25" customHeight="1" x14ac:dyDescent="0.15">
      <c r="N4260" s="52">
        <v>46</v>
      </c>
      <c r="T4260" s="33">
        <v>46188</v>
      </c>
      <c r="U4260" s="34">
        <v>2026</v>
      </c>
      <c r="V4260" s="35" t="s">
        <v>1588</v>
      </c>
      <c r="W4260" s="35" t="s">
        <v>17</v>
      </c>
      <c r="X4260" s="37" t="s">
        <v>3303</v>
      </c>
      <c r="Y4260" s="36" t="s">
        <v>1586</v>
      </c>
      <c r="Z4260" s="30" t="s">
        <v>973</v>
      </c>
      <c r="AA4260" s="134" t="s">
        <v>183</v>
      </c>
      <c r="AD4260" s="38">
        <v>38.65</v>
      </c>
      <c r="AF4260" s="76">
        <f t="shared" si="403"/>
        <v>80689.479999999865</v>
      </c>
    </row>
    <row r="4261" spans="4:32" ht="8.25" customHeight="1" x14ac:dyDescent="0.25">
      <c r="N4261" s="52">
        <v>47</v>
      </c>
      <c r="T4261" s="33">
        <v>46188</v>
      </c>
      <c r="U4261" s="34">
        <v>2026</v>
      </c>
      <c r="V4261" s="35" t="s">
        <v>1588</v>
      </c>
      <c r="W4261" s="35" t="s">
        <v>17</v>
      </c>
      <c r="X4261" s="37" t="s">
        <v>3307</v>
      </c>
      <c r="Y4261" s="36" t="s">
        <v>2777</v>
      </c>
      <c r="Z4261" s="30" t="s">
        <v>1747</v>
      </c>
      <c r="AA4261" s="30" t="s">
        <v>3899</v>
      </c>
      <c r="AD4261" s="38">
        <v>1736.42</v>
      </c>
      <c r="AF4261" s="76">
        <f t="shared" si="403"/>
        <v>82425.899999999863</v>
      </c>
    </row>
    <row r="4262" spans="4:32" ht="8.25" customHeight="1" x14ac:dyDescent="0.15">
      <c r="N4262" s="52">
        <v>47</v>
      </c>
      <c r="T4262" s="33">
        <v>46188</v>
      </c>
      <c r="U4262" s="34">
        <v>2026</v>
      </c>
      <c r="V4262" s="35" t="s">
        <v>1588</v>
      </c>
      <c r="W4262" s="35" t="s">
        <v>17</v>
      </c>
      <c r="X4262" s="37" t="s">
        <v>3307</v>
      </c>
      <c r="Y4262" s="36" t="s">
        <v>2777</v>
      </c>
      <c r="Z4262" s="30" t="s">
        <v>1747</v>
      </c>
      <c r="AA4262" s="134" t="s">
        <v>166</v>
      </c>
      <c r="AD4262" s="38">
        <v>1238.58</v>
      </c>
      <c r="AF4262" s="76">
        <f t="shared" si="403"/>
        <v>83664.479999999865</v>
      </c>
    </row>
    <row r="4263" spans="4:32" ht="8.25" customHeight="1" x14ac:dyDescent="0.25">
      <c r="N4263" s="52">
        <v>48</v>
      </c>
      <c r="T4263" s="33">
        <v>46188</v>
      </c>
      <c r="U4263" s="34">
        <v>2026</v>
      </c>
      <c r="V4263" s="35" t="s">
        <v>1588</v>
      </c>
      <c r="W4263" s="35" t="s">
        <v>17</v>
      </c>
      <c r="X4263" s="37" t="s">
        <v>3308</v>
      </c>
      <c r="Y4263" s="36" t="s">
        <v>3310</v>
      </c>
      <c r="Z4263" s="30" t="s">
        <v>1499</v>
      </c>
      <c r="AA4263" s="30" t="s">
        <v>3899</v>
      </c>
      <c r="AD4263" s="38">
        <v>4768.28</v>
      </c>
      <c r="AF4263" s="76">
        <f t="shared" si="403"/>
        <v>88432.759999999864</v>
      </c>
    </row>
    <row r="4264" spans="4:32" ht="8.25" customHeight="1" x14ac:dyDescent="0.15">
      <c r="N4264" s="52">
        <v>48</v>
      </c>
      <c r="T4264" s="33">
        <v>46188</v>
      </c>
      <c r="U4264" s="34">
        <v>2026</v>
      </c>
      <c r="V4264" s="35" t="s">
        <v>1588</v>
      </c>
      <c r="W4264" s="35" t="s">
        <v>17</v>
      </c>
      <c r="X4264" s="37" t="s">
        <v>3308</v>
      </c>
      <c r="Y4264" s="36" t="s">
        <v>3310</v>
      </c>
      <c r="Z4264" s="30" t="s">
        <v>1499</v>
      </c>
      <c r="AA4264" s="134" t="s">
        <v>166</v>
      </c>
      <c r="AD4264" s="38">
        <v>5231.72</v>
      </c>
      <c r="AF4264" s="76">
        <f t="shared" si="403"/>
        <v>93664.479999999865</v>
      </c>
    </row>
    <row r="4265" spans="4:32" ht="8.25" customHeight="1" x14ac:dyDescent="0.25">
      <c r="N4265" s="52">
        <v>49</v>
      </c>
      <c r="T4265" s="33">
        <v>46188</v>
      </c>
      <c r="U4265" s="34">
        <v>2026</v>
      </c>
      <c r="V4265" s="35" t="s">
        <v>1588</v>
      </c>
      <c r="W4265" s="35" t="s">
        <v>17</v>
      </c>
      <c r="X4265" s="37" t="s">
        <v>3351</v>
      </c>
      <c r="Y4265" s="36" t="s">
        <v>3311</v>
      </c>
      <c r="Z4265" s="30" t="s">
        <v>2788</v>
      </c>
      <c r="AA4265" s="30" t="s">
        <v>3899</v>
      </c>
      <c r="AD4265" s="38">
        <v>2368.2199999999998</v>
      </c>
      <c r="AF4265" s="76">
        <f t="shared" si="403"/>
        <v>96032.699999999866</v>
      </c>
    </row>
    <row r="4266" spans="4:32" ht="8.25" customHeight="1" x14ac:dyDescent="0.15">
      <c r="N4266" s="52">
        <v>49</v>
      </c>
      <c r="T4266" s="33">
        <v>46188</v>
      </c>
      <c r="U4266" s="34">
        <v>2026</v>
      </c>
      <c r="V4266" s="35" t="s">
        <v>1588</v>
      </c>
      <c r="W4266" s="35" t="s">
        <v>17</v>
      </c>
      <c r="X4266" s="37" t="s">
        <v>3351</v>
      </c>
      <c r="Y4266" s="36" t="s">
        <v>3311</v>
      </c>
      <c r="Z4266" s="30" t="s">
        <v>2788</v>
      </c>
      <c r="AA4266" s="134" t="s">
        <v>166</v>
      </c>
      <c r="AD4266" s="38">
        <v>5790.78</v>
      </c>
      <c r="AF4266" s="76">
        <f t="shared" si="403"/>
        <v>101823.47999999986</v>
      </c>
    </row>
    <row r="4267" spans="4:32" ht="8.25" customHeight="1" x14ac:dyDescent="0.25">
      <c r="D4267" s="52">
        <v>2</v>
      </c>
      <c r="T4267" s="33">
        <v>46188</v>
      </c>
      <c r="U4267" s="34">
        <v>2026</v>
      </c>
      <c r="V4267" s="35" t="s">
        <v>1588</v>
      </c>
      <c r="W4267" s="35" t="s">
        <v>17</v>
      </c>
      <c r="X4267" s="37" t="s">
        <v>3312</v>
      </c>
      <c r="Y4267" s="36" t="s">
        <v>3313</v>
      </c>
      <c r="Z4267" s="30" t="s">
        <v>3314</v>
      </c>
      <c r="AA4267" s="30" t="s">
        <v>256</v>
      </c>
      <c r="AD4267" s="38">
        <v>1465.6</v>
      </c>
      <c r="AF4267" s="76">
        <f t="shared" si="403"/>
        <v>103289.07999999987</v>
      </c>
    </row>
    <row r="4268" spans="4:32" ht="8.25" customHeight="1" x14ac:dyDescent="0.25">
      <c r="R4268" s="53">
        <v>25</v>
      </c>
      <c r="T4268" s="33">
        <v>46188</v>
      </c>
      <c r="U4268" s="34">
        <v>2026</v>
      </c>
      <c r="V4268" s="35" t="s">
        <v>1588</v>
      </c>
      <c r="W4268" s="35" t="s">
        <v>5</v>
      </c>
      <c r="X4268" s="37" t="s">
        <v>3294</v>
      </c>
      <c r="Y4268" s="36" t="s">
        <v>691</v>
      </c>
      <c r="Z4268" s="30" t="s">
        <v>1527</v>
      </c>
      <c r="AA4268" s="30" t="s">
        <v>1050</v>
      </c>
      <c r="AE4268" s="38">
        <v>1000</v>
      </c>
      <c r="AF4268" s="76">
        <f t="shared" si="403"/>
        <v>102289.07999999987</v>
      </c>
    </row>
    <row r="4269" spans="4:32" ht="8.25" customHeight="1" x14ac:dyDescent="0.25">
      <c r="R4269" s="53">
        <v>26</v>
      </c>
      <c r="T4269" s="33">
        <v>46188</v>
      </c>
      <c r="U4269" s="34">
        <v>2026</v>
      </c>
      <c r="V4269" s="35" t="s">
        <v>1588</v>
      </c>
      <c r="W4269" s="35" t="s">
        <v>5</v>
      </c>
      <c r="X4269" s="37" t="s">
        <v>3295</v>
      </c>
      <c r="Y4269" s="36" t="s">
        <v>691</v>
      </c>
      <c r="Z4269" s="30" t="s">
        <v>3296</v>
      </c>
      <c r="AA4269" s="30" t="s">
        <v>1050</v>
      </c>
      <c r="AE4269" s="38">
        <v>474.18</v>
      </c>
      <c r="AF4269" s="76">
        <f t="shared" si="403"/>
        <v>101814.89999999988</v>
      </c>
    </row>
    <row r="4270" spans="4:32" ht="8.25" customHeight="1" x14ac:dyDescent="0.25">
      <c r="R4270" s="53">
        <v>27</v>
      </c>
      <c r="T4270" s="33">
        <v>46188</v>
      </c>
      <c r="U4270" s="34">
        <v>2026</v>
      </c>
      <c r="V4270" s="35" t="s">
        <v>1588</v>
      </c>
      <c r="W4270" s="35" t="s">
        <v>5</v>
      </c>
      <c r="X4270" s="37" t="s">
        <v>3315</v>
      </c>
      <c r="Y4270" s="36" t="s">
        <v>2034</v>
      </c>
      <c r="Z4270" s="30" t="s">
        <v>2031</v>
      </c>
      <c r="AA4270" s="30" t="s">
        <v>1050</v>
      </c>
      <c r="AE4270" s="38">
        <v>500</v>
      </c>
      <c r="AF4270" s="76">
        <f t="shared" si="403"/>
        <v>101314.89999999988</v>
      </c>
    </row>
    <row r="4271" spans="4:32" ht="8.25" customHeight="1" x14ac:dyDescent="0.25">
      <c r="G4271" s="53">
        <v>7</v>
      </c>
      <c r="T4271" s="33">
        <v>46188</v>
      </c>
      <c r="U4271" s="34">
        <v>2026</v>
      </c>
      <c r="V4271" s="35" t="s">
        <v>1588</v>
      </c>
      <c r="W4271" s="35" t="s">
        <v>2655</v>
      </c>
      <c r="X4271" s="37" t="s">
        <v>3297</v>
      </c>
      <c r="Y4271" s="36" t="s">
        <v>3298</v>
      </c>
      <c r="Z4271" s="30" t="s">
        <v>3299</v>
      </c>
      <c r="AA4271" s="30" t="s">
        <v>3945</v>
      </c>
      <c r="AE4271" s="38">
        <v>11115</v>
      </c>
      <c r="AF4271" s="76">
        <f t="shared" si="403"/>
        <v>90199.899999999878</v>
      </c>
    </row>
    <row r="4272" spans="4:32" ht="8.25" customHeight="1" x14ac:dyDescent="0.25">
      <c r="G4272" s="53">
        <v>8</v>
      </c>
      <c r="T4272" s="33">
        <v>46188</v>
      </c>
      <c r="U4272" s="34">
        <v>2026</v>
      </c>
      <c r="V4272" s="35" t="s">
        <v>1588</v>
      </c>
      <c r="W4272" s="35" t="s">
        <v>2655</v>
      </c>
      <c r="X4272" s="37" t="s">
        <v>3317</v>
      </c>
      <c r="Y4272" s="36" t="s">
        <v>3316</v>
      </c>
      <c r="Z4272" s="30" t="s">
        <v>2206</v>
      </c>
      <c r="AA4272" s="30" t="s">
        <v>3945</v>
      </c>
      <c r="AE4272" s="38">
        <v>2228.13</v>
      </c>
      <c r="AF4272" s="76">
        <f t="shared" si="403"/>
        <v>87971.769999999873</v>
      </c>
    </row>
    <row r="4273" spans="7:32" ht="8.25" customHeight="1" x14ac:dyDescent="0.25">
      <c r="G4273" s="53">
        <v>9</v>
      </c>
      <c r="T4273" s="33">
        <v>46188</v>
      </c>
      <c r="U4273" s="34">
        <v>2026</v>
      </c>
      <c r="V4273" s="35" t="s">
        <v>1588</v>
      </c>
      <c r="W4273" s="35" t="s">
        <v>2655</v>
      </c>
      <c r="X4273" s="37" t="s">
        <v>3318</v>
      </c>
      <c r="Y4273" s="36" t="s">
        <v>3319</v>
      </c>
      <c r="Z4273" s="30" t="s">
        <v>3320</v>
      </c>
      <c r="AA4273" s="30" t="s">
        <v>3945</v>
      </c>
      <c r="AE4273" s="38">
        <v>3052</v>
      </c>
      <c r="AF4273" s="76">
        <f t="shared" si="403"/>
        <v>84919.769999999873</v>
      </c>
    </row>
    <row r="4274" spans="7:32" ht="8.25" customHeight="1" x14ac:dyDescent="0.25">
      <c r="G4274" s="53">
        <v>10</v>
      </c>
      <c r="T4274" s="33">
        <v>46188</v>
      </c>
      <c r="U4274" s="34">
        <v>2026</v>
      </c>
      <c r="V4274" s="35" t="s">
        <v>1588</v>
      </c>
      <c r="W4274" s="35" t="s">
        <v>2655</v>
      </c>
      <c r="X4274" s="37" t="s">
        <v>3322</v>
      </c>
      <c r="Y4274" s="36" t="s">
        <v>3321</v>
      </c>
      <c r="Z4274" s="30" t="s">
        <v>835</v>
      </c>
      <c r="AA4274" s="30" t="s">
        <v>3945</v>
      </c>
      <c r="AE4274" s="38">
        <v>2002.4</v>
      </c>
      <c r="AF4274" s="76">
        <f t="shared" si="403"/>
        <v>82917.369999999879</v>
      </c>
    </row>
    <row r="4275" spans="7:32" ht="8.25" customHeight="1" x14ac:dyDescent="0.25">
      <c r="G4275" s="53">
        <v>11</v>
      </c>
      <c r="T4275" s="33">
        <v>46188</v>
      </c>
      <c r="U4275" s="34">
        <v>2026</v>
      </c>
      <c r="V4275" s="35" t="s">
        <v>1588</v>
      </c>
      <c r="W4275" s="35" t="s">
        <v>2655</v>
      </c>
      <c r="X4275" s="37" t="s">
        <v>3302</v>
      </c>
      <c r="Y4275" s="36" t="s">
        <v>3301</v>
      </c>
      <c r="Z4275" s="30" t="s">
        <v>3300</v>
      </c>
      <c r="AA4275" s="30" t="s">
        <v>3945</v>
      </c>
      <c r="AE4275" s="38">
        <v>3820</v>
      </c>
      <c r="AF4275" s="76">
        <f t="shared" si="403"/>
        <v>79097.369999999879</v>
      </c>
    </row>
    <row r="4276" spans="7:32" ht="8.25" customHeight="1" thickBot="1" x14ac:dyDescent="0.3">
      <c r="AA4276" s="260" t="s">
        <v>2893</v>
      </c>
      <c r="AD4276" s="253">
        <f>SUM(AD4252:AD4275)</f>
        <v>64210.85</v>
      </c>
      <c r="AE4276" s="253">
        <f>SUM(AE4252:AE4275)</f>
        <v>24191.710000000003</v>
      </c>
      <c r="AF4276" s="233">
        <f>AF4251+AD4276-AE4276</f>
        <v>79097.369999999864</v>
      </c>
    </row>
    <row r="4277" spans="7:32" ht="8.25" customHeight="1" thickTop="1" x14ac:dyDescent="0.25">
      <c r="X4277" s="109"/>
      <c r="Y4277" s="67" t="s">
        <v>214</v>
      </c>
      <c r="Z4277" s="68"/>
      <c r="AA4277" s="75"/>
    </row>
    <row r="4278" spans="7:32" ht="8.25" customHeight="1" x14ac:dyDescent="0.25">
      <c r="X4278" s="110" t="s">
        <v>662</v>
      </c>
      <c r="Y4278" s="111">
        <v>200</v>
      </c>
      <c r="Z4278" s="111">
        <f t="shared" ref="Z4278:Z4283" si="404">X4278*Y4278</f>
        <v>4200</v>
      </c>
      <c r="AA4278" s="112"/>
    </row>
    <row r="4279" spans="7:32" ht="8.25" customHeight="1" x14ac:dyDescent="0.25">
      <c r="X4279" s="110" t="s">
        <v>3323</v>
      </c>
      <c r="Y4279" s="111">
        <v>100</v>
      </c>
      <c r="Z4279" s="111">
        <f t="shared" si="404"/>
        <v>73200</v>
      </c>
      <c r="AA4279" s="112"/>
    </row>
    <row r="4280" spans="7:32" ht="8.25" customHeight="1" x14ac:dyDescent="0.25">
      <c r="X4280" s="110" t="s">
        <v>222</v>
      </c>
      <c r="Y4280" s="111">
        <v>50</v>
      </c>
      <c r="Z4280" s="111">
        <f t="shared" si="404"/>
        <v>50</v>
      </c>
      <c r="AA4280" s="76"/>
    </row>
    <row r="4281" spans="7:32" ht="8.25" customHeight="1" x14ac:dyDescent="0.25">
      <c r="X4281" s="110" t="s">
        <v>221</v>
      </c>
      <c r="Y4281" s="111">
        <v>20</v>
      </c>
      <c r="Z4281" s="111">
        <f t="shared" si="404"/>
        <v>140</v>
      </c>
      <c r="AA4281" s="38"/>
    </row>
    <row r="4282" spans="7:32" ht="8.25" customHeight="1" x14ac:dyDescent="0.25">
      <c r="X4282" s="110" t="s">
        <v>224</v>
      </c>
      <c r="Y4282" s="111">
        <v>10</v>
      </c>
      <c r="Z4282" s="111">
        <f t="shared" si="404"/>
        <v>20</v>
      </c>
      <c r="AA4282" s="112"/>
    </row>
    <row r="4283" spans="7:32" ht="8.25" customHeight="1" x14ac:dyDescent="0.25">
      <c r="X4283" s="110" t="s">
        <v>3324</v>
      </c>
      <c r="Y4283" s="111">
        <v>5</v>
      </c>
      <c r="Z4283" s="111">
        <f t="shared" si="404"/>
        <v>1060</v>
      </c>
      <c r="AA4283" s="112"/>
    </row>
    <row r="4284" spans="7:32" ht="8.25" customHeight="1" x14ac:dyDescent="0.25">
      <c r="X4284" s="269"/>
      <c r="Y4284" s="270"/>
      <c r="Z4284" s="271"/>
      <c r="AA4284" s="38"/>
    </row>
    <row r="4285" spans="7:32" ht="8.25" customHeight="1" x14ac:dyDescent="0.25">
      <c r="X4285" s="110" t="s">
        <v>3325</v>
      </c>
      <c r="Y4285" s="111">
        <v>1</v>
      </c>
      <c r="Z4285" s="111">
        <f t="shared" ref="Z4285:Z4290" si="405">X4285*Y4285</f>
        <v>342</v>
      </c>
      <c r="AA4285" s="76"/>
    </row>
    <row r="4286" spans="7:32" ht="8.25" customHeight="1" x14ac:dyDescent="0.25">
      <c r="X4286" s="110" t="s">
        <v>259</v>
      </c>
      <c r="Y4286" s="111">
        <v>0.5</v>
      </c>
      <c r="Z4286" s="111">
        <f t="shared" si="405"/>
        <v>40</v>
      </c>
      <c r="AA4286" s="112"/>
    </row>
    <row r="4287" spans="7:32" ht="8.25" customHeight="1" x14ac:dyDescent="0.25">
      <c r="X4287" s="110" t="s">
        <v>1878</v>
      </c>
      <c r="Y4287" s="111">
        <v>0.25</v>
      </c>
      <c r="Z4287" s="111">
        <f t="shared" si="405"/>
        <v>45</v>
      </c>
      <c r="AA4287" s="113"/>
    </row>
    <row r="4288" spans="7:32" ht="8.25" customHeight="1" x14ac:dyDescent="0.25">
      <c r="X4288" s="110" t="s">
        <v>223</v>
      </c>
      <c r="Y4288" s="111">
        <v>0.1</v>
      </c>
      <c r="Z4288" s="111">
        <f t="shared" si="405"/>
        <v>0.30000000000000004</v>
      </c>
      <c r="AA4288" s="114" t="s">
        <v>219</v>
      </c>
    </row>
    <row r="4289" spans="11:32" ht="8.25" customHeight="1" thickBot="1" x14ac:dyDescent="0.3">
      <c r="X4289" s="110" t="s">
        <v>222</v>
      </c>
      <c r="Y4289" s="111">
        <v>0.05</v>
      </c>
      <c r="Z4289" s="111">
        <f t="shared" si="405"/>
        <v>0.05</v>
      </c>
      <c r="AA4289" s="115">
        <f>SUM(Z4278:Z4283)+Z4285+Z4286+Z4287+Z4288+Z4289+Z4290</f>
        <v>79097.37000000001</v>
      </c>
    </row>
    <row r="4290" spans="11:32" ht="8.25" customHeight="1" thickTop="1" x14ac:dyDescent="0.25">
      <c r="X4290" s="110" t="s">
        <v>224</v>
      </c>
      <c r="Y4290" s="111">
        <v>0.01</v>
      </c>
      <c r="Z4290" s="111">
        <f t="shared" si="405"/>
        <v>0.02</v>
      </c>
    </row>
    <row r="4292" spans="11:32" ht="8.25" customHeight="1" x14ac:dyDescent="0.25">
      <c r="Z4292" s="231" t="s">
        <v>1376</v>
      </c>
      <c r="AF4292" s="76">
        <f>AF4276</f>
        <v>79097.369999999864</v>
      </c>
    </row>
    <row r="4293" spans="11:32" ht="8.25" customHeight="1" x14ac:dyDescent="0.25">
      <c r="N4293" s="52">
        <v>50</v>
      </c>
      <c r="T4293" s="33">
        <v>46189</v>
      </c>
      <c r="U4293" s="34">
        <v>2026</v>
      </c>
      <c r="V4293" s="35" t="s">
        <v>1588</v>
      </c>
      <c r="W4293" s="35" t="s">
        <v>17</v>
      </c>
      <c r="X4293" s="37" t="s">
        <v>3326</v>
      </c>
      <c r="Y4293" s="36" t="s">
        <v>3196</v>
      </c>
      <c r="Z4293" s="30" t="s">
        <v>2453</v>
      </c>
      <c r="AA4293" s="30" t="s">
        <v>3708</v>
      </c>
      <c r="AD4293" s="38">
        <v>55.49</v>
      </c>
      <c r="AF4293" s="76">
        <f>AF4292+AD4293-AE4293</f>
        <v>79152.85999999987</v>
      </c>
    </row>
    <row r="4294" spans="11:32" ht="8.25" customHeight="1" x14ac:dyDescent="0.15">
      <c r="N4294" s="52">
        <v>50</v>
      </c>
      <c r="T4294" s="33">
        <v>46189</v>
      </c>
      <c r="U4294" s="34">
        <v>2026</v>
      </c>
      <c r="V4294" s="35" t="s">
        <v>1588</v>
      </c>
      <c r="W4294" s="35" t="s">
        <v>17</v>
      </c>
      <c r="X4294" s="37" t="s">
        <v>3326</v>
      </c>
      <c r="Y4294" s="36" t="s">
        <v>3196</v>
      </c>
      <c r="Z4294" s="30" t="s">
        <v>2453</v>
      </c>
      <c r="AA4294" s="134" t="s">
        <v>183</v>
      </c>
      <c r="AD4294" s="38">
        <v>20.51</v>
      </c>
      <c r="AF4294" s="76">
        <f t="shared" ref="AF4294:AF4316" si="406">AF4293+AD4294-AE4294</f>
        <v>79173.369999999864</v>
      </c>
    </row>
    <row r="4295" spans="11:32" ht="8.25" customHeight="1" x14ac:dyDescent="0.25">
      <c r="N4295" s="52">
        <v>50</v>
      </c>
      <c r="T4295" s="33">
        <v>46189</v>
      </c>
      <c r="U4295" s="34">
        <v>2026</v>
      </c>
      <c r="V4295" s="35" t="s">
        <v>1588</v>
      </c>
      <c r="W4295" s="35" t="s">
        <v>17</v>
      </c>
      <c r="X4295" s="37" t="s">
        <v>3326</v>
      </c>
      <c r="Y4295" s="36" t="s">
        <v>3196</v>
      </c>
      <c r="Z4295" s="30" t="s">
        <v>2453</v>
      </c>
      <c r="AA4295" s="30" t="s">
        <v>3306</v>
      </c>
      <c r="AD4295" s="38">
        <v>35</v>
      </c>
      <c r="AF4295" s="76">
        <f t="shared" si="406"/>
        <v>79208.369999999864</v>
      </c>
    </row>
    <row r="4296" spans="11:32" ht="8.25" customHeight="1" x14ac:dyDescent="0.25">
      <c r="K4296" s="52">
        <v>7</v>
      </c>
      <c r="T4296" s="33">
        <v>46189</v>
      </c>
      <c r="U4296" s="34">
        <v>2026</v>
      </c>
      <c r="V4296" s="35" t="s">
        <v>1588</v>
      </c>
      <c r="W4296" s="35" t="s">
        <v>17</v>
      </c>
      <c r="X4296" s="37" t="s">
        <v>3309</v>
      </c>
      <c r="Y4296" s="36" t="s">
        <v>3331</v>
      </c>
      <c r="Z4296" s="30" t="s">
        <v>3332</v>
      </c>
      <c r="AA4296" s="30" t="s">
        <v>1787</v>
      </c>
      <c r="AD4296" s="38">
        <v>100</v>
      </c>
      <c r="AF4296" s="76">
        <f t="shared" si="406"/>
        <v>79308.369999999864</v>
      </c>
    </row>
    <row r="4297" spans="11:32" ht="8.25" customHeight="1" x14ac:dyDescent="0.25">
      <c r="L4297" s="52">
        <v>7</v>
      </c>
      <c r="T4297" s="33">
        <v>46189</v>
      </c>
      <c r="U4297" s="34">
        <v>2026</v>
      </c>
      <c r="V4297" s="35" t="s">
        <v>1588</v>
      </c>
      <c r="W4297" s="35" t="s">
        <v>17</v>
      </c>
      <c r="X4297" s="37" t="s">
        <v>3329</v>
      </c>
      <c r="Y4297" s="36" t="s">
        <v>120</v>
      </c>
      <c r="Z4297" s="30" t="s">
        <v>3332</v>
      </c>
      <c r="AA4297" s="30" t="s">
        <v>1054</v>
      </c>
      <c r="AD4297" s="38">
        <v>50</v>
      </c>
      <c r="AF4297" s="76">
        <f t="shared" si="406"/>
        <v>79358.369999999864</v>
      </c>
    </row>
    <row r="4298" spans="11:32" ht="8.25" customHeight="1" x14ac:dyDescent="0.25">
      <c r="K4298" s="52">
        <v>8</v>
      </c>
      <c r="T4298" s="33">
        <v>46189</v>
      </c>
      <c r="U4298" s="34">
        <v>2026</v>
      </c>
      <c r="V4298" s="35" t="s">
        <v>1588</v>
      </c>
      <c r="W4298" s="35" t="s">
        <v>17</v>
      </c>
      <c r="X4298" s="37" t="s">
        <v>3330</v>
      </c>
      <c r="Y4298" s="36" t="s">
        <v>3333</v>
      </c>
      <c r="Z4298" s="30" t="s">
        <v>3334</v>
      </c>
      <c r="AA4298" s="30" t="s">
        <v>1787</v>
      </c>
      <c r="AD4298" s="38">
        <v>100</v>
      </c>
      <c r="AF4298" s="76">
        <f t="shared" si="406"/>
        <v>79458.369999999864</v>
      </c>
    </row>
    <row r="4299" spans="11:32" ht="8.25" customHeight="1" x14ac:dyDescent="0.25">
      <c r="L4299" s="52">
        <v>8</v>
      </c>
      <c r="T4299" s="33">
        <v>46189</v>
      </c>
      <c r="U4299" s="34">
        <v>2026</v>
      </c>
      <c r="V4299" s="35" t="s">
        <v>1588</v>
      </c>
      <c r="W4299" s="35" t="s">
        <v>17</v>
      </c>
      <c r="X4299" s="37" t="s">
        <v>3335</v>
      </c>
      <c r="Y4299" s="36" t="s">
        <v>120</v>
      </c>
      <c r="Z4299" s="30" t="s">
        <v>3334</v>
      </c>
      <c r="AA4299" s="30" t="s">
        <v>1054</v>
      </c>
      <c r="AD4299" s="38">
        <v>50</v>
      </c>
      <c r="AF4299" s="76">
        <f t="shared" si="406"/>
        <v>79508.369999999864</v>
      </c>
    </row>
    <row r="4300" spans="11:32" ht="8.25" customHeight="1" x14ac:dyDescent="0.25">
      <c r="N4300" s="52">
        <v>51</v>
      </c>
      <c r="T4300" s="33">
        <v>46189</v>
      </c>
      <c r="U4300" s="34">
        <v>2026</v>
      </c>
      <c r="V4300" s="35" t="s">
        <v>1588</v>
      </c>
      <c r="W4300" s="35" t="s">
        <v>17</v>
      </c>
      <c r="X4300" s="37" t="s">
        <v>3336</v>
      </c>
      <c r="Y4300" s="36" t="s">
        <v>345</v>
      </c>
      <c r="Z4300" s="30" t="s">
        <v>301</v>
      </c>
      <c r="AA4300" s="30" t="s">
        <v>3899</v>
      </c>
      <c r="AD4300" s="38">
        <v>8866.4599999999991</v>
      </c>
      <c r="AF4300" s="76">
        <f t="shared" si="406"/>
        <v>88374.829999999871</v>
      </c>
    </row>
    <row r="4301" spans="11:32" ht="8.25" customHeight="1" x14ac:dyDescent="0.15">
      <c r="N4301" s="52">
        <v>51</v>
      </c>
      <c r="T4301" s="33">
        <v>46189</v>
      </c>
      <c r="U4301" s="34">
        <v>2026</v>
      </c>
      <c r="V4301" s="35" t="s">
        <v>1588</v>
      </c>
      <c r="W4301" s="35" t="s">
        <v>17</v>
      </c>
      <c r="X4301" s="37" t="s">
        <v>3336</v>
      </c>
      <c r="Y4301" s="36" t="s">
        <v>345</v>
      </c>
      <c r="Z4301" s="30" t="s">
        <v>301</v>
      </c>
      <c r="AA4301" s="134" t="s">
        <v>166</v>
      </c>
      <c r="AD4301" s="38">
        <v>6133.54</v>
      </c>
      <c r="AF4301" s="76">
        <f t="shared" si="406"/>
        <v>94508.369999999864</v>
      </c>
    </row>
    <row r="4302" spans="11:32" ht="8.25" customHeight="1" x14ac:dyDescent="0.25">
      <c r="K4302" s="52">
        <v>9</v>
      </c>
      <c r="T4302" s="33">
        <v>46189</v>
      </c>
      <c r="U4302" s="34">
        <v>2026</v>
      </c>
      <c r="V4302" s="35" t="s">
        <v>1588</v>
      </c>
      <c r="W4302" s="35" t="s">
        <v>17</v>
      </c>
      <c r="X4302" s="37" t="s">
        <v>3337</v>
      </c>
      <c r="Y4302" s="36" t="s">
        <v>3342</v>
      </c>
      <c r="Z4302" s="30" t="s">
        <v>3343</v>
      </c>
      <c r="AA4302" s="30" t="s">
        <v>1787</v>
      </c>
      <c r="AD4302" s="38">
        <v>100</v>
      </c>
      <c r="AF4302" s="76">
        <f t="shared" si="406"/>
        <v>94608.369999999864</v>
      </c>
    </row>
    <row r="4303" spans="11:32" ht="8.25" customHeight="1" x14ac:dyDescent="0.25">
      <c r="L4303" s="52">
        <v>9</v>
      </c>
      <c r="T4303" s="33">
        <v>46189</v>
      </c>
      <c r="U4303" s="34">
        <v>2026</v>
      </c>
      <c r="V4303" s="35" t="s">
        <v>1588</v>
      </c>
      <c r="W4303" s="35" t="s">
        <v>17</v>
      </c>
      <c r="X4303" s="37" t="s">
        <v>3338</v>
      </c>
      <c r="Y4303" s="36" t="s">
        <v>120</v>
      </c>
      <c r="Z4303" s="30" t="s">
        <v>3343</v>
      </c>
      <c r="AA4303" s="30" t="s">
        <v>1054</v>
      </c>
      <c r="AD4303" s="38">
        <v>50</v>
      </c>
      <c r="AF4303" s="76">
        <f t="shared" si="406"/>
        <v>94658.369999999864</v>
      </c>
    </row>
    <row r="4304" spans="11:32" ht="8.25" customHeight="1" x14ac:dyDescent="0.25">
      <c r="K4304" s="52">
        <v>10</v>
      </c>
      <c r="T4304" s="33">
        <v>46189</v>
      </c>
      <c r="U4304" s="34">
        <v>2026</v>
      </c>
      <c r="V4304" s="35" t="s">
        <v>1588</v>
      </c>
      <c r="W4304" s="35" t="s">
        <v>17</v>
      </c>
      <c r="X4304" s="37" t="s">
        <v>3339</v>
      </c>
      <c r="Y4304" s="36" t="s">
        <v>3344</v>
      </c>
      <c r="Z4304" s="30" t="s">
        <v>3345</v>
      </c>
      <c r="AA4304" s="30" t="s">
        <v>1787</v>
      </c>
      <c r="AD4304" s="38">
        <v>100</v>
      </c>
      <c r="AF4304" s="76">
        <f t="shared" si="406"/>
        <v>94758.369999999864</v>
      </c>
    </row>
    <row r="4305" spans="3:32" ht="8.25" customHeight="1" x14ac:dyDescent="0.25">
      <c r="L4305" s="52">
        <v>10</v>
      </c>
      <c r="T4305" s="33">
        <v>46189</v>
      </c>
      <c r="U4305" s="34">
        <v>2026</v>
      </c>
      <c r="V4305" s="35" t="s">
        <v>1588</v>
      </c>
      <c r="W4305" s="35" t="s">
        <v>17</v>
      </c>
      <c r="X4305" s="37" t="s">
        <v>3340</v>
      </c>
      <c r="Y4305" s="36" t="s">
        <v>120</v>
      </c>
      <c r="Z4305" s="30" t="s">
        <v>3345</v>
      </c>
      <c r="AA4305" s="30" t="s">
        <v>1054</v>
      </c>
      <c r="AD4305" s="38">
        <v>50</v>
      </c>
      <c r="AF4305" s="76">
        <f t="shared" si="406"/>
        <v>94808.369999999864</v>
      </c>
    </row>
    <row r="4306" spans="3:32" ht="8.25" customHeight="1" x14ac:dyDescent="0.15">
      <c r="I4306" s="52">
        <v>32</v>
      </c>
      <c r="T4306" s="33">
        <v>46189</v>
      </c>
      <c r="U4306" s="34">
        <v>2026</v>
      </c>
      <c r="V4306" s="35" t="s">
        <v>1588</v>
      </c>
      <c r="W4306" s="35" t="s">
        <v>17</v>
      </c>
      <c r="X4306" s="37" t="s">
        <v>3341</v>
      </c>
      <c r="Y4306" s="36" t="s">
        <v>3346</v>
      </c>
      <c r="Z4306" s="30" t="s">
        <v>3334</v>
      </c>
      <c r="AA4306" s="134" t="s">
        <v>13</v>
      </c>
      <c r="AD4306" s="38">
        <v>568.17999999999995</v>
      </c>
      <c r="AF4306" s="76">
        <f t="shared" si="406"/>
        <v>95376.549999999857</v>
      </c>
    </row>
    <row r="4307" spans="3:32" ht="8.25" customHeight="1" x14ac:dyDescent="0.15">
      <c r="M4307" s="52">
        <v>12</v>
      </c>
      <c r="T4307" s="33">
        <v>46189</v>
      </c>
      <c r="U4307" s="34">
        <v>2026</v>
      </c>
      <c r="V4307" s="35" t="s">
        <v>1588</v>
      </c>
      <c r="W4307" s="35" t="s">
        <v>17</v>
      </c>
      <c r="X4307" s="37" t="s">
        <v>3347</v>
      </c>
      <c r="Y4307" s="36" t="s">
        <v>120</v>
      </c>
      <c r="Z4307" s="30" t="s">
        <v>3334</v>
      </c>
      <c r="AA4307" s="134" t="s">
        <v>385</v>
      </c>
      <c r="AD4307" s="38">
        <v>113.64</v>
      </c>
      <c r="AF4307" s="76">
        <f t="shared" si="406"/>
        <v>95490.189999999857</v>
      </c>
    </row>
    <row r="4308" spans="3:32" ht="8.25" customHeight="1" x14ac:dyDescent="0.15">
      <c r="I4308" s="52">
        <v>33</v>
      </c>
      <c r="T4308" s="33">
        <v>46189</v>
      </c>
      <c r="U4308" s="34">
        <v>2026</v>
      </c>
      <c r="V4308" s="35" t="s">
        <v>1588</v>
      </c>
      <c r="W4308" s="35" t="s">
        <v>17</v>
      </c>
      <c r="X4308" s="37" t="s">
        <v>3348</v>
      </c>
      <c r="Y4308" s="36" t="s">
        <v>3331</v>
      </c>
      <c r="Z4308" s="30" t="s">
        <v>3332</v>
      </c>
      <c r="AA4308" s="134" t="s">
        <v>13</v>
      </c>
      <c r="AD4308" s="38">
        <v>39772.730000000003</v>
      </c>
      <c r="AF4308" s="76">
        <f t="shared" si="406"/>
        <v>135262.91999999987</v>
      </c>
    </row>
    <row r="4309" spans="3:32" ht="8.25" customHeight="1" x14ac:dyDescent="0.15">
      <c r="M4309" s="52">
        <v>13</v>
      </c>
      <c r="T4309" s="33">
        <v>46189</v>
      </c>
      <c r="U4309" s="34">
        <v>2026</v>
      </c>
      <c r="V4309" s="35" t="s">
        <v>1588</v>
      </c>
      <c r="W4309" s="35" t="s">
        <v>17</v>
      </c>
      <c r="X4309" s="37" t="s">
        <v>3356</v>
      </c>
      <c r="Y4309" s="36" t="s">
        <v>120</v>
      </c>
      <c r="Z4309" s="30" t="s">
        <v>3332</v>
      </c>
      <c r="AA4309" s="134" t="s">
        <v>385</v>
      </c>
      <c r="AD4309" s="38">
        <v>7954.54</v>
      </c>
      <c r="AF4309" s="76">
        <f t="shared" si="406"/>
        <v>143217.45999999988</v>
      </c>
    </row>
    <row r="4310" spans="3:32" ht="8.25" customHeight="1" x14ac:dyDescent="0.25">
      <c r="C4310" s="52">
        <v>2</v>
      </c>
      <c r="T4310" s="33">
        <v>46189</v>
      </c>
      <c r="U4310" s="34">
        <v>2026</v>
      </c>
      <c r="V4310" s="35" t="s">
        <v>1588</v>
      </c>
      <c r="W4310" s="35" t="s">
        <v>3620</v>
      </c>
      <c r="X4310" s="37" t="s">
        <v>3327</v>
      </c>
      <c r="Y4310" s="36" t="s">
        <v>3328</v>
      </c>
      <c r="Z4310" s="30" t="s">
        <v>425</v>
      </c>
      <c r="AA4310" s="30" t="s">
        <v>340</v>
      </c>
      <c r="AD4310" s="38">
        <v>86</v>
      </c>
      <c r="AF4310" s="76">
        <f t="shared" si="406"/>
        <v>143303.45999999988</v>
      </c>
    </row>
    <row r="4311" spans="3:32" ht="8.25" customHeight="1" x14ac:dyDescent="0.25">
      <c r="G4311" s="53">
        <v>12</v>
      </c>
      <c r="T4311" s="33">
        <v>46189</v>
      </c>
      <c r="U4311" s="34">
        <v>2026</v>
      </c>
      <c r="V4311" s="35" t="s">
        <v>1588</v>
      </c>
      <c r="W4311" s="35" t="s">
        <v>2655</v>
      </c>
      <c r="X4311" s="37" t="s">
        <v>3352</v>
      </c>
      <c r="Y4311" s="36" t="s">
        <v>3353</v>
      </c>
      <c r="Z4311" s="30" t="s">
        <v>3354</v>
      </c>
      <c r="AA4311" s="30" t="s">
        <v>3945</v>
      </c>
      <c r="AE4311" s="38">
        <v>1075.6099999999999</v>
      </c>
      <c r="AF4311" s="76">
        <f t="shared" si="406"/>
        <v>142227.84999999989</v>
      </c>
    </row>
    <row r="4312" spans="3:32" ht="8.25" customHeight="1" x14ac:dyDescent="0.25">
      <c r="Q4312" s="52">
        <v>3</v>
      </c>
      <c r="T4312" s="33">
        <v>46189</v>
      </c>
      <c r="U4312" s="34">
        <v>2026</v>
      </c>
      <c r="V4312" s="35" t="s">
        <v>1588</v>
      </c>
      <c r="W4312" s="35" t="s">
        <v>5</v>
      </c>
      <c r="X4312" s="37" t="s">
        <v>3380</v>
      </c>
      <c r="Y4312" s="36" t="s">
        <v>3346</v>
      </c>
      <c r="Z4312" s="30" t="s">
        <v>3334</v>
      </c>
      <c r="AA4312" s="30" t="s">
        <v>1509</v>
      </c>
      <c r="AE4312" s="38">
        <v>5681.82</v>
      </c>
      <c r="AF4312" s="76">
        <f t="shared" si="406"/>
        <v>136546.02999999988</v>
      </c>
    </row>
    <row r="4313" spans="3:32" ht="8.25" customHeight="1" x14ac:dyDescent="0.25">
      <c r="R4313" s="53">
        <v>28</v>
      </c>
      <c r="T4313" s="33">
        <v>46189</v>
      </c>
      <c r="U4313" s="34">
        <v>2026</v>
      </c>
      <c r="V4313" s="35" t="s">
        <v>1588</v>
      </c>
      <c r="W4313" s="35" t="s">
        <v>5</v>
      </c>
      <c r="X4313" s="37" t="s">
        <v>3349</v>
      </c>
      <c r="Y4313" s="36" t="s">
        <v>3355</v>
      </c>
      <c r="Z4313" s="30" t="s">
        <v>1030</v>
      </c>
      <c r="AA4313" s="30" t="s">
        <v>1145</v>
      </c>
      <c r="AE4313" s="38">
        <v>35000</v>
      </c>
      <c r="AF4313" s="76">
        <f t="shared" si="406"/>
        <v>101546.02999999988</v>
      </c>
    </row>
    <row r="4314" spans="3:32" ht="8.25" customHeight="1" x14ac:dyDescent="0.25">
      <c r="T4314" s="33">
        <v>46189</v>
      </c>
      <c r="U4314" s="34">
        <v>2026</v>
      </c>
      <c r="V4314" s="35" t="s">
        <v>1588</v>
      </c>
      <c r="W4314" s="35" t="s">
        <v>5</v>
      </c>
      <c r="X4314" s="37" t="s">
        <v>3349</v>
      </c>
      <c r="Y4314" s="36" t="s">
        <v>3355</v>
      </c>
      <c r="Z4314" s="30" t="s">
        <v>1030</v>
      </c>
      <c r="AA4314" s="30" t="s">
        <v>1149</v>
      </c>
      <c r="AE4314" s="38">
        <v>1884.82</v>
      </c>
      <c r="AF4314" s="76">
        <f t="shared" si="406"/>
        <v>99661.209999999875</v>
      </c>
    </row>
    <row r="4315" spans="3:32" ht="8.25" customHeight="1" x14ac:dyDescent="0.25">
      <c r="T4315" s="33">
        <v>46189</v>
      </c>
      <c r="U4315" s="34">
        <v>2026</v>
      </c>
      <c r="V4315" s="35" t="s">
        <v>1588</v>
      </c>
      <c r="W4315" s="35" t="s">
        <v>5</v>
      </c>
      <c r="X4315" s="37" t="s">
        <v>3357</v>
      </c>
      <c r="Y4315" s="36" t="s">
        <v>411</v>
      </c>
      <c r="Z4315" s="30" t="s">
        <v>3162</v>
      </c>
      <c r="AA4315" s="30" t="s">
        <v>2719</v>
      </c>
      <c r="AE4315" s="38">
        <f>AD4308</f>
        <v>39772.730000000003</v>
      </c>
      <c r="AF4315" s="76">
        <f t="shared" si="406"/>
        <v>59888.479999999872</v>
      </c>
    </row>
    <row r="4316" spans="3:32" ht="8.25" customHeight="1" x14ac:dyDescent="0.25">
      <c r="T4316" s="33">
        <v>46189</v>
      </c>
      <c r="U4316" s="34">
        <v>2026</v>
      </c>
      <c r="V4316" s="35" t="s">
        <v>1588</v>
      </c>
      <c r="W4316" s="35" t="s">
        <v>5</v>
      </c>
      <c r="X4316" s="37" t="s">
        <v>3358</v>
      </c>
      <c r="Y4316" s="36" t="s">
        <v>411</v>
      </c>
      <c r="Z4316" s="30" t="s">
        <v>3162</v>
      </c>
      <c r="AA4316" s="30" t="s">
        <v>2719</v>
      </c>
      <c r="AE4316" s="38">
        <f>AD4309</f>
        <v>7954.54</v>
      </c>
      <c r="AF4316" s="76">
        <f t="shared" si="406"/>
        <v>51933.939999999871</v>
      </c>
    </row>
    <row r="4317" spans="3:32" ht="8.25" customHeight="1" thickBot="1" x14ac:dyDescent="0.3">
      <c r="AA4317" s="260" t="s">
        <v>2893</v>
      </c>
      <c r="AD4317" s="253">
        <f>SUM(AD4293:AD4316)</f>
        <v>64206.090000000004</v>
      </c>
      <c r="AE4317" s="253">
        <f>SUM(AE4293:AE4316)</f>
        <v>91369.52</v>
      </c>
      <c r="AF4317" s="233">
        <f>AF4292+AD4317-AE4317</f>
        <v>51933.939999999871</v>
      </c>
    </row>
    <row r="4318" spans="3:32" ht="8.25" customHeight="1" thickTop="1" x14ac:dyDescent="0.25"/>
    <row r="4319" spans="3:32" ht="8.25" customHeight="1" x14ac:dyDescent="0.25">
      <c r="X4319" s="109"/>
      <c r="Y4319" s="67" t="s">
        <v>214</v>
      </c>
      <c r="Z4319" s="68"/>
      <c r="AA4319" s="75"/>
    </row>
    <row r="4320" spans="3:32" ht="8.25" customHeight="1" x14ac:dyDescent="0.25">
      <c r="X4320" s="110" t="s">
        <v>662</v>
      </c>
      <c r="Y4320" s="111">
        <v>200</v>
      </c>
      <c r="Z4320" s="111">
        <f t="shared" ref="Z4320:Z4325" si="407">X4320*Y4320</f>
        <v>4200</v>
      </c>
      <c r="AA4320" s="112"/>
    </row>
    <row r="4321" spans="14:32" ht="8.25" customHeight="1" x14ac:dyDescent="0.25">
      <c r="X4321" s="110" t="s">
        <v>2957</v>
      </c>
      <c r="Y4321" s="111">
        <v>100</v>
      </c>
      <c r="Z4321" s="111">
        <f t="shared" si="407"/>
        <v>46400</v>
      </c>
      <c r="AA4321" s="112"/>
    </row>
    <row r="4322" spans="14:32" ht="8.25" customHeight="1" x14ac:dyDescent="0.25">
      <c r="X4322" s="110"/>
      <c r="Y4322" s="111">
        <v>50</v>
      </c>
      <c r="Z4322" s="111">
        <f t="shared" si="407"/>
        <v>0</v>
      </c>
      <c r="AA4322" s="76"/>
    </row>
    <row r="4323" spans="14:32" ht="8.25" customHeight="1" x14ac:dyDescent="0.25">
      <c r="X4323" s="110"/>
      <c r="Y4323" s="111">
        <v>20</v>
      </c>
      <c r="Z4323" s="111">
        <f t="shared" si="407"/>
        <v>0</v>
      </c>
      <c r="AA4323" s="38"/>
    </row>
    <row r="4324" spans="14:32" ht="8.25" customHeight="1" x14ac:dyDescent="0.25">
      <c r="X4324" s="110"/>
      <c r="Y4324" s="111">
        <v>10</v>
      </c>
      <c r="Z4324" s="111">
        <f t="shared" si="407"/>
        <v>0</v>
      </c>
      <c r="AA4324" s="112"/>
    </row>
    <row r="4325" spans="14:32" ht="8.25" customHeight="1" x14ac:dyDescent="0.25">
      <c r="X4325" s="110" t="s">
        <v>3359</v>
      </c>
      <c r="Y4325" s="111">
        <v>5</v>
      </c>
      <c r="Z4325" s="111">
        <f t="shared" si="407"/>
        <v>920</v>
      </c>
      <c r="AA4325" s="112"/>
    </row>
    <row r="4326" spans="14:32" ht="8.25" customHeight="1" x14ac:dyDescent="0.25">
      <c r="X4326" s="269"/>
      <c r="Y4326" s="270"/>
      <c r="Z4326" s="271"/>
      <c r="AA4326" s="38"/>
    </row>
    <row r="4327" spans="14:32" ht="8.25" customHeight="1" x14ac:dyDescent="0.25">
      <c r="X4327" s="110" t="s">
        <v>3360</v>
      </c>
      <c r="Y4327" s="111">
        <v>1</v>
      </c>
      <c r="Z4327" s="111">
        <f t="shared" ref="Z4327:Z4332" si="408">X4327*Y4327</f>
        <v>328</v>
      </c>
      <c r="AA4327" s="76"/>
    </row>
    <row r="4328" spans="14:32" ht="8.25" customHeight="1" x14ac:dyDescent="0.25">
      <c r="X4328" s="110" t="s">
        <v>1496</v>
      </c>
      <c r="Y4328" s="111">
        <v>0.5</v>
      </c>
      <c r="Z4328" s="111">
        <f t="shared" si="408"/>
        <v>40.5</v>
      </c>
      <c r="AA4328" s="112"/>
    </row>
    <row r="4329" spans="14:32" ht="8.25" customHeight="1" x14ac:dyDescent="0.25">
      <c r="X4329" s="110" t="s">
        <v>1733</v>
      </c>
      <c r="Y4329" s="111">
        <v>0.25</v>
      </c>
      <c r="Z4329" s="111">
        <f t="shared" si="408"/>
        <v>45.25</v>
      </c>
      <c r="AA4329" s="113"/>
    </row>
    <row r="4330" spans="14:32" ht="8.25" customHeight="1" x14ac:dyDescent="0.25">
      <c r="X4330" s="110" t="s">
        <v>222</v>
      </c>
      <c r="Y4330" s="111">
        <v>0.1</v>
      </c>
      <c r="Z4330" s="111">
        <f t="shared" si="408"/>
        <v>0.1</v>
      </c>
      <c r="AA4330" s="114" t="s">
        <v>219</v>
      </c>
    </row>
    <row r="4331" spans="14:32" ht="8.25" customHeight="1" thickBot="1" x14ac:dyDescent="0.3">
      <c r="X4331" s="110" t="s">
        <v>222</v>
      </c>
      <c r="Y4331" s="111">
        <v>0.05</v>
      </c>
      <c r="Z4331" s="111">
        <f t="shared" si="408"/>
        <v>0.05</v>
      </c>
      <c r="AA4331" s="115">
        <f>SUM(Z4320:Z4325)+Z4327+Z4328+Z4329+Z4330+Z4331+Z4332</f>
        <v>51933.94</v>
      </c>
    </row>
    <row r="4332" spans="14:32" ht="8.25" customHeight="1" thickTop="1" x14ac:dyDescent="0.25">
      <c r="X4332" s="110" t="s">
        <v>299</v>
      </c>
      <c r="Y4332" s="111">
        <v>0.01</v>
      </c>
      <c r="Z4332" s="111">
        <f t="shared" si="408"/>
        <v>0.04</v>
      </c>
    </row>
    <row r="4334" spans="14:32" ht="8.25" customHeight="1" x14ac:dyDescent="0.25">
      <c r="Z4334" s="231" t="s">
        <v>1376</v>
      </c>
      <c r="AF4334" s="76">
        <f>AF4317</f>
        <v>51933.939999999871</v>
      </c>
    </row>
    <row r="4335" spans="14:32" ht="8.25" customHeight="1" x14ac:dyDescent="0.25">
      <c r="N4335" s="52">
        <v>52</v>
      </c>
      <c r="T4335" s="33">
        <v>46190</v>
      </c>
      <c r="U4335" s="34">
        <v>2026</v>
      </c>
      <c r="V4335" s="35" t="s">
        <v>1588</v>
      </c>
      <c r="W4335" s="35" t="s">
        <v>17</v>
      </c>
      <c r="X4335" s="37" t="s">
        <v>3361</v>
      </c>
      <c r="Y4335" s="36" t="s">
        <v>450</v>
      </c>
      <c r="Z4335" s="30" t="s">
        <v>451</v>
      </c>
      <c r="AA4335" s="30" t="s">
        <v>3899</v>
      </c>
      <c r="AD4335" s="38">
        <v>8399.01</v>
      </c>
      <c r="AF4335" s="76">
        <f>AF4334+AD4335-AE4335</f>
        <v>60332.949999999873</v>
      </c>
    </row>
    <row r="4336" spans="14:32" ht="8.25" customHeight="1" x14ac:dyDescent="0.15">
      <c r="N4336" s="52">
        <v>52</v>
      </c>
      <c r="T4336" s="33">
        <v>46190</v>
      </c>
      <c r="U4336" s="34">
        <v>2026</v>
      </c>
      <c r="V4336" s="35" t="s">
        <v>1588</v>
      </c>
      <c r="W4336" s="35" t="s">
        <v>17</v>
      </c>
      <c r="X4336" s="37" t="s">
        <v>3361</v>
      </c>
      <c r="Y4336" s="36" t="s">
        <v>450</v>
      </c>
      <c r="Z4336" s="30" t="s">
        <v>451</v>
      </c>
      <c r="AA4336" s="134" t="s">
        <v>166</v>
      </c>
      <c r="AD4336" s="38">
        <v>5600.99</v>
      </c>
      <c r="AF4336" s="76">
        <f t="shared" ref="AF4336:AF4361" si="409">AF4335+AD4336-AE4336</f>
        <v>65933.939999999871</v>
      </c>
    </row>
    <row r="4337" spans="9:32" ht="8.25" customHeight="1" x14ac:dyDescent="0.25">
      <c r="N4337" s="52">
        <v>53</v>
      </c>
      <c r="T4337" s="33">
        <v>46190</v>
      </c>
      <c r="U4337" s="34">
        <v>2026</v>
      </c>
      <c r="V4337" s="35" t="s">
        <v>1588</v>
      </c>
      <c r="W4337" s="35" t="s">
        <v>17</v>
      </c>
      <c r="X4337" s="37" t="s">
        <v>3362</v>
      </c>
      <c r="Y4337" s="36" t="s">
        <v>1469</v>
      </c>
      <c r="Z4337" s="30" t="s">
        <v>917</v>
      </c>
      <c r="AA4337" s="30" t="s">
        <v>3899</v>
      </c>
      <c r="AD4337" s="38">
        <v>3795.72</v>
      </c>
      <c r="AF4337" s="76">
        <f t="shared" si="409"/>
        <v>69729.659999999873</v>
      </c>
    </row>
    <row r="4338" spans="9:32" ht="8.25" customHeight="1" x14ac:dyDescent="0.15">
      <c r="N4338" s="52">
        <v>53</v>
      </c>
      <c r="T4338" s="33">
        <v>46190</v>
      </c>
      <c r="U4338" s="34">
        <v>2026</v>
      </c>
      <c r="V4338" s="35" t="s">
        <v>1588</v>
      </c>
      <c r="W4338" s="35" t="s">
        <v>17</v>
      </c>
      <c r="X4338" s="37" t="s">
        <v>3362</v>
      </c>
      <c r="Y4338" s="36" t="s">
        <v>1469</v>
      </c>
      <c r="Z4338" s="30" t="s">
        <v>917</v>
      </c>
      <c r="AA4338" s="134" t="s">
        <v>166</v>
      </c>
      <c r="AD4338" s="38">
        <v>5174.28</v>
      </c>
      <c r="AF4338" s="76">
        <f t="shared" si="409"/>
        <v>74903.939999999871</v>
      </c>
    </row>
    <row r="4339" spans="9:32" ht="8.25" customHeight="1" x14ac:dyDescent="0.25">
      <c r="N4339" s="52">
        <v>53</v>
      </c>
      <c r="T4339" s="33">
        <v>46190</v>
      </c>
      <c r="U4339" s="34">
        <v>2026</v>
      </c>
      <c r="V4339" s="35" t="s">
        <v>1588</v>
      </c>
      <c r="W4339" s="35" t="s">
        <v>17</v>
      </c>
      <c r="X4339" s="37" t="s">
        <v>3362</v>
      </c>
      <c r="Y4339" s="36" t="s">
        <v>1469</v>
      </c>
      <c r="Z4339" s="30" t="s">
        <v>917</v>
      </c>
      <c r="AA4339" s="30" t="s">
        <v>3305</v>
      </c>
      <c r="AD4339" s="38">
        <v>30</v>
      </c>
      <c r="AF4339" s="76">
        <f t="shared" si="409"/>
        <v>74933.939999999871</v>
      </c>
    </row>
    <row r="4340" spans="9:32" ht="8.25" customHeight="1" x14ac:dyDescent="0.25">
      <c r="N4340" s="52">
        <v>54</v>
      </c>
      <c r="T4340" s="33">
        <v>46190</v>
      </c>
      <c r="U4340" s="34">
        <v>2026</v>
      </c>
      <c r="V4340" s="35" t="s">
        <v>1588</v>
      </c>
      <c r="W4340" s="35" t="s">
        <v>17</v>
      </c>
      <c r="X4340" s="37" t="s">
        <v>3363</v>
      </c>
      <c r="Y4340" s="36" t="s">
        <v>1018</v>
      </c>
      <c r="Z4340" s="30" t="s">
        <v>484</v>
      </c>
      <c r="AA4340" s="30" t="s">
        <v>3899</v>
      </c>
      <c r="AD4340" s="38">
        <v>5529.95</v>
      </c>
      <c r="AF4340" s="76">
        <f t="shared" si="409"/>
        <v>80463.889999999868</v>
      </c>
    </row>
    <row r="4341" spans="9:32" ht="8.25" customHeight="1" x14ac:dyDescent="0.15">
      <c r="N4341" s="52">
        <v>54</v>
      </c>
      <c r="T4341" s="33">
        <v>46190</v>
      </c>
      <c r="U4341" s="34">
        <v>2026</v>
      </c>
      <c r="V4341" s="35" t="s">
        <v>1588</v>
      </c>
      <c r="W4341" s="35" t="s">
        <v>17</v>
      </c>
      <c r="X4341" s="37" t="s">
        <v>3363</v>
      </c>
      <c r="Y4341" s="36" t="s">
        <v>1018</v>
      </c>
      <c r="Z4341" s="30" t="s">
        <v>484</v>
      </c>
      <c r="AA4341" s="134" t="s">
        <v>166</v>
      </c>
      <c r="AD4341" s="38">
        <v>4440.05</v>
      </c>
      <c r="AF4341" s="76">
        <f t="shared" si="409"/>
        <v>84903.939999999871</v>
      </c>
    </row>
    <row r="4342" spans="9:32" ht="8.25" customHeight="1" x14ac:dyDescent="0.25">
      <c r="N4342" s="52">
        <v>54</v>
      </c>
      <c r="T4342" s="33">
        <v>46190</v>
      </c>
      <c r="U4342" s="34">
        <v>2026</v>
      </c>
      <c r="V4342" s="35" t="s">
        <v>1588</v>
      </c>
      <c r="W4342" s="35" t="s">
        <v>17</v>
      </c>
      <c r="X4342" s="37" t="s">
        <v>3363</v>
      </c>
      <c r="Y4342" s="36" t="s">
        <v>1018</v>
      </c>
      <c r="Z4342" s="30" t="s">
        <v>484</v>
      </c>
      <c r="AA4342" s="30" t="s">
        <v>3305</v>
      </c>
      <c r="AD4342" s="38">
        <v>130</v>
      </c>
      <c r="AF4342" s="76">
        <f t="shared" si="409"/>
        <v>85033.939999999871</v>
      </c>
    </row>
    <row r="4343" spans="9:32" ht="8.25" customHeight="1" x14ac:dyDescent="0.25">
      <c r="N4343" s="52">
        <v>55</v>
      </c>
      <c r="T4343" s="33">
        <v>46190</v>
      </c>
      <c r="U4343" s="34">
        <v>2026</v>
      </c>
      <c r="V4343" s="35" t="s">
        <v>1588</v>
      </c>
      <c r="W4343" s="35" t="s">
        <v>17</v>
      </c>
      <c r="X4343" s="37" t="s">
        <v>3364</v>
      </c>
      <c r="Y4343" s="36" t="s">
        <v>1469</v>
      </c>
      <c r="Z4343" s="30" t="s">
        <v>917</v>
      </c>
      <c r="AA4343" s="30" t="s">
        <v>3899</v>
      </c>
      <c r="AD4343" s="38">
        <v>600</v>
      </c>
      <c r="AF4343" s="76">
        <f t="shared" si="409"/>
        <v>85633.939999999871</v>
      </c>
    </row>
    <row r="4344" spans="9:32" ht="8.25" customHeight="1" x14ac:dyDescent="0.25">
      <c r="N4344" s="52">
        <v>55</v>
      </c>
      <c r="T4344" s="33">
        <v>46190</v>
      </c>
      <c r="U4344" s="34">
        <v>2026</v>
      </c>
      <c r="V4344" s="35" t="s">
        <v>1588</v>
      </c>
      <c r="W4344" s="35" t="s">
        <v>17</v>
      </c>
      <c r="X4344" s="37" t="s">
        <v>3365</v>
      </c>
      <c r="Y4344" s="36" t="s">
        <v>1018</v>
      </c>
      <c r="Z4344" s="30" t="s">
        <v>484</v>
      </c>
      <c r="AA4344" s="30" t="s">
        <v>3899</v>
      </c>
      <c r="AD4344" s="38">
        <v>2700</v>
      </c>
      <c r="AF4344" s="76">
        <f t="shared" si="409"/>
        <v>88333.939999999871</v>
      </c>
    </row>
    <row r="4345" spans="9:32" ht="8.25" customHeight="1" x14ac:dyDescent="0.25">
      <c r="N4345" s="52">
        <v>56</v>
      </c>
      <c r="T4345" s="33">
        <v>46190</v>
      </c>
      <c r="U4345" s="34">
        <v>2026</v>
      </c>
      <c r="V4345" s="35" t="s">
        <v>1588</v>
      </c>
      <c r="W4345" s="35" t="s">
        <v>17</v>
      </c>
      <c r="X4345" s="37" t="s">
        <v>3366</v>
      </c>
      <c r="Y4345" s="36" t="s">
        <v>2526</v>
      </c>
      <c r="Z4345" s="30" t="s">
        <v>1624</v>
      </c>
      <c r="AA4345" s="30" t="s">
        <v>3899</v>
      </c>
      <c r="AD4345" s="38">
        <v>2547.2199999999998</v>
      </c>
      <c r="AF4345" s="76">
        <f t="shared" si="409"/>
        <v>90881.159999999873</v>
      </c>
    </row>
    <row r="4346" spans="9:32" ht="8.25" customHeight="1" x14ac:dyDescent="0.15">
      <c r="N4346" s="52">
        <v>56</v>
      </c>
      <c r="T4346" s="33">
        <v>46190</v>
      </c>
      <c r="U4346" s="34">
        <v>2026</v>
      </c>
      <c r="V4346" s="35" t="s">
        <v>1588</v>
      </c>
      <c r="W4346" s="35" t="s">
        <v>17</v>
      </c>
      <c r="X4346" s="37" t="s">
        <v>3366</v>
      </c>
      <c r="Y4346" s="36" t="s">
        <v>2526</v>
      </c>
      <c r="Z4346" s="30" t="s">
        <v>1624</v>
      </c>
      <c r="AA4346" s="134" t="s">
        <v>166</v>
      </c>
      <c r="AD4346" s="38">
        <v>1728.78</v>
      </c>
      <c r="AF4346" s="76">
        <f t="shared" si="409"/>
        <v>92609.939999999871</v>
      </c>
    </row>
    <row r="4347" spans="9:32" ht="8.25" customHeight="1" x14ac:dyDescent="0.25">
      <c r="K4347" s="52">
        <v>11</v>
      </c>
      <c r="T4347" s="33">
        <v>46190</v>
      </c>
      <c r="U4347" s="34">
        <v>2026</v>
      </c>
      <c r="V4347" s="35" t="s">
        <v>1588</v>
      </c>
      <c r="W4347" s="35" t="s">
        <v>17</v>
      </c>
      <c r="X4347" s="37" t="s">
        <v>3367</v>
      </c>
      <c r="Y4347" s="36" t="s">
        <v>3371</v>
      </c>
      <c r="Z4347" s="30" t="s">
        <v>3372</v>
      </c>
      <c r="AA4347" s="30" t="s">
        <v>1787</v>
      </c>
      <c r="AD4347" s="38">
        <v>100</v>
      </c>
      <c r="AF4347" s="76">
        <f t="shared" si="409"/>
        <v>92709.939999999871</v>
      </c>
    </row>
    <row r="4348" spans="9:32" ht="8.25" customHeight="1" x14ac:dyDescent="0.25">
      <c r="L4348" s="52">
        <v>11</v>
      </c>
      <c r="T4348" s="33">
        <v>46190</v>
      </c>
      <c r="U4348" s="34">
        <v>2026</v>
      </c>
      <c r="V4348" s="35" t="s">
        <v>1588</v>
      </c>
      <c r="W4348" s="35" t="s">
        <v>17</v>
      </c>
      <c r="X4348" s="37" t="s">
        <v>3368</v>
      </c>
      <c r="Y4348" s="36" t="s">
        <v>120</v>
      </c>
      <c r="Z4348" s="30" t="s">
        <v>3372</v>
      </c>
      <c r="AA4348" s="30" t="s">
        <v>1054</v>
      </c>
      <c r="AD4348" s="38">
        <v>50</v>
      </c>
      <c r="AF4348" s="76">
        <f t="shared" si="409"/>
        <v>92759.939999999871</v>
      </c>
    </row>
    <row r="4349" spans="9:32" ht="8.25" customHeight="1" x14ac:dyDescent="0.25">
      <c r="N4349" s="52">
        <v>57</v>
      </c>
      <c r="T4349" s="33">
        <v>46190</v>
      </c>
      <c r="U4349" s="34">
        <v>2026</v>
      </c>
      <c r="V4349" s="35" t="s">
        <v>1588</v>
      </c>
      <c r="W4349" s="35" t="s">
        <v>17</v>
      </c>
      <c r="X4349" s="37" t="s">
        <v>3369</v>
      </c>
      <c r="Y4349" s="36" t="s">
        <v>2225</v>
      </c>
      <c r="Z4349" s="30" t="s">
        <v>1556</v>
      </c>
      <c r="AA4349" s="30" t="s">
        <v>3899</v>
      </c>
      <c r="AD4349" s="38">
        <v>2499.4</v>
      </c>
      <c r="AF4349" s="76">
        <f t="shared" si="409"/>
        <v>95259.339999999866</v>
      </c>
    </row>
    <row r="4350" spans="9:32" ht="8.25" customHeight="1" x14ac:dyDescent="0.15">
      <c r="N4350" s="52">
        <v>57</v>
      </c>
      <c r="T4350" s="33">
        <v>46190</v>
      </c>
      <c r="U4350" s="34">
        <v>2026</v>
      </c>
      <c r="V4350" s="35" t="s">
        <v>1588</v>
      </c>
      <c r="W4350" s="35" t="s">
        <v>17</v>
      </c>
      <c r="X4350" s="37" t="s">
        <v>3369</v>
      </c>
      <c r="Y4350" s="36" t="s">
        <v>2225</v>
      </c>
      <c r="Z4350" s="30" t="s">
        <v>1556</v>
      </c>
      <c r="AA4350" s="134" t="s">
        <v>166</v>
      </c>
      <c r="AD4350" s="38">
        <v>2955.6</v>
      </c>
      <c r="AF4350" s="76">
        <f t="shared" si="409"/>
        <v>98214.939999999871</v>
      </c>
    </row>
    <row r="4351" spans="9:32" ht="8.25" customHeight="1" x14ac:dyDescent="0.15">
      <c r="I4351" s="52">
        <v>34</v>
      </c>
      <c r="T4351" s="33">
        <v>46190</v>
      </c>
      <c r="U4351" s="34">
        <v>2026</v>
      </c>
      <c r="V4351" s="35" t="s">
        <v>1588</v>
      </c>
      <c r="W4351" s="35" t="s">
        <v>17</v>
      </c>
      <c r="X4351" s="37" t="s">
        <v>3370</v>
      </c>
      <c r="Y4351" s="36" t="s">
        <v>3375</v>
      </c>
      <c r="Z4351" s="30" t="s">
        <v>3372</v>
      </c>
      <c r="AA4351" s="134" t="s">
        <v>13</v>
      </c>
      <c r="AD4351" s="38">
        <v>465.91</v>
      </c>
      <c r="AF4351" s="76">
        <f t="shared" si="409"/>
        <v>98680.849999999875</v>
      </c>
    </row>
    <row r="4352" spans="9:32" ht="8.25" customHeight="1" x14ac:dyDescent="0.15">
      <c r="M4352" s="52">
        <v>14</v>
      </c>
      <c r="T4352" s="33">
        <v>46190</v>
      </c>
      <c r="U4352" s="34">
        <v>2026</v>
      </c>
      <c r="V4352" s="35" t="s">
        <v>1588</v>
      </c>
      <c r="W4352" s="35" t="s">
        <v>17</v>
      </c>
      <c r="X4352" s="37" t="s">
        <v>3373</v>
      </c>
      <c r="Y4352" s="36" t="s">
        <v>120</v>
      </c>
      <c r="Z4352" s="30" t="s">
        <v>3372</v>
      </c>
      <c r="AA4352" s="134" t="s">
        <v>385</v>
      </c>
      <c r="AD4352" s="38">
        <v>93.18</v>
      </c>
      <c r="AF4352" s="76">
        <f t="shared" si="409"/>
        <v>98774.029999999868</v>
      </c>
    </row>
    <row r="4353" spans="3:32" ht="8.25" customHeight="1" x14ac:dyDescent="0.25">
      <c r="N4353" s="52">
        <v>58</v>
      </c>
      <c r="T4353" s="33">
        <v>46190</v>
      </c>
      <c r="U4353" s="34">
        <v>2026</v>
      </c>
      <c r="V4353" s="35" t="s">
        <v>1588</v>
      </c>
      <c r="W4353" s="35" t="s">
        <v>17</v>
      </c>
      <c r="X4353" s="37" t="s">
        <v>3374</v>
      </c>
      <c r="Y4353" s="36" t="s">
        <v>1663</v>
      </c>
      <c r="Z4353" s="30" t="s">
        <v>1661</v>
      </c>
      <c r="AA4353" s="30" t="s">
        <v>3899</v>
      </c>
      <c r="AD4353" s="38">
        <v>3776.05</v>
      </c>
      <c r="AF4353" s="76">
        <f t="shared" si="409"/>
        <v>102550.07999999987</v>
      </c>
    </row>
    <row r="4354" spans="3:32" ht="8.25" customHeight="1" x14ac:dyDescent="0.15">
      <c r="N4354" s="52">
        <v>58</v>
      </c>
      <c r="T4354" s="33">
        <v>46190</v>
      </c>
      <c r="U4354" s="34">
        <v>2026</v>
      </c>
      <c r="V4354" s="35" t="s">
        <v>1588</v>
      </c>
      <c r="W4354" s="35" t="s">
        <v>17</v>
      </c>
      <c r="X4354" s="37" t="s">
        <v>3374</v>
      </c>
      <c r="Y4354" s="36" t="s">
        <v>1663</v>
      </c>
      <c r="Z4354" s="30" t="s">
        <v>1661</v>
      </c>
      <c r="AA4354" s="134" t="s">
        <v>166</v>
      </c>
      <c r="AD4354" s="38">
        <v>3690.95</v>
      </c>
      <c r="AF4354" s="76">
        <f t="shared" si="409"/>
        <v>106241.02999999987</v>
      </c>
    </row>
    <row r="4355" spans="3:32" ht="8.25" customHeight="1" x14ac:dyDescent="0.25">
      <c r="T4355" s="33">
        <v>46190</v>
      </c>
      <c r="U4355" s="34">
        <v>2026</v>
      </c>
      <c r="V4355" s="35" t="s">
        <v>1588</v>
      </c>
      <c r="W4355" s="35" t="s">
        <v>2405</v>
      </c>
      <c r="X4355" s="37" t="s">
        <v>3376</v>
      </c>
      <c r="Y4355" s="36" t="s">
        <v>3377</v>
      </c>
      <c r="Z4355" s="30" t="s">
        <v>3378</v>
      </c>
      <c r="AA4355" s="30" t="s">
        <v>256</v>
      </c>
      <c r="AD4355" s="38">
        <v>200</v>
      </c>
      <c r="AF4355" s="76">
        <f t="shared" si="409"/>
        <v>106441.02999999987</v>
      </c>
    </row>
    <row r="4356" spans="3:32" ht="8.25" customHeight="1" x14ac:dyDescent="0.25">
      <c r="C4356" s="52">
        <v>3</v>
      </c>
      <c r="T4356" s="33">
        <v>46190</v>
      </c>
      <c r="U4356" s="34">
        <v>2026</v>
      </c>
      <c r="V4356" s="35" t="s">
        <v>1588</v>
      </c>
      <c r="W4356" s="35" t="s">
        <v>3620</v>
      </c>
      <c r="X4356" s="37" t="s">
        <v>3379</v>
      </c>
      <c r="Y4356" s="36" t="s">
        <v>2807</v>
      </c>
      <c r="Z4356" s="30" t="s">
        <v>2142</v>
      </c>
      <c r="AA4356" s="30" t="s">
        <v>340</v>
      </c>
      <c r="AD4356" s="38">
        <v>150</v>
      </c>
      <c r="AF4356" s="76">
        <f t="shared" si="409"/>
        <v>106591.02999999987</v>
      </c>
    </row>
    <row r="4357" spans="3:32" ht="8.25" customHeight="1" x14ac:dyDescent="0.25">
      <c r="R4357" s="53">
        <v>29</v>
      </c>
      <c r="T4357" s="33">
        <v>46190</v>
      </c>
      <c r="U4357" s="34">
        <v>2026</v>
      </c>
      <c r="V4357" s="35" t="s">
        <v>1588</v>
      </c>
      <c r="W4357" s="35" t="s">
        <v>5</v>
      </c>
      <c r="X4357" s="37" t="s">
        <v>3350</v>
      </c>
      <c r="Y4357" s="36" t="s">
        <v>3383</v>
      </c>
      <c r="Z4357" s="30" t="s">
        <v>334</v>
      </c>
      <c r="AA4357" s="30" t="s">
        <v>1050</v>
      </c>
      <c r="AE4357" s="38">
        <v>400</v>
      </c>
      <c r="AF4357" s="76">
        <f t="shared" si="409"/>
        <v>106191.02999999987</v>
      </c>
    </row>
    <row r="4358" spans="3:32" ht="8.25" customHeight="1" x14ac:dyDescent="0.25">
      <c r="Q4358" s="52">
        <v>4</v>
      </c>
      <c r="T4358" s="33">
        <v>46190</v>
      </c>
      <c r="U4358" s="34">
        <v>2026</v>
      </c>
      <c r="V4358" s="35" t="s">
        <v>1588</v>
      </c>
      <c r="W4358" s="35" t="s">
        <v>5</v>
      </c>
      <c r="X4358" s="37" t="s">
        <v>3381</v>
      </c>
      <c r="Y4358" s="36" t="s">
        <v>3384</v>
      </c>
      <c r="Z4358" s="30" t="s">
        <v>3372</v>
      </c>
      <c r="AA4358" s="30" t="s">
        <v>1509</v>
      </c>
      <c r="AE4358" s="38">
        <v>4659.09</v>
      </c>
      <c r="AF4358" s="76">
        <f t="shared" si="409"/>
        <v>101531.93999999987</v>
      </c>
    </row>
    <row r="4359" spans="3:32" ht="8.25" customHeight="1" x14ac:dyDescent="0.25">
      <c r="R4359" s="53">
        <v>30</v>
      </c>
      <c r="T4359" s="33">
        <v>46190</v>
      </c>
      <c r="U4359" s="34">
        <v>2026</v>
      </c>
      <c r="V4359" s="35" t="s">
        <v>1588</v>
      </c>
      <c r="W4359" s="35" t="s">
        <v>5</v>
      </c>
      <c r="X4359" s="37" t="s">
        <v>3382</v>
      </c>
      <c r="Y4359" s="36" t="s">
        <v>2012</v>
      </c>
      <c r="Z4359" s="30" t="s">
        <v>1942</v>
      </c>
      <c r="AA4359" s="30" t="s">
        <v>1050</v>
      </c>
      <c r="AE4359" s="38">
        <v>400</v>
      </c>
      <c r="AF4359" s="76">
        <f t="shared" si="409"/>
        <v>101131.93999999987</v>
      </c>
    </row>
    <row r="4360" spans="3:32" ht="8.25" customHeight="1" x14ac:dyDescent="0.25">
      <c r="R4360" s="53">
        <v>31</v>
      </c>
      <c r="T4360" s="33">
        <v>46190</v>
      </c>
      <c r="U4360" s="34">
        <v>2026</v>
      </c>
      <c r="V4360" s="35" t="s">
        <v>1588</v>
      </c>
      <c r="W4360" s="35" t="s">
        <v>5</v>
      </c>
      <c r="X4360" s="37" t="s">
        <v>3389</v>
      </c>
      <c r="Y4360" s="36" t="s">
        <v>3389</v>
      </c>
      <c r="Z4360" s="30" t="s">
        <v>1661</v>
      </c>
      <c r="AA4360" s="30" t="s">
        <v>1050</v>
      </c>
      <c r="AE4360" s="38">
        <v>7467</v>
      </c>
      <c r="AF4360" s="76">
        <f t="shared" si="409"/>
        <v>93664.939999999871</v>
      </c>
    </row>
    <row r="4361" spans="3:32" ht="8.25" customHeight="1" x14ac:dyDescent="0.25">
      <c r="F4361" s="53">
        <v>2</v>
      </c>
      <c r="T4361" s="33">
        <v>46190</v>
      </c>
      <c r="U4361" s="34">
        <v>2026</v>
      </c>
      <c r="V4361" s="35" t="s">
        <v>1588</v>
      </c>
      <c r="W4361" s="35" t="s">
        <v>2655</v>
      </c>
      <c r="X4361" s="37" t="s">
        <v>3385</v>
      </c>
      <c r="Z4361" s="30" t="s">
        <v>1393</v>
      </c>
      <c r="AA4361" s="30" t="s">
        <v>3939</v>
      </c>
      <c r="AE4361" s="38">
        <v>200</v>
      </c>
      <c r="AF4361" s="76">
        <f t="shared" si="409"/>
        <v>93464.939999999871</v>
      </c>
    </row>
    <row r="4362" spans="3:32" ht="8.25" customHeight="1" thickBot="1" x14ac:dyDescent="0.3">
      <c r="AA4362" s="260" t="s">
        <v>2893</v>
      </c>
      <c r="AD4362" s="253">
        <f>SUM(AD4335:AD4361)</f>
        <v>54657.090000000004</v>
      </c>
      <c r="AE4362" s="253">
        <f>SUM(AE4335:AE4361)</f>
        <v>13126.09</v>
      </c>
      <c r="AF4362" s="233">
        <f>AF4334+AD4362-AE4362</f>
        <v>93464.939999999886</v>
      </c>
    </row>
    <row r="4363" spans="3:32" ht="8.25" customHeight="1" thickTop="1" x14ac:dyDescent="0.25"/>
    <row r="4364" spans="3:32" ht="8.25" customHeight="1" x14ac:dyDescent="0.25">
      <c r="X4364" s="109"/>
      <c r="Y4364" s="67" t="s">
        <v>214</v>
      </c>
      <c r="Z4364" s="68"/>
      <c r="AA4364" s="75"/>
    </row>
    <row r="4365" spans="3:32" ht="8.25" customHeight="1" x14ac:dyDescent="0.25">
      <c r="X4365" s="110" t="s">
        <v>662</v>
      </c>
      <c r="Y4365" s="111">
        <v>200</v>
      </c>
      <c r="Z4365" s="111">
        <f t="shared" ref="Z4365:Z4370" si="410">X4365*Y4365</f>
        <v>4200</v>
      </c>
      <c r="AA4365" s="112"/>
    </row>
    <row r="4366" spans="3:32" ht="8.25" customHeight="1" x14ac:dyDescent="0.25">
      <c r="X4366" s="110" t="s">
        <v>3390</v>
      </c>
      <c r="Y4366" s="111">
        <v>100</v>
      </c>
      <c r="Z4366" s="111">
        <f t="shared" si="410"/>
        <v>87900</v>
      </c>
      <c r="AA4366" s="112"/>
    </row>
    <row r="4367" spans="3:32" ht="8.25" customHeight="1" x14ac:dyDescent="0.25">
      <c r="X4367" s="110"/>
      <c r="Y4367" s="111">
        <v>50</v>
      </c>
      <c r="Z4367" s="111">
        <f t="shared" si="410"/>
        <v>0</v>
      </c>
      <c r="AA4367" s="76"/>
    </row>
    <row r="4368" spans="3:32" ht="8.25" customHeight="1" x14ac:dyDescent="0.25">
      <c r="X4368" s="110" t="s">
        <v>222</v>
      </c>
      <c r="Y4368" s="111">
        <v>20</v>
      </c>
      <c r="Z4368" s="111">
        <f t="shared" si="410"/>
        <v>20</v>
      </c>
      <c r="AA4368" s="38"/>
    </row>
    <row r="4369" spans="7:32" ht="8.25" customHeight="1" x14ac:dyDescent="0.25">
      <c r="X4369" s="110" t="s">
        <v>222</v>
      </c>
      <c r="Y4369" s="111">
        <v>10</v>
      </c>
      <c r="Z4369" s="111">
        <f t="shared" si="410"/>
        <v>10</v>
      </c>
      <c r="AA4369" s="112"/>
    </row>
    <row r="4370" spans="7:32" ht="8.25" customHeight="1" x14ac:dyDescent="0.25">
      <c r="X4370" s="110" t="s">
        <v>3359</v>
      </c>
      <c r="Y4370" s="111">
        <v>5</v>
      </c>
      <c r="Z4370" s="111">
        <f t="shared" si="410"/>
        <v>920</v>
      </c>
      <c r="AA4370" s="112"/>
    </row>
    <row r="4371" spans="7:32" ht="8.25" customHeight="1" x14ac:dyDescent="0.25">
      <c r="X4371" s="269"/>
      <c r="Y4371" s="270"/>
      <c r="Z4371" s="271"/>
      <c r="AA4371" s="38"/>
    </row>
    <row r="4372" spans="7:32" ht="8.25" customHeight="1" x14ac:dyDescent="0.25">
      <c r="X4372" s="110" t="s">
        <v>2060</v>
      </c>
      <c r="Y4372" s="111">
        <v>1</v>
      </c>
      <c r="Z4372" s="111">
        <f t="shared" ref="Z4372:Z4377" si="411">X4372*Y4372</f>
        <v>329</v>
      </c>
      <c r="AA4372" s="76"/>
    </row>
    <row r="4373" spans="7:32" ht="8.25" customHeight="1" x14ac:dyDescent="0.25">
      <c r="X4373" s="110" t="s">
        <v>1496</v>
      </c>
      <c r="Y4373" s="111">
        <v>0.5</v>
      </c>
      <c r="Z4373" s="111">
        <f t="shared" si="411"/>
        <v>40.5</v>
      </c>
      <c r="AA4373" s="112"/>
    </row>
    <row r="4374" spans="7:32" ht="8.25" customHeight="1" x14ac:dyDescent="0.25">
      <c r="X4374" s="110" t="s">
        <v>1733</v>
      </c>
      <c r="Y4374" s="111">
        <v>0.25</v>
      </c>
      <c r="Z4374" s="111">
        <f t="shared" si="411"/>
        <v>45.25</v>
      </c>
      <c r="AA4374" s="113"/>
    </row>
    <row r="4375" spans="7:32" ht="8.25" customHeight="1" x14ac:dyDescent="0.25">
      <c r="X4375" s="110" t="s">
        <v>222</v>
      </c>
      <c r="Y4375" s="111">
        <v>0.1</v>
      </c>
      <c r="Z4375" s="111">
        <f t="shared" si="411"/>
        <v>0.1</v>
      </c>
      <c r="AA4375" s="114" t="s">
        <v>219</v>
      </c>
    </row>
    <row r="4376" spans="7:32" ht="8.25" customHeight="1" thickBot="1" x14ac:dyDescent="0.3">
      <c r="X4376" s="110" t="s">
        <v>222</v>
      </c>
      <c r="Y4376" s="111">
        <v>0.05</v>
      </c>
      <c r="Z4376" s="111">
        <f t="shared" si="411"/>
        <v>0.05</v>
      </c>
      <c r="AA4376" s="115">
        <f>SUM(Z4365:Z4370)+Z4372+Z4373+Z4374+Z4375+Z4376+Z4377</f>
        <v>93464.94</v>
      </c>
    </row>
    <row r="4377" spans="7:32" ht="8.25" customHeight="1" thickTop="1" x14ac:dyDescent="0.25">
      <c r="X4377" s="110" t="s">
        <v>299</v>
      </c>
      <c r="Y4377" s="111">
        <v>0.01</v>
      </c>
      <c r="Z4377" s="111">
        <f t="shared" si="411"/>
        <v>0.04</v>
      </c>
    </row>
    <row r="4379" spans="7:32" ht="8.25" customHeight="1" x14ac:dyDescent="0.25">
      <c r="Z4379" s="231" t="s">
        <v>1376</v>
      </c>
      <c r="AF4379" s="76">
        <f>AF4361</f>
        <v>93464.939999999871</v>
      </c>
    </row>
    <row r="4380" spans="7:32" ht="8.25" customHeight="1" x14ac:dyDescent="0.25">
      <c r="N4380" s="52">
        <v>59</v>
      </c>
      <c r="T4380" s="33">
        <v>46191</v>
      </c>
      <c r="U4380" s="34">
        <v>2026</v>
      </c>
      <c r="V4380" s="35" t="s">
        <v>1588</v>
      </c>
      <c r="W4380" s="35" t="s">
        <v>17</v>
      </c>
      <c r="X4380" s="37" t="s">
        <v>3392</v>
      </c>
      <c r="Y4380" s="36" t="s">
        <v>3392</v>
      </c>
      <c r="Z4380" s="30" t="s">
        <v>1504</v>
      </c>
      <c r="AA4380" s="30" t="s">
        <v>3899</v>
      </c>
      <c r="AD4380" s="38">
        <v>1723.64</v>
      </c>
      <c r="AF4380" s="76">
        <f>AF4379+AD4380-AE4380</f>
        <v>95188.579999999871</v>
      </c>
    </row>
    <row r="4381" spans="7:32" ht="8.25" customHeight="1" x14ac:dyDescent="0.15">
      <c r="N4381" s="52">
        <v>59</v>
      </c>
      <c r="T4381" s="33">
        <v>46191</v>
      </c>
      <c r="U4381" s="34">
        <v>2026</v>
      </c>
      <c r="V4381" s="35" t="s">
        <v>1588</v>
      </c>
      <c r="W4381" s="35" t="s">
        <v>17</v>
      </c>
      <c r="X4381" s="37" t="s">
        <v>3392</v>
      </c>
      <c r="Y4381" s="36" t="s">
        <v>3392</v>
      </c>
      <c r="Z4381" s="30" t="s">
        <v>1504</v>
      </c>
      <c r="AA4381" s="134" t="s">
        <v>166</v>
      </c>
      <c r="AD4381" s="38">
        <v>276.36</v>
      </c>
      <c r="AF4381" s="76">
        <f t="shared" ref="AF4381:AF4383" si="412">AF4380+AD4381-AE4381</f>
        <v>95464.939999999871</v>
      </c>
    </row>
    <row r="4382" spans="7:32" ht="8.25" customHeight="1" x14ac:dyDescent="0.25">
      <c r="N4382" s="52">
        <v>60</v>
      </c>
      <c r="T4382" s="33">
        <v>46191</v>
      </c>
      <c r="U4382" s="34">
        <v>2026</v>
      </c>
      <c r="V4382" s="35" t="s">
        <v>1588</v>
      </c>
      <c r="W4382" s="35" t="s">
        <v>17</v>
      </c>
      <c r="X4382" s="37" t="s">
        <v>3393</v>
      </c>
      <c r="Y4382" s="36" t="s">
        <v>3393</v>
      </c>
      <c r="Z4382" s="30" t="s">
        <v>3394</v>
      </c>
      <c r="AA4382" s="30" t="s">
        <v>3708</v>
      </c>
      <c r="AD4382" s="38">
        <v>497.78</v>
      </c>
      <c r="AF4382" s="76">
        <f t="shared" si="412"/>
        <v>95962.71999999987</v>
      </c>
    </row>
    <row r="4383" spans="7:32" ht="8.25" customHeight="1" x14ac:dyDescent="0.15">
      <c r="N4383" s="52">
        <v>60</v>
      </c>
      <c r="T4383" s="33">
        <v>46191</v>
      </c>
      <c r="U4383" s="34">
        <v>2026</v>
      </c>
      <c r="V4383" s="35" t="s">
        <v>1588</v>
      </c>
      <c r="W4383" s="35" t="s">
        <v>17</v>
      </c>
      <c r="X4383" s="37" t="s">
        <v>3393</v>
      </c>
      <c r="Y4383" s="36" t="s">
        <v>3393</v>
      </c>
      <c r="Z4383" s="30" t="s">
        <v>3394</v>
      </c>
      <c r="AA4383" s="134" t="s">
        <v>183</v>
      </c>
      <c r="AD4383" s="38">
        <v>202.22</v>
      </c>
      <c r="AF4383" s="76">
        <f t="shared" si="412"/>
        <v>96164.939999999871</v>
      </c>
    </row>
    <row r="4384" spans="7:32" ht="8.25" customHeight="1" x14ac:dyDescent="0.25">
      <c r="G4384" s="53">
        <v>13</v>
      </c>
      <c r="T4384" s="33">
        <v>46191</v>
      </c>
      <c r="U4384" s="34">
        <v>2026</v>
      </c>
      <c r="V4384" s="35" t="s">
        <v>1588</v>
      </c>
      <c r="W4384" s="35" t="s">
        <v>2655</v>
      </c>
      <c r="X4384" s="37" t="s">
        <v>3395</v>
      </c>
      <c r="Y4384" s="36" t="s">
        <v>3396</v>
      </c>
      <c r="Z4384" s="30" t="s">
        <v>1504</v>
      </c>
      <c r="AA4384" s="30" t="s">
        <v>3945</v>
      </c>
      <c r="AE4384" s="38">
        <v>3717</v>
      </c>
      <c r="AF4384" s="76">
        <f>AF4383+AD4384-AE4384</f>
        <v>92447.939999999871</v>
      </c>
    </row>
    <row r="4385" spans="24:32" ht="8.25" customHeight="1" thickBot="1" x14ac:dyDescent="0.3">
      <c r="AA4385" s="260" t="s">
        <v>2893</v>
      </c>
      <c r="AD4385" s="253">
        <f>SUM(AD4380:AD4384)</f>
        <v>2699.9999999999995</v>
      </c>
      <c r="AE4385" s="253">
        <f>SUM(AE4380:AE4384)</f>
        <v>3717</v>
      </c>
      <c r="AF4385" s="233">
        <f>AF4379+AD4385-AE4385</f>
        <v>92447.939999999871</v>
      </c>
    </row>
    <row r="4386" spans="24:32" ht="8.25" customHeight="1" thickTop="1" x14ac:dyDescent="0.25"/>
    <row r="4387" spans="24:32" ht="8.25" customHeight="1" x14ac:dyDescent="0.25">
      <c r="X4387" s="109"/>
      <c r="Y4387" s="67" t="s">
        <v>214</v>
      </c>
      <c r="Z4387" s="68"/>
      <c r="AA4387" s="75"/>
    </row>
    <row r="4388" spans="24:32" ht="8.25" customHeight="1" x14ac:dyDescent="0.25">
      <c r="X4388" s="110" t="s">
        <v>3398</v>
      </c>
      <c r="Y4388" s="111">
        <v>200</v>
      </c>
      <c r="Z4388" s="111">
        <f t="shared" ref="Z4388:Z4393" si="413">X4388*Y4388</f>
        <v>7200</v>
      </c>
      <c r="AA4388" s="112"/>
    </row>
    <row r="4389" spans="24:32" ht="8.25" customHeight="1" x14ac:dyDescent="0.25">
      <c r="X4389" s="110" t="s">
        <v>3397</v>
      </c>
      <c r="Y4389" s="111">
        <v>100</v>
      </c>
      <c r="Z4389" s="111">
        <f t="shared" si="413"/>
        <v>83900</v>
      </c>
      <c r="AA4389" s="112"/>
    </row>
    <row r="4390" spans="24:32" ht="8.25" customHeight="1" x14ac:dyDescent="0.25">
      <c r="X4390" s="110" t="s">
        <v>222</v>
      </c>
      <c r="Y4390" s="111">
        <v>50</v>
      </c>
      <c r="Z4390" s="111">
        <f t="shared" si="413"/>
        <v>50</v>
      </c>
      <c r="AA4390" s="76"/>
    </row>
    <row r="4391" spans="24:32" ht="8.25" customHeight="1" x14ac:dyDescent="0.25">
      <c r="X4391" s="110" t="s">
        <v>222</v>
      </c>
      <c r="Y4391" s="111">
        <v>20</v>
      </c>
      <c r="Z4391" s="111">
        <f t="shared" si="413"/>
        <v>20</v>
      </c>
      <c r="AA4391" s="38"/>
    </row>
    <row r="4392" spans="24:32" ht="8.25" customHeight="1" x14ac:dyDescent="0.25">
      <c r="X4392" s="110" t="s">
        <v>222</v>
      </c>
      <c r="Y4392" s="111">
        <v>10</v>
      </c>
      <c r="Z4392" s="111">
        <f t="shared" si="413"/>
        <v>10</v>
      </c>
      <c r="AA4392" s="112"/>
    </row>
    <row r="4393" spans="24:32" ht="8.25" customHeight="1" x14ac:dyDescent="0.25">
      <c r="X4393" s="110" t="s">
        <v>1218</v>
      </c>
      <c r="Y4393" s="111">
        <v>5</v>
      </c>
      <c r="Z4393" s="111">
        <f t="shared" si="413"/>
        <v>855</v>
      </c>
      <c r="AA4393" s="112"/>
    </row>
    <row r="4394" spans="24:32" ht="8.25" customHeight="1" x14ac:dyDescent="0.25">
      <c r="X4394" s="269"/>
      <c r="Y4394" s="270"/>
      <c r="Z4394" s="271"/>
      <c r="AA4394" s="38"/>
    </row>
    <row r="4395" spans="24:32" ht="8.25" customHeight="1" x14ac:dyDescent="0.25">
      <c r="X4395" s="110" t="s">
        <v>2568</v>
      </c>
      <c r="Y4395" s="111">
        <v>1</v>
      </c>
      <c r="Z4395" s="111">
        <f t="shared" ref="Z4395:Z4400" si="414">X4395*Y4395</f>
        <v>327</v>
      </c>
      <c r="AA4395" s="76"/>
    </row>
    <row r="4396" spans="24:32" ht="8.25" customHeight="1" x14ac:dyDescent="0.25">
      <c r="X4396" s="110" t="s">
        <v>1496</v>
      </c>
      <c r="Y4396" s="111">
        <v>0.5</v>
      </c>
      <c r="Z4396" s="111">
        <f t="shared" si="414"/>
        <v>40.5</v>
      </c>
      <c r="AA4396" s="112"/>
    </row>
    <row r="4397" spans="24:32" ht="8.25" customHeight="1" x14ac:dyDescent="0.25">
      <c r="X4397" s="110" t="s">
        <v>1733</v>
      </c>
      <c r="Y4397" s="111">
        <v>0.25</v>
      </c>
      <c r="Z4397" s="111">
        <f t="shared" si="414"/>
        <v>45.25</v>
      </c>
      <c r="AA4397" s="113"/>
    </row>
    <row r="4398" spans="24:32" ht="8.25" customHeight="1" x14ac:dyDescent="0.25">
      <c r="X4398" s="110" t="s">
        <v>222</v>
      </c>
      <c r="Y4398" s="111">
        <v>0.1</v>
      </c>
      <c r="Z4398" s="111">
        <f t="shared" si="414"/>
        <v>0.1</v>
      </c>
      <c r="AA4398" s="114" t="s">
        <v>219</v>
      </c>
    </row>
    <row r="4399" spans="24:32" ht="8.25" customHeight="1" thickBot="1" x14ac:dyDescent="0.3">
      <c r="X4399" s="110" t="s">
        <v>222</v>
      </c>
      <c r="Y4399" s="111">
        <v>0.05</v>
      </c>
      <c r="Z4399" s="111">
        <f t="shared" si="414"/>
        <v>0.05</v>
      </c>
      <c r="AA4399" s="115">
        <f>SUM(Z4388:Z4393)+Z4395+Z4396+Z4397+Z4398+Z4399+Z4400</f>
        <v>92447.94</v>
      </c>
    </row>
    <row r="4400" spans="24:32" ht="8.25" customHeight="1" thickTop="1" x14ac:dyDescent="0.25">
      <c r="X4400" s="110" t="s">
        <v>299</v>
      </c>
      <c r="Y4400" s="111">
        <v>0.01</v>
      </c>
      <c r="Z4400" s="111">
        <f t="shared" si="414"/>
        <v>0.04</v>
      </c>
    </row>
    <row r="4402" spans="7:32" ht="8.25" customHeight="1" x14ac:dyDescent="0.25">
      <c r="Z4402" s="231" t="s">
        <v>1376</v>
      </c>
      <c r="AF4402" s="76">
        <f>AF4385</f>
        <v>92447.939999999871</v>
      </c>
    </row>
    <row r="4403" spans="7:32" ht="8.25" customHeight="1" x14ac:dyDescent="0.15">
      <c r="I4403" s="52">
        <v>35</v>
      </c>
      <c r="T4403" s="33">
        <v>46192</v>
      </c>
      <c r="U4403" s="34">
        <v>2026</v>
      </c>
      <c r="V4403" s="35" t="s">
        <v>1588</v>
      </c>
      <c r="W4403" s="35" t="s">
        <v>17</v>
      </c>
      <c r="X4403" s="37" t="s">
        <v>3399</v>
      </c>
      <c r="Y4403" s="36" t="s">
        <v>115</v>
      </c>
      <c r="Z4403" s="30" t="s">
        <v>1363</v>
      </c>
      <c r="AA4403" s="134" t="s">
        <v>13</v>
      </c>
      <c r="AD4403" s="38">
        <v>10000</v>
      </c>
      <c r="AF4403" s="76">
        <f>AF4402+AD4403-AE4403</f>
        <v>102447.93999999987</v>
      </c>
    </row>
    <row r="4404" spans="7:32" ht="8.25" customHeight="1" x14ac:dyDescent="0.25">
      <c r="N4404" s="52">
        <v>61</v>
      </c>
      <c r="T4404" s="33">
        <v>46192</v>
      </c>
      <c r="U4404" s="34">
        <v>2026</v>
      </c>
      <c r="V4404" s="35" t="s">
        <v>1588</v>
      </c>
      <c r="W4404" s="35" t="s">
        <v>17</v>
      </c>
      <c r="X4404" s="37" t="s">
        <v>3411</v>
      </c>
      <c r="Y4404" s="36" t="s">
        <v>361</v>
      </c>
      <c r="Z4404" s="30" t="s">
        <v>362</v>
      </c>
      <c r="AA4404" s="30" t="s">
        <v>3899</v>
      </c>
      <c r="AD4404" s="38">
        <v>6350.72</v>
      </c>
      <c r="AF4404" s="76">
        <f t="shared" ref="AF4404:AF4411" si="415">AF4403+AD4404-AE4404</f>
        <v>108798.65999999987</v>
      </c>
    </row>
    <row r="4405" spans="7:32" ht="8.25" customHeight="1" x14ac:dyDescent="0.15">
      <c r="N4405" s="52">
        <v>61</v>
      </c>
      <c r="T4405" s="33">
        <v>46192</v>
      </c>
      <c r="U4405" s="34">
        <v>2026</v>
      </c>
      <c r="V4405" s="35" t="s">
        <v>1588</v>
      </c>
      <c r="W4405" s="35" t="s">
        <v>17</v>
      </c>
      <c r="X4405" s="37" t="s">
        <v>3411</v>
      </c>
      <c r="Y4405" s="36" t="s">
        <v>361</v>
      </c>
      <c r="Z4405" s="30" t="s">
        <v>362</v>
      </c>
      <c r="AA4405" s="134" t="s">
        <v>166</v>
      </c>
      <c r="AD4405" s="38">
        <v>5149.28</v>
      </c>
      <c r="AF4405" s="76">
        <f t="shared" si="415"/>
        <v>113947.93999999987</v>
      </c>
    </row>
    <row r="4406" spans="7:32" ht="8.25" customHeight="1" x14ac:dyDescent="0.25">
      <c r="R4406" s="53">
        <v>32</v>
      </c>
      <c r="T4406" s="33">
        <v>46192</v>
      </c>
      <c r="U4406" s="34">
        <v>2026</v>
      </c>
      <c r="V4406" s="35" t="s">
        <v>1588</v>
      </c>
      <c r="W4406" s="35" t="s">
        <v>5</v>
      </c>
      <c r="X4406" s="37" t="s">
        <v>3400</v>
      </c>
      <c r="Y4406" s="36" t="s">
        <v>2128</v>
      </c>
      <c r="Z4406" s="30" t="s">
        <v>3402</v>
      </c>
      <c r="AA4406" s="30" t="s">
        <v>1050</v>
      </c>
      <c r="AE4406" s="38">
        <v>10000</v>
      </c>
      <c r="AF4406" s="76">
        <f t="shared" si="415"/>
        <v>103947.93999999987</v>
      </c>
    </row>
    <row r="4407" spans="7:32" ht="8.25" customHeight="1" x14ac:dyDescent="0.25">
      <c r="R4407" s="53">
        <v>33</v>
      </c>
      <c r="T4407" s="33">
        <v>46192</v>
      </c>
      <c r="U4407" s="34">
        <v>2026</v>
      </c>
      <c r="V4407" s="35" t="s">
        <v>1588</v>
      </c>
      <c r="W4407" s="35" t="s">
        <v>5</v>
      </c>
      <c r="X4407" s="37" t="s">
        <v>3401</v>
      </c>
      <c r="Y4407" s="36" t="s">
        <v>577</v>
      </c>
      <c r="Z4407" s="30" t="s">
        <v>3403</v>
      </c>
      <c r="AA4407" s="30" t="s">
        <v>1050</v>
      </c>
      <c r="AE4407" s="38">
        <v>500</v>
      </c>
      <c r="AF4407" s="76">
        <f t="shared" si="415"/>
        <v>103447.93999999987</v>
      </c>
    </row>
    <row r="4408" spans="7:32" ht="8.25" customHeight="1" x14ac:dyDescent="0.25">
      <c r="R4408" s="53">
        <v>34</v>
      </c>
      <c r="T4408" s="33">
        <v>46192</v>
      </c>
      <c r="U4408" s="34">
        <v>2026</v>
      </c>
      <c r="V4408" s="35" t="s">
        <v>1588</v>
      </c>
      <c r="W4408" s="35" t="s">
        <v>5</v>
      </c>
      <c r="X4408" s="37" t="s">
        <v>3404</v>
      </c>
      <c r="Y4408" s="36" t="s">
        <v>825</v>
      </c>
      <c r="Z4408" s="30" t="s">
        <v>1049</v>
      </c>
      <c r="AA4408" s="30" t="s">
        <v>1050</v>
      </c>
      <c r="AE4408" s="38">
        <v>21000</v>
      </c>
      <c r="AF4408" s="76">
        <f t="shared" si="415"/>
        <v>82447.939999999871</v>
      </c>
    </row>
    <row r="4409" spans="7:32" ht="8.25" customHeight="1" x14ac:dyDescent="0.25">
      <c r="R4409" s="53">
        <v>35</v>
      </c>
      <c r="T4409" s="33">
        <v>46192</v>
      </c>
      <c r="U4409" s="34">
        <v>2026</v>
      </c>
      <c r="V4409" s="35" t="s">
        <v>1588</v>
      </c>
      <c r="W4409" s="35" t="s">
        <v>5</v>
      </c>
      <c r="X4409" s="37" t="s">
        <v>3405</v>
      </c>
      <c r="Y4409" s="36" t="s">
        <v>1056</v>
      </c>
      <c r="Z4409" s="30" t="s">
        <v>1425</v>
      </c>
      <c r="AA4409" s="30" t="s">
        <v>1050</v>
      </c>
      <c r="AE4409" s="38">
        <v>500</v>
      </c>
      <c r="AF4409" s="76">
        <f t="shared" si="415"/>
        <v>81947.939999999871</v>
      </c>
    </row>
    <row r="4410" spans="7:32" ht="8.25" customHeight="1" x14ac:dyDescent="0.25">
      <c r="R4410" s="53">
        <v>36</v>
      </c>
      <c r="T4410" s="33">
        <v>46192</v>
      </c>
      <c r="U4410" s="34">
        <v>2026</v>
      </c>
      <c r="V4410" s="35" t="s">
        <v>1588</v>
      </c>
      <c r="W4410" s="35" t="s">
        <v>5</v>
      </c>
      <c r="X4410" s="37" t="s">
        <v>3409</v>
      </c>
      <c r="Y4410" s="36" t="s">
        <v>2304</v>
      </c>
      <c r="Z4410" s="30" t="s">
        <v>3241</v>
      </c>
      <c r="AA4410" s="30" t="s">
        <v>1050</v>
      </c>
      <c r="AE4410" s="38">
        <v>100</v>
      </c>
      <c r="AF4410" s="76">
        <f t="shared" si="415"/>
        <v>81847.939999999871</v>
      </c>
    </row>
    <row r="4411" spans="7:32" ht="8.25" customHeight="1" x14ac:dyDescent="0.25">
      <c r="G4411" s="53">
        <v>14</v>
      </c>
      <c r="T4411" s="33">
        <v>46192</v>
      </c>
      <c r="U4411" s="34">
        <v>2026</v>
      </c>
      <c r="V4411" s="35" t="s">
        <v>1588</v>
      </c>
      <c r="W4411" s="35" t="s">
        <v>2655</v>
      </c>
      <c r="X4411" s="37" t="s">
        <v>3406</v>
      </c>
      <c r="Y4411" s="36" t="s">
        <v>3407</v>
      </c>
      <c r="Z4411" s="30" t="s">
        <v>316</v>
      </c>
      <c r="AA4411" s="30" t="s">
        <v>3945</v>
      </c>
      <c r="AE4411" s="38">
        <v>1528</v>
      </c>
      <c r="AF4411" s="76">
        <f t="shared" si="415"/>
        <v>80319.939999999871</v>
      </c>
    </row>
    <row r="4412" spans="7:32" ht="8.25" customHeight="1" thickBot="1" x14ac:dyDescent="0.3">
      <c r="AA4412" s="260" t="s">
        <v>2893</v>
      </c>
      <c r="AD4412" s="253">
        <f>SUM(AD4403:AD4411)</f>
        <v>21500</v>
      </c>
      <c r="AE4412" s="253">
        <f>SUM(AE4403:AE4411)</f>
        <v>33628</v>
      </c>
      <c r="AF4412" s="233">
        <f>AF4402+AD4412-AE4412</f>
        <v>80319.939999999871</v>
      </c>
    </row>
    <row r="4413" spans="7:32" ht="8.25" customHeight="1" thickTop="1" x14ac:dyDescent="0.25"/>
    <row r="4415" spans="7:32" ht="8.25" customHeight="1" x14ac:dyDescent="0.25">
      <c r="X4415" s="109"/>
      <c r="Y4415" s="67" t="s">
        <v>214</v>
      </c>
      <c r="Z4415" s="68"/>
      <c r="AA4415" s="75"/>
    </row>
    <row r="4416" spans="7:32" ht="8.25" customHeight="1" x14ac:dyDescent="0.25">
      <c r="X4416" s="110" t="s">
        <v>3398</v>
      </c>
      <c r="Y4416" s="111">
        <v>200</v>
      </c>
      <c r="Z4416" s="111">
        <f t="shared" ref="Z4416:Z4421" si="416">X4416*Y4416</f>
        <v>7200</v>
      </c>
      <c r="AA4416" s="112"/>
    </row>
    <row r="4417" spans="14:32" ht="8.25" customHeight="1" x14ac:dyDescent="0.25">
      <c r="X4417" s="110" t="s">
        <v>3410</v>
      </c>
      <c r="Y4417" s="111">
        <v>100</v>
      </c>
      <c r="Z4417" s="111">
        <f t="shared" si="416"/>
        <v>71800</v>
      </c>
      <c r="AA4417" s="112"/>
    </row>
    <row r="4418" spans="14:32" ht="8.25" customHeight="1" x14ac:dyDescent="0.25">
      <c r="X4418" s="110"/>
      <c r="Y4418" s="111">
        <v>50</v>
      </c>
      <c r="Z4418" s="111">
        <f t="shared" si="416"/>
        <v>0</v>
      </c>
      <c r="AA4418" s="76"/>
    </row>
    <row r="4419" spans="14:32" ht="8.25" customHeight="1" x14ac:dyDescent="0.25">
      <c r="X4419" s="110"/>
      <c r="Y4419" s="111">
        <v>20</v>
      </c>
      <c r="Z4419" s="111">
        <f t="shared" si="416"/>
        <v>0</v>
      </c>
      <c r="AA4419" s="38"/>
    </row>
    <row r="4420" spans="14:32" ht="8.25" customHeight="1" x14ac:dyDescent="0.25">
      <c r="X4420" s="110"/>
      <c r="Y4420" s="111">
        <v>10</v>
      </c>
      <c r="Z4420" s="111">
        <f t="shared" si="416"/>
        <v>0</v>
      </c>
      <c r="AA4420" s="112"/>
    </row>
    <row r="4421" spans="14:32" ht="8.25" customHeight="1" x14ac:dyDescent="0.25">
      <c r="X4421" s="110" t="s">
        <v>1178</v>
      </c>
      <c r="Y4421" s="111">
        <v>5</v>
      </c>
      <c r="Z4421" s="111">
        <f t="shared" si="416"/>
        <v>710</v>
      </c>
      <c r="AA4421" s="112"/>
    </row>
    <row r="4422" spans="14:32" ht="8.25" customHeight="1" x14ac:dyDescent="0.25">
      <c r="X4422" s="269"/>
      <c r="Y4422" s="270"/>
      <c r="Z4422" s="271"/>
      <c r="AA4422" s="38"/>
    </row>
    <row r="4423" spans="14:32" ht="8.25" customHeight="1" x14ac:dyDescent="0.25">
      <c r="X4423" s="110" t="s">
        <v>3408</v>
      </c>
      <c r="Y4423" s="111">
        <v>1</v>
      </c>
      <c r="Z4423" s="111">
        <f t="shared" ref="Z4423:Z4428" si="417">X4423*Y4423</f>
        <v>524</v>
      </c>
      <c r="AA4423" s="76"/>
    </row>
    <row r="4424" spans="14:32" ht="8.25" customHeight="1" x14ac:dyDescent="0.25">
      <c r="X4424" s="110" t="s">
        <v>1496</v>
      </c>
      <c r="Y4424" s="111">
        <v>0.5</v>
      </c>
      <c r="Z4424" s="111">
        <f t="shared" si="417"/>
        <v>40.5</v>
      </c>
      <c r="AA4424" s="112"/>
    </row>
    <row r="4425" spans="14:32" ht="8.25" customHeight="1" x14ac:dyDescent="0.25">
      <c r="X4425" s="110" t="s">
        <v>1733</v>
      </c>
      <c r="Y4425" s="111">
        <v>0.25</v>
      </c>
      <c r="Z4425" s="111">
        <f t="shared" si="417"/>
        <v>45.25</v>
      </c>
      <c r="AA4425" s="113"/>
    </row>
    <row r="4426" spans="14:32" ht="8.25" customHeight="1" x14ac:dyDescent="0.25">
      <c r="X4426" s="110" t="s">
        <v>222</v>
      </c>
      <c r="Y4426" s="111">
        <v>0.1</v>
      </c>
      <c r="Z4426" s="111">
        <f t="shared" si="417"/>
        <v>0.1</v>
      </c>
      <c r="AA4426" s="114" t="s">
        <v>219</v>
      </c>
    </row>
    <row r="4427" spans="14:32" ht="8.25" customHeight="1" thickBot="1" x14ac:dyDescent="0.3">
      <c r="X4427" s="110" t="s">
        <v>222</v>
      </c>
      <c r="Y4427" s="111">
        <v>0.05</v>
      </c>
      <c r="Z4427" s="111">
        <f t="shared" si="417"/>
        <v>0.05</v>
      </c>
      <c r="AA4427" s="115">
        <f>SUM(Z4416:Z4421)+Z4423+Z4424+Z4425+Z4426+Z4427+Z4428</f>
        <v>80319.94</v>
      </c>
    </row>
    <row r="4428" spans="14:32" ht="8.25" customHeight="1" thickTop="1" x14ac:dyDescent="0.25">
      <c r="X4428" s="110" t="s">
        <v>299</v>
      </c>
      <c r="Y4428" s="111">
        <v>0.01</v>
      </c>
      <c r="Z4428" s="111">
        <f t="shared" si="417"/>
        <v>0.04</v>
      </c>
    </row>
    <row r="4430" spans="14:32" ht="8.25" customHeight="1" x14ac:dyDescent="0.25">
      <c r="Z4430" s="231" t="s">
        <v>1376</v>
      </c>
      <c r="AF4430" s="76">
        <f>AF4412</f>
        <v>80319.939999999871</v>
      </c>
    </row>
    <row r="4431" spans="14:32" ht="8.25" customHeight="1" x14ac:dyDescent="0.25">
      <c r="N4431" s="52">
        <v>62</v>
      </c>
      <c r="T4431" s="33">
        <v>46195</v>
      </c>
      <c r="U4431" s="34">
        <v>2026</v>
      </c>
      <c r="V4431" s="35" t="s">
        <v>1588</v>
      </c>
      <c r="W4431" s="35" t="s">
        <v>17</v>
      </c>
      <c r="X4431" s="37" t="s">
        <v>3412</v>
      </c>
      <c r="Y4431" s="36" t="s">
        <v>1126</v>
      </c>
      <c r="Z4431" s="30" t="s">
        <v>520</v>
      </c>
      <c r="AA4431" s="30" t="s">
        <v>3899</v>
      </c>
      <c r="AD4431" s="38">
        <v>583.17999999999995</v>
      </c>
      <c r="AF4431" s="76">
        <f>AF4430+AD4431-AE4431</f>
        <v>80903.119999999864</v>
      </c>
    </row>
    <row r="4432" spans="14:32" ht="8.25" customHeight="1" x14ac:dyDescent="0.15">
      <c r="N4432" s="52">
        <v>62</v>
      </c>
      <c r="T4432" s="33">
        <v>46195</v>
      </c>
      <c r="U4432" s="34">
        <v>2026</v>
      </c>
      <c r="V4432" s="35" t="s">
        <v>1588</v>
      </c>
      <c r="W4432" s="35" t="s">
        <v>17</v>
      </c>
      <c r="X4432" s="37" t="s">
        <v>3412</v>
      </c>
      <c r="Y4432" s="36" t="s">
        <v>1126</v>
      </c>
      <c r="Z4432" s="30" t="s">
        <v>520</v>
      </c>
      <c r="AA4432" s="134" t="s">
        <v>166</v>
      </c>
      <c r="AD4432" s="38">
        <v>6216.82</v>
      </c>
      <c r="AF4432" s="76">
        <f t="shared" ref="AF4432:AF4440" si="418">AF4431+AD4432-AE4432</f>
        <v>87119.939999999857</v>
      </c>
    </row>
    <row r="4433" spans="7:32" ht="8.25" customHeight="1" x14ac:dyDescent="0.15">
      <c r="I4433" s="52">
        <v>36</v>
      </c>
      <c r="T4433" s="33">
        <v>46195</v>
      </c>
      <c r="U4433" s="34">
        <v>2026</v>
      </c>
      <c r="V4433" s="35" t="s">
        <v>1588</v>
      </c>
      <c r="W4433" s="35" t="s">
        <v>17</v>
      </c>
      <c r="X4433" s="37" t="s">
        <v>3413</v>
      </c>
      <c r="Y4433" s="36" t="s">
        <v>2010</v>
      </c>
      <c r="Z4433" s="30" t="s">
        <v>1936</v>
      </c>
      <c r="AA4433" s="134" t="s">
        <v>13</v>
      </c>
      <c r="AD4433" s="38">
        <v>400</v>
      </c>
      <c r="AF4433" s="76">
        <f t="shared" si="418"/>
        <v>87519.939999999857</v>
      </c>
    </row>
    <row r="4434" spans="7:32" ht="8.25" customHeight="1" x14ac:dyDescent="0.25">
      <c r="N4434" s="52">
        <v>63</v>
      </c>
      <c r="T4434" s="33">
        <v>46195</v>
      </c>
      <c r="U4434" s="34">
        <v>2026</v>
      </c>
      <c r="V4434" s="35" t="s">
        <v>1588</v>
      </c>
      <c r="W4434" s="35" t="s">
        <v>17</v>
      </c>
      <c r="X4434" s="37" t="s">
        <v>3414</v>
      </c>
      <c r="Y4434" s="36" t="s">
        <v>1744</v>
      </c>
      <c r="Z4434" s="30" t="s">
        <v>1201</v>
      </c>
      <c r="AA4434" s="30" t="s">
        <v>3708</v>
      </c>
      <c r="AD4434" s="38">
        <v>727.86</v>
      </c>
      <c r="AF4434" s="76">
        <f t="shared" si="418"/>
        <v>88247.799999999857</v>
      </c>
    </row>
    <row r="4435" spans="7:32" ht="8.25" customHeight="1" x14ac:dyDescent="0.15">
      <c r="N4435" s="52">
        <v>63</v>
      </c>
      <c r="T4435" s="33">
        <v>46195</v>
      </c>
      <c r="U4435" s="34">
        <v>2026</v>
      </c>
      <c r="V4435" s="35" t="s">
        <v>1588</v>
      </c>
      <c r="W4435" s="35" t="s">
        <v>17</v>
      </c>
      <c r="X4435" s="37" t="s">
        <v>3250</v>
      </c>
      <c r="Y4435" s="36" t="s">
        <v>1744</v>
      </c>
      <c r="Z4435" s="30" t="s">
        <v>1201</v>
      </c>
      <c r="AA4435" s="134" t="s">
        <v>183</v>
      </c>
      <c r="AD4435" s="38">
        <v>281.14</v>
      </c>
      <c r="AF4435" s="76">
        <f t="shared" si="418"/>
        <v>88528.939999999857</v>
      </c>
    </row>
    <row r="4436" spans="7:32" ht="8.25" customHeight="1" x14ac:dyDescent="0.25">
      <c r="R4436" s="53">
        <v>37</v>
      </c>
      <c r="T4436" s="33">
        <v>46195</v>
      </c>
      <c r="U4436" s="34">
        <v>2026</v>
      </c>
      <c r="V4436" s="35" t="s">
        <v>1588</v>
      </c>
      <c r="W4436" s="35" t="s">
        <v>5</v>
      </c>
      <c r="X4436" s="37" t="s">
        <v>3415</v>
      </c>
      <c r="Y4436" s="36" t="s">
        <v>2484</v>
      </c>
      <c r="Z4436" s="30" t="s">
        <v>1939</v>
      </c>
      <c r="AA4436" s="30" t="s">
        <v>1050</v>
      </c>
      <c r="AE4436" s="38">
        <v>200</v>
      </c>
      <c r="AF4436" s="76">
        <f t="shared" si="418"/>
        <v>88328.939999999857</v>
      </c>
    </row>
    <row r="4437" spans="7:32" ht="8.25" customHeight="1" x14ac:dyDescent="0.25">
      <c r="R4437" s="53">
        <v>38</v>
      </c>
      <c r="T4437" s="33">
        <v>46195</v>
      </c>
      <c r="U4437" s="34">
        <v>2026</v>
      </c>
      <c r="V4437" s="35" t="s">
        <v>1588</v>
      </c>
      <c r="W4437" s="35" t="s">
        <v>5</v>
      </c>
      <c r="X4437" s="37" t="s">
        <v>3416</v>
      </c>
      <c r="Y4437" s="36" t="s">
        <v>1142</v>
      </c>
      <c r="Z4437" s="30" t="s">
        <v>1139</v>
      </c>
      <c r="AA4437" s="30" t="s">
        <v>1050</v>
      </c>
      <c r="AE4437" s="38">
        <v>500</v>
      </c>
      <c r="AF4437" s="76">
        <f t="shared" si="418"/>
        <v>87828.939999999857</v>
      </c>
    </row>
    <row r="4438" spans="7:32" ht="8.25" customHeight="1" x14ac:dyDescent="0.25">
      <c r="G4438" s="53">
        <v>15</v>
      </c>
      <c r="T4438" s="33">
        <v>46195</v>
      </c>
      <c r="U4438" s="34">
        <v>2026</v>
      </c>
      <c r="V4438" s="35" t="s">
        <v>1588</v>
      </c>
      <c r="W4438" s="35" t="s">
        <v>3417</v>
      </c>
      <c r="X4438" s="37" t="s">
        <v>3418</v>
      </c>
      <c r="Y4438" s="36" t="s">
        <v>3421</v>
      </c>
      <c r="Z4438" s="30" t="s">
        <v>1147</v>
      </c>
      <c r="AA4438" s="30" t="s">
        <v>3945</v>
      </c>
      <c r="AE4438" s="38">
        <v>15260</v>
      </c>
      <c r="AF4438" s="76">
        <f t="shared" si="418"/>
        <v>72568.939999999857</v>
      </c>
    </row>
    <row r="4439" spans="7:32" ht="8.25" customHeight="1" x14ac:dyDescent="0.25">
      <c r="G4439" s="53">
        <v>16</v>
      </c>
      <c r="T4439" s="33">
        <v>46195</v>
      </c>
      <c r="U4439" s="34">
        <v>2026</v>
      </c>
      <c r="V4439" s="35" t="s">
        <v>1588</v>
      </c>
      <c r="W4439" s="35" t="s">
        <v>3417</v>
      </c>
      <c r="X4439" s="37" t="s">
        <v>3419</v>
      </c>
      <c r="Y4439" s="36" t="s">
        <v>3420</v>
      </c>
      <c r="Z4439" s="30" t="s">
        <v>18</v>
      </c>
      <c r="AA4439" s="30" t="s">
        <v>3945</v>
      </c>
      <c r="AE4439" s="38">
        <v>15260</v>
      </c>
      <c r="AF4439" s="76">
        <f t="shared" si="418"/>
        <v>57308.939999999857</v>
      </c>
    </row>
    <row r="4440" spans="7:32" ht="8.25" customHeight="1" x14ac:dyDescent="0.25">
      <c r="G4440" s="53">
        <v>17</v>
      </c>
      <c r="T4440" s="33">
        <v>46195</v>
      </c>
      <c r="U4440" s="34">
        <v>2026</v>
      </c>
      <c r="V4440" s="35" t="s">
        <v>1588</v>
      </c>
      <c r="W4440" s="35" t="s">
        <v>3417</v>
      </c>
      <c r="X4440" s="37" t="s">
        <v>3422</v>
      </c>
      <c r="Y4440" s="36" t="s">
        <v>3423</v>
      </c>
      <c r="Z4440" s="30" t="s">
        <v>1147</v>
      </c>
      <c r="AA4440" s="30" t="s">
        <v>3945</v>
      </c>
      <c r="AE4440" s="38">
        <v>200</v>
      </c>
      <c r="AF4440" s="76">
        <f t="shared" si="418"/>
        <v>57108.939999999857</v>
      </c>
    </row>
    <row r="4441" spans="7:32" ht="8.25" customHeight="1" thickBot="1" x14ac:dyDescent="0.3">
      <c r="AA4441" s="260" t="s">
        <v>2893</v>
      </c>
      <c r="AD4441" s="253">
        <f>SUM(AD4431:AD4440)</f>
        <v>8209</v>
      </c>
      <c r="AE4441" s="253">
        <f>SUM(AE4436:AE4440)</f>
        <v>31420</v>
      </c>
      <c r="AF4441" s="233">
        <f>AF4430+AD4441-AE4441</f>
        <v>57108.939999999871</v>
      </c>
    </row>
    <row r="4442" spans="7:32" ht="8.25" customHeight="1" thickTop="1" x14ac:dyDescent="0.25">
      <c r="X4442" s="109"/>
      <c r="Y4442" s="67" t="s">
        <v>214</v>
      </c>
      <c r="Z4442" s="68"/>
      <c r="AA4442" s="75" t="s">
        <v>3427</v>
      </c>
      <c r="AD4442" s="76">
        <f>AD3847+AD3875+AD3912+AD3935+AD3994+AD4028+AD4049+AD4085+AD4140+AD4178+AD4206+AD4235+AD4276+AD4317+AD4362+AD4385+AD4412+AD4441</f>
        <v>1766658.8100000003</v>
      </c>
      <c r="AE4442" s="76">
        <f>SUM(AE3847+AE3875+AE3912+AE3935+AE3994+AE4028+AE4049+AE4085+AE4140+AE4178+AE4206+AE4235+AE4276+AE4317+AE4362+AE4385+AE4412+AE4441)</f>
        <v>1799762.1600000004</v>
      </c>
      <c r="AF4442" s="76">
        <f>AF3824+AD4442-AE4442</f>
        <v>57108.93999999878</v>
      </c>
    </row>
    <row r="4443" spans="7:32" ht="8.25" customHeight="1" x14ac:dyDescent="0.25">
      <c r="X4443" s="110" t="s">
        <v>3398</v>
      </c>
      <c r="Y4443" s="111">
        <v>200</v>
      </c>
      <c r="Z4443" s="111">
        <f t="shared" ref="Z4443:Z4448" si="419">X4443*Y4443</f>
        <v>7200</v>
      </c>
      <c r="AA4443" s="112"/>
    </row>
    <row r="4444" spans="7:32" ht="8.25" customHeight="1" x14ac:dyDescent="0.25">
      <c r="X4444" s="110" t="s">
        <v>3424</v>
      </c>
      <c r="Y4444" s="111">
        <v>100</v>
      </c>
      <c r="Z4444" s="111">
        <f t="shared" si="419"/>
        <v>48700</v>
      </c>
      <c r="AA4444" s="112"/>
    </row>
    <row r="4445" spans="7:32" ht="8.25" customHeight="1" x14ac:dyDescent="0.25">
      <c r="X4445" s="110"/>
      <c r="Y4445" s="111">
        <v>50</v>
      </c>
      <c r="Z4445" s="111">
        <f t="shared" si="419"/>
        <v>0</v>
      </c>
      <c r="AA4445" s="76"/>
    </row>
    <row r="4446" spans="7:32" ht="8.25" customHeight="1" x14ac:dyDescent="0.25">
      <c r="X4446" s="110" t="s">
        <v>222</v>
      </c>
      <c r="Y4446" s="111">
        <v>20</v>
      </c>
      <c r="Z4446" s="111">
        <f t="shared" si="419"/>
        <v>20</v>
      </c>
      <c r="AA4446" s="38"/>
    </row>
    <row r="4447" spans="7:32" ht="8.25" customHeight="1" x14ac:dyDescent="0.25">
      <c r="X4447" s="110"/>
      <c r="Y4447" s="111">
        <v>10</v>
      </c>
      <c r="Z4447" s="111">
        <f t="shared" si="419"/>
        <v>0</v>
      </c>
      <c r="AA4447" s="112"/>
    </row>
    <row r="4448" spans="7:32" ht="8.25" customHeight="1" x14ac:dyDescent="0.25">
      <c r="X4448" s="110" t="s">
        <v>1097</v>
      </c>
      <c r="Y4448" s="111">
        <v>5</v>
      </c>
      <c r="Z4448" s="111">
        <f t="shared" si="419"/>
        <v>580</v>
      </c>
      <c r="AA4448" s="112"/>
    </row>
    <row r="4449" spans="14:32" ht="8.25" customHeight="1" x14ac:dyDescent="0.25">
      <c r="X4449" s="269"/>
      <c r="Y4449" s="270"/>
      <c r="Z4449" s="271"/>
      <c r="AA4449" s="38"/>
    </row>
    <row r="4450" spans="14:32" ht="8.25" customHeight="1" x14ac:dyDescent="0.25">
      <c r="X4450" s="110" t="s">
        <v>3408</v>
      </c>
      <c r="Y4450" s="111">
        <v>1</v>
      </c>
      <c r="Z4450" s="111">
        <f t="shared" ref="Z4450:Z4455" si="420">X4450*Y4450</f>
        <v>524</v>
      </c>
      <c r="AA4450" s="76"/>
    </row>
    <row r="4451" spans="14:32" ht="8.25" customHeight="1" x14ac:dyDescent="0.25">
      <c r="X4451" s="110" t="s">
        <v>1496</v>
      </c>
      <c r="Y4451" s="111">
        <v>0.5</v>
      </c>
      <c r="Z4451" s="111">
        <f t="shared" si="420"/>
        <v>40.5</v>
      </c>
      <c r="AA4451" s="112"/>
    </row>
    <row r="4452" spans="14:32" ht="8.25" customHeight="1" x14ac:dyDescent="0.25">
      <c r="X4452" s="110" t="s">
        <v>1733</v>
      </c>
      <c r="Y4452" s="111">
        <v>0.25</v>
      </c>
      <c r="Z4452" s="111">
        <f t="shared" si="420"/>
        <v>45.25</v>
      </c>
      <c r="AA4452" s="113"/>
    </row>
    <row r="4453" spans="14:32" ht="8.25" customHeight="1" x14ac:dyDescent="0.25">
      <c r="X4453" s="110" t="s">
        <v>224</v>
      </c>
      <c r="Y4453" s="111">
        <v>0.1</v>
      </c>
      <c r="Z4453" s="111">
        <f t="shared" si="420"/>
        <v>0.2</v>
      </c>
      <c r="AA4453" s="114" t="s">
        <v>219</v>
      </c>
    </row>
    <row r="4454" spans="14:32" ht="8.25" customHeight="1" thickBot="1" x14ac:dyDescent="0.3">
      <c r="X4454" s="110" t="s">
        <v>120</v>
      </c>
      <c r="Y4454" s="111">
        <v>0.05</v>
      </c>
      <c r="Z4454" s="111">
        <f t="shared" si="420"/>
        <v>0</v>
      </c>
      <c r="AA4454" s="115">
        <f>SUM(Z4443:Z4448)+Z4450+Z4451+Z4452+Z4453+Z4454+Z4455</f>
        <v>57109.95</v>
      </c>
    </row>
    <row r="4455" spans="14:32" ht="8.25" customHeight="1" thickTop="1" x14ac:dyDescent="0.25">
      <c r="X4455" s="110" t="s">
        <v>120</v>
      </c>
      <c r="Y4455" s="111">
        <v>0.01</v>
      </c>
      <c r="Z4455" s="111">
        <f t="shared" si="420"/>
        <v>0</v>
      </c>
    </row>
    <row r="4458" spans="14:32" ht="8.25" customHeight="1" x14ac:dyDescent="0.25">
      <c r="Z4458" s="231" t="s">
        <v>3439</v>
      </c>
      <c r="AF4458" s="76">
        <f>AF4442</f>
        <v>57108.93999999878</v>
      </c>
    </row>
    <row r="4459" spans="14:32" ht="8.25" customHeight="1" x14ac:dyDescent="0.25">
      <c r="N4459" s="52">
        <v>64</v>
      </c>
      <c r="T4459" s="33">
        <v>46195</v>
      </c>
      <c r="U4459" s="40">
        <v>2026</v>
      </c>
      <c r="V4459" s="35" t="s">
        <v>1588</v>
      </c>
      <c r="W4459" s="35" t="s">
        <v>17</v>
      </c>
      <c r="X4459" s="37" t="s">
        <v>3437</v>
      </c>
      <c r="Y4459" s="36" t="s">
        <v>3438</v>
      </c>
      <c r="Z4459" s="30" t="s">
        <v>2903</v>
      </c>
      <c r="AA4459" s="30" t="s">
        <v>3899</v>
      </c>
      <c r="AD4459" s="38">
        <v>11757.16</v>
      </c>
      <c r="AF4459" s="76">
        <f>AF4458+AD4459-AE4459</f>
        <v>68866.099999998783</v>
      </c>
    </row>
    <row r="4460" spans="14:32" ht="8.25" customHeight="1" x14ac:dyDescent="0.15">
      <c r="N4460" s="52">
        <v>64</v>
      </c>
      <c r="T4460" s="33">
        <v>46195</v>
      </c>
      <c r="U4460" s="40">
        <v>2026</v>
      </c>
      <c r="V4460" s="35" t="s">
        <v>1588</v>
      </c>
      <c r="W4460" s="35" t="s">
        <v>17</v>
      </c>
      <c r="X4460" s="37" t="s">
        <v>3437</v>
      </c>
      <c r="Y4460" s="36" t="s">
        <v>3438</v>
      </c>
      <c r="Z4460" s="30" t="s">
        <v>2903</v>
      </c>
      <c r="AA4460" s="134" t="s">
        <v>166</v>
      </c>
      <c r="AD4460" s="38">
        <v>3242.84</v>
      </c>
      <c r="AF4460" s="76">
        <f t="shared" ref="AF4460" si="421">AF4459+AD4460-AE4460</f>
        <v>72108.93999999878</v>
      </c>
    </row>
    <row r="4461" spans="14:32" ht="8.25" customHeight="1" thickBot="1" x14ac:dyDescent="0.3">
      <c r="AA4461" s="260" t="s">
        <v>2893</v>
      </c>
      <c r="AD4461" s="253">
        <f>SUM(AD4459:AD4460)</f>
        <v>15000</v>
      </c>
      <c r="AE4461" s="253">
        <f>SUM(AE4459:AE4460)</f>
        <v>0</v>
      </c>
      <c r="AF4461" s="233">
        <f>AF4458+AD4461-AE4461</f>
        <v>72108.93999999878</v>
      </c>
    </row>
    <row r="4462" spans="14:32" ht="8.25" customHeight="1" thickTop="1" x14ac:dyDescent="0.25">
      <c r="X4462" s="109"/>
      <c r="Y4462" s="67" t="s">
        <v>214</v>
      </c>
      <c r="Z4462" s="68"/>
      <c r="AA4462" s="75"/>
    </row>
    <row r="4463" spans="14:32" ht="8.25" customHeight="1" x14ac:dyDescent="0.25">
      <c r="X4463" s="110" t="s">
        <v>3398</v>
      </c>
      <c r="Y4463" s="111">
        <v>200</v>
      </c>
      <c r="Z4463" s="111">
        <f t="shared" ref="Z4463:Z4468" si="422">X4463*Y4463</f>
        <v>7200</v>
      </c>
      <c r="AA4463" s="112"/>
    </row>
    <row r="4464" spans="14:32" ht="8.25" customHeight="1" x14ac:dyDescent="0.25">
      <c r="X4464" s="110" t="s">
        <v>3440</v>
      </c>
      <c r="Y4464" s="111">
        <v>100</v>
      </c>
      <c r="Z4464" s="111">
        <f t="shared" si="422"/>
        <v>63700</v>
      </c>
      <c r="AA4464" s="112"/>
    </row>
    <row r="4465" spans="9:32" ht="8.25" customHeight="1" x14ac:dyDescent="0.25">
      <c r="X4465" s="110"/>
      <c r="Y4465" s="111">
        <v>50</v>
      </c>
      <c r="Z4465" s="111">
        <f t="shared" si="422"/>
        <v>0</v>
      </c>
      <c r="AA4465" s="76"/>
    </row>
    <row r="4466" spans="9:32" ht="8.25" customHeight="1" x14ac:dyDescent="0.25">
      <c r="X4466" s="110" t="s">
        <v>222</v>
      </c>
      <c r="Y4466" s="111">
        <v>20</v>
      </c>
      <c r="Z4466" s="111">
        <f t="shared" si="422"/>
        <v>20</v>
      </c>
      <c r="AA4466" s="38"/>
    </row>
    <row r="4467" spans="9:32" ht="8.25" customHeight="1" x14ac:dyDescent="0.25">
      <c r="X4467" s="110"/>
      <c r="Y4467" s="111">
        <v>10</v>
      </c>
      <c r="Z4467" s="111">
        <f t="shared" si="422"/>
        <v>0</v>
      </c>
      <c r="AA4467" s="112"/>
    </row>
    <row r="4468" spans="9:32" ht="8.25" customHeight="1" x14ac:dyDescent="0.25">
      <c r="X4468" s="110" t="s">
        <v>1097</v>
      </c>
      <c r="Y4468" s="111">
        <v>5</v>
      </c>
      <c r="Z4468" s="111">
        <f t="shared" si="422"/>
        <v>580</v>
      </c>
      <c r="AA4468" s="112"/>
    </row>
    <row r="4469" spans="9:32" ht="8.25" customHeight="1" x14ac:dyDescent="0.25">
      <c r="X4469" s="269"/>
      <c r="Y4469" s="270"/>
      <c r="Z4469" s="271"/>
      <c r="AA4469" s="38"/>
    </row>
    <row r="4470" spans="9:32" ht="8.25" customHeight="1" x14ac:dyDescent="0.25">
      <c r="X4470" s="110" t="s">
        <v>473</v>
      </c>
      <c r="Y4470" s="111">
        <v>1</v>
      </c>
      <c r="Z4470" s="111">
        <f t="shared" ref="Z4470:Z4475" si="423">X4470*Y4470</f>
        <v>523</v>
      </c>
      <c r="AA4470" s="76"/>
    </row>
    <row r="4471" spans="9:32" ht="8.25" customHeight="1" x14ac:dyDescent="0.25">
      <c r="X4471" s="110" t="s">
        <v>1496</v>
      </c>
      <c r="Y4471" s="111">
        <v>0.5</v>
      </c>
      <c r="Z4471" s="111">
        <f t="shared" si="423"/>
        <v>40.5</v>
      </c>
      <c r="AA4471" s="112"/>
    </row>
    <row r="4472" spans="9:32" ht="8.25" customHeight="1" x14ac:dyDescent="0.25">
      <c r="X4472" s="110" t="s">
        <v>1878</v>
      </c>
      <c r="Y4472" s="111">
        <v>0.25</v>
      </c>
      <c r="Z4472" s="111">
        <f t="shared" si="423"/>
        <v>45</v>
      </c>
      <c r="AA4472" s="113"/>
    </row>
    <row r="4473" spans="9:32" ht="8.25" customHeight="1" x14ac:dyDescent="0.25">
      <c r="X4473" s="110" t="s">
        <v>299</v>
      </c>
      <c r="Y4473" s="111">
        <v>0.1</v>
      </c>
      <c r="Z4473" s="111">
        <f t="shared" si="423"/>
        <v>0.4</v>
      </c>
      <c r="AA4473" s="114" t="s">
        <v>219</v>
      </c>
    </row>
    <row r="4474" spans="9:32" ht="8.25" customHeight="1" thickBot="1" x14ac:dyDescent="0.3">
      <c r="X4474" s="110" t="s">
        <v>120</v>
      </c>
      <c r="Y4474" s="111">
        <v>0.05</v>
      </c>
      <c r="Z4474" s="111">
        <f t="shared" si="423"/>
        <v>0</v>
      </c>
      <c r="AA4474" s="115">
        <f>SUM(Z4463:Z4468)+Z4470+Z4471+Z4472+Z4473+Z4474+Z4475</f>
        <v>72108.939999999988</v>
      </c>
    </row>
    <row r="4475" spans="9:32" ht="8.25" customHeight="1" thickTop="1" x14ac:dyDescent="0.25">
      <c r="X4475" s="110" t="s">
        <v>299</v>
      </c>
      <c r="Y4475" s="111">
        <v>0.01</v>
      </c>
      <c r="Z4475" s="111">
        <f t="shared" si="423"/>
        <v>0.04</v>
      </c>
    </row>
    <row r="4477" spans="9:32" ht="8.25" customHeight="1" x14ac:dyDescent="0.25">
      <c r="Z4477" s="231" t="s">
        <v>1376</v>
      </c>
      <c r="AF4477" s="76">
        <f>AF4461</f>
        <v>72108.93999999878</v>
      </c>
    </row>
    <row r="4478" spans="9:32" ht="8.25" customHeight="1" x14ac:dyDescent="0.15">
      <c r="I4478" s="52">
        <v>37</v>
      </c>
      <c r="T4478" s="33">
        <v>46196</v>
      </c>
      <c r="U4478" s="34">
        <v>2026</v>
      </c>
      <c r="V4478" s="35" t="s">
        <v>1588</v>
      </c>
      <c r="W4478" s="35" t="s">
        <v>17</v>
      </c>
      <c r="X4478" s="37" t="s">
        <v>3441</v>
      </c>
      <c r="Y4478" s="36" t="s">
        <v>275</v>
      </c>
      <c r="Z4478" s="30" t="s">
        <v>317</v>
      </c>
      <c r="AA4478" s="134" t="s">
        <v>13</v>
      </c>
      <c r="AD4478" s="38">
        <v>65146.75</v>
      </c>
      <c r="AF4478" s="76">
        <f>AF4477+AD4478-AE4478</f>
        <v>137255.68999999878</v>
      </c>
    </row>
    <row r="4479" spans="9:32" ht="8.25" customHeight="1" x14ac:dyDescent="0.15">
      <c r="I4479" s="52">
        <v>38</v>
      </c>
      <c r="T4479" s="33">
        <v>46196</v>
      </c>
      <c r="U4479" s="34">
        <v>2026</v>
      </c>
      <c r="V4479" s="35" t="s">
        <v>1588</v>
      </c>
      <c r="W4479" s="35" t="s">
        <v>17</v>
      </c>
      <c r="X4479" s="37" t="s">
        <v>3442</v>
      </c>
      <c r="Y4479" s="36" t="s">
        <v>116</v>
      </c>
      <c r="Z4479" s="30" t="s">
        <v>18</v>
      </c>
      <c r="AA4479" s="134" t="s">
        <v>13</v>
      </c>
      <c r="AD4479" s="38">
        <v>14000</v>
      </c>
      <c r="AF4479" s="76">
        <f t="shared" ref="AF4479:AF4487" si="424">AF4478+AD4479-AE4479</f>
        <v>151255.68999999878</v>
      </c>
    </row>
    <row r="4480" spans="9:32" ht="8.25" customHeight="1" x14ac:dyDescent="0.25">
      <c r="N4480" s="52">
        <v>65</v>
      </c>
      <c r="T4480" s="33">
        <v>46196</v>
      </c>
      <c r="U4480" s="34">
        <v>2026</v>
      </c>
      <c r="V4480" s="35" t="s">
        <v>1588</v>
      </c>
      <c r="W4480" s="35" t="s">
        <v>17</v>
      </c>
      <c r="X4480" s="37" t="s">
        <v>3443</v>
      </c>
      <c r="Y4480" s="36" t="s">
        <v>1812</v>
      </c>
      <c r="Z4480" s="30" t="s">
        <v>1813</v>
      </c>
      <c r="AA4480" s="30" t="s">
        <v>3899</v>
      </c>
      <c r="AD4480" s="38">
        <v>7604.44</v>
      </c>
      <c r="AF4480" s="76">
        <f t="shared" si="424"/>
        <v>158860.12999999878</v>
      </c>
    </row>
    <row r="4481" spans="4:32" ht="8.25" customHeight="1" x14ac:dyDescent="0.15">
      <c r="N4481" s="52">
        <v>65</v>
      </c>
      <c r="T4481" s="33">
        <v>46196</v>
      </c>
      <c r="U4481" s="34">
        <v>2026</v>
      </c>
      <c r="V4481" s="35" t="s">
        <v>1588</v>
      </c>
      <c r="W4481" s="35" t="s">
        <v>17</v>
      </c>
      <c r="X4481" s="37" t="s">
        <v>3443</v>
      </c>
      <c r="Y4481" s="36" t="s">
        <v>1812</v>
      </c>
      <c r="Z4481" s="30" t="s">
        <v>1813</v>
      </c>
      <c r="AA4481" s="134" t="s">
        <v>166</v>
      </c>
      <c r="AD4481" s="38">
        <v>8795.56</v>
      </c>
      <c r="AF4481" s="76">
        <f t="shared" si="424"/>
        <v>167655.68999999878</v>
      </c>
    </row>
    <row r="4482" spans="4:32" ht="8.25" customHeight="1" x14ac:dyDescent="0.15">
      <c r="I4482" s="52">
        <v>39</v>
      </c>
      <c r="T4482" s="33">
        <v>46196</v>
      </c>
      <c r="U4482" s="34">
        <v>2026</v>
      </c>
      <c r="V4482" s="35" t="s">
        <v>1588</v>
      </c>
      <c r="W4482" s="35" t="s">
        <v>17</v>
      </c>
      <c r="X4482" s="37" t="s">
        <v>3444</v>
      </c>
      <c r="Y4482" s="36" t="s">
        <v>419</v>
      </c>
      <c r="Z4482" s="30" t="s">
        <v>1565</v>
      </c>
      <c r="AA4482" s="134" t="s">
        <v>13</v>
      </c>
      <c r="AD4482" s="38">
        <v>400</v>
      </c>
      <c r="AF4482" s="76">
        <f t="shared" si="424"/>
        <v>168055.68999999878</v>
      </c>
    </row>
    <row r="4483" spans="4:32" ht="8.25" customHeight="1" x14ac:dyDescent="0.15">
      <c r="I4483" s="52">
        <v>40</v>
      </c>
      <c r="T4483" s="33">
        <v>46196</v>
      </c>
      <c r="U4483" s="34">
        <v>2026</v>
      </c>
      <c r="V4483" s="35" t="s">
        <v>1588</v>
      </c>
      <c r="W4483" s="35" t="s">
        <v>17</v>
      </c>
      <c r="X4483" s="37" t="s">
        <v>3445</v>
      </c>
      <c r="Y4483" s="36" t="s">
        <v>364</v>
      </c>
      <c r="Z4483" s="30" t="s">
        <v>1438</v>
      </c>
      <c r="AA4483" s="134" t="s">
        <v>13</v>
      </c>
      <c r="AD4483" s="38">
        <v>200</v>
      </c>
      <c r="AF4483" s="76">
        <f t="shared" si="424"/>
        <v>168255.68999999878</v>
      </c>
    </row>
    <row r="4484" spans="4:32" ht="8.25" customHeight="1" x14ac:dyDescent="0.25">
      <c r="N4484" s="52">
        <v>66</v>
      </c>
      <c r="T4484" s="33">
        <v>46196</v>
      </c>
      <c r="U4484" s="34">
        <v>2026</v>
      </c>
      <c r="V4484" s="35" t="s">
        <v>1588</v>
      </c>
      <c r="W4484" s="35" t="s">
        <v>17</v>
      </c>
      <c r="X4484" s="37" t="s">
        <v>3446</v>
      </c>
      <c r="Y4484" s="36" t="s">
        <v>2916</v>
      </c>
      <c r="Z4484" s="30" t="s">
        <v>2352</v>
      </c>
      <c r="AA4484" s="30" t="s">
        <v>3899</v>
      </c>
      <c r="AD4484" s="38">
        <v>3314.46</v>
      </c>
      <c r="AF4484" s="76">
        <f t="shared" si="424"/>
        <v>171570.14999999877</v>
      </c>
    </row>
    <row r="4485" spans="4:32" ht="8.25" customHeight="1" x14ac:dyDescent="0.15">
      <c r="N4485" s="52">
        <v>66</v>
      </c>
      <c r="T4485" s="33">
        <v>46196</v>
      </c>
      <c r="U4485" s="34">
        <v>2026</v>
      </c>
      <c r="V4485" s="35" t="s">
        <v>1588</v>
      </c>
      <c r="W4485" s="35" t="s">
        <v>17</v>
      </c>
      <c r="X4485" s="37" t="s">
        <v>3446</v>
      </c>
      <c r="Y4485" s="36" t="s">
        <v>2916</v>
      </c>
      <c r="Z4485" s="30" t="s">
        <v>2352</v>
      </c>
      <c r="AA4485" s="134" t="s">
        <v>166</v>
      </c>
      <c r="AD4485" s="38">
        <v>8039.54</v>
      </c>
      <c r="AF4485" s="76">
        <f t="shared" si="424"/>
        <v>179609.68999999878</v>
      </c>
    </row>
    <row r="4486" spans="4:32" ht="8.25" customHeight="1" x14ac:dyDescent="0.25">
      <c r="D4486" s="52">
        <v>4</v>
      </c>
      <c r="T4486" s="33">
        <v>46196</v>
      </c>
      <c r="U4486" s="34">
        <v>2026</v>
      </c>
      <c r="V4486" s="35" t="s">
        <v>1588</v>
      </c>
      <c r="W4486" s="35" t="s">
        <v>3620</v>
      </c>
      <c r="X4486" s="37" t="s">
        <v>3447</v>
      </c>
      <c r="Y4486" s="36" t="s">
        <v>2380</v>
      </c>
      <c r="Z4486" s="30" t="s">
        <v>1267</v>
      </c>
      <c r="AA4486" s="30" t="s">
        <v>256</v>
      </c>
      <c r="AD4486" s="38">
        <v>5000</v>
      </c>
      <c r="AF4486" s="76">
        <f t="shared" si="424"/>
        <v>184609.68999999878</v>
      </c>
    </row>
    <row r="4487" spans="4:32" ht="8.25" customHeight="1" x14ac:dyDescent="0.25">
      <c r="R4487" s="53">
        <v>39</v>
      </c>
      <c r="T4487" s="33">
        <v>46196</v>
      </c>
      <c r="U4487" s="34">
        <v>2026</v>
      </c>
      <c r="V4487" s="35" t="s">
        <v>1588</v>
      </c>
      <c r="W4487" s="35" t="s">
        <v>5</v>
      </c>
      <c r="X4487" s="37" t="s">
        <v>3448</v>
      </c>
      <c r="Y4487" s="36" t="s">
        <v>2034</v>
      </c>
      <c r="Z4487" s="30" t="s">
        <v>2634</v>
      </c>
      <c r="AA4487" s="30" t="s">
        <v>1050</v>
      </c>
      <c r="AE4487" s="38">
        <v>300</v>
      </c>
      <c r="AF4487" s="76">
        <f t="shared" si="424"/>
        <v>184309.68999999878</v>
      </c>
    </row>
    <row r="4488" spans="4:32" ht="8.25" customHeight="1" thickBot="1" x14ac:dyDescent="0.3">
      <c r="AA4488" s="260" t="s">
        <v>2893</v>
      </c>
      <c r="AD4488" s="253">
        <f>SUM(AD4478:AD4487)</f>
        <v>112500.75</v>
      </c>
      <c r="AE4488" s="253">
        <f>SUM(AE4478:AE4487)</f>
        <v>300</v>
      </c>
      <c r="AF4488" s="233">
        <f>AF4477+AD4488-AE4488</f>
        <v>184309.68999999878</v>
      </c>
    </row>
    <row r="4489" spans="4:32" ht="8.25" customHeight="1" thickTop="1" x14ac:dyDescent="0.25">
      <c r="X4489" s="109"/>
      <c r="Y4489" s="67" t="s">
        <v>214</v>
      </c>
      <c r="Z4489" s="68"/>
      <c r="AA4489" s="75"/>
    </row>
    <row r="4490" spans="4:32" ht="8.25" customHeight="1" x14ac:dyDescent="0.25">
      <c r="X4490" s="110" t="s">
        <v>655</v>
      </c>
      <c r="Y4490" s="111">
        <v>200</v>
      </c>
      <c r="Z4490" s="111">
        <f t="shared" ref="Z4490:Z4495" si="425">X4490*Y4490</f>
        <v>9600</v>
      </c>
      <c r="AA4490" s="112"/>
    </row>
    <row r="4491" spans="4:32" ht="8.25" customHeight="1" x14ac:dyDescent="0.25">
      <c r="X4491" s="110" t="s">
        <v>3449</v>
      </c>
      <c r="Y4491" s="111">
        <v>100</v>
      </c>
      <c r="Z4491" s="111">
        <f t="shared" si="425"/>
        <v>173500</v>
      </c>
      <c r="AA4491" s="112"/>
    </row>
    <row r="4492" spans="4:32" ht="8.25" customHeight="1" x14ac:dyDescent="0.25">
      <c r="X4492" s="110"/>
      <c r="Y4492" s="111">
        <v>50</v>
      </c>
      <c r="Z4492" s="111">
        <f t="shared" si="425"/>
        <v>0</v>
      </c>
      <c r="AA4492" s="76"/>
    </row>
    <row r="4493" spans="4:32" ht="8.25" customHeight="1" x14ac:dyDescent="0.25">
      <c r="X4493" s="110" t="s">
        <v>222</v>
      </c>
      <c r="Y4493" s="111">
        <v>20</v>
      </c>
      <c r="Z4493" s="111">
        <f t="shared" si="425"/>
        <v>20</v>
      </c>
      <c r="AA4493" s="38"/>
    </row>
    <row r="4494" spans="4:32" ht="8.25" customHeight="1" x14ac:dyDescent="0.25">
      <c r="X4494" s="110"/>
      <c r="Y4494" s="111">
        <v>10</v>
      </c>
      <c r="Z4494" s="111">
        <f t="shared" si="425"/>
        <v>0</v>
      </c>
      <c r="AA4494" s="112"/>
    </row>
    <row r="4495" spans="4:32" ht="8.25" customHeight="1" x14ac:dyDescent="0.25">
      <c r="X4495" s="110" t="s">
        <v>1097</v>
      </c>
      <c r="Y4495" s="111">
        <v>5</v>
      </c>
      <c r="Z4495" s="111">
        <f t="shared" si="425"/>
        <v>580</v>
      </c>
      <c r="AA4495" s="112"/>
    </row>
    <row r="4496" spans="4:32" ht="8.25" customHeight="1" x14ac:dyDescent="0.25">
      <c r="X4496" s="269"/>
      <c r="Y4496" s="270"/>
      <c r="Z4496" s="271"/>
      <c r="AA4496" s="38"/>
    </row>
    <row r="4497" spans="11:32" ht="8.25" customHeight="1" x14ac:dyDescent="0.25">
      <c r="X4497" s="110" t="s">
        <v>473</v>
      </c>
      <c r="Y4497" s="111">
        <v>1</v>
      </c>
      <c r="Z4497" s="111">
        <f t="shared" ref="Z4497:Z4502" si="426">X4497*Y4497</f>
        <v>523</v>
      </c>
      <c r="AA4497" s="76"/>
    </row>
    <row r="4498" spans="11:32" ht="8.25" customHeight="1" x14ac:dyDescent="0.25">
      <c r="X4498" s="110" t="s">
        <v>875</v>
      </c>
      <c r="Y4498" s="111">
        <v>0.5</v>
      </c>
      <c r="Z4498" s="111">
        <f t="shared" si="426"/>
        <v>41</v>
      </c>
      <c r="AA4498" s="112"/>
    </row>
    <row r="4499" spans="11:32" ht="8.25" customHeight="1" x14ac:dyDescent="0.25">
      <c r="X4499" s="110" t="s">
        <v>799</v>
      </c>
      <c r="Y4499" s="111">
        <v>0.25</v>
      </c>
      <c r="Z4499" s="111">
        <f t="shared" si="426"/>
        <v>45.5</v>
      </c>
      <c r="AA4499" s="113"/>
    </row>
    <row r="4500" spans="11:32" ht="8.25" customHeight="1" x14ac:dyDescent="0.25">
      <c r="X4500" s="110" t="s">
        <v>222</v>
      </c>
      <c r="Y4500" s="111">
        <v>0.1</v>
      </c>
      <c r="Z4500" s="111">
        <f t="shared" si="426"/>
        <v>0.1</v>
      </c>
      <c r="AA4500" s="114" t="s">
        <v>219</v>
      </c>
    </row>
    <row r="4501" spans="11:32" ht="8.25" customHeight="1" thickBot="1" x14ac:dyDescent="0.3">
      <c r="X4501" s="110" t="s">
        <v>222</v>
      </c>
      <c r="Y4501" s="111">
        <v>0.05</v>
      </c>
      <c r="Z4501" s="111">
        <f t="shared" si="426"/>
        <v>0.05</v>
      </c>
      <c r="AA4501" s="115">
        <f>SUM(Z4490:Z4495)+Z4497+Z4498+Z4499+Z4500+Z4501+Z4502</f>
        <v>184309.69</v>
      </c>
    </row>
    <row r="4502" spans="11:32" ht="8.25" customHeight="1" thickTop="1" x14ac:dyDescent="0.25">
      <c r="X4502" s="110" t="s">
        <v>299</v>
      </c>
      <c r="Y4502" s="111">
        <v>0.01</v>
      </c>
      <c r="Z4502" s="111">
        <f t="shared" si="426"/>
        <v>0.04</v>
      </c>
    </row>
    <row r="4504" spans="11:32" ht="8.25" customHeight="1" x14ac:dyDescent="0.25">
      <c r="Z4504" s="231" t="s">
        <v>1376</v>
      </c>
      <c r="AF4504" s="76">
        <f>AF4487</f>
        <v>184309.68999999878</v>
      </c>
    </row>
    <row r="4505" spans="11:32" ht="8.25" customHeight="1" x14ac:dyDescent="0.15">
      <c r="N4505" s="52">
        <v>67</v>
      </c>
      <c r="T4505" s="33">
        <v>46197</v>
      </c>
      <c r="U4505" s="34">
        <v>2026</v>
      </c>
      <c r="V4505" s="35" t="s">
        <v>1588</v>
      </c>
      <c r="W4505" s="35" t="s">
        <v>17</v>
      </c>
      <c r="X4505" s="37" t="s">
        <v>3452</v>
      </c>
      <c r="Y4505" s="36" t="s">
        <v>1815</v>
      </c>
      <c r="Z4505" s="30" t="s">
        <v>3468</v>
      </c>
      <c r="AA4505" s="134" t="s">
        <v>166</v>
      </c>
      <c r="AD4505" s="38">
        <v>774.31</v>
      </c>
      <c r="AF4505" s="76">
        <f>AF4504+AD4505-AE4505</f>
        <v>185083.99999999878</v>
      </c>
    </row>
    <row r="4506" spans="11:32" ht="8.25" customHeight="1" x14ac:dyDescent="0.25">
      <c r="N4506" s="52">
        <v>67</v>
      </c>
      <c r="T4506" s="33">
        <v>46197</v>
      </c>
      <c r="U4506" s="34">
        <v>2026</v>
      </c>
      <c r="V4506" s="35" t="s">
        <v>1588</v>
      </c>
      <c r="W4506" s="35" t="s">
        <v>17</v>
      </c>
      <c r="X4506" s="37" t="s">
        <v>3452</v>
      </c>
      <c r="Y4506" s="36" t="s">
        <v>1815</v>
      </c>
      <c r="Z4506" s="30" t="s">
        <v>3468</v>
      </c>
      <c r="AA4506" s="30" t="s">
        <v>3305</v>
      </c>
      <c r="AD4506" s="38">
        <v>4225.6899999999996</v>
      </c>
      <c r="AF4506" s="76">
        <f t="shared" ref="AF4506:AF4521" si="427">AF4505+AD4506-AE4506</f>
        <v>189309.68999999878</v>
      </c>
    </row>
    <row r="4507" spans="11:32" ht="8.25" customHeight="1" x14ac:dyDescent="0.25">
      <c r="K4507" s="52">
        <v>12</v>
      </c>
      <c r="T4507" s="33">
        <v>46197</v>
      </c>
      <c r="U4507" s="34">
        <v>2026</v>
      </c>
      <c r="V4507" s="35" t="s">
        <v>1588</v>
      </c>
      <c r="W4507" s="35" t="s">
        <v>17</v>
      </c>
      <c r="X4507" s="37" t="s">
        <v>3450</v>
      </c>
      <c r="Y4507" s="36" t="s">
        <v>3457</v>
      </c>
      <c r="Z4507" s="30" t="s">
        <v>3459</v>
      </c>
      <c r="AA4507" s="30" t="s">
        <v>1787</v>
      </c>
      <c r="AD4507" s="38">
        <v>100</v>
      </c>
      <c r="AF4507" s="76">
        <f t="shared" si="427"/>
        <v>189409.68999999878</v>
      </c>
    </row>
    <row r="4508" spans="11:32" ht="8.25" customHeight="1" x14ac:dyDescent="0.25">
      <c r="L4508" s="52">
        <v>12</v>
      </c>
      <c r="T4508" s="33">
        <v>46197</v>
      </c>
      <c r="U4508" s="34">
        <v>2026</v>
      </c>
      <c r="V4508" s="35" t="s">
        <v>1588</v>
      </c>
      <c r="W4508" s="35" t="s">
        <v>17</v>
      </c>
      <c r="X4508" s="37" t="s">
        <v>3451</v>
      </c>
      <c r="Y4508" s="36" t="s">
        <v>120</v>
      </c>
      <c r="Z4508" s="30" t="s">
        <v>3459</v>
      </c>
      <c r="AA4508" s="30" t="s">
        <v>1054</v>
      </c>
      <c r="AD4508" s="38">
        <v>50</v>
      </c>
      <c r="AF4508" s="76">
        <f t="shared" si="427"/>
        <v>189459.68999999878</v>
      </c>
    </row>
    <row r="4509" spans="11:32" ht="8.25" customHeight="1" x14ac:dyDescent="0.25">
      <c r="K4509" s="52">
        <v>13</v>
      </c>
      <c r="T4509" s="33">
        <v>46197</v>
      </c>
      <c r="U4509" s="34">
        <v>2026</v>
      </c>
      <c r="V4509" s="35" t="s">
        <v>1588</v>
      </c>
      <c r="W4509" s="35" t="s">
        <v>17</v>
      </c>
      <c r="X4509" s="37" t="s">
        <v>3453</v>
      </c>
      <c r="Y4509" s="36" t="s">
        <v>3458</v>
      </c>
      <c r="Z4509" s="30" t="s">
        <v>3460</v>
      </c>
      <c r="AA4509" s="30" t="s">
        <v>1787</v>
      </c>
      <c r="AD4509" s="38">
        <v>100</v>
      </c>
      <c r="AF4509" s="76">
        <f t="shared" si="427"/>
        <v>189559.68999999878</v>
      </c>
    </row>
    <row r="4510" spans="11:32" ht="8.25" customHeight="1" x14ac:dyDescent="0.25">
      <c r="L4510" s="52">
        <v>13</v>
      </c>
      <c r="T4510" s="33">
        <v>46197</v>
      </c>
      <c r="U4510" s="34">
        <v>2026</v>
      </c>
      <c r="V4510" s="35" t="s">
        <v>1588</v>
      </c>
      <c r="W4510" s="35" t="s">
        <v>17</v>
      </c>
      <c r="X4510" s="37" t="s">
        <v>3454</v>
      </c>
      <c r="Y4510" s="36" t="s">
        <v>120</v>
      </c>
      <c r="Z4510" s="30" t="s">
        <v>3460</v>
      </c>
      <c r="AA4510" s="30" t="s">
        <v>1054</v>
      </c>
      <c r="AD4510" s="38">
        <v>50</v>
      </c>
      <c r="AF4510" s="76">
        <f t="shared" si="427"/>
        <v>189609.68999999878</v>
      </c>
    </row>
    <row r="4511" spans="11:32" ht="8.25" customHeight="1" x14ac:dyDescent="0.25">
      <c r="N4511" s="52">
        <v>68</v>
      </c>
      <c r="T4511" s="33">
        <v>46197</v>
      </c>
      <c r="U4511" s="34">
        <v>2026</v>
      </c>
      <c r="V4511" s="35" t="s">
        <v>1588</v>
      </c>
      <c r="W4511" s="35" t="s">
        <v>17</v>
      </c>
      <c r="X4511" s="37" t="s">
        <v>3455</v>
      </c>
      <c r="Y4511" s="36" t="s">
        <v>120</v>
      </c>
      <c r="Z4511" s="30" t="s">
        <v>3463</v>
      </c>
      <c r="AA4511" s="30" t="s">
        <v>3464</v>
      </c>
      <c r="AD4511" s="38">
        <v>15</v>
      </c>
      <c r="AF4511" s="76">
        <f t="shared" si="427"/>
        <v>189624.68999999878</v>
      </c>
    </row>
    <row r="4512" spans="11:32" ht="8.25" customHeight="1" x14ac:dyDescent="0.25">
      <c r="N4512" s="52">
        <v>69</v>
      </c>
      <c r="T4512" s="33">
        <v>46197</v>
      </c>
      <c r="U4512" s="34">
        <v>2026</v>
      </c>
      <c r="V4512" s="35" t="s">
        <v>1588</v>
      </c>
      <c r="W4512" s="35" t="s">
        <v>17</v>
      </c>
      <c r="X4512" s="37" t="s">
        <v>3456</v>
      </c>
      <c r="Y4512" s="36" t="s">
        <v>2345</v>
      </c>
      <c r="Z4512" s="30" t="s">
        <v>1687</v>
      </c>
      <c r="AA4512" s="30" t="s">
        <v>3708</v>
      </c>
      <c r="AD4512" s="38">
        <v>746.48</v>
      </c>
      <c r="AF4512" s="76">
        <f t="shared" si="427"/>
        <v>190371.16999999879</v>
      </c>
    </row>
    <row r="4513" spans="3:32" ht="8.25" customHeight="1" x14ac:dyDescent="0.15">
      <c r="N4513" s="52">
        <v>69</v>
      </c>
      <c r="T4513" s="33">
        <v>46197</v>
      </c>
      <c r="U4513" s="34">
        <v>2026</v>
      </c>
      <c r="V4513" s="35" t="s">
        <v>1588</v>
      </c>
      <c r="W4513" s="35" t="s">
        <v>17</v>
      </c>
      <c r="X4513" s="37" t="s">
        <v>3456</v>
      </c>
      <c r="Y4513" s="36" t="s">
        <v>2345</v>
      </c>
      <c r="Z4513" s="30" t="s">
        <v>1687</v>
      </c>
      <c r="AA4513" s="134" t="s">
        <v>183</v>
      </c>
      <c r="AD4513" s="38">
        <v>200.52</v>
      </c>
      <c r="AF4513" s="76">
        <f t="shared" si="427"/>
        <v>190571.68999999878</v>
      </c>
    </row>
    <row r="4514" spans="3:32" ht="8.25" customHeight="1" x14ac:dyDescent="0.25">
      <c r="N4514" s="52">
        <v>70</v>
      </c>
      <c r="T4514" s="33">
        <v>46197</v>
      </c>
      <c r="U4514" s="34">
        <v>2026</v>
      </c>
      <c r="V4514" s="35" t="s">
        <v>1588</v>
      </c>
      <c r="W4514" s="35" t="s">
        <v>17</v>
      </c>
      <c r="X4514" s="37" t="s">
        <v>3462</v>
      </c>
      <c r="Y4514" s="36" t="s">
        <v>765</v>
      </c>
      <c r="Z4514" s="30" t="s">
        <v>1355</v>
      </c>
      <c r="AA4514" s="30" t="s">
        <v>3899</v>
      </c>
      <c r="AD4514" s="38">
        <v>2814.55</v>
      </c>
      <c r="AF4514" s="76">
        <f t="shared" si="427"/>
        <v>193386.23999999877</v>
      </c>
    </row>
    <row r="4515" spans="3:32" ht="8.25" customHeight="1" x14ac:dyDescent="0.15">
      <c r="C4515" s="52">
        <v>4</v>
      </c>
      <c r="N4515" s="52">
        <v>70</v>
      </c>
      <c r="T4515" s="33">
        <v>46197</v>
      </c>
      <c r="U4515" s="34">
        <v>2026</v>
      </c>
      <c r="V4515" s="35" t="s">
        <v>1588</v>
      </c>
      <c r="W4515" s="35" t="s">
        <v>17</v>
      </c>
      <c r="X4515" s="37" t="s">
        <v>3462</v>
      </c>
      <c r="Y4515" s="36" t="s">
        <v>765</v>
      </c>
      <c r="Z4515" s="30" t="s">
        <v>1355</v>
      </c>
      <c r="AA4515" s="134" t="s">
        <v>166</v>
      </c>
      <c r="AD4515" s="38">
        <v>1185.45</v>
      </c>
      <c r="AF4515" s="76">
        <f t="shared" si="427"/>
        <v>194571.68999999878</v>
      </c>
    </row>
    <row r="4516" spans="3:32" ht="8.25" customHeight="1" x14ac:dyDescent="0.25">
      <c r="N4516" s="52">
        <v>71</v>
      </c>
      <c r="T4516" s="33">
        <v>46197</v>
      </c>
      <c r="U4516" s="34">
        <v>2026</v>
      </c>
      <c r="V4516" s="35" t="s">
        <v>1588</v>
      </c>
      <c r="W4516" s="35" t="s">
        <v>17</v>
      </c>
      <c r="X4516" s="37" t="s">
        <v>3470</v>
      </c>
      <c r="Y4516" s="36" t="s">
        <v>1783</v>
      </c>
      <c r="Z4516" s="30" t="s">
        <v>2407</v>
      </c>
      <c r="AA4516" s="30" t="s">
        <v>3899</v>
      </c>
      <c r="AD4516" s="38">
        <v>8509.73</v>
      </c>
      <c r="AF4516" s="76">
        <f t="shared" si="427"/>
        <v>203081.41999999879</v>
      </c>
    </row>
    <row r="4517" spans="3:32" ht="8.25" customHeight="1" x14ac:dyDescent="0.15">
      <c r="N4517" s="52">
        <v>71</v>
      </c>
      <c r="T4517" s="33">
        <v>46197</v>
      </c>
      <c r="U4517" s="34">
        <v>2026</v>
      </c>
      <c r="V4517" s="35" t="s">
        <v>1588</v>
      </c>
      <c r="W4517" s="35" t="s">
        <v>17</v>
      </c>
      <c r="X4517" s="37" t="s">
        <v>3470</v>
      </c>
      <c r="Y4517" s="36" t="s">
        <v>1783</v>
      </c>
      <c r="Z4517" s="30" t="s">
        <v>2407</v>
      </c>
      <c r="AA4517" s="134" t="s">
        <v>166</v>
      </c>
      <c r="AD4517" s="38">
        <v>6490.27</v>
      </c>
      <c r="AF4517" s="76">
        <f t="shared" si="427"/>
        <v>209571.68999999878</v>
      </c>
    </row>
    <row r="4518" spans="3:32" ht="8.25" customHeight="1" x14ac:dyDescent="0.25">
      <c r="T4518" s="33">
        <v>46197</v>
      </c>
      <c r="U4518" s="34">
        <v>2026</v>
      </c>
      <c r="V4518" s="35" t="s">
        <v>1588</v>
      </c>
      <c r="W4518" s="35" t="s">
        <v>3620</v>
      </c>
      <c r="X4518" s="37" t="s">
        <v>3461</v>
      </c>
      <c r="Y4518" s="36" t="s">
        <v>2962</v>
      </c>
      <c r="Z4518" s="30" t="s">
        <v>1535</v>
      </c>
      <c r="AA4518" s="30" t="s">
        <v>340</v>
      </c>
      <c r="AD4518" s="38">
        <v>176</v>
      </c>
      <c r="AF4518" s="76">
        <f t="shared" si="427"/>
        <v>209747.68999999878</v>
      </c>
    </row>
    <row r="4519" spans="3:32" ht="8.25" customHeight="1" x14ac:dyDescent="0.25">
      <c r="T4519" s="33">
        <v>46197</v>
      </c>
      <c r="U4519" s="34">
        <v>2026</v>
      </c>
      <c r="V4519" s="35" t="s">
        <v>1588</v>
      </c>
      <c r="W4519" s="35" t="s">
        <v>17</v>
      </c>
      <c r="X4519" s="37" t="s">
        <v>3466</v>
      </c>
      <c r="Y4519" s="36" t="s">
        <v>2012</v>
      </c>
      <c r="Z4519" s="30" t="s">
        <v>1942</v>
      </c>
      <c r="AA4519" s="30" t="s">
        <v>1050</v>
      </c>
      <c r="AE4519" s="38">
        <v>200</v>
      </c>
      <c r="AF4519" s="76">
        <f t="shared" si="427"/>
        <v>209547.68999999878</v>
      </c>
    </row>
    <row r="4520" spans="3:32" ht="8.25" customHeight="1" x14ac:dyDescent="0.25">
      <c r="T4520" s="33">
        <v>46197</v>
      </c>
      <c r="U4520" s="34">
        <v>2026</v>
      </c>
      <c r="V4520" s="35" t="s">
        <v>1588</v>
      </c>
      <c r="W4520" s="35" t="s">
        <v>5</v>
      </c>
      <c r="X4520" s="37" t="s">
        <v>3467</v>
      </c>
      <c r="Y4520" s="36" t="s">
        <v>2010</v>
      </c>
      <c r="Z4520" s="30" t="s">
        <v>1936</v>
      </c>
      <c r="AA4520" s="30" t="s">
        <v>1050</v>
      </c>
      <c r="AE4520" s="38">
        <v>100</v>
      </c>
      <c r="AF4520" s="76">
        <f t="shared" si="427"/>
        <v>209447.68999999878</v>
      </c>
    </row>
    <row r="4521" spans="3:32" ht="8.25" customHeight="1" x14ac:dyDescent="0.25">
      <c r="T4521" s="33">
        <v>46197</v>
      </c>
      <c r="U4521" s="34">
        <v>2026</v>
      </c>
      <c r="V4521" s="35" t="s">
        <v>1588</v>
      </c>
      <c r="W4521" s="35" t="s">
        <v>5</v>
      </c>
      <c r="X4521" s="37" t="s">
        <v>3465</v>
      </c>
      <c r="Y4521" s="36" t="s">
        <v>411</v>
      </c>
      <c r="Z4521" s="30" t="s">
        <v>3162</v>
      </c>
      <c r="AA4521" s="30" t="s">
        <v>3108</v>
      </c>
      <c r="AE4521" s="38">
        <v>70000</v>
      </c>
      <c r="AF4521" s="76">
        <f t="shared" si="427"/>
        <v>139447.68999999878</v>
      </c>
    </row>
    <row r="4522" spans="3:32" ht="8.25" customHeight="1" thickBot="1" x14ac:dyDescent="0.3">
      <c r="AA4522" s="260" t="s">
        <v>2893</v>
      </c>
      <c r="AD4522" s="253">
        <f>SUM(AD4505:AD4521)</f>
        <v>25438</v>
      </c>
      <c r="AE4522" s="253">
        <f>SUM(AE4505:AE4521)</f>
        <v>70300</v>
      </c>
      <c r="AF4522" s="233">
        <f>AF4504+AD4522-AE4522</f>
        <v>139447.68999999878</v>
      </c>
    </row>
    <row r="4523" spans="3:32" ht="8.25" customHeight="1" thickTop="1" x14ac:dyDescent="0.25">
      <c r="X4523" s="109"/>
      <c r="Y4523" s="67" t="s">
        <v>214</v>
      </c>
      <c r="Z4523" s="68"/>
      <c r="AA4523" s="75"/>
    </row>
    <row r="4524" spans="3:32" ht="8.25" customHeight="1" x14ac:dyDescent="0.25">
      <c r="X4524" s="110" t="s">
        <v>655</v>
      </c>
      <c r="Y4524" s="111">
        <v>200</v>
      </c>
      <c r="Z4524" s="111">
        <f t="shared" ref="Z4524:Z4529" si="428">X4524*Y4524</f>
        <v>9600</v>
      </c>
      <c r="AA4524" s="112"/>
    </row>
    <row r="4525" spans="3:32" ht="8.25" customHeight="1" x14ac:dyDescent="0.25">
      <c r="X4525" s="110" t="s">
        <v>3471</v>
      </c>
      <c r="Y4525" s="111">
        <v>100</v>
      </c>
      <c r="Z4525" s="111">
        <f t="shared" si="428"/>
        <v>128700</v>
      </c>
      <c r="AA4525" s="112"/>
    </row>
    <row r="4526" spans="3:32" ht="8.25" customHeight="1" x14ac:dyDescent="0.25">
      <c r="X4526" s="110"/>
      <c r="Y4526" s="111">
        <v>50</v>
      </c>
      <c r="Z4526" s="111">
        <f t="shared" si="428"/>
        <v>0</v>
      </c>
      <c r="AA4526" s="76"/>
    </row>
    <row r="4527" spans="3:32" ht="8.25" customHeight="1" x14ac:dyDescent="0.25">
      <c r="X4527" s="110" t="s">
        <v>222</v>
      </c>
      <c r="Y4527" s="111">
        <v>20</v>
      </c>
      <c r="Z4527" s="111">
        <f t="shared" si="428"/>
        <v>20</v>
      </c>
      <c r="AA4527" s="38"/>
    </row>
    <row r="4528" spans="3:32" ht="8.25" customHeight="1" x14ac:dyDescent="0.25">
      <c r="X4528" s="110"/>
      <c r="Y4528" s="111">
        <v>10</v>
      </c>
      <c r="Z4528" s="111">
        <f t="shared" si="428"/>
        <v>0</v>
      </c>
      <c r="AA4528" s="112"/>
    </row>
    <row r="4529" spans="14:32" ht="8.25" customHeight="1" x14ac:dyDescent="0.25">
      <c r="X4529" s="110" t="s">
        <v>1446</v>
      </c>
      <c r="Y4529" s="111">
        <v>5</v>
      </c>
      <c r="Z4529" s="111">
        <f t="shared" si="428"/>
        <v>515</v>
      </c>
      <c r="AA4529" s="112"/>
    </row>
    <row r="4530" spans="14:32" ht="8.25" customHeight="1" x14ac:dyDescent="0.25">
      <c r="X4530" s="269"/>
      <c r="Y4530" s="270"/>
      <c r="Z4530" s="271"/>
      <c r="AA4530" s="38"/>
    </row>
    <row r="4531" spans="14:32" ht="8.25" customHeight="1" x14ac:dyDescent="0.25">
      <c r="X4531" s="110" t="s">
        <v>3469</v>
      </c>
      <c r="Y4531" s="111">
        <v>1</v>
      </c>
      <c r="Z4531" s="111">
        <f t="shared" ref="Z4531:Z4536" si="429">X4531*Y4531</f>
        <v>526</v>
      </c>
      <c r="AA4531" s="76"/>
    </row>
    <row r="4532" spans="14:32" ht="8.25" customHeight="1" x14ac:dyDescent="0.25">
      <c r="X4532" s="110" t="s">
        <v>875</v>
      </c>
      <c r="Y4532" s="111">
        <v>0.5</v>
      </c>
      <c r="Z4532" s="111">
        <f t="shared" si="429"/>
        <v>41</v>
      </c>
      <c r="AA4532" s="112"/>
    </row>
    <row r="4533" spans="14:32" ht="8.25" customHeight="1" x14ac:dyDescent="0.25">
      <c r="X4533" s="110" t="s">
        <v>799</v>
      </c>
      <c r="Y4533" s="111">
        <v>0.25</v>
      </c>
      <c r="Z4533" s="111">
        <f t="shared" si="429"/>
        <v>45.5</v>
      </c>
      <c r="AA4533" s="113"/>
    </row>
    <row r="4534" spans="14:32" ht="8.25" customHeight="1" x14ac:dyDescent="0.25">
      <c r="X4534" s="110" t="s">
        <v>222</v>
      </c>
      <c r="Y4534" s="111">
        <v>0.1</v>
      </c>
      <c r="Z4534" s="111">
        <f t="shared" si="429"/>
        <v>0.1</v>
      </c>
      <c r="AA4534" s="114" t="s">
        <v>219</v>
      </c>
    </row>
    <row r="4535" spans="14:32" ht="8.25" customHeight="1" thickBot="1" x14ac:dyDescent="0.3">
      <c r="X4535" s="110" t="s">
        <v>222</v>
      </c>
      <c r="Y4535" s="111">
        <v>0.05</v>
      </c>
      <c r="Z4535" s="111">
        <f t="shared" si="429"/>
        <v>0.05</v>
      </c>
      <c r="AA4535" s="115">
        <f>SUM(Z4524:Z4529)+Z4531+Z4532+Z4533+Z4534+Z4535+Z4536</f>
        <v>139447.69</v>
      </c>
    </row>
    <row r="4536" spans="14:32" ht="8.25" customHeight="1" thickTop="1" x14ac:dyDescent="0.25">
      <c r="X4536" s="110" t="s">
        <v>299</v>
      </c>
      <c r="Y4536" s="111">
        <v>0.01</v>
      </c>
      <c r="Z4536" s="111">
        <f t="shared" si="429"/>
        <v>0.04</v>
      </c>
    </row>
    <row r="4538" spans="14:32" ht="8.25" customHeight="1" x14ac:dyDescent="0.25">
      <c r="Z4538" s="231" t="s">
        <v>1376</v>
      </c>
      <c r="AF4538" s="76">
        <f>AF4522</f>
        <v>139447.68999999878</v>
      </c>
    </row>
    <row r="4539" spans="14:32" ht="8.25" customHeight="1" x14ac:dyDescent="0.25">
      <c r="N4539" s="52">
        <v>72</v>
      </c>
      <c r="T4539" s="33">
        <v>46198</v>
      </c>
      <c r="U4539" s="34">
        <v>2026</v>
      </c>
      <c r="V4539" s="35" t="s">
        <v>1588</v>
      </c>
      <c r="W4539" s="35" t="s">
        <v>17</v>
      </c>
      <c r="X4539" s="37" t="s">
        <v>3472</v>
      </c>
      <c r="Y4539" s="36" t="s">
        <v>3474</v>
      </c>
      <c r="Z4539" s="30" t="s">
        <v>495</v>
      </c>
      <c r="AA4539" s="30" t="s">
        <v>3899</v>
      </c>
      <c r="AD4539" s="38">
        <v>6096.53</v>
      </c>
      <c r="AF4539" s="76">
        <f>AF4538+AD4539-AE4539</f>
        <v>145544.21999999878</v>
      </c>
    </row>
    <row r="4540" spans="14:32" ht="8.25" customHeight="1" x14ac:dyDescent="0.15">
      <c r="N4540" s="52">
        <v>72</v>
      </c>
      <c r="T4540" s="33">
        <v>46198</v>
      </c>
      <c r="U4540" s="34">
        <v>2026</v>
      </c>
      <c r="V4540" s="35" t="s">
        <v>1588</v>
      </c>
      <c r="W4540" s="35" t="s">
        <v>17</v>
      </c>
      <c r="X4540" s="37" t="s">
        <v>3472</v>
      </c>
      <c r="Y4540" s="36" t="s">
        <v>3474</v>
      </c>
      <c r="Z4540" s="30" t="s">
        <v>495</v>
      </c>
      <c r="AA4540" s="134" t="s">
        <v>166</v>
      </c>
      <c r="AD4540" s="38">
        <v>4903.47</v>
      </c>
      <c r="AF4540" s="76">
        <f t="shared" ref="AF4540:AF4555" si="430">AF4539+AD4540-AE4540</f>
        <v>150447.68999999878</v>
      </c>
    </row>
    <row r="4541" spans="14:32" ht="8.25" customHeight="1" x14ac:dyDescent="0.25">
      <c r="N4541" s="52">
        <v>73</v>
      </c>
      <c r="T4541" s="33">
        <v>46198</v>
      </c>
      <c r="U4541" s="34">
        <v>2026</v>
      </c>
      <c r="V4541" s="35" t="s">
        <v>1588</v>
      </c>
      <c r="W4541" s="35" t="s">
        <v>17</v>
      </c>
      <c r="X4541" s="37" t="s">
        <v>3473</v>
      </c>
      <c r="Y4541" s="36" t="s">
        <v>3475</v>
      </c>
      <c r="Z4541" s="30" t="s">
        <v>584</v>
      </c>
      <c r="AA4541" s="30" t="s">
        <v>3899</v>
      </c>
      <c r="AD4541" s="38">
        <v>5627.69</v>
      </c>
      <c r="AF4541" s="76">
        <f t="shared" si="430"/>
        <v>156075.37999999878</v>
      </c>
    </row>
    <row r="4542" spans="14:32" ht="8.25" customHeight="1" x14ac:dyDescent="0.15">
      <c r="N4542" s="52">
        <v>73</v>
      </c>
      <c r="T4542" s="33">
        <v>46198</v>
      </c>
      <c r="U4542" s="34">
        <v>2026</v>
      </c>
      <c r="V4542" s="35" t="s">
        <v>1588</v>
      </c>
      <c r="W4542" s="35" t="s">
        <v>17</v>
      </c>
      <c r="X4542" s="37" t="s">
        <v>3473</v>
      </c>
      <c r="Y4542" s="36" t="s">
        <v>3475</v>
      </c>
      <c r="Z4542" s="30" t="s">
        <v>584</v>
      </c>
      <c r="AA4542" s="134" t="s">
        <v>166</v>
      </c>
      <c r="AD4542" s="38">
        <v>5472.31</v>
      </c>
      <c r="AF4542" s="76">
        <f t="shared" si="430"/>
        <v>161547.68999999878</v>
      </c>
    </row>
    <row r="4543" spans="14:32" ht="8.25" customHeight="1" x14ac:dyDescent="0.25">
      <c r="N4543" s="52">
        <v>74</v>
      </c>
      <c r="T4543" s="33">
        <v>46198</v>
      </c>
      <c r="U4543" s="34">
        <v>2026</v>
      </c>
      <c r="V4543" s="35" t="s">
        <v>1588</v>
      </c>
      <c r="W4543" s="35" t="s">
        <v>17</v>
      </c>
      <c r="X4543" s="37" t="s">
        <v>3476</v>
      </c>
      <c r="Y4543" s="36" t="s">
        <v>3477</v>
      </c>
      <c r="Z4543" s="30" t="s">
        <v>1085</v>
      </c>
      <c r="AA4543" s="30" t="s">
        <v>3899</v>
      </c>
      <c r="AD4543" s="38">
        <v>5047.33</v>
      </c>
      <c r="AF4543" s="76">
        <f t="shared" si="430"/>
        <v>166595.01999999877</v>
      </c>
    </row>
    <row r="4544" spans="14:32" ht="8.25" customHeight="1" x14ac:dyDescent="0.15">
      <c r="N4544" s="52">
        <v>74</v>
      </c>
      <c r="T4544" s="33">
        <v>46198</v>
      </c>
      <c r="U4544" s="34">
        <v>2026</v>
      </c>
      <c r="V4544" s="35" t="s">
        <v>1588</v>
      </c>
      <c r="W4544" s="35" t="s">
        <v>17</v>
      </c>
      <c r="X4544" s="37" t="s">
        <v>3476</v>
      </c>
      <c r="Y4544" s="36" t="s">
        <v>3477</v>
      </c>
      <c r="Z4544" s="30" t="s">
        <v>1085</v>
      </c>
      <c r="AA4544" s="134" t="s">
        <v>166</v>
      </c>
      <c r="AD4544" s="38">
        <v>4927.67</v>
      </c>
      <c r="AF4544" s="76">
        <f t="shared" si="430"/>
        <v>171522.68999999878</v>
      </c>
    </row>
    <row r="4545" spans="3:32" ht="8.25" customHeight="1" x14ac:dyDescent="0.25">
      <c r="N4545" s="52">
        <v>74</v>
      </c>
      <c r="T4545" s="33">
        <v>46198</v>
      </c>
      <c r="U4545" s="34">
        <v>2026</v>
      </c>
      <c r="V4545" s="35" t="s">
        <v>1588</v>
      </c>
      <c r="W4545" s="35" t="s">
        <v>17</v>
      </c>
      <c r="X4545" s="37" t="s">
        <v>3476</v>
      </c>
      <c r="Y4545" s="36" t="s">
        <v>3477</v>
      </c>
      <c r="Z4545" s="30" t="s">
        <v>1085</v>
      </c>
      <c r="AA4545" s="30" t="s">
        <v>3305</v>
      </c>
      <c r="AD4545" s="38">
        <v>25</v>
      </c>
      <c r="AF4545" s="76">
        <f t="shared" si="430"/>
        <v>171547.68999999878</v>
      </c>
    </row>
    <row r="4546" spans="3:32" ht="8.25" customHeight="1" x14ac:dyDescent="0.25">
      <c r="N4546" s="52">
        <v>75</v>
      </c>
      <c r="T4546" s="33">
        <v>46198</v>
      </c>
      <c r="U4546" s="34">
        <v>2026</v>
      </c>
      <c r="V4546" s="35" t="s">
        <v>1588</v>
      </c>
      <c r="W4546" s="35" t="s">
        <v>17</v>
      </c>
      <c r="X4546" s="37" t="s">
        <v>3479</v>
      </c>
      <c r="Y4546" s="36" t="s">
        <v>3478</v>
      </c>
      <c r="Z4546" s="30" t="s">
        <v>1632</v>
      </c>
      <c r="AA4546" s="30" t="s">
        <v>3899</v>
      </c>
      <c r="AD4546" s="38">
        <v>5621.47</v>
      </c>
      <c r="AF4546" s="76">
        <f t="shared" si="430"/>
        <v>177169.15999999878</v>
      </c>
    </row>
    <row r="4547" spans="3:32" ht="8.25" customHeight="1" x14ac:dyDescent="0.15">
      <c r="N4547" s="52">
        <v>75</v>
      </c>
      <c r="T4547" s="33">
        <v>46198</v>
      </c>
      <c r="U4547" s="34">
        <v>2026</v>
      </c>
      <c r="V4547" s="35" t="s">
        <v>1588</v>
      </c>
      <c r="W4547" s="35" t="s">
        <v>17</v>
      </c>
      <c r="X4547" s="37" t="s">
        <v>3479</v>
      </c>
      <c r="Y4547" s="36" t="s">
        <v>3478</v>
      </c>
      <c r="Z4547" s="30" t="s">
        <v>1632</v>
      </c>
      <c r="AA4547" s="134" t="s">
        <v>166</v>
      </c>
      <c r="AD4547" s="38">
        <v>7578.53</v>
      </c>
      <c r="AF4547" s="76">
        <f t="shared" si="430"/>
        <v>184747.68999999878</v>
      </c>
    </row>
    <row r="4548" spans="3:32" ht="8.25" customHeight="1" x14ac:dyDescent="0.25">
      <c r="N4548" s="52">
        <v>76</v>
      </c>
      <c r="T4548" s="33">
        <v>46198</v>
      </c>
      <c r="U4548" s="34">
        <v>2026</v>
      </c>
      <c r="V4548" s="35" t="s">
        <v>1588</v>
      </c>
      <c r="W4548" s="35" t="s">
        <v>17</v>
      </c>
      <c r="X4548" s="37" t="s">
        <v>3480</v>
      </c>
      <c r="Y4548" s="36" t="s">
        <v>3481</v>
      </c>
      <c r="Z4548" s="30" t="s">
        <v>1595</v>
      </c>
      <c r="AA4548" s="30" t="s">
        <v>3899</v>
      </c>
      <c r="AD4548" s="38">
        <v>4674.08</v>
      </c>
      <c r="AF4548" s="76">
        <f t="shared" si="430"/>
        <v>189421.76999999877</v>
      </c>
    </row>
    <row r="4549" spans="3:32" ht="8.25" customHeight="1" x14ac:dyDescent="0.15">
      <c r="N4549" s="52">
        <v>76</v>
      </c>
      <c r="T4549" s="33">
        <v>46198</v>
      </c>
      <c r="U4549" s="34">
        <v>2026</v>
      </c>
      <c r="V4549" s="35" t="s">
        <v>1588</v>
      </c>
      <c r="W4549" s="35" t="s">
        <v>17</v>
      </c>
      <c r="X4549" s="37" t="s">
        <v>3480</v>
      </c>
      <c r="Y4549" s="36" t="s">
        <v>3481</v>
      </c>
      <c r="Z4549" s="30" t="s">
        <v>1595</v>
      </c>
      <c r="AA4549" s="134" t="s">
        <v>166</v>
      </c>
      <c r="AD4549" s="38">
        <v>3290.92</v>
      </c>
      <c r="AF4549" s="76">
        <f t="shared" si="430"/>
        <v>192712.68999999878</v>
      </c>
    </row>
    <row r="4550" spans="3:32" ht="8.25" customHeight="1" x14ac:dyDescent="0.25">
      <c r="N4550" s="52">
        <v>76</v>
      </c>
      <c r="T4550" s="33">
        <v>46198</v>
      </c>
      <c r="U4550" s="34">
        <v>2026</v>
      </c>
      <c r="V4550" s="35" t="s">
        <v>1588</v>
      </c>
      <c r="W4550" s="35" t="s">
        <v>17</v>
      </c>
      <c r="X4550" s="37" t="s">
        <v>3480</v>
      </c>
      <c r="Y4550" s="36" t="s">
        <v>3481</v>
      </c>
      <c r="Z4550" s="30" t="s">
        <v>1595</v>
      </c>
      <c r="AA4550" s="30" t="s">
        <v>3305</v>
      </c>
      <c r="AD4550" s="38">
        <v>35</v>
      </c>
      <c r="AF4550" s="76">
        <f t="shared" si="430"/>
        <v>192747.68999999878</v>
      </c>
    </row>
    <row r="4551" spans="3:32" ht="8.25" customHeight="1" x14ac:dyDescent="0.25">
      <c r="N4551" s="52">
        <v>77</v>
      </c>
      <c r="T4551" s="33">
        <v>46198</v>
      </c>
      <c r="U4551" s="34">
        <v>2026</v>
      </c>
      <c r="V4551" s="35" t="s">
        <v>1588</v>
      </c>
      <c r="W4551" s="35" t="s">
        <v>17</v>
      </c>
      <c r="X4551" s="37" t="s">
        <v>3487</v>
      </c>
      <c r="Y4551" s="36" t="s">
        <v>1773</v>
      </c>
      <c r="Z4551" s="30" t="s">
        <v>3488</v>
      </c>
      <c r="AA4551" s="30" t="s">
        <v>3708</v>
      </c>
      <c r="AD4551" s="38">
        <v>545.11</v>
      </c>
      <c r="AF4551" s="76">
        <f t="shared" si="430"/>
        <v>193292.79999999877</v>
      </c>
    </row>
    <row r="4552" spans="3:32" ht="8.25" customHeight="1" x14ac:dyDescent="0.15">
      <c r="N4552" s="52">
        <v>77</v>
      </c>
      <c r="T4552" s="33">
        <v>46198</v>
      </c>
      <c r="U4552" s="34">
        <v>2026</v>
      </c>
      <c r="V4552" s="35" t="s">
        <v>1588</v>
      </c>
      <c r="W4552" s="35" t="s">
        <v>17</v>
      </c>
      <c r="X4552" s="37" t="s">
        <v>3487</v>
      </c>
      <c r="Y4552" s="36" t="s">
        <v>1773</v>
      </c>
      <c r="Z4552" s="30" t="s">
        <v>3488</v>
      </c>
      <c r="AA4552" s="134" t="s">
        <v>183</v>
      </c>
      <c r="AD4552" s="38">
        <v>96.89</v>
      </c>
      <c r="AF4552" s="76">
        <f t="shared" si="430"/>
        <v>193389.68999999878</v>
      </c>
    </row>
    <row r="4553" spans="3:32" ht="8.25" customHeight="1" x14ac:dyDescent="0.25">
      <c r="C4553" s="52">
        <v>5</v>
      </c>
      <c r="T4553" s="33">
        <v>46198</v>
      </c>
      <c r="U4553" s="34">
        <v>2026</v>
      </c>
      <c r="V4553" s="35" t="s">
        <v>1588</v>
      </c>
      <c r="W4553" s="35" t="s">
        <v>3620</v>
      </c>
      <c r="X4553" s="37" t="s">
        <v>3489</v>
      </c>
      <c r="Y4553" s="36" t="s">
        <v>2715</v>
      </c>
      <c r="Z4553" s="30" t="s">
        <v>1353</v>
      </c>
      <c r="AA4553" s="30" t="s">
        <v>340</v>
      </c>
      <c r="AD4553" s="38">
        <v>65</v>
      </c>
      <c r="AF4553" s="76">
        <f t="shared" si="430"/>
        <v>193454.68999999878</v>
      </c>
    </row>
    <row r="4554" spans="3:32" ht="8.25" customHeight="1" x14ac:dyDescent="0.25">
      <c r="D4554" s="52">
        <v>5</v>
      </c>
      <c r="T4554" s="33">
        <v>46198</v>
      </c>
      <c r="U4554" s="34">
        <v>2026</v>
      </c>
      <c r="V4554" s="35" t="s">
        <v>1588</v>
      </c>
      <c r="W4554" s="35" t="s">
        <v>2405</v>
      </c>
      <c r="X4554" s="37" t="s">
        <v>3482</v>
      </c>
      <c r="Y4554" s="36" t="s">
        <v>3483</v>
      </c>
      <c r="Z4554" s="30" t="s">
        <v>3484</v>
      </c>
      <c r="AA4554" s="30" t="s">
        <v>256</v>
      </c>
      <c r="AD4554" s="38">
        <v>3000</v>
      </c>
      <c r="AF4554" s="76">
        <f t="shared" si="430"/>
        <v>196454.68999999878</v>
      </c>
    </row>
    <row r="4555" spans="3:32" ht="8.25" customHeight="1" x14ac:dyDescent="0.25">
      <c r="R4555" s="53">
        <v>40</v>
      </c>
      <c r="T4555" s="33">
        <v>46198</v>
      </c>
      <c r="U4555" s="34">
        <v>2026</v>
      </c>
      <c r="V4555" s="35" t="s">
        <v>1588</v>
      </c>
      <c r="W4555" s="35" t="s">
        <v>5</v>
      </c>
      <c r="X4555" s="37" t="s">
        <v>3485</v>
      </c>
      <c r="Y4555" s="36" t="s">
        <v>3486</v>
      </c>
      <c r="Z4555" s="30" t="s">
        <v>1747</v>
      </c>
      <c r="AA4555" s="30" t="s">
        <v>1050</v>
      </c>
      <c r="AE4555" s="38">
        <v>2000</v>
      </c>
      <c r="AF4555" s="76">
        <f t="shared" si="430"/>
        <v>194454.68999999878</v>
      </c>
    </row>
    <row r="4556" spans="3:32" ht="8.25" customHeight="1" thickBot="1" x14ac:dyDescent="0.3">
      <c r="AA4556" s="260" t="s">
        <v>2893</v>
      </c>
      <c r="AD4556" s="253">
        <f>SUM(AD4539:AD4555)</f>
        <v>57007</v>
      </c>
      <c r="AE4556" s="253">
        <f>SUM(AE4539:AE4555)</f>
        <v>2000</v>
      </c>
      <c r="AF4556" s="233">
        <f>AF4538+AD4556-AE4556</f>
        <v>194454.68999999878</v>
      </c>
    </row>
    <row r="4557" spans="3:32" ht="8.25" customHeight="1" thickTop="1" x14ac:dyDescent="0.25"/>
    <row r="4558" spans="3:32" ht="8.25" customHeight="1" x14ac:dyDescent="0.25">
      <c r="X4558" s="109"/>
      <c r="Y4558" s="67" t="s">
        <v>214</v>
      </c>
      <c r="Z4558" s="68"/>
      <c r="AA4558" s="75"/>
    </row>
    <row r="4559" spans="3:32" ht="8.25" customHeight="1" x14ac:dyDescent="0.25">
      <c r="X4559" s="110" t="s">
        <v>797</v>
      </c>
      <c r="Y4559" s="111">
        <v>200</v>
      </c>
      <c r="Z4559" s="111">
        <f t="shared" ref="Z4559:Z4564" si="431">X4559*Y4559</f>
        <v>10200</v>
      </c>
      <c r="AA4559" s="112"/>
    </row>
    <row r="4560" spans="3:32" ht="8.25" customHeight="1" x14ac:dyDescent="0.25">
      <c r="X4560" s="110" t="s">
        <v>3490</v>
      </c>
      <c r="Y4560" s="111">
        <v>100</v>
      </c>
      <c r="Z4560" s="111">
        <f t="shared" si="431"/>
        <v>183100</v>
      </c>
      <c r="AA4560" s="112"/>
    </row>
    <row r="4561" spans="11:32" ht="8.25" customHeight="1" x14ac:dyDescent="0.25">
      <c r="X4561" s="110" t="s">
        <v>222</v>
      </c>
      <c r="Y4561" s="111">
        <v>50</v>
      </c>
      <c r="Z4561" s="111">
        <f t="shared" si="431"/>
        <v>50</v>
      </c>
      <c r="AA4561" s="76"/>
    </row>
    <row r="4562" spans="11:32" ht="8.25" customHeight="1" x14ac:dyDescent="0.25">
      <c r="X4562" s="110"/>
      <c r="Y4562" s="111">
        <v>20</v>
      </c>
      <c r="Z4562" s="111">
        <f t="shared" si="431"/>
        <v>0</v>
      </c>
      <c r="AA4562" s="38"/>
    </row>
    <row r="4563" spans="11:32" ht="8.25" customHeight="1" x14ac:dyDescent="0.25">
      <c r="X4563" s="110"/>
      <c r="Y4563" s="111">
        <v>10</v>
      </c>
      <c r="Z4563" s="111">
        <f t="shared" si="431"/>
        <v>0</v>
      </c>
      <c r="AA4563" s="112"/>
    </row>
    <row r="4564" spans="11:32" ht="8.25" customHeight="1" x14ac:dyDescent="0.25">
      <c r="X4564" s="110" t="s">
        <v>488</v>
      </c>
      <c r="Y4564" s="111">
        <v>5</v>
      </c>
      <c r="Z4564" s="111">
        <f t="shared" si="431"/>
        <v>510</v>
      </c>
      <c r="AA4564" s="112"/>
    </row>
    <row r="4565" spans="11:32" ht="8.25" customHeight="1" x14ac:dyDescent="0.25">
      <c r="X4565" s="269"/>
      <c r="Y4565" s="270"/>
      <c r="Z4565" s="271"/>
      <c r="AA4565" s="38"/>
    </row>
    <row r="4566" spans="11:32" ht="8.25" customHeight="1" x14ac:dyDescent="0.25">
      <c r="X4566" s="110" t="s">
        <v>3491</v>
      </c>
      <c r="Y4566" s="111">
        <v>1</v>
      </c>
      <c r="Z4566" s="111">
        <f t="shared" ref="Z4566:Z4571" si="432">X4566*Y4566</f>
        <v>508</v>
      </c>
      <c r="AA4566" s="76"/>
    </row>
    <row r="4567" spans="11:32" ht="8.25" customHeight="1" x14ac:dyDescent="0.25">
      <c r="X4567" s="110" t="s">
        <v>875</v>
      </c>
      <c r="Y4567" s="111">
        <v>0.5</v>
      </c>
      <c r="Z4567" s="111">
        <f t="shared" si="432"/>
        <v>41</v>
      </c>
      <c r="AA4567" s="112"/>
    </row>
    <row r="4568" spans="11:32" ht="8.25" customHeight="1" x14ac:dyDescent="0.25">
      <c r="X4568" s="110" t="s">
        <v>799</v>
      </c>
      <c r="Y4568" s="111">
        <v>0.25</v>
      </c>
      <c r="Z4568" s="111">
        <f t="shared" si="432"/>
        <v>45.5</v>
      </c>
      <c r="AA4568" s="113"/>
    </row>
    <row r="4569" spans="11:32" ht="8.25" customHeight="1" x14ac:dyDescent="0.25">
      <c r="X4569" s="110" t="s">
        <v>222</v>
      </c>
      <c r="Y4569" s="111">
        <v>0.1</v>
      </c>
      <c r="Z4569" s="111">
        <f t="shared" si="432"/>
        <v>0.1</v>
      </c>
      <c r="AA4569" s="114" t="s">
        <v>219</v>
      </c>
    </row>
    <row r="4570" spans="11:32" ht="8.25" customHeight="1" thickBot="1" x14ac:dyDescent="0.3">
      <c r="X4570" s="110" t="s">
        <v>222</v>
      </c>
      <c r="Y4570" s="111">
        <v>0.05</v>
      </c>
      <c r="Z4570" s="111">
        <f t="shared" si="432"/>
        <v>0.05</v>
      </c>
      <c r="AA4570" s="115">
        <f>SUM(Z4559:Z4564)+Z4566+Z4567+Z4568+Z4569+Z4570+Z4571</f>
        <v>194454.69</v>
      </c>
    </row>
    <row r="4571" spans="11:32" ht="8.25" customHeight="1" thickTop="1" x14ac:dyDescent="0.25">
      <c r="X4571" s="110" t="s">
        <v>299</v>
      </c>
      <c r="Y4571" s="111">
        <v>0.01</v>
      </c>
      <c r="Z4571" s="111">
        <f t="shared" si="432"/>
        <v>0.04</v>
      </c>
    </row>
    <row r="4573" spans="11:32" ht="8.25" customHeight="1" x14ac:dyDescent="0.25">
      <c r="Z4573" s="231" t="s">
        <v>1376</v>
      </c>
      <c r="AF4573" s="76">
        <f>AF4556</f>
        <v>194454.68999999878</v>
      </c>
    </row>
    <row r="4574" spans="11:32" ht="8.25" customHeight="1" x14ac:dyDescent="0.25">
      <c r="N4574" s="52">
        <v>78</v>
      </c>
      <c r="T4574" s="33">
        <v>46199</v>
      </c>
      <c r="U4574" s="34">
        <v>2026</v>
      </c>
      <c r="V4574" s="35" t="s">
        <v>1588</v>
      </c>
      <c r="W4574" s="35" t="s">
        <v>17</v>
      </c>
      <c r="X4574" s="37" t="s">
        <v>3493</v>
      </c>
      <c r="Y4574" s="36" t="s">
        <v>3494</v>
      </c>
      <c r="Z4574" s="30" t="s">
        <v>1820</v>
      </c>
      <c r="AA4574" s="30" t="s">
        <v>3899</v>
      </c>
      <c r="AD4574" s="38">
        <v>7699.88</v>
      </c>
      <c r="AF4574" s="76">
        <f>AF4573+AD4574-AE4574</f>
        <v>202154.56999999878</v>
      </c>
    </row>
    <row r="4575" spans="11:32" ht="8.25" customHeight="1" x14ac:dyDescent="0.15">
      <c r="N4575" s="52">
        <v>78</v>
      </c>
      <c r="T4575" s="33">
        <v>46199</v>
      </c>
      <c r="U4575" s="34">
        <v>2026</v>
      </c>
      <c r="V4575" s="35" t="s">
        <v>1588</v>
      </c>
      <c r="W4575" s="35" t="s">
        <v>17</v>
      </c>
      <c r="X4575" s="37" t="s">
        <v>3493</v>
      </c>
      <c r="Y4575" s="36" t="s">
        <v>3494</v>
      </c>
      <c r="Z4575" s="30" t="s">
        <v>1820</v>
      </c>
      <c r="AA4575" s="134" t="s">
        <v>166</v>
      </c>
      <c r="AD4575" s="38">
        <v>5300.12</v>
      </c>
      <c r="AF4575" s="76">
        <f t="shared" ref="AF4575:AF4602" si="433">AF4574+AD4575-AE4575</f>
        <v>207454.68999999878</v>
      </c>
    </row>
    <row r="4576" spans="11:32" ht="8.25" customHeight="1" x14ac:dyDescent="0.25">
      <c r="K4576" s="52">
        <v>14</v>
      </c>
      <c r="T4576" s="33">
        <v>46199</v>
      </c>
      <c r="U4576" s="34">
        <v>2026</v>
      </c>
      <c r="V4576" s="35" t="s">
        <v>1588</v>
      </c>
      <c r="W4576" s="35" t="s">
        <v>17</v>
      </c>
      <c r="X4576" s="37" t="s">
        <v>3495</v>
      </c>
      <c r="Y4576" s="36" t="s">
        <v>3497</v>
      </c>
      <c r="Z4576" s="30" t="s">
        <v>3498</v>
      </c>
      <c r="AA4576" s="30" t="s">
        <v>1787</v>
      </c>
      <c r="AD4576" s="38">
        <v>100</v>
      </c>
      <c r="AF4576" s="76">
        <f t="shared" si="433"/>
        <v>207554.68999999878</v>
      </c>
    </row>
    <row r="4577" spans="9:32" ht="8.25" customHeight="1" x14ac:dyDescent="0.25">
      <c r="L4577" s="52">
        <v>14</v>
      </c>
      <c r="T4577" s="33">
        <v>46199</v>
      </c>
      <c r="U4577" s="34">
        <v>2026</v>
      </c>
      <c r="V4577" s="35" t="s">
        <v>1588</v>
      </c>
      <c r="W4577" s="35" t="s">
        <v>17</v>
      </c>
      <c r="X4577" s="37" t="s">
        <v>3496</v>
      </c>
      <c r="Y4577" s="36" t="s">
        <v>120</v>
      </c>
      <c r="Z4577" s="30" t="s">
        <v>3498</v>
      </c>
      <c r="AA4577" s="30" t="s">
        <v>1054</v>
      </c>
      <c r="AD4577" s="38">
        <v>50</v>
      </c>
      <c r="AF4577" s="76">
        <f t="shared" si="433"/>
        <v>207604.68999999878</v>
      </c>
    </row>
    <row r="4578" spans="9:32" ht="8.25" customHeight="1" x14ac:dyDescent="0.25">
      <c r="N4578" s="52">
        <v>79</v>
      </c>
      <c r="T4578" s="33">
        <v>46199</v>
      </c>
      <c r="U4578" s="34">
        <v>2026</v>
      </c>
      <c r="V4578" s="35" t="s">
        <v>1588</v>
      </c>
      <c r="W4578" s="35" t="s">
        <v>17</v>
      </c>
      <c r="X4578" s="37" t="s">
        <v>3500</v>
      </c>
      <c r="Y4578" s="36" t="s">
        <v>120</v>
      </c>
      <c r="Z4578" s="30" t="s">
        <v>1467</v>
      </c>
      <c r="AA4578" s="30" t="s">
        <v>3083</v>
      </c>
      <c r="AD4578" s="38">
        <v>10</v>
      </c>
      <c r="AF4578" s="76">
        <f t="shared" si="433"/>
        <v>207614.68999999878</v>
      </c>
    </row>
    <row r="4579" spans="9:32" ht="8.25" customHeight="1" x14ac:dyDescent="0.25">
      <c r="N4579" s="52">
        <v>80</v>
      </c>
      <c r="T4579" s="33">
        <v>46199</v>
      </c>
      <c r="U4579" s="34">
        <v>2026</v>
      </c>
      <c r="V4579" s="35" t="s">
        <v>1588</v>
      </c>
      <c r="W4579" s="35" t="s">
        <v>17</v>
      </c>
      <c r="X4579" s="37" t="s">
        <v>3501</v>
      </c>
      <c r="Y4579" s="36" t="s">
        <v>3477</v>
      </c>
      <c r="Z4579" s="30" t="s">
        <v>1085</v>
      </c>
      <c r="AA4579" s="30" t="s">
        <v>3899</v>
      </c>
      <c r="AD4579" s="38">
        <v>1200</v>
      </c>
      <c r="AF4579" s="76">
        <f t="shared" si="433"/>
        <v>208814.68999999878</v>
      </c>
    </row>
    <row r="4580" spans="9:32" ht="8.25" customHeight="1" x14ac:dyDescent="0.15">
      <c r="I4580" s="52">
        <v>41</v>
      </c>
      <c r="T4580" s="33">
        <v>46199</v>
      </c>
      <c r="U4580" s="34">
        <v>2026</v>
      </c>
      <c r="V4580" s="35" t="s">
        <v>1588</v>
      </c>
      <c r="W4580" s="35" t="s">
        <v>17</v>
      </c>
      <c r="X4580" s="37" t="s">
        <v>3502</v>
      </c>
      <c r="Y4580" s="36" t="s">
        <v>3505</v>
      </c>
      <c r="Z4580" s="30" t="s">
        <v>2031</v>
      </c>
      <c r="AA4580" s="134" t="s">
        <v>13</v>
      </c>
      <c r="AD4580" s="38">
        <v>25000</v>
      </c>
      <c r="AF4580" s="76">
        <f t="shared" si="433"/>
        <v>233814.68999999878</v>
      </c>
    </row>
    <row r="4581" spans="9:32" ht="8.25" customHeight="1" x14ac:dyDescent="0.15">
      <c r="I4581" s="52">
        <v>42</v>
      </c>
      <c r="T4581" s="33">
        <v>46199</v>
      </c>
      <c r="U4581" s="34">
        <v>2026</v>
      </c>
      <c r="V4581" s="35" t="s">
        <v>1588</v>
      </c>
      <c r="W4581" s="35" t="s">
        <v>17</v>
      </c>
      <c r="X4581" s="37" t="s">
        <v>3512</v>
      </c>
      <c r="Y4581" s="36" t="s">
        <v>3505</v>
      </c>
      <c r="Z4581" s="30" t="s">
        <v>2031</v>
      </c>
      <c r="AA4581" s="134" t="s">
        <v>13</v>
      </c>
      <c r="AD4581" s="38">
        <v>9000</v>
      </c>
      <c r="AF4581" s="76">
        <f t="shared" si="433"/>
        <v>242814.68999999878</v>
      </c>
    </row>
    <row r="4582" spans="9:32" ht="8.25" customHeight="1" x14ac:dyDescent="0.25">
      <c r="N4582" s="52">
        <v>81</v>
      </c>
      <c r="T4582" s="33">
        <v>46199</v>
      </c>
      <c r="U4582" s="34">
        <v>2026</v>
      </c>
      <c r="V4582" s="35" t="s">
        <v>1588</v>
      </c>
      <c r="W4582" s="35" t="s">
        <v>17</v>
      </c>
      <c r="X4582" s="37" t="s">
        <v>3513</v>
      </c>
      <c r="Y4582" s="36" t="s">
        <v>1062</v>
      </c>
      <c r="Z4582" s="30" t="s">
        <v>1060</v>
      </c>
      <c r="AA4582" s="30" t="s">
        <v>3708</v>
      </c>
      <c r="AD4582" s="38">
        <v>2757.83</v>
      </c>
      <c r="AF4582" s="76">
        <f t="shared" si="433"/>
        <v>245572.51999999877</v>
      </c>
    </row>
    <row r="4583" spans="9:32" ht="8.25" customHeight="1" x14ac:dyDescent="0.15">
      <c r="N4583" s="52">
        <v>81</v>
      </c>
      <c r="T4583" s="33">
        <v>46199</v>
      </c>
      <c r="U4583" s="34">
        <v>2026</v>
      </c>
      <c r="V4583" s="35" t="s">
        <v>1588</v>
      </c>
      <c r="W4583" s="35" t="s">
        <v>17</v>
      </c>
      <c r="X4583" s="37" t="s">
        <v>3513</v>
      </c>
      <c r="Y4583" s="36" t="s">
        <v>1062</v>
      </c>
      <c r="Z4583" s="30" t="s">
        <v>645</v>
      </c>
      <c r="AA4583" s="134" t="s">
        <v>183</v>
      </c>
      <c r="AD4583" s="38">
        <v>342.17</v>
      </c>
      <c r="AF4583" s="76">
        <f t="shared" si="433"/>
        <v>245914.68999999878</v>
      </c>
    </row>
    <row r="4584" spans="9:32" ht="8.25" customHeight="1" x14ac:dyDescent="0.25">
      <c r="N4584" s="52">
        <v>82</v>
      </c>
      <c r="T4584" s="33">
        <v>46199</v>
      </c>
      <c r="U4584" s="34">
        <v>2026</v>
      </c>
      <c r="V4584" s="35" t="s">
        <v>1588</v>
      </c>
      <c r="W4584" s="35" t="s">
        <v>17</v>
      </c>
      <c r="X4584" s="37" t="s">
        <v>3514</v>
      </c>
      <c r="Y4584" s="36" t="s">
        <v>1046</v>
      </c>
      <c r="Z4584" s="30" t="s">
        <v>1047</v>
      </c>
      <c r="AA4584" s="30" t="s">
        <v>3899</v>
      </c>
      <c r="AD4584" s="38">
        <v>1377.36</v>
      </c>
      <c r="AF4584" s="76">
        <f t="shared" si="433"/>
        <v>247292.04999999877</v>
      </c>
    </row>
    <row r="4585" spans="9:32" ht="8.25" customHeight="1" x14ac:dyDescent="0.15">
      <c r="N4585" s="52">
        <v>82</v>
      </c>
      <c r="T4585" s="33">
        <v>46199</v>
      </c>
      <c r="U4585" s="34">
        <v>2026</v>
      </c>
      <c r="V4585" s="35" t="s">
        <v>1588</v>
      </c>
      <c r="W4585" s="35" t="s">
        <v>17</v>
      </c>
      <c r="X4585" s="37" t="s">
        <v>3514</v>
      </c>
      <c r="Y4585" s="36" t="s">
        <v>1046</v>
      </c>
      <c r="Z4585" s="30" t="s">
        <v>1047</v>
      </c>
      <c r="AA4585" s="134" t="s">
        <v>166</v>
      </c>
      <c r="AD4585" s="38">
        <v>622.64</v>
      </c>
      <c r="AF4585" s="76">
        <f t="shared" si="433"/>
        <v>247914.68999999878</v>
      </c>
    </row>
    <row r="4586" spans="9:32" ht="8.25" customHeight="1" x14ac:dyDescent="0.15">
      <c r="I4586" s="52">
        <v>43</v>
      </c>
      <c r="T4586" s="33">
        <v>46199</v>
      </c>
      <c r="U4586" s="34">
        <v>2026</v>
      </c>
      <c r="V4586" s="35" t="s">
        <v>1588</v>
      </c>
      <c r="W4586" s="35" t="s">
        <v>17</v>
      </c>
      <c r="X4586" s="37" t="s">
        <v>3519</v>
      </c>
      <c r="Y4586" s="36" t="s">
        <v>3525</v>
      </c>
      <c r="Z4586" s="30" t="s">
        <v>3460</v>
      </c>
      <c r="AA4586" s="134" t="s">
        <v>13</v>
      </c>
      <c r="AD4586" s="38">
        <v>22727.27</v>
      </c>
      <c r="AF4586" s="76">
        <f t="shared" si="433"/>
        <v>270641.9599999988</v>
      </c>
    </row>
    <row r="4587" spans="9:32" ht="8.25" customHeight="1" x14ac:dyDescent="0.25">
      <c r="T4587" s="33">
        <v>46199</v>
      </c>
      <c r="U4587" s="34">
        <v>2026</v>
      </c>
      <c r="V4587" s="35" t="s">
        <v>1588</v>
      </c>
      <c r="W4587" s="35" t="s">
        <v>5</v>
      </c>
      <c r="X4587" s="37" t="s">
        <v>3527</v>
      </c>
      <c r="Y4587" s="36" t="s">
        <v>411</v>
      </c>
      <c r="Z4587" s="30" t="s">
        <v>3162</v>
      </c>
      <c r="AA4587" s="30" t="s">
        <v>2719</v>
      </c>
      <c r="AE4587" s="38">
        <v>22727.27</v>
      </c>
      <c r="AF4587" s="76">
        <f t="shared" si="433"/>
        <v>247914.68999999881</v>
      </c>
    </row>
    <row r="4588" spans="9:32" ht="8.25" customHeight="1" x14ac:dyDescent="0.25">
      <c r="M4588" s="52">
        <v>15</v>
      </c>
      <c r="T4588" s="33">
        <v>46199</v>
      </c>
      <c r="U4588" s="34">
        <v>2026</v>
      </c>
      <c r="V4588" s="35" t="s">
        <v>1588</v>
      </c>
      <c r="W4588" s="35" t="s">
        <v>17</v>
      </c>
      <c r="X4588" s="37" t="s">
        <v>3520</v>
      </c>
      <c r="Y4588" s="36" t="s">
        <v>120</v>
      </c>
      <c r="Z4588" s="30" t="s">
        <v>3460</v>
      </c>
      <c r="AA4588" s="30" t="s">
        <v>385</v>
      </c>
      <c r="AD4588" s="38">
        <v>4545.46</v>
      </c>
      <c r="AF4588" s="76">
        <f t="shared" si="433"/>
        <v>252460.1499999988</v>
      </c>
    </row>
    <row r="4589" spans="9:32" ht="8.25" customHeight="1" x14ac:dyDescent="0.25">
      <c r="T4589" s="33">
        <v>46199</v>
      </c>
      <c r="U4589" s="34">
        <v>2026</v>
      </c>
      <c r="V4589" s="35" t="s">
        <v>1588</v>
      </c>
      <c r="W4589" s="35" t="s">
        <v>5</v>
      </c>
      <c r="X4589" s="37" t="s">
        <v>3526</v>
      </c>
      <c r="Y4589" s="36" t="s">
        <v>411</v>
      </c>
      <c r="Z4589" s="30" t="s">
        <v>3162</v>
      </c>
      <c r="AA4589" s="30" t="s">
        <v>2719</v>
      </c>
      <c r="AE4589" s="38">
        <v>4545.46</v>
      </c>
      <c r="AF4589" s="76">
        <f t="shared" si="433"/>
        <v>247914.68999999881</v>
      </c>
    </row>
    <row r="4590" spans="9:32" ht="8.25" customHeight="1" x14ac:dyDescent="0.15">
      <c r="I4590" s="52">
        <v>44</v>
      </c>
      <c r="T4590" s="33">
        <v>46199</v>
      </c>
      <c r="U4590" s="34">
        <v>2026</v>
      </c>
      <c r="V4590" s="35" t="s">
        <v>1588</v>
      </c>
      <c r="W4590" s="35" t="s">
        <v>17</v>
      </c>
      <c r="X4590" s="37" t="s">
        <v>3521</v>
      </c>
      <c r="Y4590" s="36" t="s">
        <v>3523</v>
      </c>
      <c r="Z4590" s="30" t="s">
        <v>3498</v>
      </c>
      <c r="AA4590" s="134" t="s">
        <v>13</v>
      </c>
      <c r="AD4590" s="38">
        <v>34090.910000000003</v>
      </c>
      <c r="AF4590" s="76">
        <f t="shared" si="433"/>
        <v>282005.59999999881</v>
      </c>
    </row>
    <row r="4591" spans="9:32" ht="8.25" customHeight="1" x14ac:dyDescent="0.25">
      <c r="T4591" s="33">
        <v>46199</v>
      </c>
      <c r="U4591" s="34">
        <v>2026</v>
      </c>
      <c r="V4591" s="35" t="s">
        <v>1588</v>
      </c>
      <c r="W4591" s="35" t="s">
        <v>544</v>
      </c>
      <c r="X4591" s="37" t="s">
        <v>3524</v>
      </c>
      <c r="Y4591" s="36" t="s">
        <v>411</v>
      </c>
      <c r="Z4591" s="30" t="s">
        <v>3162</v>
      </c>
      <c r="AA4591" s="30" t="s">
        <v>2719</v>
      </c>
      <c r="AE4591" s="38">
        <v>34090.910000000003</v>
      </c>
      <c r="AF4591" s="76">
        <f t="shared" si="433"/>
        <v>247914.68999999881</v>
      </c>
    </row>
    <row r="4592" spans="9:32" ht="8.25" customHeight="1" x14ac:dyDescent="0.25">
      <c r="M4592" s="52">
        <v>16</v>
      </c>
      <c r="T4592" s="33">
        <v>46199</v>
      </c>
      <c r="U4592" s="34">
        <v>2026</v>
      </c>
      <c r="V4592" s="35" t="s">
        <v>1588</v>
      </c>
      <c r="W4592" s="35" t="s">
        <v>17</v>
      </c>
      <c r="X4592" s="37" t="s">
        <v>3522</v>
      </c>
      <c r="Y4592" s="36" t="s">
        <v>120</v>
      </c>
      <c r="Z4592" s="30" t="s">
        <v>3498</v>
      </c>
      <c r="AA4592" s="30" t="s">
        <v>385</v>
      </c>
      <c r="AD4592" s="38">
        <v>6818.18</v>
      </c>
      <c r="AF4592" s="76">
        <f t="shared" si="433"/>
        <v>254732.8699999988</v>
      </c>
    </row>
    <row r="4593" spans="6:32" ht="8.25" customHeight="1" x14ac:dyDescent="0.25">
      <c r="T4593" s="33">
        <v>46199</v>
      </c>
      <c r="U4593" s="34">
        <v>2026</v>
      </c>
      <c r="V4593" s="35" t="s">
        <v>1588</v>
      </c>
      <c r="W4593" s="35" t="s">
        <v>5</v>
      </c>
      <c r="X4593" s="37" t="s">
        <v>3529</v>
      </c>
      <c r="Y4593" s="36" t="s">
        <v>411</v>
      </c>
      <c r="Z4593" s="30" t="s">
        <v>3162</v>
      </c>
      <c r="AA4593" s="30" t="s">
        <v>2719</v>
      </c>
      <c r="AE4593" s="38">
        <v>6818.18</v>
      </c>
      <c r="AF4593" s="76">
        <f t="shared" si="433"/>
        <v>247914.68999999881</v>
      </c>
    </row>
    <row r="4594" spans="6:32" ht="8.25" customHeight="1" x14ac:dyDescent="0.25">
      <c r="R4594" s="53">
        <v>41</v>
      </c>
      <c r="T4594" s="33">
        <v>46199</v>
      </c>
      <c r="U4594" s="34">
        <v>2026</v>
      </c>
      <c r="V4594" s="35" t="s">
        <v>1588</v>
      </c>
      <c r="W4594" s="35" t="s">
        <v>544</v>
      </c>
      <c r="X4594" s="37" t="s">
        <v>3499</v>
      </c>
      <c r="Y4594" s="36" t="s">
        <v>3534</v>
      </c>
      <c r="Z4594" s="30" t="s">
        <v>1942</v>
      </c>
      <c r="AA4594" s="30" t="s">
        <v>1050</v>
      </c>
      <c r="AE4594" s="38">
        <v>400</v>
      </c>
      <c r="AF4594" s="76">
        <f t="shared" si="433"/>
        <v>247514.68999999881</v>
      </c>
    </row>
    <row r="4595" spans="6:32" ht="8.25" customHeight="1" x14ac:dyDescent="0.25">
      <c r="R4595" s="53">
        <v>42</v>
      </c>
      <c r="T4595" s="33">
        <v>46199</v>
      </c>
      <c r="U4595" s="34">
        <v>2026</v>
      </c>
      <c r="V4595" s="35" t="s">
        <v>1588</v>
      </c>
      <c r="W4595" s="35" t="s">
        <v>544</v>
      </c>
      <c r="X4595" s="37" t="s">
        <v>3504</v>
      </c>
      <c r="Y4595" s="36" t="s">
        <v>3517</v>
      </c>
      <c r="Z4595" s="30" t="s">
        <v>2093</v>
      </c>
      <c r="AA4595" s="30" t="s">
        <v>1050</v>
      </c>
      <c r="AE4595" s="38">
        <v>200</v>
      </c>
      <c r="AF4595" s="76">
        <f t="shared" si="433"/>
        <v>247314.68999999881</v>
      </c>
    </row>
    <row r="4596" spans="6:32" ht="8.25" customHeight="1" x14ac:dyDescent="0.25">
      <c r="R4596" s="53">
        <v>43</v>
      </c>
      <c r="T4596" s="33">
        <v>46199</v>
      </c>
      <c r="U4596" s="34">
        <v>2026</v>
      </c>
      <c r="V4596" s="35" t="s">
        <v>1588</v>
      </c>
      <c r="W4596" s="35" t="s">
        <v>544</v>
      </c>
      <c r="X4596" s="37" t="s">
        <v>3509</v>
      </c>
      <c r="Y4596" s="36" t="s">
        <v>3505</v>
      </c>
      <c r="Z4596" s="30" t="s">
        <v>3506</v>
      </c>
      <c r="AA4596" s="30" t="s">
        <v>1050</v>
      </c>
      <c r="AE4596" s="38">
        <v>400</v>
      </c>
      <c r="AF4596" s="76">
        <f t="shared" si="433"/>
        <v>246914.68999999881</v>
      </c>
    </row>
    <row r="4597" spans="6:32" ht="8.25" customHeight="1" x14ac:dyDescent="0.25">
      <c r="R4597" s="53">
        <v>44</v>
      </c>
      <c r="T4597" s="33">
        <v>46199</v>
      </c>
      <c r="U4597" s="34">
        <v>2026</v>
      </c>
      <c r="V4597" s="35" t="s">
        <v>1588</v>
      </c>
      <c r="W4597" s="35" t="s">
        <v>544</v>
      </c>
      <c r="X4597" s="37" t="s">
        <v>3510</v>
      </c>
      <c r="Y4597" s="36" t="s">
        <v>3511</v>
      </c>
      <c r="Z4597" s="30" t="s">
        <v>3071</v>
      </c>
      <c r="AA4597" s="30" t="s">
        <v>1050</v>
      </c>
      <c r="AE4597" s="38">
        <v>200</v>
      </c>
      <c r="AF4597" s="76">
        <f t="shared" si="433"/>
        <v>246714.68999999881</v>
      </c>
    </row>
    <row r="4598" spans="6:32" ht="8.25" customHeight="1" x14ac:dyDescent="0.25">
      <c r="R4598" s="53">
        <v>45</v>
      </c>
      <c r="T4598" s="33">
        <v>46199</v>
      </c>
      <c r="U4598" s="34">
        <v>2026</v>
      </c>
      <c r="V4598" s="35" t="s">
        <v>1588</v>
      </c>
      <c r="W4598" s="35" t="s">
        <v>544</v>
      </c>
      <c r="X4598" s="37" t="s">
        <v>3515</v>
      </c>
      <c r="Y4598" s="36" t="s">
        <v>3516</v>
      </c>
      <c r="Z4598" s="30" t="s">
        <v>1648</v>
      </c>
      <c r="AA4598" s="30" t="s">
        <v>1050</v>
      </c>
      <c r="AE4598" s="38">
        <v>9000</v>
      </c>
      <c r="AF4598" s="76">
        <f t="shared" si="433"/>
        <v>237714.68999999881</v>
      </c>
    </row>
    <row r="4599" spans="6:32" ht="8.25" customHeight="1" x14ac:dyDescent="0.25">
      <c r="F4599" s="53">
        <v>3</v>
      </c>
      <c r="T4599" s="33">
        <v>46199</v>
      </c>
      <c r="U4599" s="34">
        <v>2026</v>
      </c>
      <c r="V4599" s="35" t="s">
        <v>1588</v>
      </c>
      <c r="W4599" s="35" t="s">
        <v>3417</v>
      </c>
      <c r="X4599" s="37" t="s">
        <v>3492</v>
      </c>
      <c r="Y4599" s="36" t="s">
        <v>120</v>
      </c>
      <c r="Z4599" s="30" t="s">
        <v>3019</v>
      </c>
      <c r="AA4599" s="30" t="s">
        <v>3939</v>
      </c>
      <c r="AE4599" s="38">
        <v>300</v>
      </c>
      <c r="AF4599" s="76">
        <f t="shared" si="433"/>
        <v>237414.68999999881</v>
      </c>
    </row>
    <row r="4600" spans="6:32" ht="8.25" customHeight="1" x14ac:dyDescent="0.25">
      <c r="T4600" s="33">
        <v>46199</v>
      </c>
      <c r="U4600" s="34">
        <v>2026</v>
      </c>
      <c r="V4600" s="35" t="s">
        <v>1588</v>
      </c>
      <c r="W4600" s="35" t="s">
        <v>5</v>
      </c>
      <c r="X4600" s="37" t="s">
        <v>3503</v>
      </c>
      <c r="Y4600" s="36" t="s">
        <v>411</v>
      </c>
      <c r="Z4600" s="30" t="s">
        <v>3162</v>
      </c>
      <c r="AA4600" s="30" t="s">
        <v>3108</v>
      </c>
      <c r="AE4600" s="38">
        <v>100000</v>
      </c>
      <c r="AF4600" s="76">
        <f t="shared" si="433"/>
        <v>137414.68999999881</v>
      </c>
    </row>
    <row r="4601" spans="6:32" ht="8.25" customHeight="1" x14ac:dyDescent="0.25">
      <c r="G4601" s="53">
        <v>18</v>
      </c>
      <c r="T4601" s="33">
        <v>46199</v>
      </c>
      <c r="U4601" s="34">
        <v>2026</v>
      </c>
      <c r="V4601" s="35" t="s">
        <v>1588</v>
      </c>
      <c r="W4601" s="35" t="s">
        <v>2655</v>
      </c>
      <c r="X4601" s="37" t="s">
        <v>3508</v>
      </c>
      <c r="Y4601" s="36" t="s">
        <v>3507</v>
      </c>
      <c r="Z4601" s="30" t="s">
        <v>1648</v>
      </c>
      <c r="AA4601" s="30" t="s">
        <v>3945</v>
      </c>
      <c r="AE4601" s="38">
        <v>3743.7</v>
      </c>
      <c r="AF4601" s="76">
        <f t="shared" si="433"/>
        <v>133670.9899999988</v>
      </c>
    </row>
    <row r="4602" spans="6:32" ht="8.25" customHeight="1" x14ac:dyDescent="0.25">
      <c r="T4602" s="33">
        <v>46199</v>
      </c>
      <c r="U4602" s="34">
        <v>2026</v>
      </c>
      <c r="V4602" s="35" t="s">
        <v>1588</v>
      </c>
      <c r="W4602" s="35" t="s">
        <v>5</v>
      </c>
      <c r="X4602" s="37" t="s">
        <v>3518</v>
      </c>
      <c r="Y4602" s="36" t="s">
        <v>411</v>
      </c>
      <c r="Z4602" s="30" t="s">
        <v>3162</v>
      </c>
      <c r="AA4602" s="30" t="s">
        <v>2719</v>
      </c>
      <c r="AE4602" s="38">
        <v>3100</v>
      </c>
      <c r="AF4602" s="76">
        <f t="shared" si="433"/>
        <v>130570.9899999988</v>
      </c>
    </row>
    <row r="4603" spans="6:32" ht="8.25" customHeight="1" thickBot="1" x14ac:dyDescent="0.3">
      <c r="AA4603" s="260" t="s">
        <v>2893</v>
      </c>
      <c r="AD4603" s="253">
        <f>SUM(AD4574:AD4602)</f>
        <v>121641.82</v>
      </c>
      <c r="AE4603" s="253">
        <f>SUM(AE4574:AE4602)</f>
        <v>185525.52000000002</v>
      </c>
      <c r="AF4603" s="233">
        <f>AF4573+AD4603-AE4603</f>
        <v>130570.98999999877</v>
      </c>
    </row>
    <row r="4604" spans="6:32" ht="8.25" customHeight="1" thickTop="1" x14ac:dyDescent="0.25">
      <c r="X4604" s="109"/>
      <c r="Y4604" s="67" t="s">
        <v>214</v>
      </c>
      <c r="Z4604" s="68"/>
      <c r="AA4604" s="75"/>
      <c r="AE4604" s="38" t="s">
        <v>1</v>
      </c>
    </row>
    <row r="4605" spans="6:32" ht="8.25" customHeight="1" x14ac:dyDescent="0.25">
      <c r="X4605" s="110" t="s">
        <v>797</v>
      </c>
      <c r="Y4605" s="111">
        <v>200</v>
      </c>
      <c r="Z4605" s="111">
        <f t="shared" ref="Z4605:Z4610" si="434">X4605*Y4605</f>
        <v>10200</v>
      </c>
      <c r="AA4605" s="112"/>
    </row>
    <row r="4606" spans="6:32" ht="8.25" customHeight="1" x14ac:dyDescent="0.25">
      <c r="X4606" s="110" t="s">
        <v>3528</v>
      </c>
      <c r="Y4606" s="111">
        <v>100</v>
      </c>
      <c r="Z4606" s="111">
        <f t="shared" si="434"/>
        <v>118300</v>
      </c>
      <c r="AA4606" s="112"/>
    </row>
    <row r="4607" spans="6:32" ht="8.25" customHeight="1" x14ac:dyDescent="0.25">
      <c r="X4607" s="110" t="s">
        <v>224</v>
      </c>
      <c r="Y4607" s="111">
        <v>50</v>
      </c>
      <c r="Z4607" s="111">
        <f t="shared" si="434"/>
        <v>100</v>
      </c>
      <c r="AA4607" s="76"/>
    </row>
    <row r="4608" spans="6:32" ht="8.25" customHeight="1" x14ac:dyDescent="0.25">
      <c r="X4608" s="110" t="s">
        <v>222</v>
      </c>
      <c r="Y4608" s="111">
        <v>20</v>
      </c>
      <c r="Z4608" s="111">
        <f t="shared" si="434"/>
        <v>20</v>
      </c>
      <c r="AA4608" s="38"/>
    </row>
    <row r="4609" spans="9:32" ht="8.25" customHeight="1" x14ac:dyDescent="0.25">
      <c r="X4609" s="110" t="s">
        <v>2239</v>
      </c>
      <c r="Y4609" s="111">
        <v>10</v>
      </c>
      <c r="Z4609" s="111">
        <f t="shared" si="434"/>
        <v>1040</v>
      </c>
      <c r="AA4609" s="112"/>
    </row>
    <row r="4610" spans="9:32" ht="8.25" customHeight="1" x14ac:dyDescent="0.25">
      <c r="X4610" s="110" t="s">
        <v>1446</v>
      </c>
      <c r="Y4610" s="111">
        <v>5</v>
      </c>
      <c r="Z4610" s="111">
        <f t="shared" si="434"/>
        <v>515</v>
      </c>
      <c r="AA4610" s="112"/>
    </row>
    <row r="4611" spans="9:32" ht="8.25" customHeight="1" x14ac:dyDescent="0.25">
      <c r="X4611" s="269"/>
      <c r="Y4611" s="270"/>
      <c r="Z4611" s="271"/>
      <c r="AA4611" s="38"/>
    </row>
    <row r="4612" spans="9:32" ht="8.25" customHeight="1" x14ac:dyDescent="0.25">
      <c r="X4612" s="110" t="s">
        <v>297</v>
      </c>
      <c r="Y4612" s="111">
        <v>1</v>
      </c>
      <c r="Z4612" s="111">
        <f t="shared" ref="Z4612:Z4617" si="435">X4612*Y4612</f>
        <v>309</v>
      </c>
      <c r="AA4612" s="76"/>
    </row>
    <row r="4613" spans="9:32" ht="8.25" customHeight="1" x14ac:dyDescent="0.25">
      <c r="X4613" s="110" t="s">
        <v>2241</v>
      </c>
      <c r="Y4613" s="111">
        <v>0.5</v>
      </c>
      <c r="Z4613" s="111">
        <f t="shared" si="435"/>
        <v>41.5</v>
      </c>
      <c r="AA4613" s="112"/>
    </row>
    <row r="4614" spans="9:32" ht="8.25" customHeight="1" x14ac:dyDescent="0.25">
      <c r="X4614" s="110" t="s">
        <v>1733</v>
      </c>
      <c r="Y4614" s="111">
        <v>0.25</v>
      </c>
      <c r="Z4614" s="111">
        <f t="shared" si="435"/>
        <v>45.25</v>
      </c>
      <c r="AA4614" s="113"/>
    </row>
    <row r="4615" spans="9:32" ht="8.25" customHeight="1" x14ac:dyDescent="0.25">
      <c r="X4615" s="110" t="s">
        <v>224</v>
      </c>
      <c r="Y4615" s="111">
        <v>0.1</v>
      </c>
      <c r="Z4615" s="111">
        <f t="shared" si="435"/>
        <v>0.2</v>
      </c>
      <c r="AA4615" s="114" t="s">
        <v>219</v>
      </c>
    </row>
    <row r="4616" spans="9:32" ht="8.25" customHeight="1" thickBot="1" x14ac:dyDescent="0.3">
      <c r="X4616" s="110"/>
      <c r="Y4616" s="111">
        <v>0.05</v>
      </c>
      <c r="Z4616" s="111">
        <f t="shared" si="435"/>
        <v>0</v>
      </c>
      <c r="AA4616" s="115">
        <f>SUM(Z4605:Z4610)+Z4612+Z4613+Z4614+Z4615+Z4616+Z4617</f>
        <v>130570.98999999999</v>
      </c>
    </row>
    <row r="4617" spans="9:32" ht="8.25" customHeight="1" thickTop="1" x14ac:dyDescent="0.25">
      <c r="X4617" s="110" t="s">
        <v>299</v>
      </c>
      <c r="Y4617" s="111">
        <v>0.01</v>
      </c>
      <c r="Z4617" s="111">
        <f t="shared" si="435"/>
        <v>0.04</v>
      </c>
    </row>
    <row r="4619" spans="9:32" ht="8.25" customHeight="1" x14ac:dyDescent="0.25">
      <c r="Z4619" s="231" t="s">
        <v>1376</v>
      </c>
      <c r="AF4619" s="76">
        <f>AF4603</f>
        <v>130570.98999999877</v>
      </c>
    </row>
    <row r="4620" spans="9:32" ht="8.25" customHeight="1" x14ac:dyDescent="0.15">
      <c r="I4620" s="52">
        <v>45</v>
      </c>
      <c r="T4620" s="33">
        <v>46200</v>
      </c>
      <c r="U4620" s="34">
        <v>2026</v>
      </c>
      <c r="V4620" s="35" t="s">
        <v>1588</v>
      </c>
      <c r="W4620" s="35" t="s">
        <v>17</v>
      </c>
      <c r="X4620" s="37" t="s">
        <v>3530</v>
      </c>
      <c r="Y4620" s="36" t="s">
        <v>3534</v>
      </c>
      <c r="Z4620" s="30" t="s">
        <v>2556</v>
      </c>
      <c r="AA4620" s="134" t="s">
        <v>13</v>
      </c>
      <c r="AD4620" s="38">
        <v>1000</v>
      </c>
      <c r="AF4620" s="76">
        <f t="shared" ref="AF4620:AF4654" si="436">AF4619+AD4620-AE4620</f>
        <v>131570.98999999877</v>
      </c>
    </row>
    <row r="4621" spans="9:32" ht="8.25" customHeight="1" x14ac:dyDescent="0.15">
      <c r="I4621" s="52">
        <v>46</v>
      </c>
      <c r="T4621" s="33">
        <v>46200</v>
      </c>
      <c r="U4621" s="34">
        <v>2026</v>
      </c>
      <c r="V4621" s="35" t="s">
        <v>1588</v>
      </c>
      <c r="W4621" s="35" t="s">
        <v>17</v>
      </c>
      <c r="X4621" s="37" t="s">
        <v>3531</v>
      </c>
      <c r="Y4621" s="36" t="s">
        <v>3535</v>
      </c>
      <c r="Z4621" s="30" t="s">
        <v>1669</v>
      </c>
      <c r="AA4621" s="134" t="s">
        <v>13</v>
      </c>
      <c r="AD4621" s="38">
        <v>2585.85</v>
      </c>
      <c r="AF4621" s="76">
        <f t="shared" si="436"/>
        <v>134156.83999999877</v>
      </c>
    </row>
    <row r="4622" spans="9:32" ht="8.25" customHeight="1" x14ac:dyDescent="0.25">
      <c r="T4622" s="33">
        <v>46200</v>
      </c>
      <c r="U4622" s="34">
        <v>2026</v>
      </c>
      <c r="V4622" s="35" t="s">
        <v>1588</v>
      </c>
      <c r="W4622" s="35" t="s">
        <v>5</v>
      </c>
      <c r="X4622" s="37" t="s">
        <v>3537</v>
      </c>
      <c r="Y4622" s="36" t="s">
        <v>411</v>
      </c>
      <c r="Z4622" s="30" t="s">
        <v>3162</v>
      </c>
      <c r="AA4622" s="30" t="s">
        <v>2719</v>
      </c>
      <c r="AE4622" s="38">
        <v>2585.85</v>
      </c>
      <c r="AF4622" s="76">
        <f t="shared" si="436"/>
        <v>131570.98999999877</v>
      </c>
    </row>
    <row r="4623" spans="9:32" ht="8.25" customHeight="1" x14ac:dyDescent="0.25">
      <c r="N4623" s="52">
        <v>83</v>
      </c>
      <c r="T4623" s="33">
        <v>46200</v>
      </c>
      <c r="U4623" s="34">
        <v>2026</v>
      </c>
      <c r="V4623" s="35" t="s">
        <v>1588</v>
      </c>
      <c r="W4623" s="35" t="s">
        <v>17</v>
      </c>
      <c r="X4623" s="37" t="s">
        <v>3532</v>
      </c>
      <c r="Y4623" s="36" t="s">
        <v>3541</v>
      </c>
      <c r="Z4623" s="30" t="s">
        <v>1822</v>
      </c>
      <c r="AA4623" s="30" t="s">
        <v>3899</v>
      </c>
      <c r="AD4623" s="38">
        <v>7439.25</v>
      </c>
      <c r="AF4623" s="76">
        <f t="shared" si="436"/>
        <v>139010.23999999877</v>
      </c>
    </row>
    <row r="4624" spans="9:32" ht="8.25" customHeight="1" x14ac:dyDescent="0.15">
      <c r="N4624" s="52">
        <v>83</v>
      </c>
      <c r="T4624" s="33">
        <v>46200</v>
      </c>
      <c r="U4624" s="34">
        <v>2026</v>
      </c>
      <c r="V4624" s="35" t="s">
        <v>1588</v>
      </c>
      <c r="W4624" s="35" t="s">
        <v>17</v>
      </c>
      <c r="X4624" s="37" t="s">
        <v>3532</v>
      </c>
      <c r="Y4624" s="36" t="s">
        <v>3541</v>
      </c>
      <c r="Z4624" s="30" t="s">
        <v>1822</v>
      </c>
      <c r="AA4624" s="134" t="s">
        <v>166</v>
      </c>
      <c r="AD4624" s="38">
        <v>4560.75</v>
      </c>
      <c r="AF4624" s="76">
        <f t="shared" si="436"/>
        <v>143570.98999999877</v>
      </c>
    </row>
    <row r="4625" spans="9:32" ht="8.25" customHeight="1" x14ac:dyDescent="0.25">
      <c r="N4625" s="52">
        <v>84</v>
      </c>
      <c r="T4625" s="33">
        <v>46200</v>
      </c>
      <c r="U4625" s="34">
        <v>2026</v>
      </c>
      <c r="V4625" s="35" t="s">
        <v>1588</v>
      </c>
      <c r="W4625" s="35" t="s">
        <v>17</v>
      </c>
      <c r="X4625" s="37" t="s">
        <v>3533</v>
      </c>
      <c r="Y4625" s="36" t="s">
        <v>3542</v>
      </c>
      <c r="Z4625" s="30" t="s">
        <v>680</v>
      </c>
      <c r="AA4625" s="30" t="s">
        <v>3899</v>
      </c>
      <c r="AD4625" s="38">
        <v>8163.94</v>
      </c>
      <c r="AF4625" s="76">
        <f t="shared" si="436"/>
        <v>151734.92999999877</v>
      </c>
    </row>
    <row r="4626" spans="9:32" ht="8.25" customHeight="1" x14ac:dyDescent="0.15">
      <c r="N4626" s="52">
        <v>84</v>
      </c>
      <c r="T4626" s="33">
        <v>46200</v>
      </c>
      <c r="U4626" s="34">
        <v>2026</v>
      </c>
      <c r="V4626" s="35" t="s">
        <v>1588</v>
      </c>
      <c r="W4626" s="35" t="s">
        <v>17</v>
      </c>
      <c r="X4626" s="37" t="s">
        <v>3533</v>
      </c>
      <c r="Y4626" s="36" t="s">
        <v>3542</v>
      </c>
      <c r="Z4626" s="30" t="s">
        <v>680</v>
      </c>
      <c r="AA4626" s="134" t="s">
        <v>166</v>
      </c>
      <c r="AD4626" s="38">
        <v>3836.06</v>
      </c>
      <c r="AF4626" s="76">
        <f t="shared" si="436"/>
        <v>155570.98999999877</v>
      </c>
    </row>
    <row r="4627" spans="9:32" ht="8.25" customHeight="1" x14ac:dyDescent="0.25">
      <c r="N4627" s="52">
        <v>85</v>
      </c>
      <c r="T4627" s="33">
        <v>46200</v>
      </c>
      <c r="U4627" s="34">
        <v>2026</v>
      </c>
      <c r="V4627" s="35" t="s">
        <v>1588</v>
      </c>
      <c r="W4627" s="35" t="s">
        <v>17</v>
      </c>
      <c r="X4627" s="37" t="s">
        <v>3539</v>
      </c>
      <c r="Y4627" s="36" t="s">
        <v>3543</v>
      </c>
      <c r="Z4627" s="30" t="s">
        <v>1808</v>
      </c>
      <c r="AA4627" s="30" t="s">
        <v>3899</v>
      </c>
      <c r="AD4627" s="38">
        <v>8695.9</v>
      </c>
      <c r="AF4627" s="76">
        <f t="shared" si="436"/>
        <v>164266.88999999876</v>
      </c>
    </row>
    <row r="4628" spans="9:32" ht="8.25" customHeight="1" x14ac:dyDescent="0.15">
      <c r="N4628" s="52">
        <v>85</v>
      </c>
      <c r="T4628" s="33">
        <v>46200</v>
      </c>
      <c r="U4628" s="34">
        <v>2026</v>
      </c>
      <c r="V4628" s="35" t="s">
        <v>1588</v>
      </c>
      <c r="W4628" s="35" t="s">
        <v>17</v>
      </c>
      <c r="X4628" s="37" t="s">
        <v>3539</v>
      </c>
      <c r="Y4628" s="36" t="s">
        <v>3543</v>
      </c>
      <c r="Z4628" s="30" t="s">
        <v>3544</v>
      </c>
      <c r="AA4628" s="134" t="s">
        <v>166</v>
      </c>
      <c r="AD4628" s="38">
        <v>7304.1</v>
      </c>
      <c r="AF4628" s="76">
        <f t="shared" si="436"/>
        <v>171570.98999999877</v>
      </c>
    </row>
    <row r="4629" spans="9:32" ht="8.25" customHeight="1" x14ac:dyDescent="0.25">
      <c r="N4629" s="52">
        <v>86</v>
      </c>
      <c r="T4629" s="33">
        <v>46200</v>
      </c>
      <c r="U4629" s="34">
        <v>2026</v>
      </c>
      <c r="V4629" s="35" t="s">
        <v>1588</v>
      </c>
      <c r="W4629" s="35" t="s">
        <v>17</v>
      </c>
      <c r="X4629" s="37" t="s">
        <v>3540</v>
      </c>
      <c r="Y4629" s="36" t="s">
        <v>3545</v>
      </c>
      <c r="Z4629" s="30" t="s">
        <v>674</v>
      </c>
      <c r="AA4629" s="30" t="s">
        <v>3899</v>
      </c>
      <c r="AD4629" s="38">
        <v>6559.56</v>
      </c>
      <c r="AF4629" s="76">
        <f t="shared" si="436"/>
        <v>178130.54999999877</v>
      </c>
    </row>
    <row r="4630" spans="9:32" ht="8.25" customHeight="1" x14ac:dyDescent="0.15">
      <c r="N4630" s="52">
        <v>86</v>
      </c>
      <c r="T4630" s="33">
        <v>46200</v>
      </c>
      <c r="U4630" s="34">
        <v>2026</v>
      </c>
      <c r="V4630" s="35" t="s">
        <v>1588</v>
      </c>
      <c r="W4630" s="35" t="s">
        <v>17</v>
      </c>
      <c r="X4630" s="37" t="s">
        <v>3540</v>
      </c>
      <c r="Y4630" s="36" t="s">
        <v>3545</v>
      </c>
      <c r="Z4630" s="30" t="s">
        <v>1810</v>
      </c>
      <c r="AA4630" s="134" t="s">
        <v>166</v>
      </c>
      <c r="AD4630" s="38">
        <v>3440.44</v>
      </c>
      <c r="AF4630" s="76">
        <f t="shared" si="436"/>
        <v>181570.98999999877</v>
      </c>
    </row>
    <row r="4631" spans="9:32" ht="8.25" customHeight="1" x14ac:dyDescent="0.15">
      <c r="I4631" s="52">
        <v>47</v>
      </c>
      <c r="T4631" s="33">
        <v>46200</v>
      </c>
      <c r="U4631" s="34">
        <v>2026</v>
      </c>
      <c r="V4631" s="35" t="s">
        <v>1588</v>
      </c>
      <c r="W4631" s="35" t="s">
        <v>17</v>
      </c>
      <c r="X4631" s="37" t="s">
        <v>3546</v>
      </c>
      <c r="Y4631" s="30" t="s">
        <v>3547</v>
      </c>
      <c r="Z4631" s="30" t="s">
        <v>1060</v>
      </c>
      <c r="AA4631" s="134" t="s">
        <v>13</v>
      </c>
      <c r="AD4631" s="38">
        <v>1000</v>
      </c>
      <c r="AF4631" s="76">
        <f t="shared" si="436"/>
        <v>182570.98999999877</v>
      </c>
    </row>
    <row r="4632" spans="9:32" ht="8.25" customHeight="1" x14ac:dyDescent="0.25">
      <c r="N4632" s="52">
        <v>87</v>
      </c>
      <c r="T4632" s="33">
        <v>46200</v>
      </c>
      <c r="U4632" s="34">
        <v>2026</v>
      </c>
      <c r="V4632" s="35" t="s">
        <v>1588</v>
      </c>
      <c r="W4632" s="35" t="s">
        <v>17</v>
      </c>
      <c r="X4632" s="37" t="s">
        <v>3549</v>
      </c>
      <c r="Y4632" s="36" t="s">
        <v>3548</v>
      </c>
      <c r="Z4632" s="30" t="s">
        <v>1132</v>
      </c>
      <c r="AA4632" s="30" t="s">
        <v>3899</v>
      </c>
      <c r="AD4632" s="38">
        <v>3415.53</v>
      </c>
      <c r="AF4632" s="76">
        <f t="shared" si="436"/>
        <v>185986.51999999877</v>
      </c>
    </row>
    <row r="4633" spans="9:32" ht="8.25" customHeight="1" x14ac:dyDescent="0.15">
      <c r="N4633" s="52">
        <v>87</v>
      </c>
      <c r="T4633" s="33">
        <v>46200</v>
      </c>
      <c r="U4633" s="34">
        <v>2026</v>
      </c>
      <c r="V4633" s="35" t="s">
        <v>1588</v>
      </c>
      <c r="W4633" s="35" t="s">
        <v>17</v>
      </c>
      <c r="X4633" s="37" t="s">
        <v>3549</v>
      </c>
      <c r="Y4633" s="36" t="s">
        <v>3548</v>
      </c>
      <c r="Z4633" s="30" t="s">
        <v>1132</v>
      </c>
      <c r="AA4633" s="134" t="s">
        <v>166</v>
      </c>
      <c r="AD4633" s="38">
        <v>9381.4699999999993</v>
      </c>
      <c r="AF4633" s="76">
        <f t="shared" si="436"/>
        <v>195367.98999999877</v>
      </c>
    </row>
    <row r="4634" spans="9:32" ht="8.25" customHeight="1" x14ac:dyDescent="0.25">
      <c r="N4634" s="52">
        <v>87</v>
      </c>
      <c r="T4634" s="33">
        <v>46200</v>
      </c>
      <c r="U4634" s="34">
        <v>2026</v>
      </c>
      <c r="V4634" s="35" t="s">
        <v>1588</v>
      </c>
      <c r="W4634" s="35" t="s">
        <v>17</v>
      </c>
      <c r="X4634" s="37" t="s">
        <v>3549</v>
      </c>
      <c r="Y4634" s="36" t="s">
        <v>3548</v>
      </c>
      <c r="Z4634" s="30" t="s">
        <v>1132</v>
      </c>
      <c r="AA4634" s="30" t="s">
        <v>3304</v>
      </c>
      <c r="AD4634" s="38">
        <v>25</v>
      </c>
      <c r="AF4634" s="76">
        <f t="shared" si="436"/>
        <v>195392.98999999877</v>
      </c>
    </row>
    <row r="4635" spans="9:32" ht="8.25" customHeight="1" x14ac:dyDescent="0.25">
      <c r="N4635" s="52">
        <v>88</v>
      </c>
      <c r="T4635" s="33">
        <v>46200</v>
      </c>
      <c r="U4635" s="34">
        <v>2026</v>
      </c>
      <c r="V4635" s="35" t="s">
        <v>1588</v>
      </c>
      <c r="W4635" s="35" t="s">
        <v>17</v>
      </c>
      <c r="X4635" s="37" t="s">
        <v>3556</v>
      </c>
      <c r="Y4635" s="36" t="s">
        <v>3557</v>
      </c>
      <c r="Z4635" s="30" t="s">
        <v>1367</v>
      </c>
      <c r="AA4635" s="30" t="s">
        <v>3899</v>
      </c>
      <c r="AD4635" s="38">
        <v>2256.69</v>
      </c>
      <c r="AF4635" s="76">
        <f t="shared" si="436"/>
        <v>197649.67999999877</v>
      </c>
    </row>
    <row r="4636" spans="9:32" ht="8.25" customHeight="1" x14ac:dyDescent="0.15">
      <c r="N4636" s="52">
        <v>88</v>
      </c>
      <c r="T4636" s="33">
        <v>46200</v>
      </c>
      <c r="U4636" s="34">
        <v>2026</v>
      </c>
      <c r="V4636" s="35" t="s">
        <v>1588</v>
      </c>
      <c r="W4636" s="35" t="s">
        <v>17</v>
      </c>
      <c r="X4636" s="37" t="s">
        <v>3556</v>
      </c>
      <c r="Y4636" s="36" t="s">
        <v>3557</v>
      </c>
      <c r="Z4636" s="30" t="s">
        <v>1367</v>
      </c>
      <c r="AA4636" s="134" t="s">
        <v>166</v>
      </c>
      <c r="AD4636" s="38">
        <v>9110.83</v>
      </c>
      <c r="AF4636" s="76">
        <f t="shared" si="436"/>
        <v>206760.50999999876</v>
      </c>
    </row>
    <row r="4637" spans="9:32" ht="8.25" customHeight="1" x14ac:dyDescent="0.25">
      <c r="N4637" s="52">
        <v>89</v>
      </c>
      <c r="T4637" s="33">
        <v>46200</v>
      </c>
      <c r="U4637" s="34">
        <v>2026</v>
      </c>
      <c r="V4637" s="35" t="s">
        <v>1588</v>
      </c>
      <c r="W4637" s="35" t="s">
        <v>17</v>
      </c>
      <c r="X4637" s="37" t="s">
        <v>3558</v>
      </c>
      <c r="Y4637" s="36" t="s">
        <v>3559</v>
      </c>
      <c r="Z4637" s="30" t="s">
        <v>2372</v>
      </c>
      <c r="AA4637" s="30" t="s">
        <v>3899</v>
      </c>
      <c r="AD4637" s="38">
        <v>3787.88</v>
      </c>
      <c r="AF4637" s="76">
        <f t="shared" si="436"/>
        <v>210548.38999999876</v>
      </c>
    </row>
    <row r="4638" spans="9:32" ht="8.25" customHeight="1" x14ac:dyDescent="0.15">
      <c r="N4638" s="52">
        <v>89</v>
      </c>
      <c r="T4638" s="33">
        <v>46200</v>
      </c>
      <c r="U4638" s="34">
        <v>2026</v>
      </c>
      <c r="V4638" s="35" t="s">
        <v>1588</v>
      </c>
      <c r="W4638" s="35" t="s">
        <v>17</v>
      </c>
      <c r="X4638" s="37" t="s">
        <v>3558</v>
      </c>
      <c r="Y4638" s="36" t="s">
        <v>3560</v>
      </c>
      <c r="Z4638" s="30" t="s">
        <v>2372</v>
      </c>
      <c r="AA4638" s="134" t="s">
        <v>166</v>
      </c>
      <c r="AD4638" s="38">
        <v>13666.25</v>
      </c>
      <c r="AF4638" s="76">
        <f t="shared" si="436"/>
        <v>224214.63999999876</v>
      </c>
    </row>
    <row r="4639" spans="9:32" ht="8.25" customHeight="1" x14ac:dyDescent="0.15">
      <c r="N4639" s="52">
        <v>90</v>
      </c>
      <c r="T4639" s="33">
        <v>46200</v>
      </c>
      <c r="U4639" s="34">
        <v>2026</v>
      </c>
      <c r="V4639" s="35" t="s">
        <v>1588</v>
      </c>
      <c r="W4639" s="35" t="s">
        <v>17</v>
      </c>
      <c r="X4639" s="37" t="s">
        <v>3561</v>
      </c>
      <c r="Y4639" s="36" t="s">
        <v>3562</v>
      </c>
      <c r="Z4639" s="30" t="s">
        <v>3005</v>
      </c>
      <c r="AA4639" s="134" t="s">
        <v>166</v>
      </c>
      <c r="AD4639" s="38">
        <v>31745.5</v>
      </c>
      <c r="AF4639" s="76">
        <f t="shared" si="436"/>
        <v>255960.13999999876</v>
      </c>
    </row>
    <row r="4640" spans="9:32" ht="8.25" customHeight="1" x14ac:dyDescent="0.25">
      <c r="N4640" s="52">
        <v>91</v>
      </c>
      <c r="T4640" s="33">
        <v>46200</v>
      </c>
      <c r="U4640" s="34">
        <v>2026</v>
      </c>
      <c r="V4640" s="35" t="s">
        <v>1588</v>
      </c>
      <c r="W4640" s="35" t="s">
        <v>17</v>
      </c>
      <c r="X4640" s="37" t="s">
        <v>3563</v>
      </c>
      <c r="Y4640" s="36" t="s">
        <v>2748</v>
      </c>
      <c r="Z4640" s="30" t="s">
        <v>3564</v>
      </c>
      <c r="AA4640" s="30" t="s">
        <v>3899</v>
      </c>
      <c r="AD4640" s="38">
        <v>1412.75</v>
      </c>
      <c r="AF4640" s="76">
        <f t="shared" si="436"/>
        <v>257372.88999999876</v>
      </c>
    </row>
    <row r="4641" spans="3:32" ht="8.25" customHeight="1" x14ac:dyDescent="0.15">
      <c r="N4641" s="52">
        <v>91</v>
      </c>
      <c r="T4641" s="33">
        <v>46200</v>
      </c>
      <c r="U4641" s="34">
        <v>2026</v>
      </c>
      <c r="V4641" s="35" t="s">
        <v>1588</v>
      </c>
      <c r="W4641" s="35" t="s">
        <v>17</v>
      </c>
      <c r="X4641" s="37" t="s">
        <v>3563</v>
      </c>
      <c r="Y4641" s="36" t="s">
        <v>2748</v>
      </c>
      <c r="Z4641" s="30" t="s">
        <v>3564</v>
      </c>
      <c r="AA4641" s="134" t="s">
        <v>166</v>
      </c>
      <c r="AD4641" s="38">
        <v>4012.99</v>
      </c>
      <c r="AF4641" s="76">
        <f t="shared" si="436"/>
        <v>261385.87999999875</v>
      </c>
    </row>
    <row r="4642" spans="3:32" ht="8.25" customHeight="1" x14ac:dyDescent="0.15">
      <c r="T4642" s="33">
        <v>46200</v>
      </c>
      <c r="U4642" s="34">
        <v>2026</v>
      </c>
      <c r="V4642" s="35" t="s">
        <v>1588</v>
      </c>
      <c r="W4642" s="35" t="s">
        <v>17</v>
      </c>
      <c r="X4642" s="37" t="s">
        <v>3563</v>
      </c>
      <c r="Y4642" s="36" t="s">
        <v>2748</v>
      </c>
      <c r="Z4642" s="30" t="s">
        <v>3564</v>
      </c>
      <c r="AA4642" s="134" t="s">
        <v>3304</v>
      </c>
      <c r="AD4642" s="38">
        <v>70</v>
      </c>
      <c r="AF4642" s="76">
        <f t="shared" si="436"/>
        <v>261455.87999999875</v>
      </c>
    </row>
    <row r="4643" spans="3:32" ht="8.25" customHeight="1" x14ac:dyDescent="0.25">
      <c r="N4643" s="52">
        <v>92</v>
      </c>
      <c r="T4643" s="33">
        <v>46200</v>
      </c>
      <c r="U4643" s="34">
        <v>2026</v>
      </c>
      <c r="V4643" s="35" t="s">
        <v>1588</v>
      </c>
      <c r="W4643" s="35" t="s">
        <v>17</v>
      </c>
      <c r="X4643" s="37" t="s">
        <v>3568</v>
      </c>
      <c r="Y4643" s="36" t="s">
        <v>1332</v>
      </c>
      <c r="Z4643" s="30" t="s">
        <v>1834</v>
      </c>
      <c r="AA4643" s="30" t="s">
        <v>3899</v>
      </c>
      <c r="AD4643" s="38">
        <v>1194.51</v>
      </c>
      <c r="AF4643" s="76">
        <f t="shared" si="436"/>
        <v>262650.38999999873</v>
      </c>
    </row>
    <row r="4644" spans="3:32" ht="8.25" customHeight="1" x14ac:dyDescent="0.15">
      <c r="N4644" s="52">
        <v>92</v>
      </c>
      <c r="T4644" s="33">
        <v>46200</v>
      </c>
      <c r="U4644" s="34">
        <v>2026</v>
      </c>
      <c r="V4644" s="35" t="s">
        <v>1588</v>
      </c>
      <c r="W4644" s="35" t="s">
        <v>17</v>
      </c>
      <c r="X4644" s="37" t="s">
        <v>3568</v>
      </c>
      <c r="Y4644" s="36" t="s">
        <v>1332</v>
      </c>
      <c r="Z4644" s="30" t="s">
        <v>1834</v>
      </c>
      <c r="AA4644" s="134" t="s">
        <v>166</v>
      </c>
      <c r="AD4644" s="38">
        <v>505.49</v>
      </c>
      <c r="AF4644" s="76">
        <f t="shared" si="436"/>
        <v>263155.87999999872</v>
      </c>
    </row>
    <row r="4645" spans="3:32" ht="8.25" customHeight="1" x14ac:dyDescent="0.25">
      <c r="C4645" s="52">
        <v>6</v>
      </c>
      <c r="T4645" s="33">
        <v>46200</v>
      </c>
      <c r="U4645" s="34">
        <v>2026</v>
      </c>
      <c r="V4645" s="35" t="s">
        <v>1588</v>
      </c>
      <c r="W4645" s="35" t="s">
        <v>3620</v>
      </c>
      <c r="X4645" s="37" t="s">
        <v>3565</v>
      </c>
      <c r="Y4645" s="36" t="s">
        <v>3566</v>
      </c>
      <c r="Z4645" s="30" t="s">
        <v>3567</v>
      </c>
      <c r="AA4645" s="30" t="s">
        <v>340</v>
      </c>
      <c r="AD4645" s="38">
        <v>20</v>
      </c>
      <c r="AF4645" s="76">
        <f t="shared" si="436"/>
        <v>263175.87999999872</v>
      </c>
    </row>
    <row r="4646" spans="3:32" ht="8.25" customHeight="1" x14ac:dyDescent="0.25">
      <c r="C4646" s="52">
        <v>7</v>
      </c>
      <c r="T4646" s="33">
        <v>46200</v>
      </c>
      <c r="U4646" s="34">
        <v>2026</v>
      </c>
      <c r="V4646" s="35" t="s">
        <v>1588</v>
      </c>
      <c r="W4646" s="35" t="s">
        <v>3620</v>
      </c>
      <c r="X4646" s="36" t="s">
        <v>3536</v>
      </c>
      <c r="Y4646" s="29">
        <v>30615489</v>
      </c>
      <c r="Z4646" s="30" t="s">
        <v>1939</v>
      </c>
      <c r="AA4646" s="30" t="s">
        <v>340</v>
      </c>
      <c r="AD4646" s="38">
        <v>345</v>
      </c>
      <c r="AF4646" s="76">
        <f t="shared" si="436"/>
        <v>263520.87999999872</v>
      </c>
    </row>
    <row r="4647" spans="3:32" ht="8.25" customHeight="1" x14ac:dyDescent="0.25">
      <c r="T4647" s="33">
        <v>46200</v>
      </c>
      <c r="U4647" s="34">
        <v>2026</v>
      </c>
      <c r="V4647" s="35" t="s">
        <v>1588</v>
      </c>
      <c r="W4647" s="35" t="s">
        <v>5</v>
      </c>
      <c r="X4647" s="37" t="s">
        <v>3538</v>
      </c>
      <c r="Y4647" s="36" t="s">
        <v>411</v>
      </c>
      <c r="Z4647" s="30" t="s">
        <v>3162</v>
      </c>
      <c r="AA4647" s="30" t="s">
        <v>3108</v>
      </c>
      <c r="AE4647" s="38">
        <v>70000</v>
      </c>
      <c r="AF4647" s="76">
        <f t="shared" si="436"/>
        <v>193520.87999999872</v>
      </c>
    </row>
    <row r="4648" spans="3:32" ht="8.25" customHeight="1" x14ac:dyDescent="0.25">
      <c r="R4648" s="53">
        <v>46</v>
      </c>
      <c r="T4648" s="33">
        <v>46200</v>
      </c>
      <c r="U4648" s="34">
        <v>2026</v>
      </c>
      <c r="V4648" s="35" t="s">
        <v>1588</v>
      </c>
      <c r="W4648" s="35" t="s">
        <v>5</v>
      </c>
      <c r="X4648" s="37" t="s">
        <v>3550</v>
      </c>
      <c r="Y4648" s="36" t="s">
        <v>3547</v>
      </c>
      <c r="Z4648" s="30" t="s">
        <v>1060</v>
      </c>
      <c r="AA4648" s="30" t="s">
        <v>1050</v>
      </c>
      <c r="AE4648" s="38">
        <v>1000</v>
      </c>
      <c r="AF4648" s="76">
        <f t="shared" si="436"/>
        <v>192520.87999999872</v>
      </c>
    </row>
    <row r="4649" spans="3:32" ht="8.25" customHeight="1" x14ac:dyDescent="0.25">
      <c r="R4649" s="53">
        <v>47</v>
      </c>
      <c r="T4649" s="33">
        <v>46200</v>
      </c>
      <c r="U4649" s="34">
        <v>2026</v>
      </c>
      <c r="V4649" s="35" t="s">
        <v>1588</v>
      </c>
      <c r="W4649" s="35" t="s">
        <v>5</v>
      </c>
      <c r="X4649" s="37" t="s">
        <v>3551</v>
      </c>
      <c r="Y4649" s="36" t="s">
        <v>3555</v>
      </c>
      <c r="Z4649" s="30" t="s">
        <v>429</v>
      </c>
      <c r="AA4649" s="30" t="s">
        <v>1050</v>
      </c>
      <c r="AE4649" s="38">
        <v>1000</v>
      </c>
      <c r="AF4649" s="76">
        <f t="shared" si="436"/>
        <v>191520.87999999872</v>
      </c>
    </row>
    <row r="4650" spans="3:32" ht="8.25" customHeight="1" x14ac:dyDescent="0.25">
      <c r="R4650" s="53">
        <v>48</v>
      </c>
      <c r="T4650" s="33">
        <v>46200</v>
      </c>
      <c r="U4650" s="34">
        <v>2026</v>
      </c>
      <c r="V4650" s="35" t="s">
        <v>1588</v>
      </c>
      <c r="W4650" s="35" t="s">
        <v>5</v>
      </c>
      <c r="X4650" s="37" t="s">
        <v>3552</v>
      </c>
      <c r="Y4650" s="36" t="s">
        <v>3569</v>
      </c>
      <c r="Z4650" s="30" t="s">
        <v>1132</v>
      </c>
      <c r="AA4650" s="30" t="s">
        <v>1050</v>
      </c>
      <c r="AE4650" s="38">
        <v>12822</v>
      </c>
      <c r="AF4650" s="76">
        <f t="shared" si="436"/>
        <v>178698.87999999872</v>
      </c>
    </row>
    <row r="4651" spans="3:32" ht="8.25" customHeight="1" x14ac:dyDescent="0.25">
      <c r="R4651" s="53">
        <v>49</v>
      </c>
      <c r="T4651" s="33">
        <v>46200</v>
      </c>
      <c r="U4651" s="34">
        <v>2026</v>
      </c>
      <c r="V4651" s="35" t="s">
        <v>1588</v>
      </c>
      <c r="W4651" s="35" t="s">
        <v>5</v>
      </c>
      <c r="X4651" s="37" t="s">
        <v>3553</v>
      </c>
      <c r="Y4651" s="36" t="s">
        <v>3570</v>
      </c>
      <c r="Z4651" s="30" t="s">
        <v>1367</v>
      </c>
      <c r="AA4651" s="30" t="s">
        <v>1050</v>
      </c>
      <c r="AE4651" s="38">
        <v>11367.52</v>
      </c>
      <c r="AF4651" s="76">
        <f t="shared" si="436"/>
        <v>167331.35999999873</v>
      </c>
    </row>
    <row r="4652" spans="3:32" ht="8.25" customHeight="1" x14ac:dyDescent="0.25">
      <c r="R4652" s="53">
        <v>50</v>
      </c>
      <c r="T4652" s="33">
        <v>46200</v>
      </c>
      <c r="U4652" s="34">
        <v>2026</v>
      </c>
      <c r="V4652" s="35" t="s">
        <v>1588</v>
      </c>
      <c r="W4652" s="35" t="s">
        <v>5</v>
      </c>
      <c r="X4652" s="37" t="s">
        <v>3554</v>
      </c>
      <c r="Y4652" s="36" t="s">
        <v>3571</v>
      </c>
      <c r="Z4652" s="30" t="s">
        <v>2372</v>
      </c>
      <c r="AA4652" s="30" t="s">
        <v>1050</v>
      </c>
      <c r="AE4652" s="38">
        <v>17454.13</v>
      </c>
      <c r="AF4652" s="76">
        <f t="shared" si="436"/>
        <v>149877.22999999873</v>
      </c>
    </row>
    <row r="4653" spans="3:32" ht="8.25" customHeight="1" x14ac:dyDescent="0.25">
      <c r="R4653" s="53">
        <v>51</v>
      </c>
      <c r="T4653" s="33">
        <v>46200</v>
      </c>
      <c r="U4653" s="34">
        <v>2026</v>
      </c>
      <c r="V4653" s="35" t="s">
        <v>1588</v>
      </c>
      <c r="W4653" s="35" t="s">
        <v>5</v>
      </c>
      <c r="X4653" s="37" t="s">
        <v>3572</v>
      </c>
      <c r="Y4653" s="36" t="s">
        <v>3574</v>
      </c>
      <c r="Z4653" s="30" t="s">
        <v>3005</v>
      </c>
      <c r="AA4653" s="30" t="s">
        <v>1050</v>
      </c>
      <c r="AE4653" s="38">
        <v>31745.5</v>
      </c>
      <c r="AF4653" s="76">
        <f t="shared" si="436"/>
        <v>118131.72999999873</v>
      </c>
    </row>
    <row r="4654" spans="3:32" ht="8.25" customHeight="1" x14ac:dyDescent="0.25">
      <c r="R4654" s="53">
        <v>52</v>
      </c>
      <c r="T4654" s="33">
        <v>46200</v>
      </c>
      <c r="U4654" s="34">
        <v>2026</v>
      </c>
      <c r="V4654" s="35" t="s">
        <v>1588</v>
      </c>
      <c r="W4654" s="35" t="s">
        <v>5</v>
      </c>
      <c r="X4654" s="37" t="s">
        <v>3573</v>
      </c>
      <c r="Y4654" s="36" t="s">
        <v>3575</v>
      </c>
      <c r="Z4654" s="30" t="s">
        <v>3564</v>
      </c>
      <c r="AA4654" s="30" t="s">
        <v>1050</v>
      </c>
      <c r="AE4654" s="38">
        <v>5495.74</v>
      </c>
      <c r="AF4654" s="76">
        <f t="shared" si="436"/>
        <v>112635.98999999872</v>
      </c>
    </row>
    <row r="4655" spans="3:32" ht="8.25" customHeight="1" thickBot="1" x14ac:dyDescent="0.3">
      <c r="AA4655" s="260" t="s">
        <v>2893</v>
      </c>
      <c r="AD4655" s="253">
        <f>SUM(AD4620:AD4654)</f>
        <v>135535.74</v>
      </c>
      <c r="AE4655" s="253">
        <f>SUM(AE4622:AE4654)</f>
        <v>153470.74</v>
      </c>
      <c r="AF4655" s="233">
        <f>AF4619+AD4655-AE4655</f>
        <v>112635.98999999877</v>
      </c>
    </row>
    <row r="4656" spans="3:32" ht="8.25" customHeight="1" thickTop="1" x14ac:dyDescent="0.25">
      <c r="X4656" s="109"/>
      <c r="Y4656" s="67" t="s">
        <v>214</v>
      </c>
      <c r="Z4656" s="68"/>
      <c r="AA4656" s="75"/>
    </row>
    <row r="4657" spans="14:32" ht="8.25" customHeight="1" x14ac:dyDescent="0.25">
      <c r="X4657" s="110" t="s">
        <v>797</v>
      </c>
      <c r="Y4657" s="111">
        <v>200</v>
      </c>
      <c r="Z4657" s="111">
        <f t="shared" ref="Z4657:Z4662" si="437">X4657*Y4657</f>
        <v>10200</v>
      </c>
      <c r="AA4657" s="112"/>
    </row>
    <row r="4658" spans="14:32" ht="8.25" customHeight="1" x14ac:dyDescent="0.25">
      <c r="X4658" s="110" t="s">
        <v>3576</v>
      </c>
      <c r="Y4658" s="111">
        <v>100</v>
      </c>
      <c r="Z4658" s="111">
        <f t="shared" si="437"/>
        <v>100200</v>
      </c>
      <c r="AA4658" s="112"/>
    </row>
    <row r="4659" spans="14:32" ht="8.25" customHeight="1" x14ac:dyDescent="0.25">
      <c r="X4659" s="110" t="s">
        <v>223</v>
      </c>
      <c r="Y4659" s="111">
        <v>50</v>
      </c>
      <c r="Z4659" s="111">
        <f t="shared" si="437"/>
        <v>150</v>
      </c>
      <c r="AA4659" s="76"/>
    </row>
    <row r="4660" spans="14:32" ht="8.25" customHeight="1" x14ac:dyDescent="0.25">
      <c r="X4660" s="110" t="s">
        <v>402</v>
      </c>
      <c r="Y4660" s="111">
        <v>20</v>
      </c>
      <c r="Z4660" s="111">
        <f t="shared" si="437"/>
        <v>100</v>
      </c>
      <c r="AA4660" s="38"/>
    </row>
    <row r="4661" spans="14:32" ht="8.25" customHeight="1" x14ac:dyDescent="0.25">
      <c r="X4661" s="110" t="s">
        <v>3577</v>
      </c>
      <c r="Y4661" s="111">
        <v>10</v>
      </c>
      <c r="Z4661" s="111">
        <f t="shared" si="437"/>
        <v>1060</v>
      </c>
      <c r="AA4661" s="112"/>
    </row>
    <row r="4662" spans="14:32" ht="8.25" customHeight="1" x14ac:dyDescent="0.25">
      <c r="X4662" s="110" t="s">
        <v>3577</v>
      </c>
      <c r="Y4662" s="111">
        <v>5</v>
      </c>
      <c r="Z4662" s="111">
        <f t="shared" si="437"/>
        <v>530</v>
      </c>
      <c r="AA4662" s="112"/>
    </row>
    <row r="4663" spans="14:32" ht="8.25" customHeight="1" x14ac:dyDescent="0.25">
      <c r="X4663" s="269"/>
      <c r="Y4663" s="270"/>
      <c r="Z4663" s="271"/>
      <c r="AA4663" s="38"/>
    </row>
    <row r="4664" spans="14:32" ht="8.25" customHeight="1" x14ac:dyDescent="0.25">
      <c r="X4664" s="110" t="s">
        <v>297</v>
      </c>
      <c r="Y4664" s="111">
        <v>1</v>
      </c>
      <c r="Z4664" s="111">
        <f t="shared" ref="Z4664:Z4669" si="438">X4664*Y4664</f>
        <v>309</v>
      </c>
      <c r="AA4664" s="76"/>
    </row>
    <row r="4665" spans="14:32" ht="8.25" customHeight="1" x14ac:dyDescent="0.25">
      <c r="X4665" s="110" t="s">
        <v>2241</v>
      </c>
      <c r="Y4665" s="111">
        <v>0.5</v>
      </c>
      <c r="Z4665" s="111">
        <f t="shared" si="438"/>
        <v>41.5</v>
      </c>
      <c r="AA4665" s="112"/>
    </row>
    <row r="4666" spans="14:32" ht="8.25" customHeight="1" x14ac:dyDescent="0.25">
      <c r="X4666" s="110" t="s">
        <v>1733</v>
      </c>
      <c r="Y4666" s="111">
        <v>0.25</v>
      </c>
      <c r="Z4666" s="111">
        <f t="shared" si="438"/>
        <v>45.25</v>
      </c>
      <c r="AA4666" s="113"/>
    </row>
    <row r="4667" spans="14:32" ht="8.25" customHeight="1" x14ac:dyDescent="0.25">
      <c r="X4667" s="110" t="s">
        <v>224</v>
      </c>
      <c r="Y4667" s="111">
        <v>0.1</v>
      </c>
      <c r="Z4667" s="111">
        <f t="shared" si="438"/>
        <v>0.2</v>
      </c>
      <c r="AA4667" s="114" t="s">
        <v>219</v>
      </c>
    </row>
    <row r="4668" spans="14:32" ht="8.25" customHeight="1" thickBot="1" x14ac:dyDescent="0.3">
      <c r="X4668" s="110"/>
      <c r="Y4668" s="111">
        <v>0.05</v>
      </c>
      <c r="Z4668" s="111">
        <f t="shared" si="438"/>
        <v>0</v>
      </c>
      <c r="AA4668" s="115">
        <f>SUM(Z4657:Z4662)+Z4664+Z4665+Z4666+Z4667+Z4668+Z4669</f>
        <v>112635.98999999999</v>
      </c>
    </row>
    <row r="4669" spans="14:32" ht="8.25" customHeight="1" thickTop="1" x14ac:dyDescent="0.25">
      <c r="X4669" s="110" t="s">
        <v>299</v>
      </c>
      <c r="Y4669" s="111">
        <v>0.01</v>
      </c>
      <c r="Z4669" s="111">
        <f t="shared" si="438"/>
        <v>0.04</v>
      </c>
    </row>
    <row r="4671" spans="14:32" ht="8.25" customHeight="1" x14ac:dyDescent="0.25">
      <c r="Z4671" s="231" t="s">
        <v>1376</v>
      </c>
      <c r="AF4671" s="76">
        <f>AF4654</f>
        <v>112635.98999999872</v>
      </c>
    </row>
    <row r="4672" spans="14:32" ht="8.25" customHeight="1" x14ac:dyDescent="0.25">
      <c r="N4672" s="52">
        <v>93</v>
      </c>
      <c r="T4672" s="33">
        <v>46203</v>
      </c>
      <c r="U4672" s="34">
        <v>2026</v>
      </c>
      <c r="V4672" s="35" t="s">
        <v>1588</v>
      </c>
      <c r="W4672" s="35" t="s">
        <v>17</v>
      </c>
      <c r="X4672" s="37" t="s">
        <v>3584</v>
      </c>
      <c r="Y4672" s="36" t="s">
        <v>721</v>
      </c>
      <c r="Z4672" s="30" t="s">
        <v>3582</v>
      </c>
      <c r="AA4672" s="30" t="s">
        <v>3899</v>
      </c>
      <c r="AD4672" s="38">
        <v>21531.14</v>
      </c>
      <c r="AF4672" s="76">
        <f>AF4671+AD4672-AE4672</f>
        <v>134167.12999999872</v>
      </c>
    </row>
    <row r="4673" spans="3:32" ht="8.25" customHeight="1" x14ac:dyDescent="0.15">
      <c r="N4673" s="52">
        <v>93</v>
      </c>
      <c r="T4673" s="33">
        <v>46203</v>
      </c>
      <c r="U4673" s="34">
        <v>2026</v>
      </c>
      <c r="V4673" s="35" t="s">
        <v>1588</v>
      </c>
      <c r="W4673" s="35" t="s">
        <v>17</v>
      </c>
      <c r="X4673" s="37" t="s">
        <v>3584</v>
      </c>
      <c r="Y4673" s="36" t="s">
        <v>721</v>
      </c>
      <c r="Z4673" s="30" t="s">
        <v>3582</v>
      </c>
      <c r="AA4673" s="134" t="s">
        <v>166</v>
      </c>
      <c r="AD4673" s="38">
        <v>424.72</v>
      </c>
      <c r="AF4673" s="76">
        <f t="shared" ref="AF4673:AF4676" si="439">AF4672+AD4673-AE4673</f>
        <v>134591.84999999873</v>
      </c>
    </row>
    <row r="4674" spans="3:32" ht="8.25" customHeight="1" x14ac:dyDescent="0.15">
      <c r="I4674" s="52">
        <v>48</v>
      </c>
      <c r="T4674" s="33">
        <v>46203</v>
      </c>
      <c r="U4674" s="34">
        <v>2026</v>
      </c>
      <c r="V4674" s="35" t="s">
        <v>1588</v>
      </c>
      <c r="W4674" s="35" t="s">
        <v>17</v>
      </c>
      <c r="X4674" s="37" t="s">
        <v>3589</v>
      </c>
      <c r="Y4674" s="36" t="s">
        <v>3534</v>
      </c>
      <c r="Z4674" s="30" t="s">
        <v>2556</v>
      </c>
      <c r="AA4674" s="134" t="s">
        <v>13</v>
      </c>
      <c r="AD4674" s="38">
        <v>1300</v>
      </c>
      <c r="AF4674" s="76">
        <f t="shared" si="439"/>
        <v>135891.84999999873</v>
      </c>
    </row>
    <row r="4675" spans="3:32" ht="8.25" customHeight="1" x14ac:dyDescent="0.15">
      <c r="I4675" s="52">
        <v>49</v>
      </c>
      <c r="T4675" s="33">
        <v>46203</v>
      </c>
      <c r="U4675" s="34">
        <v>2026</v>
      </c>
      <c r="V4675" s="35" t="s">
        <v>1588</v>
      </c>
      <c r="W4675" s="35" t="s">
        <v>17</v>
      </c>
      <c r="X4675" s="37" t="s">
        <v>3594</v>
      </c>
      <c r="Y4675" s="36" t="s">
        <v>3593</v>
      </c>
      <c r="Z4675" s="30" t="s">
        <v>1936</v>
      </c>
      <c r="AA4675" s="134" t="s">
        <v>13</v>
      </c>
      <c r="AD4675" s="38">
        <v>1000</v>
      </c>
      <c r="AF4675" s="76">
        <f>AF4674+AD4675-AE4675</f>
        <v>136891.84999999873</v>
      </c>
    </row>
    <row r="4676" spans="3:32" ht="8.25" customHeight="1" x14ac:dyDescent="0.15">
      <c r="I4676" s="52">
        <v>50</v>
      </c>
      <c r="T4676" s="33">
        <v>46203</v>
      </c>
      <c r="U4676" s="34">
        <v>2026</v>
      </c>
      <c r="V4676" s="35" t="s">
        <v>1588</v>
      </c>
      <c r="W4676" s="35" t="s">
        <v>17</v>
      </c>
      <c r="X4676" s="37" t="s">
        <v>3596</v>
      </c>
      <c r="Y4676" s="36" t="s">
        <v>3597</v>
      </c>
      <c r="Z4676" s="30" t="s">
        <v>1438</v>
      </c>
      <c r="AA4676" s="134" t="s">
        <v>13</v>
      </c>
      <c r="AD4676" s="38">
        <v>300</v>
      </c>
      <c r="AF4676" s="76">
        <f t="shared" si="439"/>
        <v>137191.84999999873</v>
      </c>
    </row>
    <row r="4677" spans="3:32" ht="8.25" customHeight="1" x14ac:dyDescent="0.25">
      <c r="N4677" s="52">
        <v>94</v>
      </c>
      <c r="T4677" s="33">
        <v>46203</v>
      </c>
      <c r="U4677" s="34">
        <v>2026</v>
      </c>
      <c r="V4677" s="35" t="s">
        <v>1588</v>
      </c>
      <c r="W4677" s="35" t="s">
        <v>17</v>
      </c>
      <c r="X4677" s="37" t="s">
        <v>3598</v>
      </c>
      <c r="Y4677" s="36" t="s">
        <v>3599</v>
      </c>
      <c r="Z4677" s="30" t="s">
        <v>2823</v>
      </c>
      <c r="AA4677" s="30" t="s">
        <v>3899</v>
      </c>
      <c r="AD4677" s="38">
        <v>2806.77</v>
      </c>
      <c r="AF4677" s="76">
        <f t="shared" ref="AF4677:AF4688" si="440">AF4676+AD4677-AE4677</f>
        <v>139998.61999999871</v>
      </c>
    </row>
    <row r="4678" spans="3:32" ht="8.25" customHeight="1" x14ac:dyDescent="0.15">
      <c r="N4678" s="52">
        <v>94</v>
      </c>
      <c r="T4678" s="33">
        <v>46203</v>
      </c>
      <c r="U4678" s="34">
        <v>2026</v>
      </c>
      <c r="V4678" s="35" t="s">
        <v>1588</v>
      </c>
      <c r="W4678" s="35" t="s">
        <v>17</v>
      </c>
      <c r="X4678" s="37" t="s">
        <v>3598</v>
      </c>
      <c r="Y4678" s="36" t="s">
        <v>3599</v>
      </c>
      <c r="Z4678" s="30" t="s">
        <v>3600</v>
      </c>
      <c r="AA4678" s="134" t="s">
        <v>166</v>
      </c>
      <c r="AD4678" s="38">
        <v>3138.23</v>
      </c>
      <c r="AF4678" s="76">
        <f t="shared" si="440"/>
        <v>143136.84999999873</v>
      </c>
    </row>
    <row r="4679" spans="3:32" ht="8.25" customHeight="1" x14ac:dyDescent="0.25">
      <c r="N4679" s="52">
        <v>94</v>
      </c>
      <c r="T4679" s="33">
        <v>46203</v>
      </c>
      <c r="U4679" s="34">
        <v>2026</v>
      </c>
      <c r="V4679" s="35" t="s">
        <v>1588</v>
      </c>
      <c r="W4679" s="35" t="s">
        <v>17</v>
      </c>
      <c r="X4679" s="37" t="s">
        <v>3598</v>
      </c>
      <c r="Y4679" s="36" t="s">
        <v>3599</v>
      </c>
      <c r="Z4679" s="30" t="s">
        <v>3600</v>
      </c>
      <c r="AA4679" s="30" t="s">
        <v>3305</v>
      </c>
      <c r="AD4679" s="38">
        <v>55</v>
      </c>
      <c r="AF4679" s="76">
        <f t="shared" si="440"/>
        <v>143191.84999999873</v>
      </c>
    </row>
    <row r="4680" spans="3:32" ht="8.25" customHeight="1" x14ac:dyDescent="0.15">
      <c r="I4680" s="52">
        <v>51</v>
      </c>
      <c r="T4680" s="33">
        <v>46203</v>
      </c>
      <c r="U4680" s="34">
        <v>2026</v>
      </c>
      <c r="V4680" s="35" t="s">
        <v>1588</v>
      </c>
      <c r="W4680" s="35" t="s">
        <v>17</v>
      </c>
      <c r="X4680" s="37" t="s">
        <v>3602</v>
      </c>
      <c r="Y4680" s="36" t="s">
        <v>3601</v>
      </c>
      <c r="Z4680" s="30" t="s">
        <v>692</v>
      </c>
      <c r="AA4680" s="134" t="s">
        <v>13</v>
      </c>
      <c r="AD4680" s="38">
        <v>10000</v>
      </c>
      <c r="AF4680" s="76">
        <f t="shared" si="440"/>
        <v>153191.84999999873</v>
      </c>
    </row>
    <row r="4681" spans="3:32" ht="8.25" customHeight="1" x14ac:dyDescent="0.25">
      <c r="C4681" s="52">
        <v>8</v>
      </c>
      <c r="T4681" s="33">
        <v>46203</v>
      </c>
      <c r="U4681" s="34">
        <v>2026</v>
      </c>
      <c r="V4681" s="35" t="s">
        <v>1588</v>
      </c>
      <c r="W4681" s="35" t="s">
        <v>3620</v>
      </c>
      <c r="X4681" s="37" t="s">
        <v>3606</v>
      </c>
      <c r="Y4681" s="36" t="s">
        <v>3605</v>
      </c>
      <c r="Z4681" s="30" t="s">
        <v>3603</v>
      </c>
      <c r="AA4681" s="30" t="s">
        <v>340</v>
      </c>
      <c r="AD4681" s="38">
        <v>65</v>
      </c>
      <c r="AF4681" s="76">
        <f t="shared" si="440"/>
        <v>153256.84999999873</v>
      </c>
    </row>
    <row r="4682" spans="3:32" ht="8.25" customHeight="1" x14ac:dyDescent="0.25">
      <c r="C4682" s="52">
        <v>9</v>
      </c>
      <c r="T4682" s="33">
        <v>46203</v>
      </c>
      <c r="U4682" s="34">
        <v>2026</v>
      </c>
      <c r="V4682" s="35" t="s">
        <v>1588</v>
      </c>
      <c r="W4682" s="35" t="s">
        <v>3620</v>
      </c>
      <c r="X4682" s="37" t="s">
        <v>3607</v>
      </c>
      <c r="Y4682" s="36" t="s">
        <v>2685</v>
      </c>
      <c r="Z4682" s="30" t="s">
        <v>3604</v>
      </c>
      <c r="AA4682" s="30" t="s">
        <v>340</v>
      </c>
      <c r="AD4682" s="38">
        <v>62</v>
      </c>
      <c r="AF4682" s="76">
        <f t="shared" si="440"/>
        <v>153318.84999999873</v>
      </c>
    </row>
    <row r="4683" spans="3:32" ht="8.25" customHeight="1" x14ac:dyDescent="0.25">
      <c r="R4683" s="53">
        <v>53</v>
      </c>
      <c r="T4683" s="33">
        <v>46203</v>
      </c>
      <c r="U4683" s="34">
        <v>2026</v>
      </c>
      <c r="V4683" s="35" t="s">
        <v>1588</v>
      </c>
      <c r="W4683" s="35" t="s">
        <v>5</v>
      </c>
      <c r="X4683" s="37" t="s">
        <v>3578</v>
      </c>
      <c r="Y4683" s="36" t="s">
        <v>3580</v>
      </c>
      <c r="Z4683" s="30" t="s">
        <v>3583</v>
      </c>
      <c r="AA4683" s="30" t="s">
        <v>1050</v>
      </c>
      <c r="AE4683" s="38">
        <v>37000</v>
      </c>
      <c r="AF4683" s="76">
        <f t="shared" si="440"/>
        <v>116318.84999999873</v>
      </c>
    </row>
    <row r="4684" spans="3:32" ht="8.25" customHeight="1" x14ac:dyDescent="0.25">
      <c r="R4684" s="53">
        <v>54</v>
      </c>
      <c r="T4684" s="33">
        <v>46203</v>
      </c>
      <c r="U4684" s="34">
        <v>2026</v>
      </c>
      <c r="V4684" s="35" t="s">
        <v>1588</v>
      </c>
      <c r="W4684" s="35" t="s">
        <v>5</v>
      </c>
      <c r="X4684" s="37" t="s">
        <v>3579</v>
      </c>
      <c r="Y4684" s="36" t="s">
        <v>3581</v>
      </c>
      <c r="Z4684" s="30" t="s">
        <v>3582</v>
      </c>
      <c r="AA4684" s="30" t="s">
        <v>1050</v>
      </c>
      <c r="AE4684" s="38">
        <v>2955.86</v>
      </c>
      <c r="AF4684" s="76">
        <f t="shared" si="440"/>
        <v>113362.98999999872</v>
      </c>
    </row>
    <row r="4685" spans="3:32" ht="8.25" customHeight="1" x14ac:dyDescent="0.25">
      <c r="R4685" s="53">
        <v>55</v>
      </c>
      <c r="T4685" s="33">
        <v>46203</v>
      </c>
      <c r="U4685" s="34">
        <v>2026</v>
      </c>
      <c r="V4685" s="35" t="s">
        <v>1588</v>
      </c>
      <c r="W4685" s="35" t="s">
        <v>5</v>
      </c>
      <c r="X4685" s="37" t="s">
        <v>3585</v>
      </c>
      <c r="Y4685" s="36" t="s">
        <v>3586</v>
      </c>
      <c r="Z4685" s="30" t="s">
        <v>3587</v>
      </c>
      <c r="AA4685" s="30" t="s">
        <v>1050</v>
      </c>
      <c r="AE4685" s="38">
        <v>300</v>
      </c>
      <c r="AF4685" s="76">
        <f t="shared" si="440"/>
        <v>113062.98999999872</v>
      </c>
    </row>
    <row r="4686" spans="3:32" ht="8.25" customHeight="1" x14ac:dyDescent="0.25">
      <c r="R4686" s="53">
        <v>56</v>
      </c>
      <c r="T4686" s="33">
        <v>46203</v>
      </c>
      <c r="U4686" s="34">
        <v>2026</v>
      </c>
      <c r="V4686" s="35" t="s">
        <v>1588</v>
      </c>
      <c r="W4686" s="35" t="s">
        <v>5</v>
      </c>
      <c r="X4686" s="37" t="s">
        <v>3588</v>
      </c>
      <c r="Y4686" s="36" t="s">
        <v>3590</v>
      </c>
      <c r="Z4686" s="30" t="s">
        <v>712</v>
      </c>
      <c r="AA4686" s="30" t="s">
        <v>1050</v>
      </c>
      <c r="AE4686" s="38">
        <v>500</v>
      </c>
      <c r="AF4686" s="76">
        <f t="shared" si="440"/>
        <v>112562.98999999872</v>
      </c>
    </row>
    <row r="4687" spans="3:32" ht="8.25" customHeight="1" x14ac:dyDescent="0.25">
      <c r="G4687" s="53">
        <v>19</v>
      </c>
      <c r="T4687" s="33">
        <v>46203</v>
      </c>
      <c r="U4687" s="34">
        <v>2026</v>
      </c>
      <c r="V4687" s="35" t="s">
        <v>1588</v>
      </c>
      <c r="W4687" s="35" t="s">
        <v>3608</v>
      </c>
      <c r="X4687" s="37" t="s">
        <v>3592</v>
      </c>
      <c r="Y4687" s="36" t="s">
        <v>3591</v>
      </c>
      <c r="Z4687" s="30" t="s">
        <v>2064</v>
      </c>
      <c r="AA4687" s="30" t="s">
        <v>3945</v>
      </c>
      <c r="AE4687" s="38">
        <v>8228.83</v>
      </c>
      <c r="AF4687" s="76">
        <f t="shared" si="440"/>
        <v>104334.15999999872</v>
      </c>
    </row>
    <row r="4688" spans="3:32" ht="8.25" customHeight="1" x14ac:dyDescent="0.25">
      <c r="T4688" s="33">
        <v>46203</v>
      </c>
      <c r="U4688" s="34">
        <v>2026</v>
      </c>
      <c r="V4688" s="35" t="s">
        <v>1588</v>
      </c>
      <c r="W4688" s="35" t="s">
        <v>5</v>
      </c>
      <c r="X4688" s="37" t="s">
        <v>3595</v>
      </c>
      <c r="Y4688" s="36" t="s">
        <v>411</v>
      </c>
      <c r="Z4688" s="30" t="s">
        <v>3162</v>
      </c>
      <c r="AA4688" s="30" t="s">
        <v>3108</v>
      </c>
      <c r="AE4688" s="38">
        <v>70000</v>
      </c>
      <c r="AF4688" s="76">
        <f t="shared" si="440"/>
        <v>34334.159999998723</v>
      </c>
    </row>
    <row r="4689" spans="24:32" ht="8.25" customHeight="1" thickBot="1" x14ac:dyDescent="0.3">
      <c r="AA4689" s="260" t="s">
        <v>2893</v>
      </c>
      <c r="AD4689" s="253">
        <f>SUM(AD4672:AD4688)</f>
        <v>40682.86</v>
      </c>
      <c r="AE4689" s="253">
        <f>SUM(AE4672:AE4688)</f>
        <v>118984.69</v>
      </c>
      <c r="AF4689" s="233">
        <f>AF4671+AD4689-AE4689</f>
        <v>34334.159999998723</v>
      </c>
    </row>
    <row r="4690" spans="24:32" ht="8.25" customHeight="1" thickTop="1" x14ac:dyDescent="0.25">
      <c r="AA4690" s="75" t="s">
        <v>4514</v>
      </c>
      <c r="AD4690" s="76">
        <f>SUM(AD4689+AD4655+AD4603+AD4556+AD4522+AD4488+AD4461)</f>
        <v>507806.17</v>
      </c>
      <c r="AE4690" s="76">
        <f>SUM(AE4689+AE4655+AE4603+AE4556+AE4522+AE4488+AE4461)</f>
        <v>530580.94999999995</v>
      </c>
      <c r="AF4690" s="76">
        <f>AF4442+AD4690-AE4690</f>
        <v>34334.159999998752</v>
      </c>
    </row>
    <row r="4691" spans="24:32" ht="8.25" customHeight="1" x14ac:dyDescent="0.25">
      <c r="X4691" s="109"/>
      <c r="Y4691" s="67" t="s">
        <v>214</v>
      </c>
      <c r="Z4691" s="68"/>
      <c r="AA4691" s="75"/>
    </row>
    <row r="4692" spans="24:32" ht="8.25" customHeight="1" x14ac:dyDescent="0.25">
      <c r="X4692" s="110" t="s">
        <v>402</v>
      </c>
      <c r="Y4692" s="111">
        <v>200</v>
      </c>
      <c r="Z4692" s="111">
        <f t="shared" ref="Z4692:Z4697" si="441">X4692*Y4692</f>
        <v>1000</v>
      </c>
      <c r="AA4692" s="112"/>
    </row>
    <row r="4693" spans="24:32" ht="8.25" customHeight="1" x14ac:dyDescent="0.25">
      <c r="X4693" s="110" t="s">
        <v>3609</v>
      </c>
      <c r="Y4693" s="111">
        <v>100</v>
      </c>
      <c r="Z4693" s="111">
        <f t="shared" si="441"/>
        <v>31200</v>
      </c>
      <c r="AA4693" s="112"/>
    </row>
    <row r="4694" spans="24:32" ht="8.25" customHeight="1" x14ac:dyDescent="0.25">
      <c r="X4694" s="110" t="s">
        <v>224</v>
      </c>
      <c r="Y4694" s="111">
        <v>50</v>
      </c>
      <c r="Z4694" s="111">
        <f t="shared" si="441"/>
        <v>100</v>
      </c>
      <c r="AA4694" s="76"/>
    </row>
    <row r="4695" spans="24:32" ht="8.25" customHeight="1" x14ac:dyDescent="0.25">
      <c r="X4695" s="110" t="s">
        <v>402</v>
      </c>
      <c r="Y4695" s="111">
        <v>20</v>
      </c>
      <c r="Z4695" s="111">
        <f t="shared" si="441"/>
        <v>100</v>
      </c>
      <c r="AA4695" s="38"/>
    </row>
    <row r="4696" spans="24:32" ht="8.25" customHeight="1" x14ac:dyDescent="0.25">
      <c r="X4696" s="110" t="s">
        <v>488</v>
      </c>
      <c r="Y4696" s="111">
        <v>10</v>
      </c>
      <c r="Z4696" s="111">
        <f t="shared" si="441"/>
        <v>1020</v>
      </c>
      <c r="AA4696" s="112"/>
      <c r="AB4696" s="258"/>
    </row>
    <row r="4697" spans="24:32" ht="8.25" customHeight="1" x14ac:dyDescent="0.25">
      <c r="X4697" s="110" t="s">
        <v>516</v>
      </c>
      <c r="Y4697" s="111">
        <v>5</v>
      </c>
      <c r="Z4697" s="111">
        <f t="shared" si="441"/>
        <v>525</v>
      </c>
      <c r="AA4697" s="112"/>
    </row>
    <row r="4698" spans="24:32" ht="8.25" customHeight="1" x14ac:dyDescent="0.25">
      <c r="X4698" s="269"/>
      <c r="Y4698" s="270"/>
      <c r="Z4698" s="271"/>
      <c r="AA4698" s="38"/>
    </row>
    <row r="4699" spans="24:32" ht="8.25" customHeight="1" x14ac:dyDescent="0.25">
      <c r="X4699" s="110" t="s">
        <v>3610</v>
      </c>
      <c r="Y4699" s="111">
        <v>1</v>
      </c>
      <c r="Z4699" s="111">
        <f t="shared" ref="Z4699:Z4704" si="442">X4699*Y4699</f>
        <v>304</v>
      </c>
      <c r="AA4699" s="76"/>
    </row>
    <row r="4700" spans="24:32" ht="8.25" customHeight="1" x14ac:dyDescent="0.25">
      <c r="X4700" s="110" t="s">
        <v>259</v>
      </c>
      <c r="Y4700" s="111">
        <v>0.5</v>
      </c>
      <c r="Z4700" s="111">
        <f t="shared" si="442"/>
        <v>40</v>
      </c>
      <c r="AA4700" s="112"/>
    </row>
    <row r="4701" spans="24:32" ht="8.25" customHeight="1" x14ac:dyDescent="0.25">
      <c r="X4701" s="110" t="s">
        <v>1878</v>
      </c>
      <c r="Y4701" s="111">
        <v>0.25</v>
      </c>
      <c r="Z4701" s="111">
        <f t="shared" si="442"/>
        <v>45</v>
      </c>
      <c r="AA4701" s="113" t="s">
        <v>1</v>
      </c>
    </row>
    <row r="4702" spans="24:32" ht="8.25" customHeight="1" x14ac:dyDescent="0.25">
      <c r="X4702" s="110" t="s">
        <v>222</v>
      </c>
      <c r="Y4702" s="111">
        <v>0.1</v>
      </c>
      <c r="Z4702" s="111">
        <f t="shared" si="442"/>
        <v>0.1</v>
      </c>
      <c r="AA4702" s="114" t="s">
        <v>219</v>
      </c>
    </row>
    <row r="4703" spans="24:32" ht="8.25" customHeight="1" thickBot="1" x14ac:dyDescent="0.3">
      <c r="X4703" s="110" t="s">
        <v>222</v>
      </c>
      <c r="Y4703" s="111">
        <v>0.05</v>
      </c>
      <c r="Z4703" s="111">
        <f t="shared" si="442"/>
        <v>0.05</v>
      </c>
      <c r="AA4703" s="115">
        <f>SUM(Z4692:Z4697)+Z4699+Z4700+Z4701+Z4702+Z4703+Z4704</f>
        <v>34334.160000000003</v>
      </c>
    </row>
    <row r="4704" spans="24:32" ht="8.25" customHeight="1" thickTop="1" x14ac:dyDescent="0.25">
      <c r="X4704" s="110" t="s">
        <v>222</v>
      </c>
      <c r="Y4704" s="111">
        <v>0.01</v>
      </c>
      <c r="Z4704" s="111">
        <f t="shared" si="442"/>
        <v>0.01</v>
      </c>
    </row>
    <row r="4706" spans="4:32" ht="8.25" customHeight="1" x14ac:dyDescent="0.25">
      <c r="Z4706" s="231" t="s">
        <v>1376</v>
      </c>
      <c r="AF4706" s="76">
        <f>AF4689</f>
        <v>34334.159999998723</v>
      </c>
    </row>
    <row r="4707" spans="4:32" ht="8.25" customHeight="1" x14ac:dyDescent="0.25">
      <c r="N4707" s="52">
        <v>1</v>
      </c>
      <c r="T4707" s="33">
        <v>46204</v>
      </c>
      <c r="U4707" s="34">
        <v>2026</v>
      </c>
      <c r="V4707" s="35" t="s">
        <v>3611</v>
      </c>
      <c r="W4707" s="35" t="s">
        <v>17</v>
      </c>
      <c r="X4707" s="37" t="s">
        <v>3612</v>
      </c>
      <c r="Y4707" s="36" t="s">
        <v>3613</v>
      </c>
      <c r="Z4707" s="30" t="s">
        <v>709</v>
      </c>
      <c r="AA4707" s="30" t="s">
        <v>3899</v>
      </c>
      <c r="AD4707" s="38">
        <v>5180.41</v>
      </c>
      <c r="AF4707" s="76">
        <f t="shared" ref="AF4707:AF4722" si="443">AF4706+AD4707-AE4707</f>
        <v>39514.569999998726</v>
      </c>
    </row>
    <row r="4708" spans="4:32" ht="8.25" customHeight="1" x14ac:dyDescent="0.15">
      <c r="N4708" s="52">
        <v>1</v>
      </c>
      <c r="T4708" s="33">
        <v>46204</v>
      </c>
      <c r="U4708" s="34">
        <v>2026</v>
      </c>
      <c r="V4708" s="35" t="s">
        <v>3611</v>
      </c>
      <c r="W4708" s="35" t="s">
        <v>17</v>
      </c>
      <c r="X4708" s="37" t="s">
        <v>3612</v>
      </c>
      <c r="Y4708" s="36" t="s">
        <v>3613</v>
      </c>
      <c r="Z4708" s="30" t="s">
        <v>709</v>
      </c>
      <c r="AA4708" s="134" t="s">
        <v>166</v>
      </c>
      <c r="AD4708" s="38">
        <v>575.97</v>
      </c>
      <c r="AF4708" s="76">
        <f t="shared" si="443"/>
        <v>40090.539999998728</v>
      </c>
    </row>
    <row r="4709" spans="4:32" ht="8.25" customHeight="1" x14ac:dyDescent="0.25">
      <c r="N4709" s="52">
        <v>1</v>
      </c>
      <c r="T4709" s="33">
        <v>46204</v>
      </c>
      <c r="U4709" s="34">
        <v>2026</v>
      </c>
      <c r="V4709" s="35" t="s">
        <v>3611</v>
      </c>
      <c r="W4709" s="35" t="s">
        <v>17</v>
      </c>
      <c r="X4709" s="37" t="s">
        <v>3612</v>
      </c>
      <c r="Y4709" s="36" t="s">
        <v>3613</v>
      </c>
      <c r="Z4709" s="30" t="s">
        <v>709</v>
      </c>
      <c r="AA4709" s="30" t="s">
        <v>3304</v>
      </c>
      <c r="AD4709" s="38">
        <v>243.62</v>
      </c>
      <c r="AF4709" s="76">
        <f t="shared" si="443"/>
        <v>40334.15999999873</v>
      </c>
    </row>
    <row r="4710" spans="4:32" ht="8.25" customHeight="1" x14ac:dyDescent="0.15">
      <c r="I4710" s="52">
        <v>1</v>
      </c>
      <c r="T4710" s="33">
        <v>46204</v>
      </c>
      <c r="U4710" s="34">
        <v>2026</v>
      </c>
      <c r="V4710" s="35" t="s">
        <v>3611</v>
      </c>
      <c r="W4710" s="35" t="s">
        <v>17</v>
      </c>
      <c r="X4710" s="37" t="s">
        <v>3614</v>
      </c>
      <c r="Y4710" s="36" t="s">
        <v>3615</v>
      </c>
      <c r="Z4710" s="30" t="s">
        <v>811</v>
      </c>
      <c r="AA4710" s="134" t="s">
        <v>13</v>
      </c>
      <c r="AD4710" s="38">
        <v>300</v>
      </c>
      <c r="AF4710" s="76">
        <f t="shared" si="443"/>
        <v>40634.15999999873</v>
      </c>
    </row>
    <row r="4711" spans="4:32" ht="8.25" customHeight="1" x14ac:dyDescent="0.25">
      <c r="L4711" s="52">
        <v>1</v>
      </c>
      <c r="T4711" s="33">
        <v>46204</v>
      </c>
      <c r="U4711" s="34">
        <v>2026</v>
      </c>
      <c r="V4711" s="35" t="s">
        <v>3611</v>
      </c>
      <c r="W4711" s="35" t="s">
        <v>17</v>
      </c>
      <c r="X4711" s="37" t="s">
        <v>3616</v>
      </c>
      <c r="Y4711" s="36" t="s">
        <v>3982</v>
      </c>
      <c r="Z4711" s="30" t="s">
        <v>3617</v>
      </c>
      <c r="AA4711" s="30" t="s">
        <v>373</v>
      </c>
      <c r="AD4711" s="38">
        <v>50</v>
      </c>
      <c r="AF4711" s="76">
        <f t="shared" si="443"/>
        <v>40684.15999999873</v>
      </c>
    </row>
    <row r="4712" spans="4:32" ht="8.25" customHeight="1" x14ac:dyDescent="0.25">
      <c r="K4712" s="52">
        <v>1</v>
      </c>
      <c r="T4712" s="33">
        <v>46204</v>
      </c>
      <c r="U4712" s="34">
        <v>2026</v>
      </c>
      <c r="V4712" s="35" t="s">
        <v>3611</v>
      </c>
      <c r="W4712" s="35" t="s">
        <v>17</v>
      </c>
      <c r="X4712" s="37" t="s">
        <v>3618</v>
      </c>
      <c r="Y4712" s="36" t="s">
        <v>3619</v>
      </c>
      <c r="Z4712" s="30" t="s">
        <v>3617</v>
      </c>
      <c r="AA4712" s="30" t="s">
        <v>1787</v>
      </c>
      <c r="AD4712" s="38">
        <v>100</v>
      </c>
      <c r="AF4712" s="76">
        <f t="shared" si="443"/>
        <v>40784.15999999873</v>
      </c>
    </row>
    <row r="4713" spans="4:32" ht="8.25" customHeight="1" x14ac:dyDescent="0.25">
      <c r="D4713" s="52">
        <v>1</v>
      </c>
      <c r="E4713" s="52"/>
      <c r="H4713" s="53"/>
      <c r="O4713" s="52"/>
      <c r="T4713" s="33">
        <v>46204</v>
      </c>
      <c r="U4713" s="34">
        <v>2026</v>
      </c>
      <c r="V4713" s="35" t="s">
        <v>3611</v>
      </c>
      <c r="W4713" s="35" t="s">
        <v>3620</v>
      </c>
      <c r="X4713" s="37" t="s">
        <v>3621</v>
      </c>
      <c r="Y4713" s="36" t="s">
        <v>2581</v>
      </c>
      <c r="Z4713" s="30" t="s">
        <v>2580</v>
      </c>
      <c r="AA4713" s="30" t="s">
        <v>256</v>
      </c>
      <c r="AD4713" s="38">
        <v>10000</v>
      </c>
      <c r="AF4713" s="76">
        <f t="shared" si="443"/>
        <v>50784.15999999873</v>
      </c>
    </row>
    <row r="4714" spans="4:32" ht="8.25" customHeight="1" x14ac:dyDescent="0.25">
      <c r="I4714" s="52">
        <v>2</v>
      </c>
      <c r="T4714" s="33">
        <v>46204</v>
      </c>
      <c r="U4714" s="34">
        <v>2026</v>
      </c>
      <c r="V4714" s="35" t="s">
        <v>3611</v>
      </c>
      <c r="W4714" s="35" t="s">
        <v>17</v>
      </c>
      <c r="X4714" s="37" t="s">
        <v>3630</v>
      </c>
      <c r="Y4714" s="36" t="s">
        <v>3631</v>
      </c>
      <c r="Z4714" s="30" t="s">
        <v>3632</v>
      </c>
      <c r="AA4714" s="30" t="s">
        <v>13</v>
      </c>
      <c r="AD4714" s="38">
        <v>100</v>
      </c>
      <c r="AF4714" s="76">
        <f t="shared" si="443"/>
        <v>50884.15999999873</v>
      </c>
    </row>
    <row r="4715" spans="4:32" ht="8.25" customHeight="1" x14ac:dyDescent="0.25">
      <c r="N4715" s="52">
        <v>2</v>
      </c>
      <c r="T4715" s="33">
        <v>46204</v>
      </c>
      <c r="U4715" s="34">
        <v>2026</v>
      </c>
      <c r="V4715" s="35" t="s">
        <v>3611</v>
      </c>
      <c r="W4715" s="35" t="s">
        <v>17</v>
      </c>
      <c r="X4715" s="37" t="s">
        <v>3629</v>
      </c>
      <c r="Y4715" s="36" t="s">
        <v>3633</v>
      </c>
      <c r="Z4715" s="30" t="s">
        <v>3634</v>
      </c>
      <c r="AA4715" s="30" t="s">
        <v>3899</v>
      </c>
      <c r="AD4715" s="38">
        <v>3599.68</v>
      </c>
      <c r="AF4715" s="76">
        <f t="shared" si="443"/>
        <v>54483.83999999873</v>
      </c>
    </row>
    <row r="4716" spans="4:32" ht="8.25" customHeight="1" x14ac:dyDescent="0.15">
      <c r="N4716" s="52">
        <v>2</v>
      </c>
      <c r="T4716" s="33">
        <v>46204</v>
      </c>
      <c r="U4716" s="34">
        <v>2026</v>
      </c>
      <c r="V4716" s="35" t="s">
        <v>3611</v>
      </c>
      <c r="W4716" s="35" t="s">
        <v>17</v>
      </c>
      <c r="X4716" s="37" t="s">
        <v>3629</v>
      </c>
      <c r="Y4716" s="36" t="s">
        <v>3633</v>
      </c>
      <c r="Z4716" s="30" t="s">
        <v>3634</v>
      </c>
      <c r="AA4716" s="134" t="s">
        <v>166</v>
      </c>
      <c r="AD4716" s="38">
        <v>3400.32</v>
      </c>
      <c r="AF4716" s="76">
        <f t="shared" si="443"/>
        <v>57884.15999999873</v>
      </c>
    </row>
    <row r="4717" spans="4:32" ht="8.25" customHeight="1" x14ac:dyDescent="0.25">
      <c r="R4717" s="53">
        <v>1</v>
      </c>
      <c r="T4717" s="33">
        <v>46204</v>
      </c>
      <c r="U4717" s="34">
        <v>2026</v>
      </c>
      <c r="V4717" s="35" t="s">
        <v>3611</v>
      </c>
      <c r="W4717" s="35" t="s">
        <v>5</v>
      </c>
      <c r="X4717" s="37" t="s">
        <v>4224</v>
      </c>
      <c r="Y4717" s="36" t="s">
        <v>3622</v>
      </c>
      <c r="Z4717" s="30" t="s">
        <v>3623</v>
      </c>
      <c r="AA4717" s="30" t="s">
        <v>92</v>
      </c>
      <c r="AE4717" s="38">
        <v>35</v>
      </c>
      <c r="AF4717" s="76">
        <f t="shared" si="443"/>
        <v>57849.15999999873</v>
      </c>
    </row>
    <row r="4718" spans="4:32" ht="8.25" customHeight="1" x14ac:dyDescent="0.25">
      <c r="R4718" s="53">
        <v>2</v>
      </c>
      <c r="T4718" s="33">
        <v>46204</v>
      </c>
      <c r="U4718" s="34">
        <v>2026</v>
      </c>
      <c r="V4718" s="35" t="s">
        <v>3611</v>
      </c>
      <c r="W4718" s="35" t="s">
        <v>5</v>
      </c>
      <c r="X4718" s="37" t="s">
        <v>4225</v>
      </c>
      <c r="Y4718" s="36" t="s">
        <v>3624</v>
      </c>
      <c r="Z4718" s="30" t="s">
        <v>2294</v>
      </c>
      <c r="AA4718" s="30" t="s">
        <v>92</v>
      </c>
      <c r="AE4718" s="38">
        <v>25000</v>
      </c>
      <c r="AF4718" s="76">
        <f t="shared" si="443"/>
        <v>32849.15999999873</v>
      </c>
    </row>
    <row r="4719" spans="4:32" ht="8.25" customHeight="1" x14ac:dyDescent="0.25">
      <c r="G4719" s="53">
        <v>1</v>
      </c>
      <c r="T4719" s="33">
        <v>46204</v>
      </c>
      <c r="U4719" s="34">
        <v>2026</v>
      </c>
      <c r="V4719" s="35" t="s">
        <v>3611</v>
      </c>
      <c r="W4719" s="35" t="s">
        <v>3625</v>
      </c>
      <c r="X4719" s="37" t="s">
        <v>3626</v>
      </c>
      <c r="Y4719" s="36" t="s">
        <v>3627</v>
      </c>
      <c r="Z4719" s="30" t="s">
        <v>1895</v>
      </c>
      <c r="AA4719" s="30" t="s">
        <v>3945</v>
      </c>
      <c r="AE4719" s="38">
        <v>5348</v>
      </c>
      <c r="AF4719" s="76">
        <f t="shared" si="443"/>
        <v>27501.15999999873</v>
      </c>
    </row>
    <row r="4720" spans="4:32" ht="8.25" customHeight="1" x14ac:dyDescent="0.25">
      <c r="G4720" s="53">
        <v>2</v>
      </c>
      <c r="T4720" s="33">
        <v>46204</v>
      </c>
      <c r="U4720" s="34">
        <v>2026</v>
      </c>
      <c r="V4720" s="35" t="s">
        <v>3611</v>
      </c>
      <c r="W4720" s="35" t="s">
        <v>3625</v>
      </c>
      <c r="X4720" s="37" t="s">
        <v>3635</v>
      </c>
      <c r="Y4720" s="36" t="s">
        <v>3636</v>
      </c>
      <c r="Z4720" s="30" t="s">
        <v>3637</v>
      </c>
      <c r="AA4720" s="30" t="s">
        <v>3945</v>
      </c>
      <c r="AE4720" s="38">
        <v>6006.67</v>
      </c>
      <c r="AF4720" s="76">
        <f t="shared" si="443"/>
        <v>21494.489999998732</v>
      </c>
    </row>
    <row r="4721" spans="3:32" ht="8.25" customHeight="1" x14ac:dyDescent="0.25">
      <c r="F4721" s="53">
        <v>1</v>
      </c>
      <c r="T4721" s="33">
        <v>46204</v>
      </c>
      <c r="U4721" s="34">
        <v>2026</v>
      </c>
      <c r="V4721" s="35" t="s">
        <v>3611</v>
      </c>
      <c r="W4721" s="35" t="s">
        <v>3625</v>
      </c>
      <c r="X4721" s="37" t="s">
        <v>3638</v>
      </c>
      <c r="Y4721" s="36" t="s">
        <v>120</v>
      </c>
      <c r="Z4721" s="30" t="s">
        <v>3639</v>
      </c>
      <c r="AA4721" s="30" t="s">
        <v>3939</v>
      </c>
      <c r="AE4721" s="38">
        <v>200</v>
      </c>
      <c r="AF4721" s="76">
        <f t="shared" si="443"/>
        <v>21294.489999998732</v>
      </c>
    </row>
    <row r="4722" spans="3:32" ht="8.25" customHeight="1" x14ac:dyDescent="0.25">
      <c r="C4722" s="52">
        <v>1</v>
      </c>
      <c r="T4722" s="33">
        <v>46204</v>
      </c>
      <c r="U4722" s="34">
        <v>2026</v>
      </c>
      <c r="V4722" s="35" t="s">
        <v>3611</v>
      </c>
      <c r="W4722" s="35" t="s">
        <v>3625</v>
      </c>
      <c r="X4722" s="37" t="s">
        <v>3640</v>
      </c>
      <c r="Y4722" s="36" t="s">
        <v>3641</v>
      </c>
      <c r="Z4722" s="30" t="s">
        <v>3642</v>
      </c>
      <c r="AA4722" s="30" t="s">
        <v>4050</v>
      </c>
      <c r="AE4722" s="38">
        <v>200</v>
      </c>
      <c r="AF4722" s="76">
        <f t="shared" si="443"/>
        <v>21094.489999998732</v>
      </c>
    </row>
    <row r="4723" spans="3:32" ht="8.25" customHeight="1" thickBot="1" x14ac:dyDescent="0.3">
      <c r="AA4723" s="260" t="s">
        <v>2893</v>
      </c>
      <c r="AD4723" s="253">
        <f>SUM(AD4707:AD4722)</f>
        <v>23550</v>
      </c>
      <c r="AE4723" s="253">
        <f>SUM(AE4717:AE4722)</f>
        <v>36789.67</v>
      </c>
      <c r="AF4723" s="233">
        <f>AF4706+AD4723-AE4723</f>
        <v>21094.489999998725</v>
      </c>
    </row>
    <row r="4724" spans="3:32" ht="8.25" customHeight="1" thickTop="1" x14ac:dyDescent="0.25"/>
    <row r="4728" spans="3:32" ht="8.25" customHeight="1" x14ac:dyDescent="0.25">
      <c r="X4728" s="109"/>
      <c r="Y4728" s="67" t="s">
        <v>214</v>
      </c>
      <c r="Z4728" s="68"/>
      <c r="AA4728" s="75"/>
    </row>
    <row r="4729" spans="3:32" ht="8.25" customHeight="1" x14ac:dyDescent="0.25">
      <c r="X4729" s="110" t="s">
        <v>581</v>
      </c>
      <c r="Y4729" s="111">
        <v>200</v>
      </c>
      <c r="Z4729" s="111">
        <f t="shared" ref="Z4729:Z4734" si="444">X4729*Y4729</f>
        <v>2000</v>
      </c>
      <c r="AA4729" s="112"/>
    </row>
    <row r="4730" spans="3:32" ht="8.25" customHeight="1" x14ac:dyDescent="0.25">
      <c r="X4730" s="110" t="s">
        <v>1218</v>
      </c>
      <c r="Y4730" s="111">
        <v>100</v>
      </c>
      <c r="Z4730" s="111">
        <f t="shared" si="444"/>
        <v>17100</v>
      </c>
      <c r="AA4730" s="112"/>
    </row>
    <row r="4731" spans="3:32" ht="8.25" customHeight="1" x14ac:dyDescent="0.25">
      <c r="X4731" s="110" t="s">
        <v>222</v>
      </c>
      <c r="Y4731" s="111">
        <v>50</v>
      </c>
      <c r="Z4731" s="111">
        <f t="shared" si="444"/>
        <v>50</v>
      </c>
      <c r="AA4731" s="76"/>
    </row>
    <row r="4732" spans="3:32" ht="8.25" customHeight="1" x14ac:dyDescent="0.25">
      <c r="X4732" s="110" t="s">
        <v>223</v>
      </c>
      <c r="Y4732" s="111">
        <v>20</v>
      </c>
      <c r="Z4732" s="111">
        <f t="shared" si="444"/>
        <v>60</v>
      </c>
      <c r="AA4732" s="38"/>
    </row>
    <row r="4733" spans="3:32" ht="8.25" customHeight="1" x14ac:dyDescent="0.25">
      <c r="X4733" s="110" t="s">
        <v>3628</v>
      </c>
      <c r="Y4733" s="111">
        <v>10</v>
      </c>
      <c r="Z4733" s="111">
        <f t="shared" si="444"/>
        <v>990</v>
      </c>
      <c r="AA4733" s="112"/>
    </row>
    <row r="4734" spans="3:32" ht="8.25" customHeight="1" x14ac:dyDescent="0.25">
      <c r="X4734" s="110" t="s">
        <v>579</v>
      </c>
      <c r="Y4734" s="111">
        <v>5</v>
      </c>
      <c r="Z4734" s="111">
        <f t="shared" si="444"/>
        <v>505</v>
      </c>
      <c r="AA4734" s="112"/>
    </row>
    <row r="4735" spans="3:32" ht="8.25" customHeight="1" x14ac:dyDescent="0.25">
      <c r="X4735" s="269"/>
      <c r="Y4735" s="270"/>
      <c r="Z4735" s="271"/>
      <c r="AA4735" s="38"/>
    </row>
    <row r="4736" spans="3:32" ht="8.25" customHeight="1" x14ac:dyDescent="0.25">
      <c r="X4736" s="110" t="s">
        <v>489</v>
      </c>
      <c r="Y4736" s="111">
        <v>1</v>
      </c>
      <c r="Z4736" s="111">
        <f t="shared" ref="Z4736:Z4741" si="445">X4736*Y4736</f>
        <v>305</v>
      </c>
      <c r="AA4736" s="76"/>
    </row>
    <row r="4737" spans="9:32" ht="8.25" customHeight="1" x14ac:dyDescent="0.25">
      <c r="X4737" s="110" t="s">
        <v>651</v>
      </c>
      <c r="Y4737" s="111">
        <v>0.5</v>
      </c>
      <c r="Z4737" s="111">
        <f t="shared" si="445"/>
        <v>39.5</v>
      </c>
      <c r="AA4737" s="112"/>
    </row>
    <row r="4738" spans="9:32" ht="8.25" customHeight="1" x14ac:dyDescent="0.25">
      <c r="X4738" s="110" t="s">
        <v>2026</v>
      </c>
      <c r="Y4738" s="111">
        <v>0.25</v>
      </c>
      <c r="Z4738" s="111">
        <f t="shared" si="445"/>
        <v>44.75</v>
      </c>
      <c r="AA4738" s="113" t="s">
        <v>1</v>
      </c>
    </row>
    <row r="4739" spans="9:32" ht="8.25" customHeight="1" x14ac:dyDescent="0.25">
      <c r="X4739" s="110" t="s">
        <v>224</v>
      </c>
      <c r="Y4739" s="111">
        <v>0.1</v>
      </c>
      <c r="Z4739" s="111">
        <f t="shared" si="445"/>
        <v>0.2</v>
      </c>
      <c r="AA4739" s="114" t="s">
        <v>219</v>
      </c>
    </row>
    <row r="4740" spans="9:32" ht="8.25" customHeight="1" thickBot="1" x14ac:dyDescent="0.3">
      <c r="X4740" s="110" t="s">
        <v>120</v>
      </c>
      <c r="Y4740" s="111">
        <v>0.05</v>
      </c>
      <c r="Z4740" s="111">
        <f t="shared" si="445"/>
        <v>0</v>
      </c>
      <c r="AA4740" s="115">
        <f>SUM(Z4729:Z4734)+Z4736+Z4737+Z4738+Z4739+Z4740+Z4741</f>
        <v>21094.49</v>
      </c>
    </row>
    <row r="4741" spans="9:32" ht="8.25" customHeight="1" thickTop="1" x14ac:dyDescent="0.25">
      <c r="X4741" s="110" t="s">
        <v>299</v>
      </c>
      <c r="Y4741" s="111">
        <v>0.01</v>
      </c>
      <c r="Z4741" s="111">
        <f t="shared" si="445"/>
        <v>0.04</v>
      </c>
    </row>
    <row r="4743" spans="9:32" ht="8.25" customHeight="1" x14ac:dyDescent="0.25">
      <c r="Z4743" s="231" t="s">
        <v>1376</v>
      </c>
      <c r="AF4743" s="76">
        <f>AF4723</f>
        <v>21094.489999998725</v>
      </c>
    </row>
    <row r="4744" spans="9:32" ht="8.25" customHeight="1" x14ac:dyDescent="0.25">
      <c r="I4744" s="52">
        <v>3</v>
      </c>
      <c r="T4744" s="33">
        <v>46205</v>
      </c>
      <c r="U4744" s="34">
        <v>2026</v>
      </c>
      <c r="V4744" s="35" t="s">
        <v>3611</v>
      </c>
      <c r="W4744" s="35" t="s">
        <v>17</v>
      </c>
      <c r="X4744" s="37" t="s">
        <v>3643</v>
      </c>
      <c r="Y4744" s="36" t="s">
        <v>3644</v>
      </c>
      <c r="Z4744" s="30" t="s">
        <v>3617</v>
      </c>
      <c r="AA4744" s="30" t="s">
        <v>13</v>
      </c>
      <c r="AD4744" s="38">
        <v>20000</v>
      </c>
      <c r="AF4744" s="76">
        <f t="shared" ref="AF4744:AF4756" si="446">AF4743+AD4744-AE4744</f>
        <v>41094.489999998725</v>
      </c>
    </row>
    <row r="4745" spans="9:32" ht="8.25" customHeight="1" x14ac:dyDescent="0.25">
      <c r="M4745" s="52">
        <v>1</v>
      </c>
      <c r="T4745" s="33">
        <v>46205</v>
      </c>
      <c r="U4745" s="34">
        <v>2026</v>
      </c>
      <c r="V4745" s="35" t="s">
        <v>3611</v>
      </c>
      <c r="W4745" s="35" t="s">
        <v>17</v>
      </c>
      <c r="X4745" s="37" t="s">
        <v>3645</v>
      </c>
      <c r="Y4745" s="36" t="s">
        <v>3982</v>
      </c>
      <c r="Z4745" s="30" t="s">
        <v>3617</v>
      </c>
      <c r="AA4745" s="30" t="s">
        <v>385</v>
      </c>
      <c r="AD4745" s="38">
        <v>4000</v>
      </c>
      <c r="AF4745" s="76">
        <f t="shared" si="446"/>
        <v>45094.489999998725</v>
      </c>
    </row>
    <row r="4746" spans="9:32" ht="8.25" customHeight="1" x14ac:dyDescent="0.25">
      <c r="I4746" s="52">
        <v>4</v>
      </c>
      <c r="T4746" s="33">
        <v>46205</v>
      </c>
      <c r="U4746" s="34">
        <v>2026</v>
      </c>
      <c r="V4746" s="35" t="s">
        <v>3611</v>
      </c>
      <c r="W4746" s="35" t="s">
        <v>17</v>
      </c>
      <c r="X4746" s="37" t="s">
        <v>3646</v>
      </c>
      <c r="Y4746" s="36" t="s">
        <v>3647</v>
      </c>
      <c r="Z4746" s="30" t="s">
        <v>890</v>
      </c>
      <c r="AA4746" s="30" t="s">
        <v>13</v>
      </c>
      <c r="AD4746" s="38">
        <v>500</v>
      </c>
      <c r="AF4746" s="76">
        <f t="shared" si="446"/>
        <v>45594.489999998725</v>
      </c>
    </row>
    <row r="4747" spans="9:32" ht="8.25" customHeight="1" x14ac:dyDescent="0.25">
      <c r="T4747" s="33">
        <v>46205</v>
      </c>
      <c r="U4747" s="34">
        <v>2026</v>
      </c>
      <c r="V4747" s="35" t="s">
        <v>3611</v>
      </c>
      <c r="W4747" s="35" t="s">
        <v>17</v>
      </c>
      <c r="X4747" s="37" t="s">
        <v>3650</v>
      </c>
      <c r="Y4747" s="30" t="s">
        <v>3651</v>
      </c>
      <c r="Z4747" s="30" t="s">
        <v>1860</v>
      </c>
      <c r="AA4747" s="30" t="s">
        <v>2485</v>
      </c>
      <c r="AD4747" s="38">
        <v>1000</v>
      </c>
      <c r="AF4747" s="76">
        <f t="shared" si="446"/>
        <v>46594.489999998725</v>
      </c>
    </row>
    <row r="4748" spans="9:32" ht="8.25" customHeight="1" x14ac:dyDescent="0.25">
      <c r="I4748" s="52">
        <v>5</v>
      </c>
      <c r="T4748" s="33">
        <v>46205</v>
      </c>
      <c r="U4748" s="34">
        <v>2026</v>
      </c>
      <c r="V4748" s="35" t="s">
        <v>3611</v>
      </c>
      <c r="W4748" s="35" t="s">
        <v>17</v>
      </c>
      <c r="X4748" s="37" t="s">
        <v>3652</v>
      </c>
      <c r="Y4748" s="36" t="s">
        <v>3534</v>
      </c>
      <c r="Z4748" s="30" t="s">
        <v>1942</v>
      </c>
      <c r="AA4748" s="30" t="s">
        <v>13</v>
      </c>
      <c r="AD4748" s="38">
        <v>50</v>
      </c>
      <c r="AF4748" s="76">
        <f t="shared" si="446"/>
        <v>46644.489999998725</v>
      </c>
    </row>
    <row r="4749" spans="9:32" ht="8.25" customHeight="1" x14ac:dyDescent="0.25">
      <c r="K4749" s="52">
        <v>1</v>
      </c>
      <c r="T4749" s="33">
        <v>46205</v>
      </c>
      <c r="U4749" s="34">
        <v>2026</v>
      </c>
      <c r="V4749" s="35" t="s">
        <v>3611</v>
      </c>
      <c r="W4749" s="35" t="s">
        <v>17</v>
      </c>
      <c r="X4749" s="37" t="s">
        <v>3653</v>
      </c>
      <c r="Y4749" s="36" t="s">
        <v>3654</v>
      </c>
      <c r="Z4749" s="30" t="s">
        <v>3655</v>
      </c>
      <c r="AA4749" s="30" t="s">
        <v>1787</v>
      </c>
      <c r="AD4749" s="38">
        <v>100</v>
      </c>
      <c r="AF4749" s="76">
        <f t="shared" si="446"/>
        <v>46744.489999998725</v>
      </c>
    </row>
    <row r="4750" spans="9:32" ht="8.25" customHeight="1" x14ac:dyDescent="0.25">
      <c r="L4750" s="52">
        <v>1</v>
      </c>
      <c r="T4750" s="33">
        <v>46205</v>
      </c>
      <c r="U4750" s="34">
        <v>2026</v>
      </c>
      <c r="V4750" s="35" t="s">
        <v>3611</v>
      </c>
      <c r="W4750" s="35" t="s">
        <v>17</v>
      </c>
      <c r="X4750" s="37" t="s">
        <v>3656</v>
      </c>
      <c r="Y4750" s="36" t="s">
        <v>3982</v>
      </c>
      <c r="Z4750" s="30" t="s">
        <v>3655</v>
      </c>
      <c r="AA4750" s="30" t="s">
        <v>373</v>
      </c>
      <c r="AD4750" s="38">
        <v>50</v>
      </c>
      <c r="AF4750" s="76">
        <f t="shared" si="446"/>
        <v>46794.489999998725</v>
      </c>
    </row>
    <row r="4751" spans="9:32" ht="8.25" customHeight="1" x14ac:dyDescent="0.25">
      <c r="N4751" s="52">
        <v>3</v>
      </c>
      <c r="T4751" s="33">
        <v>46205</v>
      </c>
      <c r="U4751" s="34">
        <v>2026</v>
      </c>
      <c r="V4751" s="35" t="s">
        <v>3611</v>
      </c>
      <c r="W4751" s="35" t="s">
        <v>17</v>
      </c>
      <c r="X4751" s="37" t="s">
        <v>3657</v>
      </c>
      <c r="Y4751" s="36" t="s">
        <v>3658</v>
      </c>
      <c r="Z4751" s="30" t="s">
        <v>3659</v>
      </c>
      <c r="AA4751" s="30" t="s">
        <v>3708</v>
      </c>
      <c r="AD4751" s="38">
        <v>322.56</v>
      </c>
      <c r="AF4751" s="76">
        <f t="shared" si="446"/>
        <v>47117.049999998722</v>
      </c>
    </row>
    <row r="4752" spans="9:32" ht="8.25" customHeight="1" x14ac:dyDescent="0.15">
      <c r="N4752" s="52">
        <v>3</v>
      </c>
      <c r="T4752" s="33">
        <v>46205</v>
      </c>
      <c r="U4752" s="34">
        <v>2026</v>
      </c>
      <c r="V4752" s="35" t="s">
        <v>3611</v>
      </c>
      <c r="W4752" s="35" t="s">
        <v>17</v>
      </c>
      <c r="X4752" s="37" t="s">
        <v>3657</v>
      </c>
      <c r="Y4752" s="36" t="s">
        <v>3658</v>
      </c>
      <c r="Z4752" s="30" t="s">
        <v>3659</v>
      </c>
      <c r="AA4752" s="134" t="s">
        <v>183</v>
      </c>
      <c r="AD4752" s="38">
        <v>107.44</v>
      </c>
      <c r="AF4752" s="76">
        <f t="shared" si="446"/>
        <v>47224.489999998725</v>
      </c>
    </row>
    <row r="4753" spans="3:32" ht="8.25" customHeight="1" x14ac:dyDescent="0.25">
      <c r="C4753" s="52">
        <v>2</v>
      </c>
      <c r="T4753" s="33">
        <v>46205</v>
      </c>
      <c r="U4753" s="34">
        <v>2026</v>
      </c>
      <c r="V4753" s="35" t="s">
        <v>3611</v>
      </c>
      <c r="W4753" s="35" t="s">
        <v>3620</v>
      </c>
      <c r="X4753" s="37" t="s">
        <v>3660</v>
      </c>
      <c r="Y4753" s="36" t="s">
        <v>2467</v>
      </c>
      <c r="Z4753" s="30" t="s">
        <v>2468</v>
      </c>
      <c r="AA4753" s="30" t="s">
        <v>340</v>
      </c>
      <c r="AD4753" s="38">
        <v>850</v>
      </c>
      <c r="AF4753" s="76">
        <f t="shared" si="446"/>
        <v>48074.489999998725</v>
      </c>
    </row>
    <row r="4754" spans="3:32" ht="8.25" customHeight="1" x14ac:dyDescent="0.25">
      <c r="T4754" s="33">
        <v>46205</v>
      </c>
      <c r="U4754" s="34">
        <v>2026</v>
      </c>
      <c r="V4754" s="35" t="s">
        <v>3611</v>
      </c>
      <c r="W4754" s="35" t="s">
        <v>5</v>
      </c>
      <c r="X4754" s="37" t="s">
        <v>3661</v>
      </c>
      <c r="Y4754" s="36" t="s">
        <v>411</v>
      </c>
      <c r="Z4754" s="30" t="s">
        <v>3162</v>
      </c>
      <c r="AA4754" s="30" t="s">
        <v>2719</v>
      </c>
      <c r="AE4754" s="38">
        <v>20000</v>
      </c>
      <c r="AF4754" s="76">
        <f t="shared" si="446"/>
        <v>28074.489999998725</v>
      </c>
    </row>
    <row r="4755" spans="3:32" ht="8.25" customHeight="1" x14ac:dyDescent="0.25">
      <c r="T4755" s="33">
        <v>46205</v>
      </c>
      <c r="U4755" s="34">
        <v>2026</v>
      </c>
      <c r="V4755" s="35" t="s">
        <v>3611</v>
      </c>
      <c r="W4755" s="35" t="s">
        <v>5</v>
      </c>
      <c r="X4755" s="37" t="s">
        <v>3662</v>
      </c>
      <c r="Y4755" s="36" t="s">
        <v>411</v>
      </c>
      <c r="Z4755" s="30" t="s">
        <v>3162</v>
      </c>
      <c r="AA4755" s="30" t="s">
        <v>2719</v>
      </c>
      <c r="AE4755" s="38">
        <v>4000</v>
      </c>
      <c r="AF4755" s="76">
        <f t="shared" si="446"/>
        <v>24074.489999998725</v>
      </c>
    </row>
    <row r="4756" spans="3:32" ht="8.25" customHeight="1" x14ac:dyDescent="0.25">
      <c r="R4756" s="53">
        <v>3</v>
      </c>
      <c r="T4756" s="33">
        <v>46205</v>
      </c>
      <c r="U4756" s="34">
        <v>2026</v>
      </c>
      <c r="V4756" s="35" t="s">
        <v>3611</v>
      </c>
      <c r="W4756" s="35" t="s">
        <v>5</v>
      </c>
      <c r="X4756" s="37" t="s">
        <v>3648</v>
      </c>
      <c r="Y4756" s="36" t="s">
        <v>3649</v>
      </c>
      <c r="Z4756" s="30" t="s">
        <v>634</v>
      </c>
      <c r="AA4756" s="30" t="s">
        <v>92</v>
      </c>
      <c r="AE4756" s="38">
        <v>10000</v>
      </c>
      <c r="AF4756" s="76">
        <f t="shared" si="446"/>
        <v>14074.489999998725</v>
      </c>
    </row>
    <row r="4757" spans="3:32" ht="8.25" customHeight="1" thickBot="1" x14ac:dyDescent="0.3">
      <c r="AA4757" s="260" t="s">
        <v>2893</v>
      </c>
      <c r="AD4757" s="233">
        <f>SUM(AD4744:AD4756)</f>
        <v>26980</v>
      </c>
      <c r="AE4757" s="233">
        <f>SUM(AE4754:AE4756)</f>
        <v>34000</v>
      </c>
      <c r="AF4757" s="233">
        <f>AF4743+AD4757-AE4757</f>
        <v>14074.489999998725</v>
      </c>
    </row>
    <row r="4758" spans="3:32" ht="8.25" customHeight="1" thickTop="1" x14ac:dyDescent="0.25">
      <c r="X4758" s="109"/>
      <c r="Y4758" s="67" t="s">
        <v>214</v>
      </c>
      <c r="Z4758" s="68"/>
      <c r="AA4758" s="75"/>
    </row>
    <row r="4759" spans="3:32" ht="8.25" customHeight="1" x14ac:dyDescent="0.25">
      <c r="X4759" s="110" t="s">
        <v>120</v>
      </c>
      <c r="Y4759" s="111">
        <v>200</v>
      </c>
      <c r="Z4759" s="111">
        <f t="shared" ref="Z4759:Z4764" si="447">X4759*Y4759</f>
        <v>0</v>
      </c>
      <c r="AA4759" s="112"/>
    </row>
    <row r="4760" spans="3:32" ht="8.25" customHeight="1" x14ac:dyDescent="0.25">
      <c r="X4760" s="110" t="s">
        <v>1383</v>
      </c>
      <c r="Y4760" s="111">
        <v>100</v>
      </c>
      <c r="Z4760" s="111">
        <f t="shared" si="447"/>
        <v>12100</v>
      </c>
      <c r="AA4760" s="112"/>
    </row>
    <row r="4761" spans="3:32" ht="8.25" customHeight="1" x14ac:dyDescent="0.25">
      <c r="X4761" s="110" t="s">
        <v>222</v>
      </c>
      <c r="Y4761" s="111">
        <v>50</v>
      </c>
      <c r="Z4761" s="111">
        <f t="shared" si="447"/>
        <v>50</v>
      </c>
      <c r="AA4761" s="76"/>
    </row>
    <row r="4762" spans="3:32" ht="8.25" customHeight="1" x14ac:dyDescent="0.25">
      <c r="X4762" s="110" t="s">
        <v>224</v>
      </c>
      <c r="Y4762" s="111">
        <v>20</v>
      </c>
      <c r="Z4762" s="111">
        <f t="shared" si="447"/>
        <v>40</v>
      </c>
      <c r="AA4762" s="38"/>
    </row>
    <row r="4763" spans="3:32" ht="8.25" customHeight="1" x14ac:dyDescent="0.25">
      <c r="X4763" s="110" t="s">
        <v>3628</v>
      </c>
      <c r="Y4763" s="111">
        <v>10</v>
      </c>
      <c r="Z4763" s="111">
        <f t="shared" si="447"/>
        <v>990</v>
      </c>
      <c r="AA4763" s="112"/>
    </row>
    <row r="4764" spans="3:32" ht="8.25" customHeight="1" x14ac:dyDescent="0.25">
      <c r="X4764" s="110" t="s">
        <v>579</v>
      </c>
      <c r="Y4764" s="111">
        <v>5</v>
      </c>
      <c r="Z4764" s="111">
        <f t="shared" si="447"/>
        <v>505</v>
      </c>
      <c r="AA4764" s="112"/>
    </row>
    <row r="4765" spans="3:32" ht="8.25" customHeight="1" x14ac:dyDescent="0.25">
      <c r="X4765" s="269"/>
      <c r="Y4765" s="270"/>
      <c r="Z4765" s="271"/>
      <c r="AA4765" s="38"/>
    </row>
    <row r="4766" spans="3:32" ht="8.25" customHeight="1" x14ac:dyDescent="0.25">
      <c r="X4766" s="110" t="s">
        <v>489</v>
      </c>
      <c r="Y4766" s="111">
        <v>1</v>
      </c>
      <c r="Z4766" s="111">
        <f t="shared" ref="Z4766:Z4771" si="448">X4766*Y4766</f>
        <v>305</v>
      </c>
      <c r="AA4766" s="76"/>
    </row>
    <row r="4767" spans="3:32" ht="8.25" customHeight="1" x14ac:dyDescent="0.25">
      <c r="X4767" s="110" t="s">
        <v>651</v>
      </c>
      <c r="Y4767" s="111">
        <v>0.5</v>
      </c>
      <c r="Z4767" s="111">
        <f t="shared" si="448"/>
        <v>39.5</v>
      </c>
      <c r="AA4767" s="112"/>
    </row>
    <row r="4768" spans="3:32" ht="8.25" customHeight="1" x14ac:dyDescent="0.25">
      <c r="X4768" s="110" t="s">
        <v>2026</v>
      </c>
      <c r="Y4768" s="111">
        <v>0.25</v>
      </c>
      <c r="Z4768" s="111">
        <f t="shared" si="448"/>
        <v>44.75</v>
      </c>
      <c r="AA4768" s="113" t="s">
        <v>1</v>
      </c>
    </row>
    <row r="4769" spans="6:32" ht="8.25" customHeight="1" x14ac:dyDescent="0.25">
      <c r="X4769" s="110" t="s">
        <v>224</v>
      </c>
      <c r="Y4769" s="111">
        <v>0.1</v>
      </c>
      <c r="Z4769" s="111">
        <f t="shared" si="448"/>
        <v>0.2</v>
      </c>
      <c r="AA4769" s="114" t="s">
        <v>219</v>
      </c>
    </row>
    <row r="4770" spans="6:32" ht="8.25" customHeight="1" thickBot="1" x14ac:dyDescent="0.3">
      <c r="X4770" s="110" t="s">
        <v>120</v>
      </c>
      <c r="Y4770" s="111">
        <v>0.05</v>
      </c>
      <c r="Z4770" s="111">
        <f t="shared" si="448"/>
        <v>0</v>
      </c>
      <c r="AA4770" s="115">
        <f>SUM(Z4759:Z4764)+Z4766+Z4767+Z4768+Z4769+Z4770+Z4771</f>
        <v>14074.490000000002</v>
      </c>
    </row>
    <row r="4771" spans="6:32" ht="8.25" customHeight="1" thickTop="1" x14ac:dyDescent="0.25">
      <c r="X4771" s="110" t="s">
        <v>299</v>
      </c>
      <c r="Y4771" s="111">
        <v>0.01</v>
      </c>
      <c r="Z4771" s="111">
        <f t="shared" si="448"/>
        <v>0.04</v>
      </c>
    </row>
    <row r="4773" spans="6:32" ht="8.25" customHeight="1" x14ac:dyDescent="0.25">
      <c r="Z4773" s="231" t="s">
        <v>1376</v>
      </c>
      <c r="AF4773" s="76">
        <f>AF4757</f>
        <v>14074.489999998725</v>
      </c>
    </row>
    <row r="4774" spans="6:32" ht="8.25" customHeight="1" x14ac:dyDescent="0.25">
      <c r="N4774" s="52">
        <v>4</v>
      </c>
      <c r="T4774" s="33">
        <v>46206</v>
      </c>
      <c r="U4774" s="34">
        <v>2026</v>
      </c>
      <c r="V4774" s="35" t="s">
        <v>3611</v>
      </c>
      <c r="W4774" s="35" t="s">
        <v>17</v>
      </c>
      <c r="X4774" s="37" t="s">
        <v>3664</v>
      </c>
      <c r="Y4774" s="36" t="s">
        <v>3663</v>
      </c>
      <c r="Z4774" s="30" t="s">
        <v>807</v>
      </c>
      <c r="AA4774" s="30" t="s">
        <v>3899</v>
      </c>
      <c r="AD4774" s="38">
        <v>7239.62</v>
      </c>
      <c r="AF4774" s="76">
        <f t="shared" ref="AF4774:AF4783" si="449">AF4773+AD4774-AE4774</f>
        <v>21314.109999998724</v>
      </c>
    </row>
    <row r="4775" spans="6:32" ht="8.25" customHeight="1" x14ac:dyDescent="0.15">
      <c r="N4775" s="52">
        <v>4</v>
      </c>
      <c r="T4775" s="33">
        <v>46206</v>
      </c>
      <c r="U4775" s="34">
        <v>2026</v>
      </c>
      <c r="V4775" s="35" t="s">
        <v>3611</v>
      </c>
      <c r="W4775" s="35" t="s">
        <v>17</v>
      </c>
      <c r="X4775" s="37" t="s">
        <v>3664</v>
      </c>
      <c r="Y4775" s="36" t="s">
        <v>3663</v>
      </c>
      <c r="Z4775" s="30" t="s">
        <v>807</v>
      </c>
      <c r="AA4775" s="134" t="s">
        <v>166</v>
      </c>
      <c r="AD4775" s="38">
        <v>6160.38</v>
      </c>
      <c r="AF4775" s="76">
        <f t="shared" si="449"/>
        <v>27474.489999998725</v>
      </c>
    </row>
    <row r="4776" spans="6:32" ht="8.25" customHeight="1" x14ac:dyDescent="0.25">
      <c r="N4776" s="52">
        <v>5</v>
      </c>
      <c r="T4776" s="33">
        <v>46206</v>
      </c>
      <c r="U4776" s="34">
        <v>2026</v>
      </c>
      <c r="V4776" s="35" t="s">
        <v>3611</v>
      </c>
      <c r="W4776" s="35" t="s">
        <v>17</v>
      </c>
      <c r="X4776" s="37" t="s">
        <v>3665</v>
      </c>
      <c r="Y4776" s="36" t="s">
        <v>790</v>
      </c>
      <c r="Z4776" s="30" t="s">
        <v>1747</v>
      </c>
      <c r="AA4776" s="30" t="s">
        <v>3899</v>
      </c>
      <c r="AD4776" s="38">
        <v>1352.37</v>
      </c>
      <c r="AF4776" s="76">
        <f t="shared" si="449"/>
        <v>28826.859999998724</v>
      </c>
    </row>
    <row r="4777" spans="6:32" ht="8.25" customHeight="1" x14ac:dyDescent="0.15">
      <c r="N4777" s="52">
        <v>5</v>
      </c>
      <c r="T4777" s="33">
        <v>46206</v>
      </c>
      <c r="U4777" s="34">
        <v>2026</v>
      </c>
      <c r="V4777" s="35" t="s">
        <v>3611</v>
      </c>
      <c r="W4777" s="35" t="s">
        <v>17</v>
      </c>
      <c r="X4777" s="37" t="s">
        <v>3665</v>
      </c>
      <c r="Y4777" s="36" t="s">
        <v>790</v>
      </c>
      <c r="Z4777" s="30" t="s">
        <v>1747</v>
      </c>
      <c r="AA4777" s="134" t="s">
        <v>166</v>
      </c>
      <c r="AD4777" s="38">
        <v>647.63</v>
      </c>
      <c r="AF4777" s="76">
        <f t="shared" si="449"/>
        <v>29474.489999998725</v>
      </c>
    </row>
    <row r="4778" spans="6:32" ht="8.25" customHeight="1" x14ac:dyDescent="0.25">
      <c r="I4778" s="52">
        <v>6</v>
      </c>
      <c r="T4778" s="33">
        <v>46206</v>
      </c>
      <c r="U4778" s="34">
        <v>2026</v>
      </c>
      <c r="V4778" s="35" t="s">
        <v>3611</v>
      </c>
      <c r="W4778" s="35" t="s">
        <v>17</v>
      </c>
      <c r="X4778" s="37" t="s">
        <v>3666</v>
      </c>
      <c r="Y4778" s="36" t="s">
        <v>3505</v>
      </c>
      <c r="Z4778" s="30" t="s">
        <v>3667</v>
      </c>
      <c r="AA4778" s="30" t="s">
        <v>13</v>
      </c>
      <c r="AD4778" s="38">
        <v>1800</v>
      </c>
      <c r="AF4778" s="76">
        <f t="shared" si="449"/>
        <v>31274.489999998725</v>
      </c>
    </row>
    <row r="4779" spans="6:32" ht="8.25" customHeight="1" x14ac:dyDescent="0.25">
      <c r="T4779" s="33">
        <v>46206</v>
      </c>
      <c r="U4779" s="34">
        <v>2026</v>
      </c>
      <c r="V4779" s="35" t="s">
        <v>3611</v>
      </c>
      <c r="W4779" s="35" t="s">
        <v>17</v>
      </c>
      <c r="X4779" s="37" t="s">
        <v>3691</v>
      </c>
      <c r="Z4779" s="30" t="s">
        <v>3692</v>
      </c>
      <c r="AF4779" s="76">
        <f t="shared" si="449"/>
        <v>31274.489999998725</v>
      </c>
    </row>
    <row r="4780" spans="6:32" ht="8.25" customHeight="1" x14ac:dyDescent="0.25">
      <c r="N4780" s="52">
        <v>6</v>
      </c>
      <c r="T4780" s="33">
        <v>46206</v>
      </c>
      <c r="U4780" s="34">
        <v>2026</v>
      </c>
      <c r="V4780" s="35" t="s">
        <v>3611</v>
      </c>
      <c r="W4780" s="35" t="s">
        <v>17</v>
      </c>
      <c r="X4780" s="37" t="s">
        <v>3671</v>
      </c>
      <c r="Y4780" s="36" t="s">
        <v>3672</v>
      </c>
      <c r="Z4780" s="30" t="s">
        <v>2008</v>
      </c>
      <c r="AA4780" s="30" t="s">
        <v>3899</v>
      </c>
      <c r="AD4780" s="38">
        <v>3310.35</v>
      </c>
      <c r="AF4780" s="76">
        <f t="shared" si="449"/>
        <v>34584.839999998723</v>
      </c>
    </row>
    <row r="4781" spans="6:32" ht="9.75" customHeight="1" x14ac:dyDescent="0.15">
      <c r="N4781" s="52">
        <v>6</v>
      </c>
      <c r="T4781" s="33">
        <v>46206</v>
      </c>
      <c r="U4781" s="34">
        <v>2026</v>
      </c>
      <c r="V4781" s="35" t="s">
        <v>3611</v>
      </c>
      <c r="W4781" s="35" t="s">
        <v>17</v>
      </c>
      <c r="X4781" s="37" t="s">
        <v>3671</v>
      </c>
      <c r="Y4781" s="36" t="s">
        <v>3672</v>
      </c>
      <c r="Z4781" s="30" t="s">
        <v>2008</v>
      </c>
      <c r="AA4781" s="134" t="s">
        <v>166</v>
      </c>
      <c r="AD4781" s="38">
        <v>924.65</v>
      </c>
      <c r="AF4781" s="76">
        <f t="shared" si="449"/>
        <v>35509.489999998725</v>
      </c>
    </row>
    <row r="4782" spans="6:32" ht="8.25" customHeight="1" x14ac:dyDescent="0.25">
      <c r="F4782" s="53">
        <v>2</v>
      </c>
      <c r="T4782" s="33">
        <v>46206</v>
      </c>
      <c r="U4782" s="34">
        <v>2026</v>
      </c>
      <c r="V4782" s="35" t="s">
        <v>3611</v>
      </c>
      <c r="W4782" s="35" t="s">
        <v>3625</v>
      </c>
      <c r="X4782" s="37" t="s">
        <v>3668</v>
      </c>
      <c r="Y4782" s="36" t="s">
        <v>120</v>
      </c>
      <c r="Z4782" s="30" t="s">
        <v>1393</v>
      </c>
      <c r="AA4782" s="30" t="s">
        <v>3939</v>
      </c>
      <c r="AE4782" s="38">
        <v>300</v>
      </c>
      <c r="AF4782" s="76">
        <f t="shared" si="449"/>
        <v>35209.489999998725</v>
      </c>
    </row>
    <row r="4783" spans="6:32" ht="8.25" customHeight="1" x14ac:dyDescent="0.25">
      <c r="G4783" s="53">
        <v>3</v>
      </c>
      <c r="T4783" s="33">
        <v>46206</v>
      </c>
      <c r="U4783" s="34">
        <v>2026</v>
      </c>
      <c r="V4783" s="35" t="s">
        <v>3611</v>
      </c>
      <c r="W4783" s="35" t="s">
        <v>3625</v>
      </c>
      <c r="X4783" s="37" t="s">
        <v>3669</v>
      </c>
      <c r="Y4783" s="36" t="s">
        <v>3670</v>
      </c>
      <c r="Z4783" s="30" t="s">
        <v>835</v>
      </c>
      <c r="AA4783" s="30" t="s">
        <v>3945</v>
      </c>
      <c r="AE4783" s="38">
        <v>799</v>
      </c>
      <c r="AF4783" s="76">
        <f t="shared" si="449"/>
        <v>34410.489999998725</v>
      </c>
    </row>
    <row r="4784" spans="6:32" ht="8.25" customHeight="1" thickBot="1" x14ac:dyDescent="0.3">
      <c r="AA4784" s="260" t="s">
        <v>2893</v>
      </c>
      <c r="AD4784" s="233">
        <f>SUM(AD4774:AD4781)</f>
        <v>21435</v>
      </c>
      <c r="AE4784" s="233">
        <f>SUM(AE4782:AE4783)</f>
        <v>1099</v>
      </c>
      <c r="AF4784" s="233">
        <f>AF4773+AD4784-AE4784</f>
        <v>34410.489999998725</v>
      </c>
    </row>
    <row r="4785" spans="24:27" ht="8.25" customHeight="1" thickTop="1" x14ac:dyDescent="0.25"/>
    <row r="4787" spans="24:27" ht="8.25" customHeight="1" x14ac:dyDescent="0.25">
      <c r="X4787" s="109"/>
      <c r="Y4787" s="67" t="s">
        <v>214</v>
      </c>
      <c r="Z4787" s="68"/>
      <c r="AA4787" s="75"/>
    </row>
    <row r="4788" spans="24:27" ht="8.25" customHeight="1" x14ac:dyDescent="0.25">
      <c r="X4788" s="110" t="s">
        <v>120</v>
      </c>
      <c r="Y4788" s="111">
        <v>200</v>
      </c>
      <c r="Z4788" s="111">
        <f t="shared" ref="Z4788:Z4793" si="450">X4788*Y4788</f>
        <v>0</v>
      </c>
      <c r="AA4788" s="112"/>
    </row>
    <row r="4789" spans="24:27" ht="8.25" customHeight="1" x14ac:dyDescent="0.25">
      <c r="X4789" s="110" t="s">
        <v>3673</v>
      </c>
      <c r="Y4789" s="111">
        <v>100</v>
      </c>
      <c r="Z4789" s="111">
        <f t="shared" si="450"/>
        <v>32400</v>
      </c>
      <c r="AA4789" s="112"/>
    </row>
    <row r="4790" spans="24:27" ht="8.25" customHeight="1" x14ac:dyDescent="0.25">
      <c r="X4790" s="110" t="s">
        <v>224</v>
      </c>
      <c r="Y4790" s="111">
        <v>50</v>
      </c>
      <c r="Z4790" s="111">
        <f t="shared" si="450"/>
        <v>100</v>
      </c>
      <c r="AA4790" s="76"/>
    </row>
    <row r="4791" spans="24:27" ht="8.25" customHeight="1" x14ac:dyDescent="0.25">
      <c r="X4791" s="110" t="s">
        <v>224</v>
      </c>
      <c r="Y4791" s="111">
        <v>20</v>
      </c>
      <c r="Z4791" s="111">
        <f t="shared" si="450"/>
        <v>40</v>
      </c>
      <c r="AA4791" s="38"/>
    </row>
    <row r="4792" spans="24:27" ht="8.25" customHeight="1" x14ac:dyDescent="0.25">
      <c r="X4792" s="110" t="s">
        <v>3628</v>
      </c>
      <c r="Y4792" s="111">
        <v>10</v>
      </c>
      <c r="Z4792" s="111">
        <f t="shared" si="450"/>
        <v>990</v>
      </c>
      <c r="AA4792" s="112"/>
    </row>
    <row r="4793" spans="24:27" ht="8.25" customHeight="1" x14ac:dyDescent="0.25">
      <c r="X4793" s="110" t="s">
        <v>3674</v>
      </c>
      <c r="Y4793" s="111">
        <v>5</v>
      </c>
      <c r="Z4793" s="111">
        <f t="shared" si="450"/>
        <v>490</v>
      </c>
      <c r="AA4793" s="112"/>
    </row>
    <row r="4794" spans="24:27" ht="8.25" customHeight="1" x14ac:dyDescent="0.25">
      <c r="X4794" s="269"/>
      <c r="Y4794" s="270"/>
      <c r="Z4794" s="271"/>
      <c r="AA4794" s="38"/>
    </row>
    <row r="4795" spans="24:27" ht="8.25" customHeight="1" x14ac:dyDescent="0.25">
      <c r="X4795" s="110" t="s">
        <v>660</v>
      </c>
      <c r="Y4795" s="111">
        <v>1</v>
      </c>
      <c r="Z4795" s="111">
        <f t="shared" ref="Z4795:Z4800" si="451">X4795*Y4795</f>
        <v>306</v>
      </c>
      <c r="AA4795" s="76"/>
    </row>
    <row r="4796" spans="24:27" ht="8.25" customHeight="1" x14ac:dyDescent="0.25">
      <c r="X4796" s="110" t="s">
        <v>651</v>
      </c>
      <c r="Y4796" s="111">
        <v>0.5</v>
      </c>
      <c r="Z4796" s="111">
        <f t="shared" si="451"/>
        <v>39.5</v>
      </c>
      <c r="AA4796" s="112"/>
    </row>
    <row r="4797" spans="24:27" ht="8.25" customHeight="1" x14ac:dyDescent="0.25">
      <c r="X4797" s="110" t="s">
        <v>2026</v>
      </c>
      <c r="Y4797" s="111">
        <v>0.25</v>
      </c>
      <c r="Z4797" s="111">
        <f t="shared" si="451"/>
        <v>44.75</v>
      </c>
      <c r="AA4797" s="113" t="s">
        <v>1</v>
      </c>
    </row>
    <row r="4798" spans="24:27" ht="8.25" customHeight="1" x14ac:dyDescent="0.25">
      <c r="X4798" s="110" t="s">
        <v>224</v>
      </c>
      <c r="Y4798" s="111">
        <v>0.1</v>
      </c>
      <c r="Z4798" s="111">
        <f t="shared" si="451"/>
        <v>0.2</v>
      </c>
      <c r="AA4798" s="114" t="s">
        <v>219</v>
      </c>
    </row>
    <row r="4799" spans="24:27" ht="8.25" customHeight="1" thickBot="1" x14ac:dyDescent="0.3">
      <c r="X4799" s="110" t="s">
        <v>120</v>
      </c>
      <c r="Y4799" s="111">
        <v>0.05</v>
      </c>
      <c r="Z4799" s="111">
        <f t="shared" si="451"/>
        <v>0</v>
      </c>
      <c r="AA4799" s="115">
        <f>SUM(Z4788:Z4793)+Z4795+Z4796+Z4797+Z4798+Z4799+Z4800</f>
        <v>34410.49</v>
      </c>
    </row>
    <row r="4800" spans="24:27" ht="8.25" customHeight="1" thickTop="1" x14ac:dyDescent="0.25">
      <c r="X4800" s="110" t="s">
        <v>299</v>
      </c>
      <c r="Y4800" s="111">
        <v>0.01</v>
      </c>
      <c r="Z4800" s="111">
        <f t="shared" si="451"/>
        <v>0.04</v>
      </c>
    </row>
    <row r="4803" spans="7:32" ht="8.25" customHeight="1" x14ac:dyDescent="0.25">
      <c r="Z4803" s="231" t="s">
        <v>1376</v>
      </c>
      <c r="AF4803" s="76">
        <f>AF4784</f>
        <v>34410.489999998725</v>
      </c>
    </row>
    <row r="4804" spans="7:32" ht="8.25" customHeight="1" x14ac:dyDescent="0.25">
      <c r="N4804" s="52">
        <v>7</v>
      </c>
      <c r="T4804" s="33">
        <v>46207</v>
      </c>
      <c r="U4804" s="34">
        <v>2026</v>
      </c>
      <c r="V4804" s="35" t="s">
        <v>3611</v>
      </c>
      <c r="W4804" s="35" t="s">
        <v>17</v>
      </c>
      <c r="X4804" s="37" t="s">
        <v>3675</v>
      </c>
      <c r="Y4804" s="36" t="s">
        <v>2474</v>
      </c>
      <c r="Z4804" s="30" t="s">
        <v>3676</v>
      </c>
      <c r="AA4804" s="30" t="s">
        <v>3708</v>
      </c>
      <c r="AD4804" s="38">
        <v>403.7</v>
      </c>
      <c r="AF4804" s="76">
        <f t="shared" ref="AF4804:AF4809" si="452">AF4803+AD4804-AE4804</f>
        <v>34814.189999998722</v>
      </c>
    </row>
    <row r="4805" spans="7:32" ht="8.25" customHeight="1" x14ac:dyDescent="0.25">
      <c r="N4805" s="52">
        <v>7</v>
      </c>
      <c r="T4805" s="33">
        <v>46207</v>
      </c>
      <c r="U4805" s="34">
        <v>2026</v>
      </c>
      <c r="V4805" s="35" t="s">
        <v>3611</v>
      </c>
      <c r="W4805" s="35" t="s">
        <v>17</v>
      </c>
      <c r="X4805" s="37" t="s">
        <v>3675</v>
      </c>
      <c r="Y4805" s="36" t="s">
        <v>2474</v>
      </c>
      <c r="Z4805" s="30" t="s">
        <v>3676</v>
      </c>
      <c r="AA4805" s="30" t="s">
        <v>183</v>
      </c>
      <c r="AD4805" s="38">
        <v>46.3</v>
      </c>
      <c r="AF4805" s="76">
        <f t="shared" si="452"/>
        <v>34860.489999998725</v>
      </c>
    </row>
    <row r="4806" spans="7:32" ht="8.25" customHeight="1" x14ac:dyDescent="0.25">
      <c r="N4806" s="52">
        <v>8</v>
      </c>
      <c r="T4806" s="33">
        <v>46207</v>
      </c>
      <c r="U4806" s="34">
        <v>2026</v>
      </c>
      <c r="V4806" s="35" t="s">
        <v>3611</v>
      </c>
      <c r="W4806" s="35" t="s">
        <v>17</v>
      </c>
      <c r="X4806" s="37" t="s">
        <v>3680</v>
      </c>
      <c r="Y4806" s="36" t="s">
        <v>3681</v>
      </c>
      <c r="Z4806" s="30" t="s">
        <v>3682</v>
      </c>
      <c r="AA4806" s="30" t="s">
        <v>3899</v>
      </c>
      <c r="AD4806" s="38">
        <v>1420.8</v>
      </c>
      <c r="AF4806" s="76">
        <f t="shared" si="452"/>
        <v>36281.289999998728</v>
      </c>
    </row>
    <row r="4807" spans="7:32" ht="8.25" customHeight="1" x14ac:dyDescent="0.15">
      <c r="N4807" s="52">
        <v>8</v>
      </c>
      <c r="T4807" s="33">
        <v>46207</v>
      </c>
      <c r="U4807" s="34">
        <v>2026</v>
      </c>
      <c r="V4807" s="35" t="s">
        <v>3611</v>
      </c>
      <c r="W4807" s="35" t="s">
        <v>17</v>
      </c>
      <c r="X4807" s="37" t="s">
        <v>3680</v>
      </c>
      <c r="Y4807" s="36" t="s">
        <v>3681</v>
      </c>
      <c r="Z4807" s="30" t="s">
        <v>3682</v>
      </c>
      <c r="AA4807" s="134" t="s">
        <v>166</v>
      </c>
      <c r="AD4807" s="38">
        <v>1681.2</v>
      </c>
      <c r="AF4807" s="76">
        <f t="shared" si="452"/>
        <v>37962.489999998725</v>
      </c>
    </row>
    <row r="4808" spans="7:32" ht="8.25" customHeight="1" x14ac:dyDescent="0.25">
      <c r="R4808" s="53">
        <v>4</v>
      </c>
      <c r="T4808" s="33">
        <v>46207</v>
      </c>
      <c r="U4808" s="34">
        <v>2026</v>
      </c>
      <c r="V4808" s="35" t="s">
        <v>3611</v>
      </c>
      <c r="W4808" s="35" t="s">
        <v>5</v>
      </c>
      <c r="X4808" s="37" t="s">
        <v>3683</v>
      </c>
      <c r="Y4808" s="36" t="s">
        <v>3684</v>
      </c>
      <c r="Z4808" s="30" t="s">
        <v>420</v>
      </c>
      <c r="AA4808" s="30" t="s">
        <v>92</v>
      </c>
      <c r="AE4808" s="38">
        <v>500</v>
      </c>
      <c r="AF4808" s="76">
        <f t="shared" si="452"/>
        <v>37462.489999998725</v>
      </c>
    </row>
    <row r="4809" spans="7:32" ht="8.25" customHeight="1" x14ac:dyDescent="0.25">
      <c r="G4809" s="53">
        <v>4</v>
      </c>
      <c r="T4809" s="33">
        <v>46207</v>
      </c>
      <c r="U4809" s="34">
        <v>2026</v>
      </c>
      <c r="V4809" s="35" t="s">
        <v>3611</v>
      </c>
      <c r="W4809" s="35" t="s">
        <v>3625</v>
      </c>
      <c r="X4809" s="37" t="s">
        <v>3677</v>
      </c>
      <c r="Y4809" s="36" t="s">
        <v>3678</v>
      </c>
      <c r="Z4809" s="30" t="s">
        <v>3679</v>
      </c>
      <c r="AA4809" s="30" t="s">
        <v>3945</v>
      </c>
      <c r="AE4809" s="38">
        <v>6128</v>
      </c>
      <c r="AF4809" s="76">
        <f t="shared" si="452"/>
        <v>31334.489999998725</v>
      </c>
    </row>
    <row r="4810" spans="7:32" ht="8.25" customHeight="1" thickBot="1" x14ac:dyDescent="0.3">
      <c r="AA4810" s="260" t="s">
        <v>2893</v>
      </c>
      <c r="AD4810" s="233">
        <f>SUM(AD4804:AD4809)</f>
        <v>3552</v>
      </c>
      <c r="AE4810" s="233">
        <f>SUM(AE4808:AE4809)</f>
        <v>6628</v>
      </c>
      <c r="AF4810" s="233">
        <f>AF4809</f>
        <v>31334.489999998725</v>
      </c>
    </row>
    <row r="4811" spans="7:32" ht="8.25" customHeight="1" thickTop="1" x14ac:dyDescent="0.25"/>
    <row r="4812" spans="7:32" ht="8.25" customHeight="1" x14ac:dyDescent="0.25">
      <c r="X4812" s="109"/>
      <c r="Y4812" s="67" t="s">
        <v>214</v>
      </c>
      <c r="Z4812" s="68"/>
      <c r="AA4812" s="75"/>
    </row>
    <row r="4813" spans="7:32" ht="8.25" customHeight="1" x14ac:dyDescent="0.25">
      <c r="X4813" s="110" t="s">
        <v>224</v>
      </c>
      <c r="Y4813" s="111">
        <v>200</v>
      </c>
      <c r="Z4813" s="111">
        <f>X4813*Y4813</f>
        <v>400</v>
      </c>
      <c r="AA4813" s="112"/>
    </row>
    <row r="4814" spans="7:32" ht="8.25" customHeight="1" x14ac:dyDescent="0.25">
      <c r="X4814" s="110" t="s">
        <v>3685</v>
      </c>
      <c r="Y4814" s="111">
        <v>100</v>
      </c>
      <c r="Z4814" s="111">
        <f t="shared" ref="Z4814:Z4818" si="453">X4814*Y4814</f>
        <v>28900</v>
      </c>
      <c r="AA4814" s="112"/>
    </row>
    <row r="4815" spans="7:32" ht="8.25" customHeight="1" x14ac:dyDescent="0.25">
      <c r="X4815" s="110" t="s">
        <v>223</v>
      </c>
      <c r="Y4815" s="111">
        <v>50</v>
      </c>
      <c r="Z4815" s="111">
        <f t="shared" si="453"/>
        <v>150</v>
      </c>
      <c r="AA4815" s="76"/>
    </row>
    <row r="4816" spans="7:32" ht="8.25" customHeight="1" x14ac:dyDescent="0.25">
      <c r="X4816" s="110" t="s">
        <v>224</v>
      </c>
      <c r="Y4816" s="111">
        <v>20</v>
      </c>
      <c r="Z4816" s="111">
        <f t="shared" si="453"/>
        <v>40</v>
      </c>
      <c r="AA4816" s="38"/>
    </row>
    <row r="4817" spans="14:32" ht="8.25" customHeight="1" x14ac:dyDescent="0.25">
      <c r="X4817" s="110" t="s">
        <v>3686</v>
      </c>
      <c r="Y4817" s="111">
        <v>10</v>
      </c>
      <c r="Z4817" s="111">
        <f t="shared" si="453"/>
        <v>970</v>
      </c>
      <c r="AA4817" s="112"/>
    </row>
    <row r="4818" spans="14:32" ht="8.25" customHeight="1" x14ac:dyDescent="0.25">
      <c r="X4818" s="110" t="s">
        <v>3686</v>
      </c>
      <c r="Y4818" s="111">
        <v>5</v>
      </c>
      <c r="Z4818" s="111">
        <f t="shared" si="453"/>
        <v>485</v>
      </c>
      <c r="AA4818" s="112"/>
    </row>
    <row r="4819" spans="14:32" ht="8.25" customHeight="1" x14ac:dyDescent="0.25">
      <c r="X4819" s="269"/>
      <c r="Y4819" s="270"/>
      <c r="Z4819" s="271"/>
      <c r="AA4819" s="38"/>
    </row>
    <row r="4820" spans="14:32" ht="8.25" customHeight="1" x14ac:dyDescent="0.25">
      <c r="X4820" s="110" t="s">
        <v>489</v>
      </c>
      <c r="Y4820" s="111">
        <v>1</v>
      </c>
      <c r="Z4820" s="111">
        <f t="shared" ref="Z4820:Z4825" si="454">X4820*Y4820</f>
        <v>305</v>
      </c>
      <c r="AA4820" s="76"/>
    </row>
    <row r="4821" spans="14:32" ht="8.25" customHeight="1" x14ac:dyDescent="0.25">
      <c r="X4821" s="110" t="s">
        <v>651</v>
      </c>
      <c r="Y4821" s="111">
        <v>0.5</v>
      </c>
      <c r="Z4821" s="111">
        <f t="shared" si="454"/>
        <v>39.5</v>
      </c>
      <c r="AA4821" s="112"/>
    </row>
    <row r="4822" spans="14:32" ht="8.25" customHeight="1" x14ac:dyDescent="0.25">
      <c r="X4822" s="110" t="s">
        <v>2026</v>
      </c>
      <c r="Y4822" s="111">
        <v>0.25</v>
      </c>
      <c r="Z4822" s="111">
        <f t="shared" si="454"/>
        <v>44.75</v>
      </c>
      <c r="AA4822" s="113" t="s">
        <v>1</v>
      </c>
    </row>
    <row r="4823" spans="14:32" ht="8.25" customHeight="1" x14ac:dyDescent="0.25">
      <c r="X4823" s="110" t="s">
        <v>224</v>
      </c>
      <c r="Y4823" s="111">
        <v>0.1</v>
      </c>
      <c r="Z4823" s="111">
        <f t="shared" si="454"/>
        <v>0.2</v>
      </c>
      <c r="AA4823" s="114" t="s">
        <v>219</v>
      </c>
    </row>
    <row r="4824" spans="14:32" ht="8.25" customHeight="1" thickBot="1" x14ac:dyDescent="0.3">
      <c r="X4824" s="110" t="s">
        <v>120</v>
      </c>
      <c r="Y4824" s="111">
        <v>0.05</v>
      </c>
      <c r="Z4824" s="111">
        <f t="shared" si="454"/>
        <v>0</v>
      </c>
      <c r="AA4824" s="115">
        <f>SUM(Z4813:Z4818)+Z4820+Z4821+Z4822+Z4823+Z4824+Z4825</f>
        <v>31334.49</v>
      </c>
    </row>
    <row r="4825" spans="14:32" ht="8.25" customHeight="1" thickTop="1" x14ac:dyDescent="0.25">
      <c r="X4825" s="110" t="s">
        <v>299</v>
      </c>
      <c r="Y4825" s="111">
        <v>0.01</v>
      </c>
      <c r="Z4825" s="111">
        <f t="shared" si="454"/>
        <v>0.04</v>
      </c>
    </row>
    <row r="4830" spans="14:32" ht="8.25" customHeight="1" x14ac:dyDescent="0.25">
      <c r="Z4830" s="231" t="s">
        <v>1376</v>
      </c>
      <c r="AF4830" s="76">
        <f>AF4810</f>
        <v>31334.489999998725</v>
      </c>
    </row>
    <row r="4831" spans="14:32" ht="8.25" customHeight="1" x14ac:dyDescent="0.25">
      <c r="N4831" s="52">
        <v>9</v>
      </c>
      <c r="T4831" s="33">
        <v>46209</v>
      </c>
      <c r="U4831" s="34">
        <v>2026</v>
      </c>
      <c r="V4831" s="35" t="s">
        <v>3611</v>
      </c>
      <c r="W4831" s="35" t="s">
        <v>17</v>
      </c>
      <c r="X4831" s="37" t="s">
        <v>4226</v>
      </c>
      <c r="Y4831" s="36" t="s">
        <v>3687</v>
      </c>
      <c r="Z4831" s="30" t="s">
        <v>2522</v>
      </c>
      <c r="AA4831" s="30" t="s">
        <v>3899</v>
      </c>
      <c r="AD4831" s="38">
        <v>1889.89</v>
      </c>
      <c r="AF4831" s="76">
        <f t="shared" ref="AF4831:AF4853" si="455">AF4830+AD4831-AE4831</f>
        <v>33224.379999998724</v>
      </c>
    </row>
    <row r="4832" spans="14:32" ht="8.25" customHeight="1" x14ac:dyDescent="0.25">
      <c r="N4832" s="52">
        <v>9</v>
      </c>
      <c r="T4832" s="33">
        <v>46209</v>
      </c>
      <c r="U4832" s="34">
        <v>2026</v>
      </c>
      <c r="V4832" s="35" t="s">
        <v>3611</v>
      </c>
      <c r="W4832" s="35" t="s">
        <v>17</v>
      </c>
      <c r="X4832" s="37" t="s">
        <v>4226</v>
      </c>
      <c r="Y4832" s="36" t="s">
        <v>3687</v>
      </c>
      <c r="Z4832" s="30" t="s">
        <v>2522</v>
      </c>
      <c r="AA4832" s="30" t="s">
        <v>166</v>
      </c>
      <c r="AD4832" s="38">
        <v>410.11</v>
      </c>
      <c r="AF4832" s="76">
        <f t="shared" si="455"/>
        <v>33634.489999998725</v>
      </c>
    </row>
    <row r="4833" spans="9:32" ht="8.25" customHeight="1" x14ac:dyDescent="0.25">
      <c r="N4833" s="52">
        <v>10</v>
      </c>
      <c r="T4833" s="33">
        <v>46209</v>
      </c>
      <c r="U4833" s="34">
        <v>2026</v>
      </c>
      <c r="V4833" s="35" t="s">
        <v>3611</v>
      </c>
      <c r="W4833" s="35" t="s">
        <v>17</v>
      </c>
      <c r="X4833" s="37" t="s">
        <v>4227</v>
      </c>
      <c r="Y4833" s="36" t="s">
        <v>3688</v>
      </c>
      <c r="Z4833" s="30" t="s">
        <v>804</v>
      </c>
      <c r="AA4833" s="30" t="s">
        <v>3899</v>
      </c>
      <c r="AD4833" s="38">
        <v>5456.53</v>
      </c>
      <c r="AF4833" s="76">
        <f t="shared" si="455"/>
        <v>39091.019999998724</v>
      </c>
    </row>
    <row r="4834" spans="9:32" ht="8.25" customHeight="1" x14ac:dyDescent="0.25">
      <c r="N4834" s="52">
        <v>10</v>
      </c>
      <c r="T4834" s="33">
        <v>46209</v>
      </c>
      <c r="U4834" s="34">
        <v>2026</v>
      </c>
      <c r="V4834" s="35" t="s">
        <v>3611</v>
      </c>
      <c r="W4834" s="35" t="s">
        <v>17</v>
      </c>
      <c r="X4834" s="37" t="s">
        <v>4227</v>
      </c>
      <c r="Y4834" s="36" t="s">
        <v>3688</v>
      </c>
      <c r="Z4834" s="30" t="s">
        <v>804</v>
      </c>
      <c r="AA4834" s="30" t="s">
        <v>166</v>
      </c>
      <c r="AD4834" s="38">
        <v>4043.47</v>
      </c>
      <c r="AF4834" s="76">
        <f t="shared" si="455"/>
        <v>43134.489999998725</v>
      </c>
    </row>
    <row r="4835" spans="9:32" ht="8.25" customHeight="1" x14ac:dyDescent="0.25">
      <c r="N4835" s="52">
        <v>11</v>
      </c>
      <c r="T4835" s="33">
        <v>46209</v>
      </c>
      <c r="U4835" s="34">
        <v>2026</v>
      </c>
      <c r="V4835" s="35" t="s">
        <v>3611</v>
      </c>
      <c r="W4835" s="35" t="s">
        <v>17</v>
      </c>
      <c r="X4835" s="37" t="s">
        <v>4228</v>
      </c>
      <c r="Y4835" s="36" t="s">
        <v>3689</v>
      </c>
      <c r="Z4835" s="30" t="s">
        <v>454</v>
      </c>
      <c r="AA4835" s="30" t="s">
        <v>3899</v>
      </c>
      <c r="AD4835" s="38">
        <v>5427.76</v>
      </c>
      <c r="AF4835" s="76">
        <f t="shared" si="455"/>
        <v>48562.249999998727</v>
      </c>
    </row>
    <row r="4836" spans="9:32" ht="8.25" customHeight="1" x14ac:dyDescent="0.25">
      <c r="N4836" s="52">
        <v>11</v>
      </c>
      <c r="T4836" s="33">
        <v>46209</v>
      </c>
      <c r="U4836" s="34">
        <v>2026</v>
      </c>
      <c r="V4836" s="35" t="s">
        <v>3611</v>
      </c>
      <c r="W4836" s="35" t="s">
        <v>17</v>
      </c>
      <c r="X4836" s="37" t="s">
        <v>4228</v>
      </c>
      <c r="Y4836" s="36" t="s">
        <v>3689</v>
      </c>
      <c r="Z4836" s="30" t="s">
        <v>454</v>
      </c>
      <c r="AA4836" s="30" t="s">
        <v>166</v>
      </c>
      <c r="AD4836" s="38">
        <v>6272.24</v>
      </c>
      <c r="AF4836" s="76">
        <f t="shared" si="455"/>
        <v>54834.489999998725</v>
      </c>
    </row>
    <row r="4837" spans="9:32" ht="8.25" customHeight="1" x14ac:dyDescent="0.25">
      <c r="N4837" s="52">
        <v>12</v>
      </c>
      <c r="T4837" s="33">
        <v>46209</v>
      </c>
      <c r="U4837" s="34">
        <v>2026</v>
      </c>
      <c r="V4837" s="35" t="s">
        <v>3611</v>
      </c>
      <c r="W4837" s="35" t="s">
        <v>17</v>
      </c>
      <c r="X4837" s="37" t="s">
        <v>4229</v>
      </c>
      <c r="Y4837" s="36" t="s">
        <v>3690</v>
      </c>
      <c r="Z4837" s="30" t="s">
        <v>885</v>
      </c>
      <c r="AA4837" s="30" t="s">
        <v>3899</v>
      </c>
      <c r="AD4837" s="38">
        <v>9531.9699999999993</v>
      </c>
      <c r="AF4837" s="76">
        <f t="shared" si="455"/>
        <v>64366.459999998726</v>
      </c>
    </row>
    <row r="4838" spans="9:32" ht="8.25" customHeight="1" x14ac:dyDescent="0.25">
      <c r="N4838" s="52">
        <v>12</v>
      </c>
      <c r="T4838" s="33">
        <v>46209</v>
      </c>
      <c r="U4838" s="34">
        <v>2026</v>
      </c>
      <c r="V4838" s="35" t="s">
        <v>3611</v>
      </c>
      <c r="W4838" s="35" t="s">
        <v>17</v>
      </c>
      <c r="X4838" s="37" t="s">
        <v>4229</v>
      </c>
      <c r="Y4838" s="36" t="s">
        <v>3690</v>
      </c>
      <c r="Z4838" s="30" t="s">
        <v>885</v>
      </c>
      <c r="AA4838" s="30" t="s">
        <v>166</v>
      </c>
      <c r="AD4838" s="38">
        <v>468.03</v>
      </c>
      <c r="AF4838" s="76">
        <f t="shared" si="455"/>
        <v>64834.489999998725</v>
      </c>
    </row>
    <row r="4839" spans="9:32" ht="8.25" customHeight="1" x14ac:dyDescent="0.25">
      <c r="T4839" s="33">
        <v>46209</v>
      </c>
      <c r="U4839" s="34">
        <v>2026</v>
      </c>
      <c r="V4839" s="35" t="s">
        <v>3611</v>
      </c>
      <c r="W4839" s="35" t="s">
        <v>17</v>
      </c>
      <c r="X4839" s="37" t="s">
        <v>4230</v>
      </c>
      <c r="Y4839" s="36" t="s">
        <v>3963</v>
      </c>
      <c r="Z4839" s="30" t="s">
        <v>1939</v>
      </c>
      <c r="AA4839" s="30" t="s">
        <v>3700</v>
      </c>
      <c r="AD4839" s="38">
        <v>30000</v>
      </c>
      <c r="AF4839" s="76">
        <f t="shared" si="455"/>
        <v>94834.489999998725</v>
      </c>
    </row>
    <row r="4840" spans="9:32" ht="8.25" customHeight="1" x14ac:dyDescent="0.25">
      <c r="K4840" s="52">
        <v>2</v>
      </c>
      <c r="T4840" s="33">
        <v>46209</v>
      </c>
      <c r="U4840" s="34">
        <v>2026</v>
      </c>
      <c r="V4840" s="35" t="s">
        <v>3611</v>
      </c>
      <c r="W4840" s="35" t="s">
        <v>17</v>
      </c>
      <c r="X4840" s="37" t="s">
        <v>4231</v>
      </c>
      <c r="Y4840" s="36" t="s">
        <v>3697</v>
      </c>
      <c r="Z4840" s="30" t="s">
        <v>3698</v>
      </c>
      <c r="AA4840" s="30" t="s">
        <v>1787</v>
      </c>
      <c r="AD4840" s="38">
        <v>100</v>
      </c>
      <c r="AF4840" s="76">
        <f t="shared" si="455"/>
        <v>94934.489999998725</v>
      </c>
    </row>
    <row r="4841" spans="9:32" ht="8.25" customHeight="1" x14ac:dyDescent="0.25">
      <c r="L4841" s="52">
        <v>2</v>
      </c>
      <c r="T4841" s="33">
        <v>46209</v>
      </c>
      <c r="U4841" s="34">
        <v>2026</v>
      </c>
      <c r="V4841" s="35" t="s">
        <v>3611</v>
      </c>
      <c r="W4841" s="35" t="s">
        <v>17</v>
      </c>
      <c r="X4841" s="37" t="s">
        <v>4232</v>
      </c>
      <c r="Y4841" s="36" t="s">
        <v>3982</v>
      </c>
      <c r="Z4841" s="30" t="s">
        <v>3698</v>
      </c>
      <c r="AA4841" s="30" t="s">
        <v>373</v>
      </c>
      <c r="AD4841" s="38">
        <v>50</v>
      </c>
      <c r="AF4841" s="76">
        <f t="shared" si="455"/>
        <v>94984.489999998725</v>
      </c>
    </row>
    <row r="4842" spans="9:32" ht="8.25" customHeight="1" x14ac:dyDescent="0.25">
      <c r="N4842" s="52">
        <v>13</v>
      </c>
      <c r="T4842" s="33">
        <v>46209</v>
      </c>
      <c r="U4842" s="34">
        <v>2026</v>
      </c>
      <c r="V4842" s="35" t="s">
        <v>3611</v>
      </c>
      <c r="W4842" s="35" t="s">
        <v>17</v>
      </c>
      <c r="X4842" s="37" t="s">
        <v>4233</v>
      </c>
      <c r="Y4842" s="36" t="s">
        <v>3699</v>
      </c>
      <c r="Z4842" s="30" t="s">
        <v>1991</v>
      </c>
      <c r="AA4842" s="30" t="s">
        <v>3899</v>
      </c>
      <c r="AD4842" s="38">
        <v>8765.85</v>
      </c>
      <c r="AF4842" s="76">
        <f t="shared" si="455"/>
        <v>103750.33999999873</v>
      </c>
    </row>
    <row r="4843" spans="9:32" ht="8.25" customHeight="1" x14ac:dyDescent="0.25">
      <c r="N4843" s="52">
        <v>13</v>
      </c>
      <c r="T4843" s="33">
        <v>46209</v>
      </c>
      <c r="U4843" s="34">
        <v>2026</v>
      </c>
      <c r="V4843" s="35" t="s">
        <v>3611</v>
      </c>
      <c r="W4843" s="35" t="s">
        <v>17</v>
      </c>
      <c r="X4843" s="37" t="s">
        <v>4233</v>
      </c>
      <c r="Y4843" s="36" t="s">
        <v>3699</v>
      </c>
      <c r="Z4843" s="30" t="s">
        <v>1991</v>
      </c>
      <c r="AA4843" s="30" t="s">
        <v>166</v>
      </c>
      <c r="AD4843" s="38">
        <v>6234.15</v>
      </c>
      <c r="AF4843" s="76">
        <f t="shared" si="455"/>
        <v>109984.48999999872</v>
      </c>
    </row>
    <row r="4844" spans="9:32" ht="8.25" customHeight="1" x14ac:dyDescent="0.25">
      <c r="I4844" s="52">
        <v>7</v>
      </c>
      <c r="T4844" s="33">
        <v>46209</v>
      </c>
      <c r="U4844" s="34">
        <v>2026</v>
      </c>
      <c r="V4844" s="35" t="s">
        <v>3611</v>
      </c>
      <c r="W4844" s="35" t="s">
        <v>17</v>
      </c>
      <c r="X4844" s="37" t="s">
        <v>4234</v>
      </c>
      <c r="Y4844" s="36" t="s">
        <v>3701</v>
      </c>
      <c r="Z4844" s="30" t="s">
        <v>3702</v>
      </c>
      <c r="AA4844" s="30" t="s">
        <v>13</v>
      </c>
      <c r="AD4844" s="38">
        <v>11363.64</v>
      </c>
      <c r="AF4844" s="76">
        <f t="shared" si="455"/>
        <v>121348.12999999872</v>
      </c>
    </row>
    <row r="4845" spans="9:32" ht="8.25" customHeight="1" x14ac:dyDescent="0.25">
      <c r="M4845" s="52">
        <v>2</v>
      </c>
      <c r="T4845" s="33">
        <v>46209</v>
      </c>
      <c r="U4845" s="34">
        <v>2026</v>
      </c>
      <c r="V4845" s="35" t="s">
        <v>3611</v>
      </c>
      <c r="W4845" s="35" t="s">
        <v>17</v>
      </c>
      <c r="X4845" s="37" t="s">
        <v>4235</v>
      </c>
      <c r="Y4845" s="36" t="s">
        <v>3982</v>
      </c>
      <c r="Z4845" s="30" t="s">
        <v>3702</v>
      </c>
      <c r="AA4845" s="30" t="s">
        <v>385</v>
      </c>
      <c r="AD4845" s="38">
        <v>2272.7199999999998</v>
      </c>
      <c r="AF4845" s="76">
        <f t="shared" si="455"/>
        <v>123620.84999999873</v>
      </c>
    </row>
    <row r="4846" spans="9:32" ht="8.25" customHeight="1" x14ac:dyDescent="0.25">
      <c r="I4846" s="52">
        <v>8</v>
      </c>
      <c r="T4846" s="33">
        <v>46209</v>
      </c>
      <c r="U4846" s="34">
        <v>2026</v>
      </c>
      <c r="V4846" s="35" t="s">
        <v>3611</v>
      </c>
      <c r="W4846" s="35" t="s">
        <v>17</v>
      </c>
      <c r="X4846" s="37" t="s">
        <v>4236</v>
      </c>
      <c r="Y4846" s="36" t="s">
        <v>3703</v>
      </c>
      <c r="Z4846" s="30" t="s">
        <v>3698</v>
      </c>
      <c r="AA4846" s="30" t="s">
        <v>13</v>
      </c>
      <c r="AD4846" s="38">
        <v>5681.82</v>
      </c>
      <c r="AF4846" s="76">
        <f t="shared" si="455"/>
        <v>129302.66999999873</v>
      </c>
    </row>
    <row r="4847" spans="9:32" ht="8.25" customHeight="1" x14ac:dyDescent="0.25">
      <c r="M4847" s="52">
        <v>3</v>
      </c>
      <c r="T4847" s="33">
        <v>46209</v>
      </c>
      <c r="U4847" s="34">
        <v>2026</v>
      </c>
      <c r="V4847" s="35" t="s">
        <v>3611</v>
      </c>
      <c r="W4847" s="35" t="s">
        <v>17</v>
      </c>
      <c r="X4847" s="37" t="s">
        <v>4237</v>
      </c>
      <c r="Y4847" s="36" t="s">
        <v>3982</v>
      </c>
      <c r="Z4847" s="30" t="s">
        <v>3698</v>
      </c>
      <c r="AA4847" s="30" t="s">
        <v>385</v>
      </c>
      <c r="AD4847" s="38">
        <v>1136.3599999999999</v>
      </c>
      <c r="AF4847" s="76">
        <f t="shared" si="455"/>
        <v>130439.02999999873</v>
      </c>
    </row>
    <row r="4848" spans="9:32" ht="8.25" customHeight="1" x14ac:dyDescent="0.25">
      <c r="T4848" s="33">
        <v>46209</v>
      </c>
      <c r="U4848" s="34">
        <v>2026</v>
      </c>
      <c r="V4848" s="35" t="s">
        <v>3611</v>
      </c>
      <c r="W4848" s="35" t="s">
        <v>5</v>
      </c>
      <c r="X4848" s="37" t="s">
        <v>3705</v>
      </c>
      <c r="Y4848" s="36" t="s">
        <v>411</v>
      </c>
      <c r="Z4848" s="30" t="s">
        <v>3698</v>
      </c>
      <c r="AA4848" s="30" t="s">
        <v>2719</v>
      </c>
      <c r="AE4848" s="38">
        <v>11363.64</v>
      </c>
      <c r="AF4848" s="76">
        <f t="shared" si="455"/>
        <v>119075.38999999873</v>
      </c>
    </row>
    <row r="4849" spans="6:32" ht="8.25" customHeight="1" x14ac:dyDescent="0.25">
      <c r="T4849" s="33">
        <v>46209</v>
      </c>
      <c r="U4849" s="34">
        <v>2026</v>
      </c>
      <c r="V4849" s="35" t="s">
        <v>3611</v>
      </c>
      <c r="W4849" s="35" t="s">
        <v>5</v>
      </c>
      <c r="X4849" s="37" t="s">
        <v>3706</v>
      </c>
      <c r="Y4849" s="36" t="s">
        <v>411</v>
      </c>
      <c r="Z4849" s="30" t="s">
        <v>3698</v>
      </c>
      <c r="AA4849" s="30" t="s">
        <v>2719</v>
      </c>
      <c r="AE4849" s="38">
        <v>2272.7199999999998</v>
      </c>
      <c r="AF4849" s="76">
        <f t="shared" si="455"/>
        <v>116802.66999999873</v>
      </c>
    </row>
    <row r="4850" spans="6:32" ht="8.25" customHeight="1" x14ac:dyDescent="0.25">
      <c r="Q4850" s="52">
        <v>1</v>
      </c>
      <c r="T4850" s="33">
        <v>46209</v>
      </c>
      <c r="U4850" s="34">
        <v>2026</v>
      </c>
      <c r="V4850" s="35" t="s">
        <v>3611</v>
      </c>
      <c r="W4850" s="35" t="s">
        <v>5</v>
      </c>
      <c r="X4850" s="37" t="s">
        <v>4238</v>
      </c>
      <c r="Y4850" s="36" t="s">
        <v>3704</v>
      </c>
      <c r="Z4850" s="30" t="s">
        <v>3698</v>
      </c>
      <c r="AA4850" s="30" t="s">
        <v>395</v>
      </c>
      <c r="AE4850" s="38">
        <v>56818.18</v>
      </c>
      <c r="AF4850" s="76">
        <f t="shared" si="455"/>
        <v>59984.489999998732</v>
      </c>
    </row>
    <row r="4851" spans="6:32" ht="9" customHeight="1" x14ac:dyDescent="0.25">
      <c r="F4851" s="53">
        <v>3</v>
      </c>
      <c r="T4851" s="33">
        <v>46209</v>
      </c>
      <c r="U4851" s="34">
        <v>2026</v>
      </c>
      <c r="V4851" s="35" t="s">
        <v>3611</v>
      </c>
      <c r="W4851" s="35" t="s">
        <v>3625</v>
      </c>
      <c r="X4851" s="37" t="s">
        <v>3693</v>
      </c>
      <c r="Y4851" s="36" t="s">
        <v>120</v>
      </c>
      <c r="Z4851" s="30" t="s">
        <v>3694</v>
      </c>
      <c r="AA4851" s="30" t="s">
        <v>3939</v>
      </c>
      <c r="AE4851" s="38">
        <v>2000</v>
      </c>
      <c r="AF4851" s="76">
        <f t="shared" si="455"/>
        <v>57984.489999998732</v>
      </c>
    </row>
    <row r="4852" spans="6:32" ht="8.25" customHeight="1" x14ac:dyDescent="0.25">
      <c r="F4852" s="53">
        <v>4</v>
      </c>
      <c r="T4852" s="33">
        <v>46209</v>
      </c>
      <c r="U4852" s="34">
        <v>2026</v>
      </c>
      <c r="V4852" s="35" t="s">
        <v>3611</v>
      </c>
      <c r="W4852" s="35" t="s">
        <v>3625</v>
      </c>
      <c r="X4852" s="37" t="s">
        <v>3695</v>
      </c>
      <c r="Y4852" s="36" t="s">
        <v>120</v>
      </c>
      <c r="Z4852" s="30" t="s">
        <v>3694</v>
      </c>
      <c r="AA4852" s="30" t="s">
        <v>3939</v>
      </c>
      <c r="AE4852" s="38">
        <v>2000</v>
      </c>
      <c r="AF4852" s="76">
        <f t="shared" si="455"/>
        <v>55984.489999998732</v>
      </c>
    </row>
    <row r="4853" spans="6:32" ht="8.25" customHeight="1" x14ac:dyDescent="0.25">
      <c r="F4853" s="53">
        <v>5</v>
      </c>
      <c r="T4853" s="33">
        <v>46209</v>
      </c>
      <c r="U4853" s="34">
        <v>2026</v>
      </c>
      <c r="V4853" s="35" t="s">
        <v>3611</v>
      </c>
      <c r="W4853" s="35" t="s">
        <v>3625</v>
      </c>
      <c r="X4853" s="37" t="s">
        <v>3696</v>
      </c>
      <c r="Y4853" s="36" t="s">
        <v>120</v>
      </c>
      <c r="Z4853" s="30" t="s">
        <v>3694</v>
      </c>
      <c r="AA4853" s="30" t="s">
        <v>3939</v>
      </c>
      <c r="AE4853" s="38">
        <v>2000</v>
      </c>
      <c r="AF4853" s="76">
        <f t="shared" si="455"/>
        <v>53984.489999998732</v>
      </c>
    </row>
    <row r="4854" spans="6:32" ht="8.25" customHeight="1" thickBot="1" x14ac:dyDescent="0.3">
      <c r="AA4854" s="260" t="s">
        <v>2893</v>
      </c>
      <c r="AD4854" s="233">
        <f>SUM(AD4831:AD4852)</f>
        <v>99104.54</v>
      </c>
      <c r="AE4854" s="233">
        <f>SUM(AE4848:AE4853)</f>
        <v>76454.539999999994</v>
      </c>
      <c r="AF4854" s="233">
        <f>AF4830+AD4854-AE4854</f>
        <v>53984.489999998725</v>
      </c>
    </row>
    <row r="4855" spans="6:32" ht="8.25" customHeight="1" thickTop="1" x14ac:dyDescent="0.25"/>
    <row r="4856" spans="6:32" ht="8.25" customHeight="1" x14ac:dyDescent="0.25">
      <c r="X4856" s="109"/>
      <c r="Y4856" s="67" t="s">
        <v>214</v>
      </c>
      <c r="Z4856" s="68"/>
      <c r="AA4856" s="75"/>
    </row>
    <row r="4857" spans="6:32" ht="8.25" customHeight="1" x14ac:dyDescent="0.25">
      <c r="X4857" s="110" t="s">
        <v>224</v>
      </c>
      <c r="Y4857" s="111">
        <v>200</v>
      </c>
      <c r="Z4857" s="111">
        <f t="shared" ref="Z4857:Z4862" si="456">X4857*Y4857</f>
        <v>400</v>
      </c>
      <c r="AA4857" s="112"/>
    </row>
    <row r="4858" spans="6:32" ht="8.25" customHeight="1" x14ac:dyDescent="0.25">
      <c r="X4858" s="110" t="s">
        <v>2731</v>
      </c>
      <c r="Y4858" s="111">
        <v>100</v>
      </c>
      <c r="Z4858" s="111">
        <f t="shared" si="456"/>
        <v>51600</v>
      </c>
      <c r="AA4858" s="112"/>
    </row>
    <row r="4859" spans="6:32" ht="8.25" customHeight="1" x14ac:dyDescent="0.25">
      <c r="X4859" s="110" t="s">
        <v>224</v>
      </c>
      <c r="Y4859" s="111">
        <v>50</v>
      </c>
      <c r="Z4859" s="111">
        <f t="shared" si="456"/>
        <v>100</v>
      </c>
      <c r="AA4859" s="76"/>
    </row>
    <row r="4860" spans="6:32" ht="8.25" customHeight="1" x14ac:dyDescent="0.25">
      <c r="X4860" s="110" t="s">
        <v>224</v>
      </c>
      <c r="Y4860" s="111">
        <v>20</v>
      </c>
      <c r="Z4860" s="111">
        <f t="shared" si="456"/>
        <v>40</v>
      </c>
      <c r="AA4860" s="38"/>
    </row>
    <row r="4861" spans="6:32" ht="8.25" customHeight="1" x14ac:dyDescent="0.25">
      <c r="X4861" s="110" t="s">
        <v>3686</v>
      </c>
      <c r="Y4861" s="111">
        <v>10</v>
      </c>
      <c r="Z4861" s="111">
        <f t="shared" si="456"/>
        <v>970</v>
      </c>
      <c r="AA4861" s="112"/>
    </row>
    <row r="4862" spans="6:32" ht="8.25" customHeight="1" x14ac:dyDescent="0.25">
      <c r="X4862" s="110" t="s">
        <v>3686</v>
      </c>
      <c r="Y4862" s="111">
        <v>5</v>
      </c>
      <c r="Z4862" s="111">
        <f t="shared" si="456"/>
        <v>485</v>
      </c>
      <c r="AA4862" s="112"/>
    </row>
    <row r="4863" spans="6:32" ht="8.25" customHeight="1" x14ac:dyDescent="0.25">
      <c r="X4863" s="269"/>
      <c r="Y4863" s="270"/>
      <c r="Z4863" s="271"/>
      <c r="AA4863" s="38"/>
    </row>
    <row r="4864" spans="6:32" ht="8.25" customHeight="1" x14ac:dyDescent="0.25">
      <c r="X4864" s="110" t="s">
        <v>489</v>
      </c>
      <c r="Y4864" s="111">
        <v>1</v>
      </c>
      <c r="Z4864" s="111">
        <f t="shared" ref="Z4864:Z4869" si="457">X4864*Y4864</f>
        <v>305</v>
      </c>
      <c r="AA4864" s="76"/>
    </row>
    <row r="4865" spans="14:32" ht="8.25" customHeight="1" x14ac:dyDescent="0.25">
      <c r="X4865" s="110" t="s">
        <v>651</v>
      </c>
      <c r="Y4865" s="111">
        <v>0.5</v>
      </c>
      <c r="Z4865" s="111">
        <f t="shared" si="457"/>
        <v>39.5</v>
      </c>
      <c r="AA4865" s="112"/>
    </row>
    <row r="4866" spans="14:32" ht="8.25" customHeight="1" x14ac:dyDescent="0.25">
      <c r="X4866" s="110" t="s">
        <v>1878</v>
      </c>
      <c r="Y4866" s="111">
        <v>0.25</v>
      </c>
      <c r="Z4866" s="111">
        <f t="shared" si="457"/>
        <v>45</v>
      </c>
      <c r="AA4866" s="113" t="s">
        <v>1</v>
      </c>
    </row>
    <row r="4867" spans="14:32" ht="8.25" customHeight="1" x14ac:dyDescent="0.25">
      <c r="X4867" s="110" t="s">
        <v>120</v>
      </c>
      <c r="Y4867" s="111">
        <v>0.1</v>
      </c>
      <c r="Z4867" s="111">
        <f t="shared" si="457"/>
        <v>0</v>
      </c>
      <c r="AA4867" s="114" t="s">
        <v>219</v>
      </c>
    </row>
    <row r="4868" spans="14:32" ht="8.25" customHeight="1" thickBot="1" x14ac:dyDescent="0.3">
      <c r="X4868" s="110" t="s">
        <v>120</v>
      </c>
      <c r="Y4868" s="111">
        <v>0.05</v>
      </c>
      <c r="Z4868" s="111">
        <f t="shared" si="457"/>
        <v>0</v>
      </c>
      <c r="AA4868" s="115">
        <f>SUM(Z4857:Z4862)+Z4864+Z4865+Z4866+Z4867+Z4868+Z4869</f>
        <v>53984.54</v>
      </c>
    </row>
    <row r="4869" spans="14:32" ht="8.25" customHeight="1" thickTop="1" x14ac:dyDescent="0.25">
      <c r="X4869" s="110" t="s">
        <v>299</v>
      </c>
      <c r="Y4869" s="111">
        <v>0.01</v>
      </c>
      <c r="Z4869" s="111">
        <f t="shared" si="457"/>
        <v>0.04</v>
      </c>
    </row>
    <row r="4871" spans="14:32" ht="8.25" customHeight="1" x14ac:dyDescent="0.25">
      <c r="Z4871" s="231" t="s">
        <v>1376</v>
      </c>
      <c r="AF4871" s="76">
        <f>AF4854</f>
        <v>53984.489999998725</v>
      </c>
    </row>
    <row r="4872" spans="14:32" ht="8.25" customHeight="1" x14ac:dyDescent="0.25">
      <c r="N4872" s="52">
        <v>14</v>
      </c>
      <c r="T4872" s="33">
        <v>46210</v>
      </c>
      <c r="U4872" s="34">
        <v>2026</v>
      </c>
      <c r="V4872" s="35" t="s">
        <v>3611</v>
      </c>
      <c r="W4872" s="35" t="s">
        <v>17</v>
      </c>
      <c r="X4872" s="37" t="s">
        <v>4239</v>
      </c>
      <c r="Y4872" s="36" t="s">
        <v>3158</v>
      </c>
      <c r="Z4872" s="263" t="s">
        <v>3707</v>
      </c>
      <c r="AA4872" s="30" t="s">
        <v>3708</v>
      </c>
      <c r="AD4872" s="38">
        <v>947.84</v>
      </c>
      <c r="AF4872" s="76">
        <f t="shared" ref="AF4872:AF4893" si="458">AF4871+AD4872-AE4872</f>
        <v>54932.329999998721</v>
      </c>
    </row>
    <row r="4873" spans="14:32" ht="8.25" customHeight="1" x14ac:dyDescent="0.25">
      <c r="N4873" s="52">
        <v>14</v>
      </c>
      <c r="T4873" s="33">
        <v>46210</v>
      </c>
      <c r="U4873" s="34">
        <v>2026</v>
      </c>
      <c r="V4873" s="35" t="s">
        <v>3611</v>
      </c>
      <c r="W4873" s="35" t="s">
        <v>17</v>
      </c>
      <c r="X4873" s="37" t="s">
        <v>4239</v>
      </c>
      <c r="Y4873" s="36" t="s">
        <v>3158</v>
      </c>
      <c r="Z4873" s="263" t="s">
        <v>3707</v>
      </c>
      <c r="AA4873" s="30" t="s">
        <v>183</v>
      </c>
      <c r="AD4873" s="38">
        <v>224.16</v>
      </c>
      <c r="AF4873" s="76">
        <f t="shared" si="458"/>
        <v>55156.489999998725</v>
      </c>
    </row>
    <row r="4874" spans="14:32" ht="8.25" customHeight="1" x14ac:dyDescent="0.25">
      <c r="N4874" s="52">
        <v>15</v>
      </c>
      <c r="T4874" s="33">
        <v>46210</v>
      </c>
      <c r="U4874" s="34">
        <v>2026</v>
      </c>
      <c r="V4874" s="35" t="s">
        <v>3611</v>
      </c>
      <c r="W4874" s="35" t="s">
        <v>17</v>
      </c>
      <c r="X4874" s="37" t="s">
        <v>4240</v>
      </c>
      <c r="Y4874" s="36" t="s">
        <v>3151</v>
      </c>
      <c r="Z4874" s="30" t="s">
        <v>3709</v>
      </c>
      <c r="AA4874" s="30" t="s">
        <v>3708</v>
      </c>
      <c r="AD4874" s="38">
        <v>947.84</v>
      </c>
      <c r="AF4874" s="76">
        <f t="shared" si="458"/>
        <v>56104.329999998721</v>
      </c>
    </row>
    <row r="4875" spans="14:32" ht="8.25" customHeight="1" x14ac:dyDescent="0.25">
      <c r="N4875" s="52">
        <v>15</v>
      </c>
      <c r="T4875" s="33">
        <v>46210</v>
      </c>
      <c r="U4875" s="34">
        <v>2026</v>
      </c>
      <c r="V4875" s="35" t="s">
        <v>3611</v>
      </c>
      <c r="W4875" s="35" t="s">
        <v>17</v>
      </c>
      <c r="X4875" s="37" t="s">
        <v>4240</v>
      </c>
      <c r="Y4875" s="36" t="s">
        <v>3151</v>
      </c>
      <c r="Z4875" s="30" t="s">
        <v>3709</v>
      </c>
      <c r="AA4875" s="30" t="s">
        <v>183</v>
      </c>
      <c r="AD4875" s="38">
        <v>224.16</v>
      </c>
      <c r="AF4875" s="76">
        <f t="shared" si="458"/>
        <v>56328.489999998725</v>
      </c>
    </row>
    <row r="4876" spans="14:32" ht="8.25" customHeight="1" x14ac:dyDescent="0.25">
      <c r="N4876" s="52">
        <v>16</v>
      </c>
      <c r="T4876" s="33">
        <v>46210</v>
      </c>
      <c r="U4876" s="34">
        <v>2026</v>
      </c>
      <c r="V4876" s="35" t="s">
        <v>3611</v>
      </c>
      <c r="W4876" s="35" t="s">
        <v>17</v>
      </c>
      <c r="X4876" s="37" t="s">
        <v>4241</v>
      </c>
      <c r="Y4876" s="36" t="s">
        <v>3710</v>
      </c>
      <c r="Z4876" s="30" t="s">
        <v>752</v>
      </c>
      <c r="AA4876" s="30" t="s">
        <v>3899</v>
      </c>
      <c r="AD4876" s="38">
        <v>6865.17</v>
      </c>
      <c r="AF4876" s="76">
        <f t="shared" si="458"/>
        <v>63193.659999998723</v>
      </c>
    </row>
    <row r="4877" spans="14:32" ht="8.25" customHeight="1" x14ac:dyDescent="0.25">
      <c r="N4877" s="52">
        <v>16</v>
      </c>
      <c r="T4877" s="33">
        <v>46210</v>
      </c>
      <c r="U4877" s="34">
        <v>2026</v>
      </c>
      <c r="V4877" s="35" t="s">
        <v>3611</v>
      </c>
      <c r="W4877" s="35" t="s">
        <v>17</v>
      </c>
      <c r="X4877" s="37" t="s">
        <v>4241</v>
      </c>
      <c r="Y4877" s="36" t="s">
        <v>3710</v>
      </c>
      <c r="Z4877" s="30" t="s">
        <v>752</v>
      </c>
      <c r="AA4877" s="30" t="s">
        <v>166</v>
      </c>
      <c r="AD4877" s="38">
        <v>7109.83</v>
      </c>
      <c r="AF4877" s="76">
        <f t="shared" si="458"/>
        <v>70303.489999998725</v>
      </c>
    </row>
    <row r="4878" spans="14:32" ht="8.25" customHeight="1" x14ac:dyDescent="0.15">
      <c r="N4878" s="52">
        <v>16</v>
      </c>
      <c r="T4878" s="33">
        <v>46210</v>
      </c>
      <c r="U4878" s="34">
        <v>2026</v>
      </c>
      <c r="V4878" s="35" t="s">
        <v>3611</v>
      </c>
      <c r="W4878" s="35" t="s">
        <v>17</v>
      </c>
      <c r="X4878" s="37" t="s">
        <v>4241</v>
      </c>
      <c r="Y4878" s="36" t="s">
        <v>3710</v>
      </c>
      <c r="Z4878" s="30" t="s">
        <v>752</v>
      </c>
      <c r="AA4878" s="134" t="s">
        <v>3304</v>
      </c>
      <c r="AD4878" s="38">
        <v>25</v>
      </c>
      <c r="AF4878" s="76">
        <f t="shared" si="458"/>
        <v>70328.489999998725</v>
      </c>
    </row>
    <row r="4879" spans="14:32" ht="8.25" customHeight="1" x14ac:dyDescent="0.25">
      <c r="N4879" s="52">
        <v>17</v>
      </c>
      <c r="T4879" s="33">
        <v>46210</v>
      </c>
      <c r="U4879" s="34">
        <v>2026</v>
      </c>
      <c r="V4879" s="35" t="s">
        <v>3611</v>
      </c>
      <c r="W4879" s="35" t="s">
        <v>17</v>
      </c>
      <c r="X4879" s="37" t="s">
        <v>4242</v>
      </c>
      <c r="Y4879" s="36" t="s">
        <v>3711</v>
      </c>
      <c r="Z4879" s="30" t="s">
        <v>307</v>
      </c>
      <c r="AA4879" s="30" t="s">
        <v>3899</v>
      </c>
      <c r="AD4879" s="38">
        <v>9298.5</v>
      </c>
      <c r="AF4879" s="76">
        <f t="shared" si="458"/>
        <v>79626.989999998725</v>
      </c>
    </row>
    <row r="4880" spans="14:32" ht="8.25" customHeight="1" x14ac:dyDescent="0.25">
      <c r="N4880" s="52">
        <v>17</v>
      </c>
      <c r="T4880" s="33">
        <v>46210</v>
      </c>
      <c r="U4880" s="34">
        <v>2026</v>
      </c>
      <c r="V4880" s="35" t="s">
        <v>3611</v>
      </c>
      <c r="W4880" s="35" t="s">
        <v>17</v>
      </c>
      <c r="X4880" s="37" t="s">
        <v>4242</v>
      </c>
      <c r="Y4880" s="36" t="s">
        <v>3711</v>
      </c>
      <c r="Z4880" s="30" t="s">
        <v>307</v>
      </c>
      <c r="AA4880" s="30" t="s">
        <v>166</v>
      </c>
      <c r="AD4880" s="38">
        <v>10601.5</v>
      </c>
      <c r="AF4880" s="76">
        <f t="shared" si="458"/>
        <v>90228.489999998725</v>
      </c>
    </row>
    <row r="4881" spans="6:32" ht="8.25" customHeight="1" x14ac:dyDescent="0.25">
      <c r="N4881" s="52">
        <v>18</v>
      </c>
      <c r="T4881" s="33">
        <v>46210</v>
      </c>
      <c r="U4881" s="34">
        <v>2026</v>
      </c>
      <c r="V4881" s="35" t="s">
        <v>3611</v>
      </c>
      <c r="W4881" s="35" t="s">
        <v>17</v>
      </c>
      <c r="X4881" s="37" t="s">
        <v>4243</v>
      </c>
      <c r="Y4881" s="36" t="s">
        <v>3712</v>
      </c>
      <c r="Z4881" s="30" t="s">
        <v>756</v>
      </c>
      <c r="AA4881" s="30" t="s">
        <v>3899</v>
      </c>
      <c r="AD4881" s="38">
        <v>6865.17</v>
      </c>
      <c r="AF4881" s="76">
        <f t="shared" si="458"/>
        <v>97093.659999998723</v>
      </c>
    </row>
    <row r="4882" spans="6:32" ht="8.25" customHeight="1" x14ac:dyDescent="0.25">
      <c r="N4882" s="52">
        <v>18</v>
      </c>
      <c r="T4882" s="33">
        <v>46210</v>
      </c>
      <c r="U4882" s="34">
        <v>2026</v>
      </c>
      <c r="V4882" s="35" t="s">
        <v>3611</v>
      </c>
      <c r="W4882" s="35" t="s">
        <v>17</v>
      </c>
      <c r="X4882" s="37" t="s">
        <v>4243</v>
      </c>
      <c r="Y4882" s="36" t="s">
        <v>3712</v>
      </c>
      <c r="Z4882" s="30" t="s">
        <v>756</v>
      </c>
      <c r="AA4882" s="30" t="s">
        <v>166</v>
      </c>
      <c r="AD4882" s="38">
        <v>7109.83</v>
      </c>
      <c r="AF4882" s="76">
        <f t="shared" si="458"/>
        <v>104203.48999999872</v>
      </c>
    </row>
    <row r="4883" spans="6:32" ht="8.25" customHeight="1" x14ac:dyDescent="0.15">
      <c r="N4883" s="52">
        <v>18</v>
      </c>
      <c r="T4883" s="33">
        <v>46210</v>
      </c>
      <c r="U4883" s="34">
        <v>2026</v>
      </c>
      <c r="V4883" s="35" t="s">
        <v>3611</v>
      </c>
      <c r="W4883" s="35" t="s">
        <v>17</v>
      </c>
      <c r="X4883" s="37" t="s">
        <v>4243</v>
      </c>
      <c r="Y4883" s="36" t="s">
        <v>3712</v>
      </c>
      <c r="Z4883" s="30" t="s">
        <v>756</v>
      </c>
      <c r="AA4883" s="134" t="s">
        <v>3304</v>
      </c>
      <c r="AD4883" s="38">
        <v>25</v>
      </c>
      <c r="AF4883" s="76">
        <f t="shared" si="458"/>
        <v>104228.48999999872</v>
      </c>
    </row>
    <row r="4884" spans="6:32" ht="8.25" customHeight="1" x14ac:dyDescent="0.25">
      <c r="N4884" s="52">
        <v>19</v>
      </c>
      <c r="T4884" s="33">
        <v>46210</v>
      </c>
      <c r="U4884" s="34">
        <v>2026</v>
      </c>
      <c r="V4884" s="35" t="s">
        <v>3611</v>
      </c>
      <c r="W4884" s="35" t="s">
        <v>17</v>
      </c>
      <c r="X4884" s="37" t="s">
        <v>4244</v>
      </c>
      <c r="Y4884" s="36" t="s">
        <v>3713</v>
      </c>
      <c r="Z4884" s="30" t="s">
        <v>303</v>
      </c>
      <c r="AA4884" s="30" t="s">
        <v>3899</v>
      </c>
      <c r="AD4884" s="38">
        <v>8452.6299999999992</v>
      </c>
      <c r="AF4884" s="76">
        <f t="shared" si="458"/>
        <v>112681.11999999873</v>
      </c>
    </row>
    <row r="4885" spans="6:32" ht="8.25" customHeight="1" x14ac:dyDescent="0.25">
      <c r="N4885" s="52">
        <v>19</v>
      </c>
      <c r="T4885" s="33">
        <v>46210</v>
      </c>
      <c r="U4885" s="34">
        <v>2026</v>
      </c>
      <c r="V4885" s="35" t="s">
        <v>3611</v>
      </c>
      <c r="W4885" s="35" t="s">
        <v>17</v>
      </c>
      <c r="X4885" s="37" t="s">
        <v>4244</v>
      </c>
      <c r="Y4885" s="36" t="s">
        <v>3713</v>
      </c>
      <c r="Z4885" s="30" t="s">
        <v>303</v>
      </c>
      <c r="AA4885" s="30" t="s">
        <v>166</v>
      </c>
      <c r="AD4885" s="38">
        <v>5547.37</v>
      </c>
      <c r="AF4885" s="76">
        <f t="shared" si="458"/>
        <v>118228.48999999872</v>
      </c>
    </row>
    <row r="4886" spans="6:32" ht="8.25" customHeight="1" x14ac:dyDescent="0.25">
      <c r="N4886" s="52">
        <v>20</v>
      </c>
      <c r="T4886" s="33">
        <v>46210</v>
      </c>
      <c r="U4886" s="34">
        <v>2026</v>
      </c>
      <c r="V4886" s="35" t="s">
        <v>3611</v>
      </c>
      <c r="W4886" s="35" t="s">
        <v>17</v>
      </c>
      <c r="X4886" s="37" t="s">
        <v>4245</v>
      </c>
      <c r="Y4886" s="36" t="s">
        <v>3714</v>
      </c>
      <c r="Z4886" s="30" t="s">
        <v>305</v>
      </c>
      <c r="AA4886" s="30" t="s">
        <v>3899</v>
      </c>
      <c r="AD4886" s="38">
        <v>6362.58</v>
      </c>
      <c r="AF4886" s="76">
        <f t="shared" si="458"/>
        <v>124591.06999999873</v>
      </c>
    </row>
    <row r="4887" spans="6:32" ht="8.25" customHeight="1" x14ac:dyDescent="0.25">
      <c r="N4887" s="52">
        <v>20</v>
      </c>
      <c r="T4887" s="33">
        <v>46210</v>
      </c>
      <c r="U4887" s="34">
        <v>2026</v>
      </c>
      <c r="V4887" s="35" t="s">
        <v>3611</v>
      </c>
      <c r="W4887" s="35" t="s">
        <v>17</v>
      </c>
      <c r="X4887" s="37" t="s">
        <v>4245</v>
      </c>
      <c r="Y4887" s="36" t="s">
        <v>3714</v>
      </c>
      <c r="Z4887" s="30" t="s">
        <v>305</v>
      </c>
      <c r="AA4887" s="30" t="s">
        <v>166</v>
      </c>
      <c r="AD4887" s="38">
        <v>4637.42</v>
      </c>
      <c r="AF4887" s="76">
        <f t="shared" si="458"/>
        <v>129228.48999999872</v>
      </c>
    </row>
    <row r="4888" spans="6:32" ht="8.25" customHeight="1" x14ac:dyDescent="0.25">
      <c r="N4888" s="52">
        <v>21</v>
      </c>
      <c r="T4888" s="33">
        <v>46210</v>
      </c>
      <c r="U4888" s="34">
        <v>2026</v>
      </c>
      <c r="V4888" s="35" t="s">
        <v>3611</v>
      </c>
      <c r="W4888" s="35" t="s">
        <v>17</v>
      </c>
      <c r="X4888" s="37" t="s">
        <v>4246</v>
      </c>
      <c r="Y4888" s="36" t="s">
        <v>3715</v>
      </c>
      <c r="Z4888" s="30" t="s">
        <v>323</v>
      </c>
      <c r="AA4888" s="30" t="s">
        <v>3899</v>
      </c>
      <c r="AD4888" s="38">
        <v>9556.7900000000009</v>
      </c>
      <c r="AF4888" s="76">
        <f t="shared" si="458"/>
        <v>138785.27999999872</v>
      </c>
    </row>
    <row r="4889" spans="6:32" ht="8.25" customHeight="1" x14ac:dyDescent="0.25">
      <c r="N4889" s="52">
        <v>21</v>
      </c>
      <c r="T4889" s="33">
        <v>46210</v>
      </c>
      <c r="U4889" s="34">
        <v>2026</v>
      </c>
      <c r="V4889" s="35" t="s">
        <v>3611</v>
      </c>
      <c r="W4889" s="35" t="s">
        <v>17</v>
      </c>
      <c r="X4889" s="37" t="s">
        <v>4246</v>
      </c>
      <c r="Y4889" s="36" t="s">
        <v>3715</v>
      </c>
      <c r="Z4889" s="30" t="s">
        <v>323</v>
      </c>
      <c r="AA4889" s="30" t="s">
        <v>166</v>
      </c>
      <c r="AD4889" s="38">
        <v>7543.21</v>
      </c>
      <c r="AF4889" s="76">
        <f t="shared" si="458"/>
        <v>146328.48999999871</v>
      </c>
    </row>
    <row r="4890" spans="6:32" ht="8.25" customHeight="1" x14ac:dyDescent="0.25">
      <c r="R4890" s="53">
        <v>6</v>
      </c>
      <c r="T4890" s="33">
        <v>46210</v>
      </c>
      <c r="U4890" s="34">
        <v>2026</v>
      </c>
      <c r="V4890" s="35" t="s">
        <v>3611</v>
      </c>
      <c r="W4890" s="35" t="s">
        <v>5</v>
      </c>
      <c r="X4890" s="37" t="s">
        <v>4247</v>
      </c>
      <c r="Y4890" s="36" t="s">
        <v>3597</v>
      </c>
      <c r="Z4890" s="30" t="s">
        <v>365</v>
      </c>
      <c r="AA4890" s="30" t="s">
        <v>92</v>
      </c>
      <c r="AE4890" s="38">
        <v>100</v>
      </c>
      <c r="AF4890" s="76">
        <f t="shared" si="458"/>
        <v>146228.48999999871</v>
      </c>
    </row>
    <row r="4891" spans="6:32" ht="8.25" customHeight="1" x14ac:dyDescent="0.25">
      <c r="R4891" s="53">
        <v>7</v>
      </c>
      <c r="T4891" s="33">
        <v>46210</v>
      </c>
      <c r="U4891" s="34">
        <v>2026</v>
      </c>
      <c r="V4891" s="35" t="s">
        <v>3611</v>
      </c>
      <c r="W4891" s="35" t="s">
        <v>5</v>
      </c>
      <c r="X4891" s="37" t="s">
        <v>4248</v>
      </c>
      <c r="Y4891" s="36" t="s">
        <v>3534</v>
      </c>
      <c r="Z4891" s="30" t="s">
        <v>1942</v>
      </c>
      <c r="AA4891" s="30" t="s">
        <v>92</v>
      </c>
      <c r="AE4891" s="38">
        <v>400</v>
      </c>
      <c r="AF4891" s="76">
        <f t="shared" si="458"/>
        <v>145828.48999999871</v>
      </c>
    </row>
    <row r="4892" spans="6:32" ht="8.25" customHeight="1" x14ac:dyDescent="0.25">
      <c r="F4892" s="53">
        <v>6</v>
      </c>
      <c r="T4892" s="33">
        <v>46210</v>
      </c>
      <c r="U4892" s="34">
        <v>2026</v>
      </c>
      <c r="V4892" s="35" t="s">
        <v>3611</v>
      </c>
      <c r="W4892" s="35" t="s">
        <v>3625</v>
      </c>
      <c r="X4892" s="37" t="s">
        <v>3716</v>
      </c>
      <c r="Y4892" s="36" t="s">
        <v>120</v>
      </c>
      <c r="Z4892" s="30" t="s">
        <v>3717</v>
      </c>
      <c r="AA4892" s="30" t="s">
        <v>3939</v>
      </c>
      <c r="AE4892" s="38">
        <v>280</v>
      </c>
      <c r="AF4892" s="76">
        <f t="shared" si="458"/>
        <v>145548.48999999871</v>
      </c>
    </row>
    <row r="4893" spans="6:32" ht="8.25" customHeight="1" x14ac:dyDescent="0.25">
      <c r="R4893" s="53">
        <v>8</v>
      </c>
      <c r="T4893" s="33">
        <v>46210</v>
      </c>
      <c r="U4893" s="34">
        <v>2026</v>
      </c>
      <c r="V4893" s="35" t="s">
        <v>3611</v>
      </c>
      <c r="W4893" s="35" t="s">
        <v>5</v>
      </c>
      <c r="X4893" s="37" t="s">
        <v>4249</v>
      </c>
      <c r="Y4893" s="36" t="s">
        <v>3535</v>
      </c>
      <c r="Z4893" s="30" t="s">
        <v>3720</v>
      </c>
      <c r="AA4893" s="30" t="s">
        <v>92</v>
      </c>
      <c r="AE4893" s="38">
        <v>12000</v>
      </c>
      <c r="AF4893" s="76">
        <f t="shared" si="458"/>
        <v>133548.48999999871</v>
      </c>
    </row>
    <row r="4894" spans="6:32" ht="8.25" customHeight="1" thickBot="1" x14ac:dyDescent="0.3">
      <c r="AA4894" s="260" t="s">
        <v>2893</v>
      </c>
      <c r="AD4894" s="233">
        <f>SUM(AD4872:AD4889)</f>
        <v>92344.000000000015</v>
      </c>
      <c r="AE4894" s="233">
        <f>SUM(AE4890:AE4893)</f>
        <v>12780</v>
      </c>
      <c r="AF4894" s="233">
        <f>AF4893</f>
        <v>133548.48999999871</v>
      </c>
    </row>
    <row r="4895" spans="6:32" ht="8.25" customHeight="1" thickTop="1" x14ac:dyDescent="0.25"/>
    <row r="4897" spans="24:32" ht="8.25" customHeight="1" x14ac:dyDescent="0.25">
      <c r="X4897" s="109"/>
      <c r="Y4897" s="67" t="s">
        <v>214</v>
      </c>
      <c r="Z4897" s="68"/>
      <c r="AA4897" s="75"/>
    </row>
    <row r="4898" spans="24:32" ht="8.25" customHeight="1" x14ac:dyDescent="0.25">
      <c r="X4898" s="110" t="s">
        <v>223</v>
      </c>
      <c r="Y4898" s="111">
        <v>200</v>
      </c>
      <c r="Z4898" s="111">
        <f t="shared" ref="Z4898:Z4903" si="459">X4898*Y4898</f>
        <v>600</v>
      </c>
      <c r="AA4898" s="112"/>
    </row>
    <row r="4899" spans="24:32" ht="8.25" customHeight="1" x14ac:dyDescent="0.25">
      <c r="X4899" s="110" t="s">
        <v>3719</v>
      </c>
      <c r="Y4899" s="111">
        <v>100</v>
      </c>
      <c r="Z4899" s="111">
        <f t="shared" si="459"/>
        <v>131500</v>
      </c>
      <c r="AA4899" s="112"/>
    </row>
    <row r="4900" spans="24:32" ht="8.25" customHeight="1" x14ac:dyDescent="0.25">
      <c r="X4900" s="110" t="s">
        <v>120</v>
      </c>
      <c r="Y4900" s="111">
        <v>50</v>
      </c>
      <c r="Z4900" s="111">
        <f t="shared" si="459"/>
        <v>0</v>
      </c>
      <c r="AA4900" s="76"/>
    </row>
    <row r="4901" spans="24:32" ht="8.25" customHeight="1" x14ac:dyDescent="0.25">
      <c r="X4901" s="110" t="s">
        <v>120</v>
      </c>
      <c r="Y4901" s="111">
        <v>20</v>
      </c>
      <c r="Z4901" s="111">
        <f t="shared" si="459"/>
        <v>0</v>
      </c>
      <c r="AA4901" s="38"/>
    </row>
    <row r="4902" spans="24:32" ht="8.25" customHeight="1" x14ac:dyDescent="0.25">
      <c r="X4902" s="110" t="s">
        <v>3718</v>
      </c>
      <c r="Y4902" s="111">
        <v>10</v>
      </c>
      <c r="Z4902" s="111">
        <f t="shared" si="459"/>
        <v>680</v>
      </c>
      <c r="AA4902" s="112"/>
    </row>
    <row r="4903" spans="24:32" ht="8.25" customHeight="1" x14ac:dyDescent="0.25">
      <c r="X4903" s="110" t="s">
        <v>481</v>
      </c>
      <c r="Y4903" s="111">
        <v>5</v>
      </c>
      <c r="Z4903" s="111">
        <f t="shared" si="459"/>
        <v>375</v>
      </c>
      <c r="AA4903" s="112"/>
    </row>
    <row r="4904" spans="24:32" ht="8.25" customHeight="1" x14ac:dyDescent="0.25">
      <c r="X4904" s="269"/>
      <c r="Y4904" s="270"/>
      <c r="Z4904" s="271"/>
      <c r="AA4904" s="38"/>
    </row>
    <row r="4905" spans="24:32" ht="8.25" customHeight="1" x14ac:dyDescent="0.25">
      <c r="X4905" s="110" t="s">
        <v>297</v>
      </c>
      <c r="Y4905" s="111">
        <v>1</v>
      </c>
      <c r="Z4905" s="111">
        <f t="shared" ref="Z4905:Z4910" si="460">X4905*Y4905</f>
        <v>309</v>
      </c>
      <c r="AA4905" s="76"/>
    </row>
    <row r="4906" spans="24:32" ht="8.25" customHeight="1" x14ac:dyDescent="0.25">
      <c r="X4906" s="110" t="s">
        <v>651</v>
      </c>
      <c r="Y4906" s="111">
        <v>0.5</v>
      </c>
      <c r="Z4906" s="111">
        <f t="shared" si="460"/>
        <v>39.5</v>
      </c>
      <c r="AA4906" s="112"/>
    </row>
    <row r="4907" spans="24:32" ht="8.25" customHeight="1" x14ac:dyDescent="0.25">
      <c r="X4907" s="110" t="s">
        <v>2026</v>
      </c>
      <c r="Y4907" s="111">
        <v>0.25</v>
      </c>
      <c r="Z4907" s="111">
        <f t="shared" si="460"/>
        <v>44.75</v>
      </c>
      <c r="AA4907" s="113" t="s">
        <v>1</v>
      </c>
    </row>
    <row r="4908" spans="24:32" ht="8.25" customHeight="1" x14ac:dyDescent="0.25">
      <c r="X4908" s="110" t="s">
        <v>224</v>
      </c>
      <c r="Y4908" s="111">
        <v>0.1</v>
      </c>
      <c r="Z4908" s="111">
        <f t="shared" si="460"/>
        <v>0.2</v>
      </c>
      <c r="AA4908" s="114" t="s">
        <v>219</v>
      </c>
    </row>
    <row r="4909" spans="24:32" ht="8.25" customHeight="1" thickBot="1" x14ac:dyDescent="0.3">
      <c r="X4909" s="110" t="s">
        <v>120</v>
      </c>
      <c r="Y4909" s="111">
        <v>0.05</v>
      </c>
      <c r="Z4909" s="111">
        <f t="shared" si="460"/>
        <v>0</v>
      </c>
      <c r="AA4909" s="115">
        <f>SUM(Z4898:Z4903)+Z4905+Z4906+Z4907+Z4908+Z4909+Z4910</f>
        <v>133548.49000000002</v>
      </c>
    </row>
    <row r="4910" spans="24:32" ht="8.25" customHeight="1" thickTop="1" x14ac:dyDescent="0.25">
      <c r="X4910" s="110" t="s">
        <v>299</v>
      </c>
      <c r="Y4910" s="111">
        <v>0.01</v>
      </c>
      <c r="Z4910" s="111">
        <f t="shared" si="460"/>
        <v>0.04</v>
      </c>
    </row>
    <row r="4912" spans="24:32" ht="8.25" customHeight="1" x14ac:dyDescent="0.25">
      <c r="Z4912" s="231" t="s">
        <v>1376</v>
      </c>
      <c r="AF4912" s="76">
        <f>AF4894</f>
        <v>133548.48999999871</v>
      </c>
    </row>
    <row r="4913" spans="4:32" ht="8.25" customHeight="1" x14ac:dyDescent="0.25">
      <c r="N4913" s="52">
        <v>22</v>
      </c>
      <c r="T4913" s="33">
        <v>46211</v>
      </c>
      <c r="U4913" s="34">
        <v>2026</v>
      </c>
      <c r="V4913" s="35" t="s">
        <v>3611</v>
      </c>
      <c r="W4913" s="35" t="s">
        <v>17</v>
      </c>
      <c r="X4913" s="37" t="s">
        <v>3942</v>
      </c>
      <c r="Y4913" s="36" t="s">
        <v>3721</v>
      </c>
      <c r="Z4913" s="30" t="s">
        <v>291</v>
      </c>
      <c r="AA4913" s="30" t="s">
        <v>3899</v>
      </c>
      <c r="AD4913" s="38">
        <v>2287.41</v>
      </c>
      <c r="AF4913" s="76">
        <f>AF4912+AD4913-AE4913</f>
        <v>135835.89999999871</v>
      </c>
    </row>
    <row r="4914" spans="4:32" ht="8.25" customHeight="1" x14ac:dyDescent="0.25">
      <c r="N4914" s="52">
        <v>22</v>
      </c>
      <c r="T4914" s="33">
        <v>46211</v>
      </c>
      <c r="U4914" s="34">
        <v>2026</v>
      </c>
      <c r="V4914" s="35" t="s">
        <v>3611</v>
      </c>
      <c r="W4914" s="35" t="s">
        <v>17</v>
      </c>
      <c r="X4914" s="37" t="s">
        <v>3942</v>
      </c>
      <c r="Y4914" s="36" t="s">
        <v>3721</v>
      </c>
      <c r="Z4914" s="30" t="s">
        <v>291</v>
      </c>
      <c r="AA4914" s="30" t="s">
        <v>166</v>
      </c>
      <c r="AD4914" s="38">
        <v>989.01</v>
      </c>
      <c r="AF4914" s="76">
        <f>AF4913+AD4914-AE4914</f>
        <v>136824.90999999872</v>
      </c>
    </row>
    <row r="4915" spans="4:32" ht="8.25" customHeight="1" x14ac:dyDescent="0.15">
      <c r="N4915" s="52">
        <v>22</v>
      </c>
      <c r="T4915" s="33">
        <v>46211</v>
      </c>
      <c r="U4915" s="34">
        <v>2026</v>
      </c>
      <c r="V4915" s="35" t="s">
        <v>3611</v>
      </c>
      <c r="W4915" s="35" t="s">
        <v>17</v>
      </c>
      <c r="X4915" s="37" t="s">
        <v>3942</v>
      </c>
      <c r="Y4915" s="36" t="s">
        <v>3721</v>
      </c>
      <c r="Z4915" s="30" t="s">
        <v>291</v>
      </c>
      <c r="AA4915" s="134" t="s">
        <v>3304</v>
      </c>
      <c r="AD4915" s="38">
        <v>25</v>
      </c>
      <c r="AF4915" s="76">
        <f>AF4914+AD4915-AE4915</f>
        <v>136849.90999999872</v>
      </c>
    </row>
    <row r="4916" spans="4:32" ht="8.25" customHeight="1" x14ac:dyDescent="0.25">
      <c r="D4916" s="52">
        <v>2</v>
      </c>
      <c r="T4916" s="33">
        <v>46211</v>
      </c>
      <c r="U4916" s="34">
        <v>2026</v>
      </c>
      <c r="V4916" s="35" t="s">
        <v>3611</v>
      </c>
      <c r="W4916" s="35" t="s">
        <v>3620</v>
      </c>
      <c r="X4916" s="37" t="s">
        <v>3722</v>
      </c>
      <c r="Y4916" s="36" t="s">
        <v>2581</v>
      </c>
      <c r="Z4916" s="30" t="s">
        <v>3723</v>
      </c>
      <c r="AA4916" s="30" t="s">
        <v>256</v>
      </c>
      <c r="AD4916" s="38">
        <v>6000</v>
      </c>
      <c r="AF4916" s="76">
        <f>AF4915+AD4916-AE4916</f>
        <v>142849.90999999872</v>
      </c>
    </row>
    <row r="4917" spans="4:32" ht="8.25" customHeight="1" x14ac:dyDescent="0.25">
      <c r="T4917" s="33">
        <v>46211</v>
      </c>
      <c r="U4917" s="34">
        <v>2026</v>
      </c>
      <c r="V4917" s="35" t="s">
        <v>3611</v>
      </c>
      <c r="W4917" s="35" t="s">
        <v>5</v>
      </c>
      <c r="X4917" s="37" t="s">
        <v>3724</v>
      </c>
      <c r="Y4917" s="36" t="s">
        <v>411</v>
      </c>
      <c r="Z4917" s="30" t="s">
        <v>291</v>
      </c>
      <c r="AA4917" s="30" t="s">
        <v>2719</v>
      </c>
      <c r="AE4917" s="38">
        <v>3301.42</v>
      </c>
      <c r="AF4917" s="76">
        <f>AF4916+AD4917-AE4917</f>
        <v>139548.48999999871</v>
      </c>
    </row>
    <row r="4918" spans="4:32" ht="8.25" customHeight="1" thickBot="1" x14ac:dyDescent="0.3">
      <c r="AA4918" s="260" t="s">
        <v>2893</v>
      </c>
      <c r="AD4918" s="233">
        <f>SUM(AD4913:AD4916)</f>
        <v>9301.42</v>
      </c>
      <c r="AE4918" s="233">
        <f>SUM(AE4917:AE4917)</f>
        <v>3301.42</v>
      </c>
      <c r="AF4918" s="233">
        <f>AF4917</f>
        <v>139548.48999999871</v>
      </c>
    </row>
    <row r="4919" spans="4:32" ht="8.25" customHeight="1" thickTop="1" x14ac:dyDescent="0.25"/>
    <row r="4920" spans="4:32" ht="8.25" customHeight="1" x14ac:dyDescent="0.25">
      <c r="X4920" s="109"/>
      <c r="Y4920" s="67" t="s">
        <v>214</v>
      </c>
      <c r="Z4920" s="68"/>
      <c r="AA4920" s="75"/>
    </row>
    <row r="4921" spans="4:32" ht="8.25" customHeight="1" x14ac:dyDescent="0.25">
      <c r="X4921" s="110" t="s">
        <v>223</v>
      </c>
      <c r="Y4921" s="111">
        <v>200</v>
      </c>
      <c r="Z4921" s="111">
        <f t="shared" ref="Z4921:Z4926" si="461">X4921*Y4921</f>
        <v>600</v>
      </c>
      <c r="AA4921" s="112"/>
    </row>
    <row r="4922" spans="4:32" ht="8.25" customHeight="1" x14ac:dyDescent="0.25">
      <c r="X4922" s="110" t="s">
        <v>3725</v>
      </c>
      <c r="Y4922" s="111">
        <v>100</v>
      </c>
      <c r="Z4922" s="111">
        <f t="shared" si="461"/>
        <v>137500</v>
      </c>
      <c r="AA4922" s="112"/>
    </row>
    <row r="4923" spans="4:32" ht="8.25" customHeight="1" x14ac:dyDescent="0.25">
      <c r="X4923" s="110" t="s">
        <v>120</v>
      </c>
      <c r="Y4923" s="111">
        <v>50</v>
      </c>
      <c r="Z4923" s="111">
        <f t="shared" si="461"/>
        <v>0</v>
      </c>
      <c r="AA4923" s="76"/>
    </row>
    <row r="4924" spans="4:32" ht="8.25" customHeight="1" x14ac:dyDescent="0.25">
      <c r="X4924" s="110" t="s">
        <v>120</v>
      </c>
      <c r="Y4924" s="111">
        <v>20</v>
      </c>
      <c r="Z4924" s="111">
        <f t="shared" si="461"/>
        <v>0</v>
      </c>
      <c r="AA4924" s="38"/>
    </row>
    <row r="4925" spans="4:32" ht="8.25" customHeight="1" x14ac:dyDescent="0.25">
      <c r="X4925" s="110" t="s">
        <v>3718</v>
      </c>
      <c r="Y4925" s="111">
        <v>10</v>
      </c>
      <c r="Z4925" s="111">
        <f t="shared" si="461"/>
        <v>680</v>
      </c>
      <c r="AA4925" s="112"/>
    </row>
    <row r="4926" spans="4:32" ht="8.25" customHeight="1" x14ac:dyDescent="0.25">
      <c r="X4926" s="110" t="s">
        <v>481</v>
      </c>
      <c r="Y4926" s="111">
        <v>5</v>
      </c>
      <c r="Z4926" s="111">
        <f t="shared" si="461"/>
        <v>375</v>
      </c>
      <c r="AA4926" s="112"/>
    </row>
    <row r="4927" spans="4:32" ht="8.25" customHeight="1" x14ac:dyDescent="0.25">
      <c r="X4927" s="269"/>
      <c r="Y4927" s="270"/>
      <c r="Z4927" s="271"/>
      <c r="AA4927" s="38"/>
    </row>
    <row r="4928" spans="4:32" ht="8.25" customHeight="1" x14ac:dyDescent="0.25">
      <c r="X4928" s="110" t="s">
        <v>297</v>
      </c>
      <c r="Y4928" s="111">
        <v>1</v>
      </c>
      <c r="Z4928" s="111">
        <f t="shared" ref="Z4928:Z4933" si="462">X4928*Y4928</f>
        <v>309</v>
      </c>
      <c r="AA4928" s="76"/>
    </row>
    <row r="4929" spans="7:32" ht="8.25" customHeight="1" x14ac:dyDescent="0.25">
      <c r="X4929" s="110" t="s">
        <v>651</v>
      </c>
      <c r="Y4929" s="111">
        <v>0.5</v>
      </c>
      <c r="Z4929" s="111">
        <f t="shared" si="462"/>
        <v>39.5</v>
      </c>
      <c r="AA4929" s="112"/>
    </row>
    <row r="4930" spans="7:32" ht="8.25" customHeight="1" x14ac:dyDescent="0.25">
      <c r="X4930" s="110" t="s">
        <v>2026</v>
      </c>
      <c r="Y4930" s="111">
        <v>0.25</v>
      </c>
      <c r="Z4930" s="111">
        <f t="shared" si="462"/>
        <v>44.75</v>
      </c>
      <c r="AA4930" s="113" t="s">
        <v>1</v>
      </c>
    </row>
    <row r="4931" spans="7:32" ht="8.25" customHeight="1" x14ac:dyDescent="0.25">
      <c r="X4931" s="110" t="s">
        <v>224</v>
      </c>
      <c r="Y4931" s="111">
        <v>0.1</v>
      </c>
      <c r="Z4931" s="111">
        <f t="shared" si="462"/>
        <v>0.2</v>
      </c>
      <c r="AA4931" s="114" t="s">
        <v>219</v>
      </c>
    </row>
    <row r="4932" spans="7:32" ht="8.25" customHeight="1" thickBot="1" x14ac:dyDescent="0.3">
      <c r="X4932" s="110" t="s">
        <v>120</v>
      </c>
      <c r="Y4932" s="111">
        <v>0.05</v>
      </c>
      <c r="Z4932" s="111">
        <f t="shared" si="462"/>
        <v>0</v>
      </c>
      <c r="AA4932" s="115">
        <f>SUM(Z4921:Z4926)+Z4928+Z4929+Z4930+Z4931+Z4932+Z4933</f>
        <v>139548.49000000002</v>
      </c>
    </row>
    <row r="4933" spans="7:32" ht="8.25" customHeight="1" thickTop="1" x14ac:dyDescent="0.25">
      <c r="X4933" s="110" t="s">
        <v>299</v>
      </c>
      <c r="Y4933" s="111">
        <v>0.01</v>
      </c>
      <c r="Z4933" s="111">
        <f t="shared" si="462"/>
        <v>0.04</v>
      </c>
    </row>
    <row r="4935" spans="7:32" ht="8.25" customHeight="1" x14ac:dyDescent="0.25">
      <c r="Z4935" s="231" t="s">
        <v>1376</v>
      </c>
      <c r="AF4935" s="76">
        <f>AF4918</f>
        <v>139548.48999999871</v>
      </c>
    </row>
    <row r="4936" spans="7:32" ht="8.25" customHeight="1" x14ac:dyDescent="0.25">
      <c r="R4936" s="53">
        <v>9</v>
      </c>
      <c r="T4936" s="33">
        <v>46212</v>
      </c>
      <c r="U4936" s="34">
        <v>2026</v>
      </c>
      <c r="V4936" s="35" t="s">
        <v>3611</v>
      </c>
      <c r="W4936" s="35" t="s">
        <v>5</v>
      </c>
      <c r="X4936" s="37" t="s">
        <v>4250</v>
      </c>
      <c r="Y4936" s="36" t="s">
        <v>3624</v>
      </c>
      <c r="Z4936" s="30" t="s">
        <v>2294</v>
      </c>
      <c r="AA4936" s="30" t="s">
        <v>92</v>
      </c>
      <c r="AE4936" s="38">
        <v>30368</v>
      </c>
      <c r="AF4936" s="76">
        <f>AF4935+AD4936-AE4936</f>
        <v>109180.48999999871</v>
      </c>
    </row>
    <row r="4937" spans="7:32" ht="8.25" customHeight="1" x14ac:dyDescent="0.25">
      <c r="G4937" s="53">
        <v>5</v>
      </c>
      <c r="T4937" s="33">
        <v>46212</v>
      </c>
      <c r="U4937" s="34">
        <v>2026</v>
      </c>
      <c r="V4937" s="35" t="s">
        <v>3611</v>
      </c>
      <c r="W4937" s="35" t="s">
        <v>3625</v>
      </c>
      <c r="X4937" s="37" t="s">
        <v>3726</v>
      </c>
      <c r="Y4937" s="36" t="s">
        <v>3727</v>
      </c>
      <c r="Z4937" s="30" t="s">
        <v>3728</v>
      </c>
      <c r="AA4937" s="30" t="s">
        <v>3945</v>
      </c>
      <c r="AE4937" s="38">
        <v>765</v>
      </c>
      <c r="AF4937" s="76">
        <f>AF4936+AD4937-AE4937</f>
        <v>108415.48999999871</v>
      </c>
    </row>
    <row r="4938" spans="7:32" ht="8.25" customHeight="1" thickBot="1" x14ac:dyDescent="0.3">
      <c r="AA4938" s="260" t="s">
        <v>2893</v>
      </c>
      <c r="AD4938" s="233">
        <f>SUM(AD4935)</f>
        <v>0</v>
      </c>
      <c r="AE4938" s="233">
        <f>SUM(AE4936:AE4937)</f>
        <v>31133</v>
      </c>
      <c r="AF4938" s="233">
        <f>AF4937</f>
        <v>108415.48999999871</v>
      </c>
    </row>
    <row r="4939" spans="7:32" ht="8.25" customHeight="1" thickTop="1" x14ac:dyDescent="0.25">
      <c r="AF4939" s="30"/>
    </row>
    <row r="4940" spans="7:32" ht="8.25" customHeight="1" x14ac:dyDescent="0.25">
      <c r="X4940" s="109"/>
      <c r="Y4940" s="67" t="s">
        <v>214</v>
      </c>
      <c r="Z4940" s="68"/>
      <c r="AA4940" s="75"/>
    </row>
    <row r="4941" spans="7:32" ht="8.25" customHeight="1" x14ac:dyDescent="0.25">
      <c r="X4941" s="110" t="s">
        <v>224</v>
      </c>
      <c r="Y4941" s="111">
        <v>200</v>
      </c>
      <c r="Z4941" s="111">
        <f t="shared" ref="Z4941:Z4946" si="463">X4941*Y4941</f>
        <v>400</v>
      </c>
      <c r="AA4941" s="112"/>
    </row>
    <row r="4942" spans="7:32" ht="8.25" customHeight="1" x14ac:dyDescent="0.25">
      <c r="X4942" s="110" t="s">
        <v>3729</v>
      </c>
      <c r="Y4942" s="111">
        <v>100</v>
      </c>
      <c r="Z4942" s="111">
        <f t="shared" si="463"/>
        <v>106700</v>
      </c>
      <c r="AA4942" s="112"/>
    </row>
    <row r="4943" spans="7:32" ht="8.25" customHeight="1" x14ac:dyDescent="0.25">
      <c r="X4943" s="110" t="s">
        <v>120</v>
      </c>
      <c r="Y4943" s="111">
        <v>50</v>
      </c>
      <c r="Z4943" s="111">
        <f t="shared" si="463"/>
        <v>0</v>
      </c>
      <c r="AA4943" s="76"/>
    </row>
    <row r="4944" spans="7:32" ht="8.25" customHeight="1" x14ac:dyDescent="0.25">
      <c r="X4944" s="110" t="s">
        <v>120</v>
      </c>
      <c r="Y4944" s="111">
        <v>20</v>
      </c>
      <c r="Z4944" s="111">
        <f t="shared" si="463"/>
        <v>0</v>
      </c>
      <c r="AA4944" s="38"/>
    </row>
    <row r="4945" spans="9:32" ht="8.25" customHeight="1" x14ac:dyDescent="0.25">
      <c r="X4945" s="110" t="s">
        <v>608</v>
      </c>
      <c r="Y4945" s="111">
        <v>10</v>
      </c>
      <c r="Z4945" s="111">
        <f t="shared" si="463"/>
        <v>550</v>
      </c>
      <c r="AA4945" s="112"/>
    </row>
    <row r="4946" spans="9:32" ht="8.25" customHeight="1" x14ac:dyDescent="0.25">
      <c r="X4946" s="110" t="s">
        <v>481</v>
      </c>
      <c r="Y4946" s="111">
        <v>5</v>
      </c>
      <c r="Z4946" s="111">
        <f t="shared" si="463"/>
        <v>375</v>
      </c>
      <c r="AA4946" s="112"/>
    </row>
    <row r="4947" spans="9:32" ht="8.25" customHeight="1" x14ac:dyDescent="0.25">
      <c r="X4947" s="269"/>
      <c r="Y4947" s="270"/>
      <c r="Z4947" s="271"/>
      <c r="AA4947" s="38"/>
    </row>
    <row r="4948" spans="9:32" ht="8.25" customHeight="1" x14ac:dyDescent="0.25">
      <c r="X4948" s="110" t="s">
        <v>660</v>
      </c>
      <c r="Y4948" s="111">
        <v>1</v>
      </c>
      <c r="Z4948" s="111">
        <f t="shared" ref="Z4948:Z4953" si="464">X4948*Y4948</f>
        <v>306</v>
      </c>
      <c r="AA4948" s="76"/>
    </row>
    <row r="4949" spans="9:32" ht="8.25" customHeight="1" x14ac:dyDescent="0.25">
      <c r="X4949" s="110" t="s">
        <v>651</v>
      </c>
      <c r="Y4949" s="111">
        <v>0.5</v>
      </c>
      <c r="Z4949" s="111">
        <f t="shared" si="464"/>
        <v>39.5</v>
      </c>
      <c r="AA4949" s="112"/>
    </row>
    <row r="4950" spans="9:32" ht="8.25" customHeight="1" x14ac:dyDescent="0.25">
      <c r="X4950" s="110" t="s">
        <v>2026</v>
      </c>
      <c r="Y4950" s="111">
        <v>0.25</v>
      </c>
      <c r="Z4950" s="111">
        <f t="shared" si="464"/>
        <v>44.75</v>
      </c>
      <c r="AA4950" s="113" t="s">
        <v>1</v>
      </c>
    </row>
    <row r="4951" spans="9:32" ht="8.25" customHeight="1" x14ac:dyDescent="0.25">
      <c r="X4951" s="110" t="s">
        <v>224</v>
      </c>
      <c r="Y4951" s="111">
        <v>0.1</v>
      </c>
      <c r="Z4951" s="111">
        <f t="shared" si="464"/>
        <v>0.2</v>
      </c>
      <c r="AA4951" s="114" t="s">
        <v>219</v>
      </c>
    </row>
    <row r="4952" spans="9:32" ht="8.25" customHeight="1" thickBot="1" x14ac:dyDescent="0.3">
      <c r="X4952" s="110" t="s">
        <v>120</v>
      </c>
      <c r="Y4952" s="111">
        <v>0.05</v>
      </c>
      <c r="Z4952" s="111">
        <f t="shared" si="464"/>
        <v>0</v>
      </c>
      <c r="AA4952" s="115">
        <f>SUM(Z4941:Z4946)+Z4948+Z4949+Z4950+Z4951+Z4952+Z4953</f>
        <v>108415.48999999999</v>
      </c>
    </row>
    <row r="4953" spans="9:32" ht="8.25" customHeight="1" thickTop="1" x14ac:dyDescent="0.25">
      <c r="X4953" s="110" t="s">
        <v>299</v>
      </c>
      <c r="Y4953" s="111">
        <v>0.01</v>
      </c>
      <c r="Z4953" s="111">
        <f t="shared" si="464"/>
        <v>0.04</v>
      </c>
    </row>
    <row r="4955" spans="9:32" ht="8.25" customHeight="1" x14ac:dyDescent="0.25">
      <c r="Z4955" s="231" t="s">
        <v>1376</v>
      </c>
      <c r="AF4955" s="76">
        <f>AF4938</f>
        <v>108415.48999999871</v>
      </c>
    </row>
    <row r="4956" spans="9:32" ht="8.25" customHeight="1" x14ac:dyDescent="0.25">
      <c r="N4956" s="52">
        <v>23</v>
      </c>
      <c r="T4956" s="33">
        <v>46213</v>
      </c>
      <c r="U4956" s="34">
        <v>2026</v>
      </c>
      <c r="V4956" s="35" t="s">
        <v>3611</v>
      </c>
      <c r="W4956" s="35" t="s">
        <v>17</v>
      </c>
      <c r="X4956" s="37" t="s">
        <v>3730</v>
      </c>
      <c r="Y4956" s="36" t="s">
        <v>2182</v>
      </c>
      <c r="Z4956" s="30" t="s">
        <v>14</v>
      </c>
      <c r="AA4956" s="30" t="s">
        <v>3899</v>
      </c>
      <c r="AD4956" s="38">
        <v>1736.62</v>
      </c>
      <c r="AF4956" s="76">
        <f>AF4955+AD4956-AE4956</f>
        <v>110152.10999999871</v>
      </c>
    </row>
    <row r="4957" spans="9:32" ht="8.25" customHeight="1" x14ac:dyDescent="0.25">
      <c r="N4957" s="52">
        <v>23</v>
      </c>
      <c r="T4957" s="33">
        <v>46213</v>
      </c>
      <c r="U4957" s="34">
        <v>2026</v>
      </c>
      <c r="V4957" s="35" t="s">
        <v>3611</v>
      </c>
      <c r="W4957" s="35" t="s">
        <v>17</v>
      </c>
      <c r="X4957" s="37" t="s">
        <v>3730</v>
      </c>
      <c r="Y4957" s="36" t="s">
        <v>2182</v>
      </c>
      <c r="Z4957" s="30" t="s">
        <v>14</v>
      </c>
      <c r="AA4957" s="30" t="s">
        <v>166</v>
      </c>
      <c r="AD4957" s="38">
        <v>1164.3800000000001</v>
      </c>
      <c r="AF4957" s="76">
        <f>AF4956+AD4957-AE4957</f>
        <v>111316.48999999871</v>
      </c>
    </row>
    <row r="4958" spans="9:32" ht="8.25" customHeight="1" x14ac:dyDescent="0.25">
      <c r="I4958" s="52">
        <v>9</v>
      </c>
      <c r="T4958" s="33">
        <v>46213</v>
      </c>
      <c r="U4958" s="34">
        <v>2026</v>
      </c>
      <c r="V4958" s="35" t="s">
        <v>3611</v>
      </c>
      <c r="W4958" s="35" t="s">
        <v>17</v>
      </c>
      <c r="X4958" s="37" t="s">
        <v>3731</v>
      </c>
      <c r="Y4958" s="36" t="s">
        <v>3732</v>
      </c>
      <c r="Z4958" s="30" t="s">
        <v>492</v>
      </c>
      <c r="AA4958" s="30" t="s">
        <v>13</v>
      </c>
      <c r="AD4958" s="38">
        <v>200</v>
      </c>
      <c r="AF4958" s="76">
        <f t="shared" ref="AF4958:AF4986" si="465">AF4957+AD4958-AE4958</f>
        <v>111516.48999999871</v>
      </c>
    </row>
    <row r="4959" spans="9:32" ht="8.25" customHeight="1" x14ac:dyDescent="0.25">
      <c r="K4959" s="52">
        <v>3</v>
      </c>
      <c r="T4959" s="33">
        <v>46213</v>
      </c>
      <c r="U4959" s="34">
        <v>2026</v>
      </c>
      <c r="V4959" s="35" t="s">
        <v>3611</v>
      </c>
      <c r="W4959" s="35" t="s">
        <v>17</v>
      </c>
      <c r="X4959" s="37" t="s">
        <v>3733</v>
      </c>
      <c r="Y4959" s="36" t="s">
        <v>3734</v>
      </c>
      <c r="Z4959" s="30" t="s">
        <v>3735</v>
      </c>
      <c r="AA4959" s="30" t="s">
        <v>1787</v>
      </c>
      <c r="AD4959" s="38">
        <v>100</v>
      </c>
      <c r="AF4959" s="76">
        <f t="shared" si="465"/>
        <v>111616.48999999871</v>
      </c>
    </row>
    <row r="4960" spans="9:32" ht="8.25" customHeight="1" x14ac:dyDescent="0.25">
      <c r="L4960" s="52">
        <v>3</v>
      </c>
      <c r="T4960" s="33">
        <v>46213</v>
      </c>
      <c r="U4960" s="34">
        <v>2026</v>
      </c>
      <c r="V4960" s="35" t="s">
        <v>3611</v>
      </c>
      <c r="W4960" s="35" t="s">
        <v>17</v>
      </c>
      <c r="X4960" s="37" t="s">
        <v>3736</v>
      </c>
      <c r="Y4960" s="36" t="s">
        <v>3982</v>
      </c>
      <c r="Z4960" s="30" t="s">
        <v>3735</v>
      </c>
      <c r="AA4960" s="30" t="s">
        <v>373</v>
      </c>
      <c r="AD4960" s="38">
        <v>50</v>
      </c>
      <c r="AF4960" s="76">
        <f t="shared" si="465"/>
        <v>111666.48999999871</v>
      </c>
    </row>
    <row r="4961" spans="9:32" ht="8.25" customHeight="1" x14ac:dyDescent="0.25">
      <c r="N4961" s="52">
        <v>24</v>
      </c>
      <c r="T4961" s="33">
        <v>46213</v>
      </c>
      <c r="U4961" s="34">
        <v>2026</v>
      </c>
      <c r="V4961" s="35" t="s">
        <v>3611</v>
      </c>
      <c r="W4961" s="35" t="s">
        <v>17</v>
      </c>
      <c r="X4961" s="37" t="s">
        <v>3737</v>
      </c>
      <c r="Y4961" s="36" t="s">
        <v>3738</v>
      </c>
      <c r="Z4961" s="30" t="s">
        <v>686</v>
      </c>
      <c r="AA4961" s="30" t="s">
        <v>3899</v>
      </c>
      <c r="AD4961" s="38">
        <v>17113.689999999999</v>
      </c>
      <c r="AF4961" s="76">
        <f t="shared" si="465"/>
        <v>128780.17999999871</v>
      </c>
    </row>
    <row r="4962" spans="9:32" ht="8.25" customHeight="1" x14ac:dyDescent="0.25">
      <c r="N4962" s="52">
        <v>24</v>
      </c>
      <c r="T4962" s="33">
        <v>46213</v>
      </c>
      <c r="U4962" s="34">
        <v>2026</v>
      </c>
      <c r="V4962" s="35" t="s">
        <v>3611</v>
      </c>
      <c r="W4962" s="35" t="s">
        <v>17</v>
      </c>
      <c r="X4962" s="37" t="s">
        <v>3737</v>
      </c>
      <c r="Y4962" s="36" t="s">
        <v>3738</v>
      </c>
      <c r="Z4962" s="30" t="s">
        <v>686</v>
      </c>
      <c r="AA4962" s="30" t="s">
        <v>166</v>
      </c>
      <c r="AD4962" s="38">
        <v>12886.31</v>
      </c>
      <c r="AF4962" s="76">
        <f t="shared" si="465"/>
        <v>141666.48999999871</v>
      </c>
    </row>
    <row r="4963" spans="9:32" ht="8.25" customHeight="1" x14ac:dyDescent="0.25">
      <c r="N4963" s="52">
        <v>25</v>
      </c>
      <c r="T4963" s="33">
        <v>46213</v>
      </c>
      <c r="U4963" s="34">
        <v>2026</v>
      </c>
      <c r="V4963" s="35" t="s">
        <v>3611</v>
      </c>
      <c r="W4963" s="35" t="s">
        <v>17</v>
      </c>
      <c r="X4963" s="37" t="s">
        <v>3739</v>
      </c>
      <c r="Y4963" s="36" t="s">
        <v>3740</v>
      </c>
      <c r="Z4963" s="30" t="s">
        <v>440</v>
      </c>
      <c r="AA4963" s="30" t="s">
        <v>3899</v>
      </c>
      <c r="AD4963" s="38">
        <v>6036.39</v>
      </c>
      <c r="AF4963" s="76">
        <f t="shared" si="465"/>
        <v>147702.87999999872</v>
      </c>
    </row>
    <row r="4964" spans="9:32" ht="8.25" customHeight="1" x14ac:dyDescent="0.25">
      <c r="N4964" s="52">
        <v>25</v>
      </c>
      <c r="T4964" s="33">
        <v>46213</v>
      </c>
      <c r="U4964" s="34">
        <v>2026</v>
      </c>
      <c r="V4964" s="35" t="s">
        <v>3611</v>
      </c>
      <c r="W4964" s="35" t="s">
        <v>17</v>
      </c>
      <c r="X4964" s="37" t="s">
        <v>3739</v>
      </c>
      <c r="Y4964" s="36" t="s">
        <v>3740</v>
      </c>
      <c r="Z4964" s="30" t="s">
        <v>440</v>
      </c>
      <c r="AA4964" s="30" t="s">
        <v>166</v>
      </c>
      <c r="AD4964" s="38">
        <v>3963.61</v>
      </c>
      <c r="AF4964" s="76">
        <f t="shared" si="465"/>
        <v>151666.48999999871</v>
      </c>
    </row>
    <row r="4965" spans="9:32" ht="8.25" customHeight="1" x14ac:dyDescent="0.25">
      <c r="N4965" s="52">
        <v>26</v>
      </c>
      <c r="T4965" s="33">
        <v>46213</v>
      </c>
      <c r="U4965" s="34">
        <v>2026</v>
      </c>
      <c r="V4965" s="35" t="s">
        <v>3611</v>
      </c>
      <c r="W4965" s="35" t="s">
        <v>17</v>
      </c>
      <c r="X4965" s="37" t="s">
        <v>3741</v>
      </c>
      <c r="Y4965" s="36" t="s">
        <v>3742</v>
      </c>
      <c r="Z4965" s="30" t="s">
        <v>443</v>
      </c>
      <c r="AA4965" s="30" t="s">
        <v>3899</v>
      </c>
      <c r="AD4965" s="38">
        <v>6180.16</v>
      </c>
      <c r="AF4965" s="76">
        <f t="shared" si="465"/>
        <v>157846.64999999871</v>
      </c>
    </row>
    <row r="4966" spans="9:32" ht="8.25" customHeight="1" x14ac:dyDescent="0.25">
      <c r="N4966" s="52">
        <v>26</v>
      </c>
      <c r="T4966" s="33">
        <v>46213</v>
      </c>
      <c r="U4966" s="34">
        <v>2026</v>
      </c>
      <c r="V4966" s="35" t="s">
        <v>3611</v>
      </c>
      <c r="W4966" s="35" t="s">
        <v>17</v>
      </c>
      <c r="X4966" s="37" t="s">
        <v>3741</v>
      </c>
      <c r="Y4966" s="36" t="s">
        <v>3742</v>
      </c>
      <c r="Z4966" s="30" t="s">
        <v>443</v>
      </c>
      <c r="AA4966" s="30" t="s">
        <v>166</v>
      </c>
      <c r="AD4966" s="38">
        <v>3819.84</v>
      </c>
      <c r="AF4966" s="76">
        <f t="shared" si="465"/>
        <v>161666.48999999871</v>
      </c>
    </row>
    <row r="4967" spans="9:32" ht="8.25" customHeight="1" x14ac:dyDescent="0.25">
      <c r="N4967" s="52">
        <v>27</v>
      </c>
      <c r="T4967" s="33">
        <v>46213</v>
      </c>
      <c r="U4967" s="34">
        <v>2026</v>
      </c>
      <c r="V4967" s="35" t="s">
        <v>3611</v>
      </c>
      <c r="W4967" s="35" t="s">
        <v>17</v>
      </c>
      <c r="X4967" s="37" t="s">
        <v>3743</v>
      </c>
      <c r="Y4967" s="36" t="s">
        <v>3744</v>
      </c>
      <c r="Z4967" s="30" t="s">
        <v>415</v>
      </c>
      <c r="AA4967" s="30" t="s">
        <v>3899</v>
      </c>
      <c r="AD4967" s="38">
        <v>5869.82</v>
      </c>
      <c r="AF4967" s="76">
        <f t="shared" si="465"/>
        <v>167536.30999999872</v>
      </c>
    </row>
    <row r="4968" spans="9:32" ht="8.25" customHeight="1" x14ac:dyDescent="0.25">
      <c r="N4968" s="52">
        <v>27</v>
      </c>
      <c r="T4968" s="33">
        <v>46213</v>
      </c>
      <c r="U4968" s="34">
        <v>2026</v>
      </c>
      <c r="V4968" s="35" t="s">
        <v>3611</v>
      </c>
      <c r="W4968" s="35" t="s">
        <v>17</v>
      </c>
      <c r="X4968" s="37" t="s">
        <v>3743</v>
      </c>
      <c r="Y4968" s="36" t="s">
        <v>3744</v>
      </c>
      <c r="Z4968" s="30" t="s">
        <v>415</v>
      </c>
      <c r="AA4968" s="30" t="s">
        <v>166</v>
      </c>
      <c r="AD4968" s="38">
        <v>9130.18</v>
      </c>
      <c r="AF4968" s="76">
        <f t="shared" si="465"/>
        <v>176666.48999999871</v>
      </c>
    </row>
    <row r="4969" spans="9:32" ht="8.25" customHeight="1" x14ac:dyDescent="0.25">
      <c r="I4969" s="52">
        <v>10</v>
      </c>
      <c r="T4969" s="33">
        <v>46213</v>
      </c>
      <c r="U4969" s="34">
        <v>2026</v>
      </c>
      <c r="V4969" s="35" t="s">
        <v>3611</v>
      </c>
      <c r="W4969" s="35" t="s">
        <v>17</v>
      </c>
      <c r="X4969" s="37" t="s">
        <v>3745</v>
      </c>
      <c r="Y4969" s="36" t="s">
        <v>3511</v>
      </c>
      <c r="Z4969" s="30" t="s">
        <v>745</v>
      </c>
      <c r="AA4969" s="30" t="s">
        <v>13</v>
      </c>
      <c r="AD4969" s="38">
        <v>300</v>
      </c>
      <c r="AF4969" s="76">
        <f t="shared" si="465"/>
        <v>176966.48999999871</v>
      </c>
    </row>
    <row r="4970" spans="9:32" ht="8.25" customHeight="1" x14ac:dyDescent="0.25">
      <c r="I4970" s="52">
        <v>11</v>
      </c>
      <c r="T4970" s="33">
        <v>46213</v>
      </c>
      <c r="U4970" s="34">
        <v>2026</v>
      </c>
      <c r="V4970" s="35" t="s">
        <v>3611</v>
      </c>
      <c r="W4970" s="35" t="s">
        <v>17</v>
      </c>
      <c r="X4970" s="37" t="s">
        <v>3746</v>
      </c>
      <c r="Y4970" s="36" t="s">
        <v>3684</v>
      </c>
      <c r="Z4970" s="30" t="s">
        <v>420</v>
      </c>
      <c r="AA4970" s="30" t="s">
        <v>13</v>
      </c>
      <c r="AD4970" s="38">
        <v>200</v>
      </c>
      <c r="AF4970" s="76">
        <f t="shared" si="465"/>
        <v>177166.48999999871</v>
      </c>
    </row>
    <row r="4971" spans="9:32" ht="8.25" customHeight="1" x14ac:dyDescent="0.25">
      <c r="M4971" s="52">
        <v>4</v>
      </c>
      <c r="T4971" s="33">
        <v>46213</v>
      </c>
      <c r="U4971" s="34">
        <v>2026</v>
      </c>
      <c r="V4971" s="35" t="s">
        <v>3611</v>
      </c>
      <c r="W4971" s="35" t="s">
        <v>17</v>
      </c>
      <c r="X4971" s="37" t="s">
        <v>3747</v>
      </c>
      <c r="Y4971" s="36" t="s">
        <v>3982</v>
      </c>
      <c r="Z4971" s="30" t="s">
        <v>3735</v>
      </c>
      <c r="AA4971" s="30" t="s">
        <v>385</v>
      </c>
      <c r="AD4971" s="38">
        <v>227.27</v>
      </c>
      <c r="AF4971" s="76">
        <f t="shared" si="465"/>
        <v>177393.7599999987</v>
      </c>
    </row>
    <row r="4972" spans="9:32" ht="8.25" customHeight="1" x14ac:dyDescent="0.25">
      <c r="I4972" s="52">
        <v>12</v>
      </c>
      <c r="T4972" s="33">
        <v>46213</v>
      </c>
      <c r="U4972" s="34">
        <v>2026</v>
      </c>
      <c r="V4972" s="35" t="s">
        <v>3611</v>
      </c>
      <c r="W4972" s="35" t="s">
        <v>17</v>
      </c>
      <c r="X4972" s="37" t="s">
        <v>3748</v>
      </c>
      <c r="Y4972" s="36" t="s">
        <v>4251</v>
      </c>
      <c r="Z4972" s="30" t="s">
        <v>3735</v>
      </c>
      <c r="AA4972" s="30" t="s">
        <v>13</v>
      </c>
      <c r="AD4972" s="38">
        <v>1136.3699999999999</v>
      </c>
      <c r="AF4972" s="76">
        <f t="shared" si="465"/>
        <v>178530.12999999869</v>
      </c>
    </row>
    <row r="4973" spans="9:32" ht="8.25" customHeight="1" x14ac:dyDescent="0.25">
      <c r="N4973" s="52">
        <v>28</v>
      </c>
      <c r="T4973" s="33">
        <v>46213</v>
      </c>
      <c r="U4973" s="34">
        <v>2026</v>
      </c>
      <c r="V4973" s="35" t="s">
        <v>3611</v>
      </c>
      <c r="W4973" s="35" t="s">
        <v>17</v>
      </c>
      <c r="X4973" s="37" t="s">
        <v>3749</v>
      </c>
      <c r="Y4973" s="36" t="s">
        <v>2678</v>
      </c>
      <c r="Z4973" s="30" t="s">
        <v>784</v>
      </c>
      <c r="AA4973" s="30" t="s">
        <v>166</v>
      </c>
      <c r="AD4973" s="38">
        <v>355</v>
      </c>
      <c r="AF4973" s="76">
        <f t="shared" si="465"/>
        <v>178885.12999999869</v>
      </c>
    </row>
    <row r="4974" spans="9:32" ht="8.25" customHeight="1" x14ac:dyDescent="0.15">
      <c r="N4974" s="52">
        <v>28</v>
      </c>
      <c r="T4974" s="33">
        <v>46213</v>
      </c>
      <c r="U4974" s="34">
        <v>2026</v>
      </c>
      <c r="V4974" s="35" t="s">
        <v>3611</v>
      </c>
      <c r="W4974" s="35" t="s">
        <v>17</v>
      </c>
      <c r="X4974" s="37" t="s">
        <v>3749</v>
      </c>
      <c r="Y4974" s="36" t="s">
        <v>2678</v>
      </c>
      <c r="Z4974" s="30" t="s">
        <v>784</v>
      </c>
      <c r="AA4974" s="134" t="s">
        <v>3304</v>
      </c>
      <c r="AD4974" s="38">
        <v>145</v>
      </c>
      <c r="AF4974" s="76">
        <f t="shared" si="465"/>
        <v>179030.12999999869</v>
      </c>
    </row>
    <row r="4975" spans="9:32" ht="8.25" customHeight="1" x14ac:dyDescent="0.25">
      <c r="I4975" s="52">
        <v>13</v>
      </c>
      <c r="T4975" s="33">
        <v>46213</v>
      </c>
      <c r="U4975" s="34">
        <v>2026</v>
      </c>
      <c r="V4975" s="35" t="s">
        <v>3611</v>
      </c>
      <c r="W4975" s="35" t="s">
        <v>17</v>
      </c>
      <c r="X4975" s="37" t="s">
        <v>3758</v>
      </c>
      <c r="Y4975" s="36" t="s">
        <v>3581</v>
      </c>
      <c r="Z4975" s="30" t="s">
        <v>578</v>
      </c>
      <c r="AA4975" s="30" t="s">
        <v>13</v>
      </c>
      <c r="AD4975" s="38">
        <v>3000</v>
      </c>
      <c r="AF4975" s="76">
        <f t="shared" si="465"/>
        <v>182030.12999999869</v>
      </c>
    </row>
    <row r="4976" spans="9:32" ht="8.25" customHeight="1" x14ac:dyDescent="0.25">
      <c r="N4976" s="52">
        <v>29</v>
      </c>
      <c r="T4976" s="33">
        <v>46213</v>
      </c>
      <c r="U4976" s="34">
        <v>2026</v>
      </c>
      <c r="V4976" s="35" t="s">
        <v>3611</v>
      </c>
      <c r="W4976" s="35" t="s">
        <v>17</v>
      </c>
      <c r="X4976" s="37" t="s">
        <v>3764</v>
      </c>
      <c r="Y4976" s="36" t="s">
        <v>3765</v>
      </c>
      <c r="Z4976" s="30" t="s">
        <v>3766</v>
      </c>
      <c r="AA4976" s="30" t="s">
        <v>166</v>
      </c>
      <c r="AD4976" s="38">
        <v>465</v>
      </c>
      <c r="AF4976" s="76">
        <f t="shared" si="465"/>
        <v>182495.12999999869</v>
      </c>
    </row>
    <row r="4977" spans="6:32" ht="8.25" customHeight="1" x14ac:dyDescent="0.15">
      <c r="N4977" s="52">
        <v>29</v>
      </c>
      <c r="T4977" s="33">
        <v>46213</v>
      </c>
      <c r="U4977" s="34">
        <v>2026</v>
      </c>
      <c r="V4977" s="35" t="s">
        <v>3611</v>
      </c>
      <c r="W4977" s="35" t="s">
        <v>17</v>
      </c>
      <c r="X4977" s="37" t="s">
        <v>3764</v>
      </c>
      <c r="Y4977" s="36" t="s">
        <v>3765</v>
      </c>
      <c r="Z4977" s="30" t="s">
        <v>3766</v>
      </c>
      <c r="AA4977" s="134" t="s">
        <v>3304</v>
      </c>
      <c r="AD4977" s="38">
        <v>535</v>
      </c>
      <c r="AF4977" s="76">
        <f t="shared" si="465"/>
        <v>183030.12999999869</v>
      </c>
    </row>
    <row r="4978" spans="6:32" ht="8.25" customHeight="1" x14ac:dyDescent="0.25">
      <c r="R4978" s="53">
        <v>10</v>
      </c>
      <c r="T4978" s="33">
        <v>46213</v>
      </c>
      <c r="U4978" s="34">
        <v>2026</v>
      </c>
      <c r="V4978" s="35" t="s">
        <v>3611</v>
      </c>
      <c r="W4978" s="35" t="s">
        <v>5</v>
      </c>
      <c r="X4978" s="37" t="s">
        <v>3750</v>
      </c>
      <c r="Y4978" s="36" t="s">
        <v>3751</v>
      </c>
      <c r="Z4978" s="30" t="s">
        <v>3752</v>
      </c>
      <c r="AA4978" s="30" t="s">
        <v>92</v>
      </c>
      <c r="AE4978" s="38">
        <v>400</v>
      </c>
      <c r="AF4978" s="76">
        <f t="shared" si="465"/>
        <v>182630.12999999869</v>
      </c>
    </row>
    <row r="4979" spans="6:32" ht="8.25" customHeight="1" x14ac:dyDescent="0.25">
      <c r="R4979" s="53">
        <v>11</v>
      </c>
      <c r="T4979" s="33">
        <v>46213</v>
      </c>
      <c r="U4979" s="34">
        <v>2026</v>
      </c>
      <c r="V4979" s="35" t="s">
        <v>3611</v>
      </c>
      <c r="W4979" s="35" t="s">
        <v>5</v>
      </c>
      <c r="X4979" s="37" t="s">
        <v>3753</v>
      </c>
      <c r="Y4979" s="36" t="s">
        <v>3534</v>
      </c>
      <c r="Z4979" s="30" t="s">
        <v>1942</v>
      </c>
      <c r="AA4979" s="30" t="s">
        <v>92</v>
      </c>
      <c r="AE4979" s="38">
        <v>400</v>
      </c>
      <c r="AF4979" s="76">
        <f t="shared" si="465"/>
        <v>182230.12999999869</v>
      </c>
    </row>
    <row r="4980" spans="6:32" ht="8.25" customHeight="1" x14ac:dyDescent="0.25">
      <c r="R4980" s="53">
        <v>12</v>
      </c>
      <c r="T4980" s="33">
        <v>46213</v>
      </c>
      <c r="U4980" s="34">
        <v>2026</v>
      </c>
      <c r="V4980" s="35" t="s">
        <v>3611</v>
      </c>
      <c r="W4980" s="35" t="s">
        <v>5</v>
      </c>
      <c r="X4980" s="37" t="s">
        <v>3754</v>
      </c>
      <c r="Y4980" s="36" t="s">
        <v>3755</v>
      </c>
      <c r="Z4980" s="30" t="s">
        <v>3735</v>
      </c>
      <c r="AA4980" s="30" t="s">
        <v>395</v>
      </c>
      <c r="AE4980" s="38">
        <v>11363.64</v>
      </c>
      <c r="AF4980" s="76">
        <f t="shared" si="465"/>
        <v>170866.48999999871</v>
      </c>
    </row>
    <row r="4981" spans="6:32" ht="8.25" customHeight="1" x14ac:dyDescent="0.25">
      <c r="G4981" s="53">
        <v>6</v>
      </c>
      <c r="T4981" s="33">
        <v>46213</v>
      </c>
      <c r="U4981" s="34">
        <v>2026</v>
      </c>
      <c r="V4981" s="35" t="s">
        <v>3611</v>
      </c>
      <c r="W4981" s="35" t="s">
        <v>3625</v>
      </c>
      <c r="X4981" s="37" t="s">
        <v>3756</v>
      </c>
      <c r="Y4981" s="36" t="s">
        <v>3849</v>
      </c>
      <c r="Z4981" s="30" t="s">
        <v>2307</v>
      </c>
      <c r="AA4981" s="30" t="s">
        <v>3945</v>
      </c>
      <c r="AE4981" s="38">
        <v>7772.4</v>
      </c>
      <c r="AF4981" s="76">
        <f t="shared" si="465"/>
        <v>163094.08999999872</v>
      </c>
    </row>
    <row r="4982" spans="6:32" ht="8.25" customHeight="1" x14ac:dyDescent="0.25">
      <c r="R4982" s="53">
        <v>13</v>
      </c>
      <c r="T4982" s="33">
        <v>46213</v>
      </c>
      <c r="U4982" s="34">
        <v>2026</v>
      </c>
      <c r="V4982" s="35" t="s">
        <v>3611</v>
      </c>
      <c r="W4982" s="35" t="s">
        <v>5</v>
      </c>
      <c r="X4982" s="37" t="s">
        <v>3757</v>
      </c>
      <c r="Y4982" s="36" t="s">
        <v>3535</v>
      </c>
      <c r="Z4982" s="30" t="s">
        <v>845</v>
      </c>
      <c r="AA4982" s="30" t="s">
        <v>92</v>
      </c>
      <c r="AE4982" s="38">
        <v>3000</v>
      </c>
      <c r="AF4982" s="76">
        <f t="shared" si="465"/>
        <v>160094.08999999872</v>
      </c>
    </row>
    <row r="4983" spans="6:32" ht="8.25" customHeight="1" x14ac:dyDescent="0.25">
      <c r="G4983" s="53">
        <v>7</v>
      </c>
      <c r="T4983" s="33">
        <v>46213</v>
      </c>
      <c r="U4983" s="34">
        <v>2026</v>
      </c>
      <c r="V4983" s="35" t="s">
        <v>3611</v>
      </c>
      <c r="W4983" s="35" t="s">
        <v>3625</v>
      </c>
      <c r="X4983" s="37" t="s">
        <v>3759</v>
      </c>
      <c r="Y4983" s="36" t="s">
        <v>3850</v>
      </c>
      <c r="Z4983" s="30" t="s">
        <v>316</v>
      </c>
      <c r="AA4983" s="30" t="s">
        <v>3945</v>
      </c>
      <c r="AE4983" s="38">
        <v>2348.0100000000002</v>
      </c>
      <c r="AF4983" s="76">
        <f t="shared" si="465"/>
        <v>157746.07999999871</v>
      </c>
    </row>
    <row r="4984" spans="6:32" ht="8.25" customHeight="1" x14ac:dyDescent="0.25">
      <c r="F4984" s="53">
        <v>7</v>
      </c>
      <c r="T4984" s="33">
        <v>46213</v>
      </c>
      <c r="U4984" s="34">
        <v>2026</v>
      </c>
      <c r="V4984" s="35" t="s">
        <v>3611</v>
      </c>
      <c r="W4984" s="35" t="s">
        <v>3625</v>
      </c>
      <c r="X4984" s="37" t="s">
        <v>3760</v>
      </c>
      <c r="Y4984" s="36" t="s">
        <v>120</v>
      </c>
      <c r="Z4984" s="30" t="s">
        <v>1393</v>
      </c>
      <c r="AA4984" s="30" t="s">
        <v>3939</v>
      </c>
      <c r="AE4984" s="38">
        <v>200</v>
      </c>
      <c r="AF4984" s="76">
        <f t="shared" si="465"/>
        <v>157546.07999999871</v>
      </c>
    </row>
    <row r="4985" spans="6:32" ht="8.25" customHeight="1" x14ac:dyDescent="0.25">
      <c r="R4985" s="53">
        <v>14</v>
      </c>
      <c r="T4985" s="33">
        <v>46213</v>
      </c>
      <c r="U4985" s="34">
        <v>2026</v>
      </c>
      <c r="V4985" s="35" t="s">
        <v>3611</v>
      </c>
      <c r="W4985" s="35" t="s">
        <v>5</v>
      </c>
      <c r="X4985" s="37" t="s">
        <v>3761</v>
      </c>
      <c r="Y4985" s="36" t="s">
        <v>3547</v>
      </c>
      <c r="Z4985" s="30" t="s">
        <v>645</v>
      </c>
      <c r="AA4985" s="30" t="s">
        <v>92</v>
      </c>
      <c r="AE4985" s="38">
        <v>700</v>
      </c>
      <c r="AF4985" s="76">
        <f t="shared" si="465"/>
        <v>156846.07999999871</v>
      </c>
    </row>
    <row r="4986" spans="6:32" ht="8.25" customHeight="1" x14ac:dyDescent="0.25">
      <c r="T4986" s="33">
        <v>46213</v>
      </c>
      <c r="U4986" s="34">
        <v>2026</v>
      </c>
      <c r="V4986" s="35" t="s">
        <v>3611</v>
      </c>
      <c r="W4986" s="35" t="s">
        <v>5</v>
      </c>
      <c r="X4986" s="37" t="s">
        <v>3763</v>
      </c>
      <c r="Y4986" s="36" t="s">
        <v>411</v>
      </c>
      <c r="Z4986" s="30" t="s">
        <v>3766</v>
      </c>
      <c r="AA4986" s="30" t="s">
        <v>2719</v>
      </c>
      <c r="AE4986" s="38">
        <v>1000</v>
      </c>
      <c r="AF4986" s="76">
        <f t="shared" si="465"/>
        <v>155846.07999999871</v>
      </c>
    </row>
    <row r="4987" spans="6:32" ht="8.25" customHeight="1" thickBot="1" x14ac:dyDescent="0.3">
      <c r="AA4987" s="260" t="s">
        <v>2893</v>
      </c>
      <c r="AD4987" s="233">
        <f>SUM(AD4956:AD4977)</f>
        <v>74614.64</v>
      </c>
      <c r="AE4987" s="233">
        <f>SUM(AE4978:AE4986)</f>
        <v>27184.050000000003</v>
      </c>
      <c r="AF4987" s="233">
        <f>AF4955+AD4987-AE4987</f>
        <v>155846.07999999874</v>
      </c>
    </row>
    <row r="4988" spans="6:32" ht="8.25" customHeight="1" thickTop="1" x14ac:dyDescent="0.25"/>
    <row r="4989" spans="6:32" ht="8.25" customHeight="1" x14ac:dyDescent="0.25">
      <c r="X4989" s="109"/>
      <c r="Y4989" s="67" t="s">
        <v>214</v>
      </c>
      <c r="Z4989" s="68"/>
      <c r="AA4989" s="75"/>
    </row>
    <row r="4990" spans="6:32" ht="8.25" customHeight="1" x14ac:dyDescent="0.25">
      <c r="X4990" s="110" t="s">
        <v>222</v>
      </c>
      <c r="Y4990" s="111">
        <v>200</v>
      </c>
      <c r="Z4990" s="111">
        <f t="shared" ref="Z4990:Z4995" si="466">X4990*Y4990</f>
        <v>200</v>
      </c>
      <c r="AA4990" s="112"/>
    </row>
    <row r="4991" spans="6:32" ht="8.25" customHeight="1" x14ac:dyDescent="0.25">
      <c r="X4991" s="110" t="s">
        <v>3762</v>
      </c>
      <c r="Y4991" s="111">
        <v>100</v>
      </c>
      <c r="Z4991" s="111">
        <f t="shared" si="466"/>
        <v>154400</v>
      </c>
      <c r="AA4991" s="112"/>
    </row>
    <row r="4992" spans="6:32" ht="8.25" customHeight="1" x14ac:dyDescent="0.25">
      <c r="X4992" s="110" t="s">
        <v>120</v>
      </c>
      <c r="Y4992" s="111">
        <v>50</v>
      </c>
      <c r="Z4992" s="111">
        <f t="shared" si="466"/>
        <v>0</v>
      </c>
      <c r="AA4992" s="76"/>
    </row>
    <row r="4993" spans="14:32" ht="8.25" customHeight="1" x14ac:dyDescent="0.25">
      <c r="X4993" s="110" t="s">
        <v>120</v>
      </c>
      <c r="Y4993" s="111">
        <v>20</v>
      </c>
      <c r="Z4993" s="111">
        <f t="shared" si="466"/>
        <v>0</v>
      </c>
      <c r="AA4993" s="38"/>
    </row>
    <row r="4994" spans="14:32" ht="8.25" customHeight="1" x14ac:dyDescent="0.25">
      <c r="X4994" s="110" t="s">
        <v>1012</v>
      </c>
      <c r="Y4994" s="111">
        <v>10</v>
      </c>
      <c r="Z4994" s="111">
        <f t="shared" si="466"/>
        <v>490</v>
      </c>
      <c r="AA4994" s="112"/>
    </row>
    <row r="4995" spans="14:32" ht="8.25" customHeight="1" x14ac:dyDescent="0.25">
      <c r="X4995" s="110" t="s">
        <v>296</v>
      </c>
      <c r="Y4995" s="111">
        <v>5</v>
      </c>
      <c r="Z4995" s="111">
        <f t="shared" si="466"/>
        <v>370</v>
      </c>
      <c r="AA4995" s="112"/>
    </row>
    <row r="4996" spans="14:32" ht="8.25" customHeight="1" x14ac:dyDescent="0.25">
      <c r="X4996" s="269"/>
      <c r="Y4996" s="270"/>
      <c r="Z4996" s="271"/>
      <c r="AA4996" s="38"/>
    </row>
    <row r="4997" spans="14:32" ht="8.25" customHeight="1" x14ac:dyDescent="0.25">
      <c r="X4997" s="110" t="s">
        <v>649</v>
      </c>
      <c r="Y4997" s="111">
        <v>1</v>
      </c>
      <c r="Z4997" s="111">
        <f t="shared" ref="Z4997:Z5002" si="467">X4997*Y4997</f>
        <v>302</v>
      </c>
      <c r="AA4997" s="76"/>
    </row>
    <row r="4998" spans="14:32" ht="8.25" customHeight="1" x14ac:dyDescent="0.25">
      <c r="X4998" s="110" t="s">
        <v>651</v>
      </c>
      <c r="Y4998" s="111">
        <v>0.5</v>
      </c>
      <c r="Z4998" s="111">
        <f t="shared" si="467"/>
        <v>39.5</v>
      </c>
      <c r="AA4998" s="112"/>
    </row>
    <row r="4999" spans="14:32" ht="8.25" customHeight="1" x14ac:dyDescent="0.25">
      <c r="X4999" s="110" t="s">
        <v>2062</v>
      </c>
      <c r="Y4999" s="111">
        <v>0.25</v>
      </c>
      <c r="Z4999" s="111">
        <f t="shared" si="467"/>
        <v>44.5</v>
      </c>
      <c r="AA4999" s="113" t="s">
        <v>1</v>
      </c>
    </row>
    <row r="5000" spans="14:32" ht="8.25" customHeight="1" x14ac:dyDescent="0.25">
      <c r="X5000" s="110" t="s">
        <v>120</v>
      </c>
      <c r="Y5000" s="111">
        <v>0.1</v>
      </c>
      <c r="Z5000" s="111">
        <f t="shared" si="467"/>
        <v>0</v>
      </c>
      <c r="AA5000" s="114" t="s">
        <v>219</v>
      </c>
    </row>
    <row r="5001" spans="14:32" ht="8.25" customHeight="1" thickBot="1" x14ac:dyDescent="0.3">
      <c r="X5001" s="110" t="s">
        <v>222</v>
      </c>
      <c r="Y5001" s="111">
        <v>0.05</v>
      </c>
      <c r="Z5001" s="111">
        <f t="shared" si="467"/>
        <v>0.05</v>
      </c>
      <c r="AA5001" s="115">
        <f>SUM(Z4990:Z4995)+Z4997+Z4998+Z4999+Z5000+Z5001+Z5002</f>
        <v>155846.07999999999</v>
      </c>
    </row>
    <row r="5002" spans="14:32" ht="8.25" customHeight="1" thickTop="1" x14ac:dyDescent="0.25">
      <c r="X5002" s="110" t="s">
        <v>223</v>
      </c>
      <c r="Y5002" s="111">
        <v>0.01</v>
      </c>
      <c r="Z5002" s="111">
        <f t="shared" si="467"/>
        <v>0.03</v>
      </c>
    </row>
    <row r="5004" spans="14:32" ht="8.25" customHeight="1" x14ac:dyDescent="0.25">
      <c r="Z5004" s="231" t="s">
        <v>1376</v>
      </c>
      <c r="AF5004" s="76">
        <f>AF4987</f>
        <v>155846.07999999874</v>
      </c>
    </row>
    <row r="5005" spans="14:32" ht="8.25" customHeight="1" x14ac:dyDescent="0.25">
      <c r="N5005" s="52">
        <v>30</v>
      </c>
      <c r="T5005" s="33">
        <v>46214</v>
      </c>
      <c r="U5005" s="34">
        <v>2026</v>
      </c>
      <c r="V5005" s="35" t="s">
        <v>3611</v>
      </c>
      <c r="W5005" s="35" t="s">
        <v>17</v>
      </c>
      <c r="X5005" s="37" t="s">
        <v>3772</v>
      </c>
      <c r="Y5005" s="36" t="s">
        <v>3562</v>
      </c>
      <c r="Z5005" s="30" t="s">
        <v>642</v>
      </c>
      <c r="AA5005" s="30" t="s">
        <v>3899</v>
      </c>
      <c r="AD5005" s="38">
        <v>9798.32</v>
      </c>
      <c r="AF5005" s="76">
        <f>AF5004+AD5005-AE5005</f>
        <v>165644.39999999874</v>
      </c>
    </row>
    <row r="5006" spans="14:32" ht="8.25" customHeight="1" x14ac:dyDescent="0.25">
      <c r="N5006" s="52">
        <v>30</v>
      </c>
      <c r="T5006" s="33">
        <v>46214</v>
      </c>
      <c r="U5006" s="34">
        <v>2026</v>
      </c>
      <c r="V5006" s="35" t="s">
        <v>3611</v>
      </c>
      <c r="W5006" s="35" t="s">
        <v>17</v>
      </c>
      <c r="X5006" s="37" t="s">
        <v>3772</v>
      </c>
      <c r="Y5006" s="36" t="s">
        <v>3562</v>
      </c>
      <c r="Z5006" s="30" t="s">
        <v>642</v>
      </c>
      <c r="AA5006" s="30" t="s">
        <v>166</v>
      </c>
      <c r="AD5006" s="38">
        <v>20201.68</v>
      </c>
      <c r="AF5006" s="76">
        <f t="shared" ref="AF5006:AF5018" si="468">AF5005+AD5006-AE5006</f>
        <v>185846.07999999874</v>
      </c>
    </row>
    <row r="5007" spans="14:32" ht="8.25" customHeight="1" x14ac:dyDescent="0.25">
      <c r="N5007" s="52">
        <v>31</v>
      </c>
      <c r="T5007" s="33">
        <v>46214</v>
      </c>
      <c r="U5007" s="34">
        <v>2026</v>
      </c>
      <c r="V5007" s="35" t="s">
        <v>3611</v>
      </c>
      <c r="W5007" s="35" t="s">
        <v>17</v>
      </c>
      <c r="X5007" s="37" t="s">
        <v>3773</v>
      </c>
      <c r="Y5007" s="36" t="s">
        <v>3774</v>
      </c>
      <c r="Z5007" s="30" t="s">
        <v>451</v>
      </c>
      <c r="AA5007" s="30" t="s">
        <v>3899</v>
      </c>
      <c r="AD5007" s="38">
        <v>11398.55</v>
      </c>
      <c r="AF5007" s="76">
        <f t="shared" si="468"/>
        <v>197244.62999999872</v>
      </c>
    </row>
    <row r="5008" spans="14:32" ht="8.25" customHeight="1" x14ac:dyDescent="0.25">
      <c r="N5008" s="52">
        <v>31</v>
      </c>
      <c r="T5008" s="33">
        <v>46214</v>
      </c>
      <c r="U5008" s="34">
        <v>2026</v>
      </c>
      <c r="V5008" s="35" t="s">
        <v>3611</v>
      </c>
      <c r="W5008" s="35" t="s">
        <v>17</v>
      </c>
      <c r="X5008" s="37" t="s">
        <v>3773</v>
      </c>
      <c r="Y5008" s="36" t="s">
        <v>3774</v>
      </c>
      <c r="Z5008" s="30" t="s">
        <v>451</v>
      </c>
      <c r="AA5008" s="30" t="s">
        <v>166</v>
      </c>
      <c r="AD5008" s="38">
        <v>3601.45</v>
      </c>
      <c r="AF5008" s="76">
        <f t="shared" si="468"/>
        <v>200846.07999999874</v>
      </c>
    </row>
    <row r="5009" spans="7:32" ht="8.25" customHeight="1" x14ac:dyDescent="0.25">
      <c r="N5009" s="52">
        <v>32</v>
      </c>
      <c r="T5009" s="33">
        <v>46214</v>
      </c>
      <c r="U5009" s="34">
        <v>2026</v>
      </c>
      <c r="V5009" s="35" t="s">
        <v>3611</v>
      </c>
      <c r="W5009" s="35" t="s">
        <v>17</v>
      </c>
      <c r="X5009" s="37" t="s">
        <v>3775</v>
      </c>
      <c r="Y5009" s="36" t="s">
        <v>3776</v>
      </c>
      <c r="Z5009" s="30" t="s">
        <v>917</v>
      </c>
      <c r="AA5009" s="30" t="s">
        <v>3899</v>
      </c>
      <c r="AD5009" s="38">
        <v>6713.08</v>
      </c>
      <c r="AF5009" s="76">
        <f t="shared" si="468"/>
        <v>207559.15999999872</v>
      </c>
    </row>
    <row r="5010" spans="7:32" ht="8.25" customHeight="1" x14ac:dyDescent="0.25">
      <c r="N5010" s="52">
        <v>32</v>
      </c>
      <c r="T5010" s="33">
        <v>46214</v>
      </c>
      <c r="U5010" s="34">
        <v>2026</v>
      </c>
      <c r="V5010" s="35" t="s">
        <v>3611</v>
      </c>
      <c r="W5010" s="35" t="s">
        <v>17</v>
      </c>
      <c r="X5010" s="37" t="s">
        <v>3775</v>
      </c>
      <c r="Y5010" s="36" t="s">
        <v>3776</v>
      </c>
      <c r="Z5010" s="30" t="s">
        <v>917</v>
      </c>
      <c r="AA5010" s="30" t="s">
        <v>166</v>
      </c>
      <c r="AD5010" s="38">
        <v>3286.92</v>
      </c>
      <c r="AF5010" s="76">
        <f t="shared" si="468"/>
        <v>210846.07999999874</v>
      </c>
    </row>
    <row r="5011" spans="7:32" ht="8.25" customHeight="1" x14ac:dyDescent="0.25">
      <c r="N5011" s="52">
        <v>33</v>
      </c>
      <c r="T5011" s="33">
        <v>46214</v>
      </c>
      <c r="U5011" s="34">
        <v>2026</v>
      </c>
      <c r="V5011" s="35" t="s">
        <v>3611</v>
      </c>
      <c r="W5011" s="35" t="s">
        <v>17</v>
      </c>
      <c r="X5011" s="37" t="s">
        <v>3779</v>
      </c>
      <c r="Y5011" s="36" t="s">
        <v>3780</v>
      </c>
      <c r="Z5011" s="30" t="s">
        <v>119</v>
      </c>
      <c r="AA5011" s="30" t="s">
        <v>3899</v>
      </c>
      <c r="AD5011" s="38">
        <v>9171.0400000000009</v>
      </c>
      <c r="AF5011" s="76">
        <f t="shared" si="468"/>
        <v>220017.11999999874</v>
      </c>
    </row>
    <row r="5012" spans="7:32" ht="8.25" customHeight="1" x14ac:dyDescent="0.25">
      <c r="N5012" s="52">
        <v>33</v>
      </c>
      <c r="T5012" s="33">
        <v>46214</v>
      </c>
      <c r="U5012" s="34">
        <v>2026</v>
      </c>
      <c r="V5012" s="35" t="s">
        <v>3611</v>
      </c>
      <c r="W5012" s="35" t="s">
        <v>17</v>
      </c>
      <c r="X5012" s="37" t="s">
        <v>3779</v>
      </c>
      <c r="Y5012" s="36" t="s">
        <v>3780</v>
      </c>
      <c r="Z5012" s="30" t="s">
        <v>119</v>
      </c>
      <c r="AA5012" s="30" t="s">
        <v>166</v>
      </c>
      <c r="AD5012" s="38">
        <v>2675.96</v>
      </c>
      <c r="AF5012" s="76">
        <f t="shared" si="468"/>
        <v>222693.07999999874</v>
      </c>
    </row>
    <row r="5013" spans="7:32" ht="8.25" customHeight="1" x14ac:dyDescent="0.15">
      <c r="N5013" s="52">
        <v>33</v>
      </c>
      <c r="T5013" s="33">
        <v>46214</v>
      </c>
      <c r="U5013" s="34">
        <v>2026</v>
      </c>
      <c r="V5013" s="35" t="s">
        <v>3611</v>
      </c>
      <c r="W5013" s="35" t="s">
        <v>17</v>
      </c>
      <c r="X5013" s="37" t="s">
        <v>3779</v>
      </c>
      <c r="Y5013" s="36" t="s">
        <v>3780</v>
      </c>
      <c r="Z5013" s="30" t="s">
        <v>119</v>
      </c>
      <c r="AA5013" s="134" t="s">
        <v>3304</v>
      </c>
      <c r="AD5013" s="38">
        <v>75</v>
      </c>
      <c r="AF5013" s="76">
        <f t="shared" si="468"/>
        <v>222768.07999999874</v>
      </c>
    </row>
    <row r="5014" spans="7:32" ht="8.25" customHeight="1" x14ac:dyDescent="0.25">
      <c r="R5014" s="53">
        <v>15</v>
      </c>
      <c r="T5014" s="33">
        <v>46214</v>
      </c>
      <c r="U5014" s="34">
        <v>2026</v>
      </c>
      <c r="V5014" s="35" t="s">
        <v>3611</v>
      </c>
      <c r="W5014" s="35" t="s">
        <v>5</v>
      </c>
      <c r="X5014" s="37" t="s">
        <v>3767</v>
      </c>
      <c r="Y5014" s="36" t="s">
        <v>3534</v>
      </c>
      <c r="Z5014" s="30" t="s">
        <v>1942</v>
      </c>
      <c r="AA5014" s="30" t="s">
        <v>92</v>
      </c>
      <c r="AE5014" s="38">
        <v>1500</v>
      </c>
      <c r="AF5014" s="76">
        <f t="shared" si="468"/>
        <v>221268.07999999874</v>
      </c>
    </row>
    <row r="5015" spans="7:32" ht="8.25" customHeight="1" x14ac:dyDescent="0.25">
      <c r="T5015" s="33">
        <v>46214</v>
      </c>
      <c r="U5015" s="34">
        <v>2026</v>
      </c>
      <c r="V5015" s="35" t="s">
        <v>3611</v>
      </c>
      <c r="W5015" s="35" t="s">
        <v>5</v>
      </c>
      <c r="X5015" s="37" t="s">
        <v>3770</v>
      </c>
      <c r="Y5015" s="36" t="s">
        <v>3771</v>
      </c>
      <c r="Z5015" s="30" t="s">
        <v>3162</v>
      </c>
      <c r="AA5015" s="30" t="s">
        <v>3108</v>
      </c>
      <c r="AE5015" s="38">
        <v>70000</v>
      </c>
      <c r="AF5015" s="76">
        <f t="shared" si="468"/>
        <v>151268.07999999874</v>
      </c>
    </row>
    <row r="5016" spans="7:32" ht="8.25" customHeight="1" x14ac:dyDescent="0.25">
      <c r="R5016" s="53">
        <v>16</v>
      </c>
      <c r="T5016" s="33">
        <v>46214</v>
      </c>
      <c r="U5016" s="34">
        <v>2026</v>
      </c>
      <c r="V5016" s="35" t="s">
        <v>3611</v>
      </c>
      <c r="W5016" s="35" t="s">
        <v>5</v>
      </c>
      <c r="X5016" s="37" t="s">
        <v>3783</v>
      </c>
      <c r="Y5016" s="36" t="s">
        <v>3593</v>
      </c>
      <c r="Z5016" s="30" t="s">
        <v>2136</v>
      </c>
      <c r="AA5016" s="30" t="s">
        <v>92</v>
      </c>
      <c r="AE5016" s="38">
        <v>300</v>
      </c>
      <c r="AF5016" s="76">
        <f t="shared" si="468"/>
        <v>150968.07999999874</v>
      </c>
    </row>
    <row r="5017" spans="7:32" ht="8.25" customHeight="1" x14ac:dyDescent="0.25">
      <c r="G5017" s="53">
        <v>8</v>
      </c>
      <c r="T5017" s="33">
        <v>46214</v>
      </c>
      <c r="U5017" s="34">
        <v>2026</v>
      </c>
      <c r="V5017" s="35" t="s">
        <v>3611</v>
      </c>
      <c r="W5017" s="35" t="s">
        <v>3625</v>
      </c>
      <c r="X5017" s="37" t="s">
        <v>3768</v>
      </c>
      <c r="Y5017" s="36" t="s">
        <v>3769</v>
      </c>
      <c r="Z5017" s="30" t="s">
        <v>843</v>
      </c>
      <c r="AA5017" s="30" t="s">
        <v>3945</v>
      </c>
      <c r="AE5017" s="38">
        <v>6867</v>
      </c>
      <c r="AF5017" s="76">
        <f t="shared" si="468"/>
        <v>144101.07999999874</v>
      </c>
    </row>
    <row r="5018" spans="7:32" ht="8.25" customHeight="1" x14ac:dyDescent="0.25">
      <c r="G5018" s="53">
        <v>9</v>
      </c>
      <c r="T5018" s="33">
        <v>46214</v>
      </c>
      <c r="U5018" s="34">
        <v>2026</v>
      </c>
      <c r="V5018" s="35" t="s">
        <v>3611</v>
      </c>
      <c r="W5018" s="35" t="s">
        <v>3625</v>
      </c>
      <c r="X5018" s="37" t="s">
        <v>3777</v>
      </c>
      <c r="Y5018" s="36" t="s">
        <v>3778</v>
      </c>
      <c r="Z5018" s="30" t="s">
        <v>119</v>
      </c>
      <c r="AA5018" s="30" t="s">
        <v>3945</v>
      </c>
      <c r="AE5018" s="38">
        <v>11922</v>
      </c>
      <c r="AF5018" s="76">
        <f t="shared" si="468"/>
        <v>132179.07999999874</v>
      </c>
    </row>
    <row r="5019" spans="7:32" ht="8.25" customHeight="1" thickBot="1" x14ac:dyDescent="0.3">
      <c r="AA5019" s="260" t="s">
        <v>2893</v>
      </c>
      <c r="AD5019" s="233">
        <f>SUM(AD5005:AD5013)</f>
        <v>66922</v>
      </c>
      <c r="AE5019" s="233">
        <f>SUM(AE5014:AE5018)</f>
        <v>90589</v>
      </c>
      <c r="AF5019" s="233">
        <f>AF5004+AD5019-AE5019</f>
        <v>132179.07999999874</v>
      </c>
    </row>
    <row r="5020" spans="7:32" ht="8.25" customHeight="1" thickTop="1" x14ac:dyDescent="0.25"/>
    <row r="5021" spans="7:32" ht="8.25" customHeight="1" x14ac:dyDescent="0.25">
      <c r="X5021" s="109"/>
      <c r="Y5021" s="67" t="s">
        <v>214</v>
      </c>
      <c r="Z5021" s="68"/>
      <c r="AA5021" s="75"/>
    </row>
    <row r="5022" spans="7:32" ht="8.25" customHeight="1" x14ac:dyDescent="0.25">
      <c r="X5022" s="110" t="s">
        <v>564</v>
      </c>
      <c r="Y5022" s="111">
        <v>200</v>
      </c>
      <c r="Z5022" s="111">
        <f t="shared" ref="Z5022:Z5027" si="469">X5022*Y5022</f>
        <v>2800</v>
      </c>
      <c r="AA5022" s="112"/>
    </row>
    <row r="5023" spans="7:32" ht="8.25" customHeight="1" x14ac:dyDescent="0.25">
      <c r="X5023" s="110" t="s">
        <v>3784</v>
      </c>
      <c r="Y5023" s="111">
        <v>100</v>
      </c>
      <c r="Z5023" s="111">
        <f t="shared" si="469"/>
        <v>128200</v>
      </c>
      <c r="AA5023" s="112"/>
    </row>
    <row r="5024" spans="7:32" ht="8.25" customHeight="1" x14ac:dyDescent="0.25">
      <c r="X5024" s="110" t="s">
        <v>120</v>
      </c>
      <c r="Y5024" s="111">
        <v>50</v>
      </c>
      <c r="Z5024" s="111">
        <f t="shared" si="469"/>
        <v>0</v>
      </c>
      <c r="AA5024" s="76"/>
    </row>
    <row r="5025" spans="9:32" ht="8.25" customHeight="1" x14ac:dyDescent="0.25">
      <c r="X5025" s="110" t="s">
        <v>120</v>
      </c>
      <c r="Y5025" s="111">
        <v>20</v>
      </c>
      <c r="Z5025" s="111">
        <f t="shared" si="469"/>
        <v>0</v>
      </c>
      <c r="AA5025" s="38"/>
    </row>
    <row r="5026" spans="9:32" ht="8.25" customHeight="1" x14ac:dyDescent="0.25">
      <c r="X5026" s="110" t="s">
        <v>3781</v>
      </c>
      <c r="Y5026" s="111">
        <v>10</v>
      </c>
      <c r="Z5026" s="111">
        <f t="shared" si="469"/>
        <v>430</v>
      </c>
      <c r="AA5026" s="112"/>
    </row>
    <row r="5027" spans="9:32" ht="8.25" customHeight="1" x14ac:dyDescent="0.25">
      <c r="X5027" s="110" t="s">
        <v>3782</v>
      </c>
      <c r="Y5027" s="111">
        <v>5</v>
      </c>
      <c r="Z5027" s="111">
        <f t="shared" si="469"/>
        <v>365</v>
      </c>
      <c r="AA5027" s="112"/>
    </row>
    <row r="5028" spans="9:32" ht="8.25" customHeight="1" x14ac:dyDescent="0.25">
      <c r="X5028" s="269"/>
      <c r="Y5028" s="270"/>
      <c r="Z5028" s="271"/>
      <c r="AA5028" s="38"/>
    </row>
    <row r="5029" spans="9:32" ht="8.25" customHeight="1" x14ac:dyDescent="0.25">
      <c r="X5029" s="110" t="s">
        <v>550</v>
      </c>
      <c r="Y5029" s="111">
        <v>1</v>
      </c>
      <c r="Z5029" s="111">
        <f t="shared" ref="Z5029:Z5034" si="470">X5029*Y5029</f>
        <v>300</v>
      </c>
      <c r="AA5029" s="76"/>
    </row>
    <row r="5030" spans="9:32" ht="8.25" customHeight="1" x14ac:dyDescent="0.25">
      <c r="X5030" s="110" t="s">
        <v>651</v>
      </c>
      <c r="Y5030" s="111">
        <v>0.5</v>
      </c>
      <c r="Z5030" s="111">
        <f t="shared" si="470"/>
        <v>39.5</v>
      </c>
      <c r="AA5030" s="112"/>
    </row>
    <row r="5031" spans="9:32" ht="8.25" customHeight="1" x14ac:dyDescent="0.25">
      <c r="X5031" s="110" t="s">
        <v>2062</v>
      </c>
      <c r="Y5031" s="111">
        <v>0.25</v>
      </c>
      <c r="Z5031" s="111">
        <f t="shared" si="470"/>
        <v>44.5</v>
      </c>
      <c r="AA5031" s="113" t="s">
        <v>1</v>
      </c>
    </row>
    <row r="5032" spans="9:32" ht="8.25" customHeight="1" x14ac:dyDescent="0.25">
      <c r="X5032" s="110" t="s">
        <v>120</v>
      </c>
      <c r="Y5032" s="111">
        <v>0.1</v>
      </c>
      <c r="Z5032" s="111">
        <f t="shared" si="470"/>
        <v>0</v>
      </c>
      <c r="AA5032" s="114" t="s">
        <v>219</v>
      </c>
    </row>
    <row r="5033" spans="9:32" ht="8.25" customHeight="1" thickBot="1" x14ac:dyDescent="0.3">
      <c r="X5033" s="110" t="s">
        <v>222</v>
      </c>
      <c r="Y5033" s="111">
        <v>0.05</v>
      </c>
      <c r="Z5033" s="111">
        <f t="shared" si="470"/>
        <v>0.05</v>
      </c>
      <c r="AA5033" s="115">
        <f>SUM(Z5022:Z5027)+Z5029+Z5030+Z5031+Z5032+Z5033+Z5034</f>
        <v>132179.07999999999</v>
      </c>
    </row>
    <row r="5034" spans="9:32" ht="8.25" customHeight="1" thickTop="1" x14ac:dyDescent="0.25">
      <c r="X5034" s="110" t="s">
        <v>223</v>
      </c>
      <c r="Y5034" s="111">
        <v>0.01</v>
      </c>
      <c r="Z5034" s="111">
        <f t="shared" si="470"/>
        <v>0.03</v>
      </c>
    </row>
    <row r="5036" spans="9:32" ht="8.25" customHeight="1" x14ac:dyDescent="0.25">
      <c r="Z5036" s="231" t="s">
        <v>1376</v>
      </c>
      <c r="AF5036" s="76">
        <f>AF5019</f>
        <v>132179.07999999874</v>
      </c>
    </row>
    <row r="5037" spans="9:32" ht="8.25" customHeight="1" x14ac:dyDescent="0.25">
      <c r="I5037" s="52">
        <v>14</v>
      </c>
      <c r="T5037" s="33">
        <v>46216</v>
      </c>
      <c r="U5037" s="34">
        <v>2026</v>
      </c>
      <c r="V5037" s="35" t="s">
        <v>3611</v>
      </c>
      <c r="W5037" s="35" t="s">
        <v>17</v>
      </c>
      <c r="X5037" s="37" t="s">
        <v>3786</v>
      </c>
      <c r="Y5037" s="36" t="s">
        <v>3534</v>
      </c>
      <c r="Z5037" s="30" t="s">
        <v>1942</v>
      </c>
      <c r="AA5037" s="30" t="s">
        <v>13</v>
      </c>
      <c r="AD5037" s="38">
        <v>700</v>
      </c>
      <c r="AF5037" s="76">
        <f>AF5036+AD5037-AE5037</f>
        <v>132879.07999999874</v>
      </c>
    </row>
    <row r="5038" spans="9:32" ht="8.25" customHeight="1" x14ac:dyDescent="0.25">
      <c r="N5038" s="52">
        <v>34</v>
      </c>
      <c r="T5038" s="33">
        <v>46216</v>
      </c>
      <c r="U5038" s="34">
        <v>2026</v>
      </c>
      <c r="V5038" s="35" t="s">
        <v>3611</v>
      </c>
      <c r="W5038" s="35" t="s">
        <v>17</v>
      </c>
      <c r="X5038" s="37" t="s">
        <v>3787</v>
      </c>
      <c r="Y5038" s="36" t="s">
        <v>3788</v>
      </c>
      <c r="Z5038" s="30" t="s">
        <v>3789</v>
      </c>
      <c r="AA5038" s="30" t="s">
        <v>3899</v>
      </c>
      <c r="AD5038" s="38">
        <v>16667.95</v>
      </c>
      <c r="AF5038" s="76">
        <f t="shared" ref="AF5038:AF5048" si="471">AF5037+AD5038-AE5038</f>
        <v>149547.02999999875</v>
      </c>
    </row>
    <row r="5039" spans="9:32" ht="8.25" customHeight="1" x14ac:dyDescent="0.25">
      <c r="N5039" s="52">
        <v>34</v>
      </c>
      <c r="T5039" s="33">
        <v>46216</v>
      </c>
      <c r="U5039" s="34">
        <v>2026</v>
      </c>
      <c r="V5039" s="35" t="s">
        <v>3611</v>
      </c>
      <c r="W5039" s="35" t="s">
        <v>17</v>
      </c>
      <c r="X5039" s="37" t="s">
        <v>3787</v>
      </c>
      <c r="Y5039" s="36" t="s">
        <v>3788</v>
      </c>
      <c r="Z5039" s="30" t="s">
        <v>3789</v>
      </c>
      <c r="AA5039" s="30" t="s">
        <v>166</v>
      </c>
      <c r="AD5039" s="38">
        <v>39452.050000000003</v>
      </c>
      <c r="AF5039" s="76">
        <f t="shared" si="471"/>
        <v>188999.07999999874</v>
      </c>
    </row>
    <row r="5040" spans="9:32" ht="8.25" customHeight="1" x14ac:dyDescent="0.25">
      <c r="N5040" s="52">
        <v>35</v>
      </c>
      <c r="T5040" s="33">
        <v>46216</v>
      </c>
      <c r="U5040" s="34">
        <v>2026</v>
      </c>
      <c r="V5040" s="35" t="s">
        <v>3611</v>
      </c>
      <c r="W5040" s="35" t="s">
        <v>17</v>
      </c>
      <c r="X5040" s="37" t="s">
        <v>3790</v>
      </c>
      <c r="Y5040" s="36" t="s">
        <v>3791</v>
      </c>
      <c r="Z5040" s="30" t="s">
        <v>547</v>
      </c>
      <c r="AA5040" s="30" t="s">
        <v>3899</v>
      </c>
      <c r="AD5040" s="38">
        <v>2484.08</v>
      </c>
      <c r="AF5040" s="76">
        <f t="shared" si="471"/>
        <v>191483.15999999872</v>
      </c>
    </row>
    <row r="5041" spans="3:32" ht="8.25" customHeight="1" x14ac:dyDescent="0.25">
      <c r="N5041" s="52">
        <v>35</v>
      </c>
      <c r="T5041" s="33">
        <v>46216</v>
      </c>
      <c r="U5041" s="34">
        <v>2026</v>
      </c>
      <c r="V5041" s="35" t="s">
        <v>3611</v>
      </c>
      <c r="W5041" s="35" t="s">
        <v>17</v>
      </c>
      <c r="X5041" s="37" t="s">
        <v>3790</v>
      </c>
      <c r="Y5041" s="36" t="s">
        <v>3791</v>
      </c>
      <c r="Z5041" s="30" t="s">
        <v>547</v>
      </c>
      <c r="AA5041" s="30" t="s">
        <v>166</v>
      </c>
      <c r="AD5041" s="38">
        <v>1315.92</v>
      </c>
      <c r="AF5041" s="76">
        <f t="shared" si="471"/>
        <v>192799.07999999874</v>
      </c>
    </row>
    <row r="5042" spans="3:32" ht="8.25" customHeight="1" x14ac:dyDescent="0.25">
      <c r="N5042" s="52">
        <v>36</v>
      </c>
      <c r="T5042" s="33">
        <v>46216</v>
      </c>
      <c r="U5042" s="34">
        <v>2026</v>
      </c>
      <c r="V5042" s="35" t="s">
        <v>3611</v>
      </c>
      <c r="W5042" s="35" t="s">
        <v>17</v>
      </c>
      <c r="X5042" s="37" t="s">
        <v>3793</v>
      </c>
      <c r="Y5042" s="36" t="s">
        <v>3794</v>
      </c>
      <c r="Z5042" s="30" t="s">
        <v>3795</v>
      </c>
      <c r="AA5042" s="30" t="s">
        <v>3899</v>
      </c>
      <c r="AD5042" s="38">
        <v>6516.81</v>
      </c>
      <c r="AF5042" s="76">
        <f t="shared" si="471"/>
        <v>199315.88999999873</v>
      </c>
    </row>
    <row r="5043" spans="3:32" ht="8.25" customHeight="1" x14ac:dyDescent="0.25">
      <c r="N5043" s="52">
        <v>36</v>
      </c>
      <c r="T5043" s="33">
        <v>46216</v>
      </c>
      <c r="U5043" s="34">
        <v>2026</v>
      </c>
      <c r="V5043" s="35" t="s">
        <v>3611</v>
      </c>
      <c r="W5043" s="35" t="s">
        <v>17</v>
      </c>
      <c r="X5043" s="37" t="s">
        <v>3793</v>
      </c>
      <c r="Y5043" s="36" t="s">
        <v>3794</v>
      </c>
      <c r="Z5043" s="30" t="s">
        <v>3795</v>
      </c>
      <c r="AA5043" s="30" t="s">
        <v>166</v>
      </c>
      <c r="AD5043" s="38">
        <v>4483.1899999999996</v>
      </c>
      <c r="AF5043" s="76">
        <f t="shared" si="471"/>
        <v>203799.07999999874</v>
      </c>
    </row>
    <row r="5044" spans="3:32" ht="8.25" customHeight="1" x14ac:dyDescent="0.25">
      <c r="C5044" s="52">
        <v>2</v>
      </c>
      <c r="T5044" s="33">
        <v>46216</v>
      </c>
      <c r="U5044" s="34">
        <v>2026</v>
      </c>
      <c r="V5044" s="35" t="s">
        <v>3611</v>
      </c>
      <c r="W5044" s="35" t="s">
        <v>3620</v>
      </c>
      <c r="X5044" s="37" t="s">
        <v>3796</v>
      </c>
      <c r="Y5044" s="36" t="s">
        <v>3328</v>
      </c>
      <c r="Z5044" s="30" t="s">
        <v>425</v>
      </c>
      <c r="AA5044" s="30" t="s">
        <v>340</v>
      </c>
      <c r="AD5044" s="38">
        <v>47</v>
      </c>
      <c r="AF5044" s="76">
        <f t="shared" si="471"/>
        <v>203846.07999999874</v>
      </c>
    </row>
    <row r="5045" spans="3:32" ht="8.25" customHeight="1" x14ac:dyDescent="0.25">
      <c r="C5045" s="52">
        <v>3</v>
      </c>
      <c r="T5045" s="33">
        <v>46216</v>
      </c>
      <c r="U5045" s="34">
        <v>2026</v>
      </c>
      <c r="V5045" s="35" t="s">
        <v>3611</v>
      </c>
      <c r="W5045" s="35" t="s">
        <v>3620</v>
      </c>
      <c r="X5045" s="37" t="s">
        <v>3798</v>
      </c>
      <c r="Y5045" s="36" t="s">
        <v>2807</v>
      </c>
      <c r="Z5045" s="30" t="s">
        <v>3797</v>
      </c>
      <c r="AA5045" s="30" t="s">
        <v>340</v>
      </c>
      <c r="AD5045" s="38">
        <v>145</v>
      </c>
      <c r="AF5045" s="76">
        <f t="shared" si="471"/>
        <v>203991.07999999874</v>
      </c>
    </row>
    <row r="5046" spans="3:32" ht="8.25" customHeight="1" x14ac:dyDescent="0.25">
      <c r="R5046" s="53">
        <v>17</v>
      </c>
      <c r="T5046" s="33">
        <v>46216</v>
      </c>
      <c r="U5046" s="34">
        <v>2026</v>
      </c>
      <c r="V5046" s="35" t="s">
        <v>3611</v>
      </c>
      <c r="W5046" s="35" t="s">
        <v>5</v>
      </c>
      <c r="X5046" s="37" t="s">
        <v>3785</v>
      </c>
      <c r="Y5046" s="36" t="s">
        <v>3615</v>
      </c>
      <c r="Z5046" s="30" t="s">
        <v>811</v>
      </c>
      <c r="AA5046" s="30" t="s">
        <v>92</v>
      </c>
      <c r="AE5046" s="38">
        <v>380</v>
      </c>
      <c r="AF5046" s="76">
        <f t="shared" si="471"/>
        <v>203611.07999999874</v>
      </c>
    </row>
    <row r="5047" spans="3:32" ht="8.25" customHeight="1" x14ac:dyDescent="0.25">
      <c r="T5047" s="33">
        <v>46216</v>
      </c>
      <c r="U5047" s="34">
        <v>2026</v>
      </c>
      <c r="V5047" s="35" t="s">
        <v>3611</v>
      </c>
      <c r="W5047" s="35" t="s">
        <v>5</v>
      </c>
      <c r="X5047" s="37" t="s">
        <v>3792</v>
      </c>
      <c r="Y5047" s="36" t="s">
        <v>411</v>
      </c>
      <c r="Z5047" s="30" t="s">
        <v>547</v>
      </c>
      <c r="AA5047" s="30" t="s">
        <v>2719</v>
      </c>
      <c r="AE5047" s="38">
        <v>3800</v>
      </c>
      <c r="AF5047" s="76">
        <f t="shared" si="471"/>
        <v>199811.07999999874</v>
      </c>
    </row>
    <row r="5048" spans="3:32" ht="8.25" customHeight="1" x14ac:dyDescent="0.25">
      <c r="T5048" s="33">
        <v>46216</v>
      </c>
      <c r="U5048" s="34">
        <v>2026</v>
      </c>
      <c r="V5048" s="35" t="s">
        <v>3611</v>
      </c>
      <c r="W5048" s="35" t="s">
        <v>5</v>
      </c>
      <c r="X5048" s="37" t="s">
        <v>3800</v>
      </c>
      <c r="Y5048" s="36" t="s">
        <v>411</v>
      </c>
      <c r="Z5048" s="30" t="s">
        <v>3162</v>
      </c>
      <c r="AA5048" s="30" t="s">
        <v>3108</v>
      </c>
      <c r="AE5048" s="38">
        <v>70000</v>
      </c>
      <c r="AF5048" s="76">
        <f t="shared" si="471"/>
        <v>129811.07999999874</v>
      </c>
    </row>
    <row r="5049" spans="3:32" ht="8.25" customHeight="1" thickBot="1" x14ac:dyDescent="0.3">
      <c r="AA5049" s="260" t="s">
        <v>2893</v>
      </c>
      <c r="AD5049" s="233">
        <f>SUM(AD5035:AD5045)</f>
        <v>71812</v>
      </c>
      <c r="AE5049" s="233">
        <f>SUM(AE5044:AE5048)</f>
        <v>74180</v>
      </c>
      <c r="AF5049" s="233">
        <f>AF5036+AD5049-AE5049</f>
        <v>129811.07999999874</v>
      </c>
    </row>
    <row r="5050" spans="3:32" ht="8.25" customHeight="1" thickTop="1" x14ac:dyDescent="0.25"/>
    <row r="5051" spans="3:32" ht="8.25" customHeight="1" x14ac:dyDescent="0.25">
      <c r="X5051" s="109"/>
      <c r="Y5051" s="67" t="s">
        <v>214</v>
      </c>
      <c r="Z5051" s="68"/>
      <c r="AA5051" s="75"/>
    </row>
    <row r="5052" spans="3:32" ht="8.25" customHeight="1" x14ac:dyDescent="0.25">
      <c r="X5052" s="110" t="s">
        <v>1154</v>
      </c>
      <c r="Y5052" s="111">
        <v>200</v>
      </c>
      <c r="Z5052" s="111">
        <f t="shared" ref="Z5052:Z5057" si="472">X5052*Y5052</f>
        <v>4000</v>
      </c>
      <c r="AA5052" s="112"/>
    </row>
    <row r="5053" spans="3:32" ht="8.25" customHeight="1" x14ac:dyDescent="0.25">
      <c r="X5053" s="110" t="s">
        <v>3799</v>
      </c>
      <c r="Y5053" s="111">
        <v>100</v>
      </c>
      <c r="Z5053" s="111">
        <f t="shared" si="472"/>
        <v>124700</v>
      </c>
      <c r="AA5053" s="112"/>
    </row>
    <row r="5054" spans="3:32" ht="8.25" customHeight="1" x14ac:dyDescent="0.25">
      <c r="X5054" s="110" t="s">
        <v>222</v>
      </c>
      <c r="Y5054" s="111">
        <v>50</v>
      </c>
      <c r="Z5054" s="111">
        <f t="shared" si="472"/>
        <v>50</v>
      </c>
      <c r="AA5054" s="76"/>
    </row>
    <row r="5055" spans="3:32" ht="8.25" customHeight="1" x14ac:dyDescent="0.25">
      <c r="X5055" s="110" t="s">
        <v>120</v>
      </c>
      <c r="Y5055" s="111">
        <v>20</v>
      </c>
      <c r="Z5055" s="111">
        <f t="shared" si="472"/>
        <v>0</v>
      </c>
      <c r="AA5055" s="38"/>
    </row>
    <row r="5056" spans="3:32" ht="8.25" customHeight="1" x14ac:dyDescent="0.25">
      <c r="X5056" s="110" t="s">
        <v>926</v>
      </c>
      <c r="Y5056" s="111">
        <v>10</v>
      </c>
      <c r="Z5056" s="111">
        <f t="shared" si="472"/>
        <v>310</v>
      </c>
      <c r="AA5056" s="112"/>
    </row>
    <row r="5057" spans="9:32" ht="8.25" customHeight="1" x14ac:dyDescent="0.25">
      <c r="X5057" s="110" t="s">
        <v>3782</v>
      </c>
      <c r="Y5057" s="111">
        <v>5</v>
      </c>
      <c r="Z5057" s="111">
        <f t="shared" si="472"/>
        <v>365</v>
      </c>
      <c r="AA5057" s="112"/>
    </row>
    <row r="5058" spans="9:32" ht="8.25" customHeight="1" x14ac:dyDescent="0.25">
      <c r="X5058" s="269"/>
      <c r="Y5058" s="270"/>
      <c r="Z5058" s="271"/>
      <c r="AA5058" s="38"/>
    </row>
    <row r="5059" spans="9:32" ht="8.25" customHeight="1" x14ac:dyDescent="0.25">
      <c r="X5059" s="110" t="s">
        <v>649</v>
      </c>
      <c r="Y5059" s="111">
        <v>1</v>
      </c>
      <c r="Z5059" s="111">
        <f t="shared" ref="Z5059:Z5064" si="473">X5059*Y5059</f>
        <v>302</v>
      </c>
      <c r="AA5059" s="76"/>
    </row>
    <row r="5060" spans="9:32" ht="8.25" customHeight="1" x14ac:dyDescent="0.25">
      <c r="X5060" s="110" t="s">
        <v>651</v>
      </c>
      <c r="Y5060" s="111">
        <v>0.5</v>
      </c>
      <c r="Z5060" s="111">
        <f t="shared" si="473"/>
        <v>39.5</v>
      </c>
      <c r="AA5060" s="112"/>
    </row>
    <row r="5061" spans="9:32" ht="8.25" customHeight="1" x14ac:dyDescent="0.25">
      <c r="X5061" s="110" t="s">
        <v>2062</v>
      </c>
      <c r="Y5061" s="111">
        <v>0.25</v>
      </c>
      <c r="Z5061" s="111">
        <f t="shared" si="473"/>
        <v>44.5</v>
      </c>
      <c r="AA5061" s="113" t="s">
        <v>1</v>
      </c>
    </row>
    <row r="5062" spans="9:32" ht="8.25" customHeight="1" x14ac:dyDescent="0.25">
      <c r="X5062" s="110" t="s">
        <v>120</v>
      </c>
      <c r="Y5062" s="111">
        <v>0.1</v>
      </c>
      <c r="Z5062" s="111">
        <f t="shared" si="473"/>
        <v>0</v>
      </c>
      <c r="AA5062" s="114" t="s">
        <v>219</v>
      </c>
    </row>
    <row r="5063" spans="9:32" ht="8.25" customHeight="1" thickBot="1" x14ac:dyDescent="0.3">
      <c r="X5063" s="110" t="s">
        <v>222</v>
      </c>
      <c r="Y5063" s="111">
        <v>0.05</v>
      </c>
      <c r="Z5063" s="111">
        <f t="shared" si="473"/>
        <v>0.05</v>
      </c>
      <c r="AA5063" s="115">
        <f>SUM(Z5052:Z5057)+Z5059+Z5060+Z5061+Z5062+Z5063+Z5064</f>
        <v>129811.08</v>
      </c>
    </row>
    <row r="5064" spans="9:32" ht="8.25" customHeight="1" thickTop="1" x14ac:dyDescent="0.25">
      <c r="X5064" s="110" t="s">
        <v>223</v>
      </c>
      <c r="Y5064" s="111">
        <v>0.01</v>
      </c>
      <c r="Z5064" s="111">
        <f t="shared" si="473"/>
        <v>0.03</v>
      </c>
    </row>
    <row r="5066" spans="9:32" ht="8.25" customHeight="1" x14ac:dyDescent="0.25">
      <c r="Z5066" s="231" t="s">
        <v>1376</v>
      </c>
      <c r="AF5066" s="76">
        <f>AF5049</f>
        <v>129811.07999999874</v>
      </c>
    </row>
    <row r="5067" spans="9:32" ht="8.25" customHeight="1" x14ac:dyDescent="0.25">
      <c r="N5067" s="52">
        <v>37</v>
      </c>
      <c r="T5067" s="33">
        <v>46217</v>
      </c>
      <c r="U5067" s="34">
        <v>2026</v>
      </c>
      <c r="V5067" s="35" t="s">
        <v>3611</v>
      </c>
      <c r="W5067" s="35" t="s">
        <v>17</v>
      </c>
      <c r="X5067" s="37" t="s">
        <v>3802</v>
      </c>
      <c r="Y5067" s="36" t="s">
        <v>3791</v>
      </c>
      <c r="Z5067" s="30" t="s">
        <v>547</v>
      </c>
      <c r="AA5067" s="30" t="s">
        <v>3899</v>
      </c>
      <c r="AD5067" s="38">
        <v>56377.62</v>
      </c>
      <c r="AF5067" s="76">
        <f>AF5066+AD5067-AE5067</f>
        <v>186188.69999999873</v>
      </c>
    </row>
    <row r="5068" spans="9:32" ht="8.25" customHeight="1" x14ac:dyDescent="0.25">
      <c r="N5068" s="52">
        <v>37</v>
      </c>
      <c r="T5068" s="33">
        <v>46217</v>
      </c>
      <c r="U5068" s="34">
        <v>2026</v>
      </c>
      <c r="V5068" s="35" t="s">
        <v>3611</v>
      </c>
      <c r="W5068" s="35" t="s">
        <v>17</v>
      </c>
      <c r="X5068" s="37" t="s">
        <v>3802</v>
      </c>
      <c r="Y5068" s="36" t="s">
        <v>3791</v>
      </c>
      <c r="Z5068" s="30" t="s">
        <v>547</v>
      </c>
      <c r="AA5068" s="30" t="s">
        <v>166</v>
      </c>
      <c r="AD5068" s="38">
        <v>37.07</v>
      </c>
      <c r="AF5068" s="76">
        <f t="shared" ref="AF5068:AF5096" si="474">AF5067+AD5068-AE5068</f>
        <v>186225.76999999874</v>
      </c>
    </row>
    <row r="5069" spans="9:32" ht="8.25" customHeight="1" x14ac:dyDescent="0.25">
      <c r="I5069" s="52">
        <v>15</v>
      </c>
      <c r="T5069" s="33">
        <v>46217</v>
      </c>
      <c r="U5069" s="34">
        <v>2026</v>
      </c>
      <c r="V5069" s="35" t="s">
        <v>3611</v>
      </c>
      <c r="W5069" s="35" t="s">
        <v>17</v>
      </c>
      <c r="X5069" s="37" t="s">
        <v>3803</v>
      </c>
      <c r="Y5069" s="36" t="s">
        <v>3804</v>
      </c>
      <c r="Z5069" s="30" t="s">
        <v>547</v>
      </c>
      <c r="AA5069" s="30" t="s">
        <v>13</v>
      </c>
      <c r="AD5069" s="38">
        <v>8683.48</v>
      </c>
      <c r="AF5069" s="76">
        <f t="shared" si="474"/>
        <v>194909.24999999875</v>
      </c>
    </row>
    <row r="5070" spans="9:32" ht="8.25" customHeight="1" x14ac:dyDescent="0.25">
      <c r="M5070" s="52">
        <v>5</v>
      </c>
      <c r="T5070" s="33">
        <v>46217</v>
      </c>
      <c r="U5070" s="34">
        <v>2026</v>
      </c>
      <c r="V5070" s="35" t="s">
        <v>3611</v>
      </c>
      <c r="W5070" s="35" t="s">
        <v>17</v>
      </c>
      <c r="X5070" s="37" t="s">
        <v>3806</v>
      </c>
      <c r="Y5070" s="36" t="s">
        <v>3982</v>
      </c>
      <c r="Z5070" s="30" t="s">
        <v>547</v>
      </c>
      <c r="AA5070" s="30" t="s">
        <v>385</v>
      </c>
      <c r="AD5070" s="38">
        <v>1736.7</v>
      </c>
      <c r="AF5070" s="76">
        <f t="shared" si="474"/>
        <v>196645.94999999876</v>
      </c>
    </row>
    <row r="5071" spans="9:32" ht="8.25" customHeight="1" x14ac:dyDescent="0.25">
      <c r="N5071" s="52">
        <v>38</v>
      </c>
      <c r="T5071" s="33">
        <v>46217</v>
      </c>
      <c r="U5071" s="34">
        <v>2026</v>
      </c>
      <c r="V5071" s="35" t="s">
        <v>3611</v>
      </c>
      <c r="W5071" s="35" t="s">
        <v>17</v>
      </c>
      <c r="X5071" s="37" t="s">
        <v>3805</v>
      </c>
      <c r="Y5071" s="36" t="s">
        <v>3807</v>
      </c>
      <c r="Z5071" s="30" t="s">
        <v>1641</v>
      </c>
      <c r="AA5071" s="30" t="s">
        <v>3899</v>
      </c>
      <c r="AD5071" s="38">
        <v>7154.8</v>
      </c>
      <c r="AF5071" s="76">
        <f t="shared" si="474"/>
        <v>203800.74999999875</v>
      </c>
    </row>
    <row r="5072" spans="9:32" ht="8.25" customHeight="1" x14ac:dyDescent="0.25">
      <c r="N5072" s="52">
        <v>38</v>
      </c>
      <c r="T5072" s="33">
        <v>46217</v>
      </c>
      <c r="U5072" s="34">
        <v>2026</v>
      </c>
      <c r="V5072" s="35" t="s">
        <v>3611</v>
      </c>
      <c r="W5072" s="35" t="s">
        <v>17</v>
      </c>
      <c r="X5072" s="37" t="s">
        <v>3805</v>
      </c>
      <c r="Y5072" s="36" t="s">
        <v>3807</v>
      </c>
      <c r="Z5072" s="30" t="s">
        <v>1641</v>
      </c>
      <c r="AA5072" s="30" t="s">
        <v>166</v>
      </c>
      <c r="AD5072" s="38">
        <v>7445.2</v>
      </c>
      <c r="AF5072" s="76">
        <f t="shared" si="474"/>
        <v>211245.94999999876</v>
      </c>
    </row>
    <row r="5073" spans="3:32" ht="8.25" customHeight="1" x14ac:dyDescent="0.25">
      <c r="K5073" s="52">
        <v>4</v>
      </c>
      <c r="T5073" s="33">
        <v>46217</v>
      </c>
      <c r="U5073" s="34">
        <v>2026</v>
      </c>
      <c r="V5073" s="35" t="s">
        <v>3611</v>
      </c>
      <c r="W5073" s="35" t="s">
        <v>17</v>
      </c>
      <c r="X5073" s="37" t="s">
        <v>3808</v>
      </c>
      <c r="Y5073" s="36" t="s">
        <v>3809</v>
      </c>
      <c r="Z5073" s="30" t="s">
        <v>3801</v>
      </c>
      <c r="AA5073" s="30" t="s">
        <v>1787</v>
      </c>
      <c r="AD5073" s="38">
        <v>100</v>
      </c>
      <c r="AF5073" s="76">
        <f t="shared" si="474"/>
        <v>211345.94999999876</v>
      </c>
    </row>
    <row r="5074" spans="3:32" ht="8.25" customHeight="1" x14ac:dyDescent="0.25">
      <c r="L5074" s="52">
        <v>4</v>
      </c>
      <c r="T5074" s="33">
        <v>46217</v>
      </c>
      <c r="U5074" s="34">
        <v>2026</v>
      </c>
      <c r="V5074" s="35" t="s">
        <v>3611</v>
      </c>
      <c r="W5074" s="35" t="s">
        <v>17</v>
      </c>
      <c r="X5074" s="37" t="s">
        <v>3810</v>
      </c>
      <c r="Y5074" s="36" t="s">
        <v>3982</v>
      </c>
      <c r="Z5074" s="30" t="s">
        <v>3801</v>
      </c>
      <c r="AA5074" s="30" t="s">
        <v>373</v>
      </c>
      <c r="AD5074" s="38">
        <v>50</v>
      </c>
      <c r="AF5074" s="76">
        <f t="shared" si="474"/>
        <v>211395.94999999876</v>
      </c>
    </row>
    <row r="5075" spans="3:32" ht="8.25" customHeight="1" x14ac:dyDescent="0.25">
      <c r="N5075" s="52">
        <v>39</v>
      </c>
      <c r="T5075" s="33">
        <v>46217</v>
      </c>
      <c r="U5075" s="34">
        <v>2026</v>
      </c>
      <c r="V5075" s="35" t="s">
        <v>3611</v>
      </c>
      <c r="W5075" s="35" t="s">
        <v>17</v>
      </c>
      <c r="X5075" s="37" t="s">
        <v>3811</v>
      </c>
      <c r="Y5075" s="36" t="s">
        <v>3812</v>
      </c>
      <c r="Z5075" s="30" t="s">
        <v>560</v>
      </c>
      <c r="AA5075" s="30" t="s">
        <v>3899</v>
      </c>
      <c r="AD5075" s="38">
        <v>8972.07</v>
      </c>
      <c r="AF5075" s="76">
        <f t="shared" si="474"/>
        <v>220368.01999999877</v>
      </c>
    </row>
    <row r="5076" spans="3:32" ht="8.25" customHeight="1" x14ac:dyDescent="0.25">
      <c r="N5076" s="52">
        <v>39</v>
      </c>
      <c r="T5076" s="33">
        <v>46217</v>
      </c>
      <c r="U5076" s="34">
        <v>2026</v>
      </c>
      <c r="V5076" s="35" t="s">
        <v>3611</v>
      </c>
      <c r="W5076" s="35" t="s">
        <v>17</v>
      </c>
      <c r="X5076" s="37" t="s">
        <v>3811</v>
      </c>
      <c r="Y5076" s="36" t="s">
        <v>3812</v>
      </c>
      <c r="Z5076" s="30" t="s">
        <v>560</v>
      </c>
      <c r="AA5076" s="30" t="s">
        <v>166</v>
      </c>
      <c r="AD5076" s="38">
        <v>1027.93</v>
      </c>
      <c r="AF5076" s="76">
        <f t="shared" si="474"/>
        <v>221395.94999999876</v>
      </c>
    </row>
    <row r="5077" spans="3:32" ht="8.25" customHeight="1" x14ac:dyDescent="0.25">
      <c r="N5077" s="52">
        <v>40</v>
      </c>
      <c r="T5077" s="33">
        <v>46217</v>
      </c>
      <c r="U5077" s="34">
        <v>2026</v>
      </c>
      <c r="V5077" s="35" t="s">
        <v>3611</v>
      </c>
      <c r="W5077" s="35" t="s">
        <v>17</v>
      </c>
      <c r="X5077" s="37" t="s">
        <v>3813</v>
      </c>
      <c r="Y5077" s="36" t="s">
        <v>3814</v>
      </c>
      <c r="Z5077" s="30" t="s">
        <v>332</v>
      </c>
      <c r="AA5077" s="30" t="s">
        <v>3899</v>
      </c>
      <c r="AD5077" s="38">
        <v>2231.11</v>
      </c>
      <c r="AF5077" s="76">
        <f t="shared" si="474"/>
        <v>223627.05999999875</v>
      </c>
    </row>
    <row r="5078" spans="3:32" ht="8.25" customHeight="1" x14ac:dyDescent="0.25">
      <c r="N5078" s="52">
        <v>40</v>
      </c>
      <c r="T5078" s="33">
        <v>46217</v>
      </c>
      <c r="U5078" s="34">
        <v>2026</v>
      </c>
      <c r="V5078" s="35" t="s">
        <v>3611</v>
      </c>
      <c r="W5078" s="35" t="s">
        <v>17</v>
      </c>
      <c r="X5078" s="37" t="s">
        <v>3813</v>
      </c>
      <c r="Y5078" s="36" t="s">
        <v>3814</v>
      </c>
      <c r="Z5078" s="30" t="s">
        <v>332</v>
      </c>
      <c r="AA5078" s="30" t="s">
        <v>166</v>
      </c>
      <c r="AD5078" s="38">
        <v>4968.8900000000003</v>
      </c>
      <c r="AF5078" s="76">
        <f t="shared" si="474"/>
        <v>228595.94999999876</v>
      </c>
    </row>
    <row r="5079" spans="3:32" ht="8.25" customHeight="1" x14ac:dyDescent="0.25">
      <c r="C5079" s="52">
        <v>4</v>
      </c>
      <c r="T5079" s="33">
        <v>46217</v>
      </c>
      <c r="U5079" s="34">
        <v>2026</v>
      </c>
      <c r="V5079" s="35" t="s">
        <v>3611</v>
      </c>
      <c r="W5079" s="35" t="s">
        <v>3620</v>
      </c>
      <c r="X5079" s="37" t="s">
        <v>3816</v>
      </c>
      <c r="Y5079" s="36" t="s">
        <v>3817</v>
      </c>
      <c r="Z5079" s="30" t="s">
        <v>3815</v>
      </c>
      <c r="AA5079" s="30" t="s">
        <v>340</v>
      </c>
      <c r="AD5079" s="38">
        <v>63</v>
      </c>
      <c r="AF5079" s="76">
        <f t="shared" si="474"/>
        <v>228658.94999999876</v>
      </c>
    </row>
    <row r="5080" spans="3:32" ht="8.25" customHeight="1" x14ac:dyDescent="0.25">
      <c r="N5080" s="52">
        <v>41</v>
      </c>
      <c r="T5080" s="33">
        <v>46217</v>
      </c>
      <c r="U5080" s="34">
        <v>2026</v>
      </c>
      <c r="V5080" s="35" t="s">
        <v>3611</v>
      </c>
      <c r="W5080" s="35" t="s">
        <v>17</v>
      </c>
      <c r="X5080" s="37" t="s">
        <v>3818</v>
      </c>
      <c r="Y5080" s="36" t="s">
        <v>3819</v>
      </c>
      <c r="Z5080" s="30" t="s">
        <v>3820</v>
      </c>
      <c r="AA5080" s="30" t="s">
        <v>3899</v>
      </c>
      <c r="AD5080" s="38">
        <v>3337.47</v>
      </c>
      <c r="AF5080" s="76">
        <f t="shared" si="474"/>
        <v>231996.41999999876</v>
      </c>
    </row>
    <row r="5081" spans="3:32" ht="8.25" customHeight="1" x14ac:dyDescent="0.25">
      <c r="N5081" s="52">
        <v>41</v>
      </c>
      <c r="T5081" s="33">
        <v>46217</v>
      </c>
      <c r="U5081" s="34">
        <v>2026</v>
      </c>
      <c r="V5081" s="35" t="s">
        <v>3611</v>
      </c>
      <c r="W5081" s="35" t="s">
        <v>17</v>
      </c>
      <c r="X5081" s="37" t="s">
        <v>3818</v>
      </c>
      <c r="Y5081" s="36" t="s">
        <v>3819</v>
      </c>
      <c r="Z5081" s="30" t="s">
        <v>3820</v>
      </c>
      <c r="AA5081" s="30" t="s">
        <v>166</v>
      </c>
      <c r="AD5081" s="38">
        <v>3747.53</v>
      </c>
      <c r="AF5081" s="76">
        <f t="shared" si="474"/>
        <v>235743.94999999876</v>
      </c>
    </row>
    <row r="5082" spans="3:32" ht="8.25" customHeight="1" x14ac:dyDescent="0.25">
      <c r="I5082" s="52">
        <v>16</v>
      </c>
      <c r="T5082" s="33">
        <v>46217</v>
      </c>
      <c r="U5082" s="34">
        <v>2026</v>
      </c>
      <c r="V5082" s="35" t="s">
        <v>3611</v>
      </c>
      <c r="W5082" s="35" t="s">
        <v>17</v>
      </c>
      <c r="X5082" s="37" t="s">
        <v>3822</v>
      </c>
      <c r="Y5082" s="36" t="s">
        <v>3597</v>
      </c>
      <c r="Z5082" s="30" t="s">
        <v>365</v>
      </c>
      <c r="AA5082" s="30" t="s">
        <v>13</v>
      </c>
      <c r="AD5082" s="38">
        <v>500</v>
      </c>
      <c r="AF5082" s="76">
        <f t="shared" si="474"/>
        <v>236243.94999999876</v>
      </c>
    </row>
    <row r="5083" spans="3:32" ht="8.25" customHeight="1" x14ac:dyDescent="0.25">
      <c r="C5083" s="52">
        <v>5</v>
      </c>
      <c r="T5083" s="33">
        <v>46217</v>
      </c>
      <c r="U5083" s="34">
        <v>2026</v>
      </c>
      <c r="V5083" s="35" t="s">
        <v>3611</v>
      </c>
      <c r="W5083" s="35" t="s">
        <v>3620</v>
      </c>
      <c r="X5083" s="37" t="s">
        <v>3826</v>
      </c>
      <c r="Y5083" s="36" t="s">
        <v>3825</v>
      </c>
      <c r="Z5083" s="30" t="s">
        <v>3824</v>
      </c>
      <c r="AA5083" s="30" t="s">
        <v>340</v>
      </c>
      <c r="AD5083" s="38">
        <v>404</v>
      </c>
      <c r="AF5083" s="76">
        <f t="shared" si="474"/>
        <v>236647.94999999876</v>
      </c>
    </row>
    <row r="5084" spans="3:32" ht="8.25" customHeight="1" x14ac:dyDescent="0.25">
      <c r="T5084" s="33">
        <v>46217</v>
      </c>
      <c r="U5084" s="34">
        <v>2026</v>
      </c>
      <c r="V5084" s="35" t="s">
        <v>3611</v>
      </c>
      <c r="W5084" s="35" t="s">
        <v>17</v>
      </c>
      <c r="X5084" s="37" t="s">
        <v>3827</v>
      </c>
      <c r="Y5084" s="36" t="s">
        <v>3534</v>
      </c>
      <c r="Z5084" s="30" t="s">
        <v>1942</v>
      </c>
      <c r="AA5084" s="30" t="s">
        <v>13</v>
      </c>
      <c r="AD5084" s="38">
        <v>1700</v>
      </c>
      <c r="AF5084" s="76">
        <f t="shared" si="474"/>
        <v>238347.94999999876</v>
      </c>
    </row>
    <row r="5085" spans="3:32" ht="8.25" customHeight="1" x14ac:dyDescent="0.25">
      <c r="T5085" s="33">
        <v>46217</v>
      </c>
      <c r="U5085" s="34">
        <v>2026</v>
      </c>
      <c r="V5085" s="35" t="s">
        <v>3611</v>
      </c>
      <c r="W5085" s="35" t="s">
        <v>17</v>
      </c>
      <c r="X5085" s="37" t="s">
        <v>3831</v>
      </c>
      <c r="Y5085" s="36" t="s">
        <v>3982</v>
      </c>
      <c r="Z5085" s="30" t="s">
        <v>365</v>
      </c>
      <c r="AA5085" s="30" t="s">
        <v>1195</v>
      </c>
      <c r="AD5085" s="38">
        <v>5</v>
      </c>
      <c r="AF5085" s="76">
        <f t="shared" si="474"/>
        <v>238352.94999999876</v>
      </c>
    </row>
    <row r="5086" spans="3:32" ht="8.25" customHeight="1" x14ac:dyDescent="0.25">
      <c r="N5086" s="52">
        <v>42</v>
      </c>
      <c r="T5086" s="33">
        <v>46217</v>
      </c>
      <c r="U5086" s="34">
        <v>2026</v>
      </c>
      <c r="V5086" s="35" t="s">
        <v>3611</v>
      </c>
      <c r="W5086" s="35" t="s">
        <v>17</v>
      </c>
      <c r="X5086" s="37" t="s">
        <v>3832</v>
      </c>
      <c r="Y5086" s="36" t="s">
        <v>3833</v>
      </c>
      <c r="Z5086" s="30" t="s">
        <v>3834</v>
      </c>
      <c r="AA5086" s="30" t="s">
        <v>3899</v>
      </c>
      <c r="AD5086" s="38">
        <v>4724.03</v>
      </c>
      <c r="AF5086" s="76">
        <f t="shared" si="474"/>
        <v>243076.97999999876</v>
      </c>
    </row>
    <row r="5087" spans="3:32" ht="8.25" customHeight="1" x14ac:dyDescent="0.25">
      <c r="N5087" s="52">
        <v>42</v>
      </c>
      <c r="T5087" s="33">
        <v>46217</v>
      </c>
      <c r="U5087" s="34">
        <v>2026</v>
      </c>
      <c r="V5087" s="35" t="s">
        <v>3611</v>
      </c>
      <c r="W5087" s="35" t="s">
        <v>17</v>
      </c>
      <c r="X5087" s="37" t="s">
        <v>3832</v>
      </c>
      <c r="Y5087" s="36" t="s">
        <v>3833</v>
      </c>
      <c r="Z5087" s="30" t="s">
        <v>3834</v>
      </c>
      <c r="AA5087" s="30" t="s">
        <v>166</v>
      </c>
      <c r="AD5087" s="38">
        <v>6350.97</v>
      </c>
      <c r="AF5087" s="76">
        <f t="shared" si="474"/>
        <v>249427.94999999876</v>
      </c>
    </row>
    <row r="5088" spans="3:32" ht="8.25" customHeight="1" x14ac:dyDescent="0.25">
      <c r="C5088" s="52">
        <v>6</v>
      </c>
      <c r="T5088" s="33">
        <v>46217</v>
      </c>
      <c r="U5088" s="34">
        <v>2026</v>
      </c>
      <c r="V5088" s="35" t="s">
        <v>3611</v>
      </c>
      <c r="W5088" s="35" t="s">
        <v>3620</v>
      </c>
      <c r="X5088" s="37" t="s">
        <v>3835</v>
      </c>
      <c r="Y5088" s="36" t="s">
        <v>3836</v>
      </c>
      <c r="Z5088" s="30" t="s">
        <v>3834</v>
      </c>
      <c r="AA5088" s="30" t="s">
        <v>340</v>
      </c>
      <c r="AD5088" s="38">
        <v>1562</v>
      </c>
      <c r="AF5088" s="76">
        <f t="shared" si="474"/>
        <v>250989.94999999876</v>
      </c>
    </row>
    <row r="5089" spans="3:32" ht="8.25" customHeight="1" x14ac:dyDescent="0.25">
      <c r="C5089" s="52">
        <v>7</v>
      </c>
      <c r="T5089" s="33">
        <v>46217</v>
      </c>
      <c r="U5089" s="34">
        <v>2026</v>
      </c>
      <c r="V5089" s="35" t="s">
        <v>3611</v>
      </c>
      <c r="W5089" s="35" t="s">
        <v>3620</v>
      </c>
      <c r="X5089" s="37" t="s">
        <v>3837</v>
      </c>
      <c r="Y5089" s="36" t="s">
        <v>3838</v>
      </c>
      <c r="Z5089" s="30" t="s">
        <v>3834</v>
      </c>
      <c r="AA5089" s="30" t="s">
        <v>340</v>
      </c>
      <c r="AD5089" s="38">
        <v>2411</v>
      </c>
      <c r="AF5089" s="76">
        <f t="shared" si="474"/>
        <v>253400.94999999876</v>
      </c>
    </row>
    <row r="5090" spans="3:32" ht="8.25" customHeight="1" x14ac:dyDescent="0.25">
      <c r="C5090" s="52">
        <v>8</v>
      </c>
      <c r="T5090" s="33">
        <v>46217</v>
      </c>
      <c r="U5090" s="34">
        <v>2026</v>
      </c>
      <c r="V5090" s="35" t="s">
        <v>3611</v>
      </c>
      <c r="W5090" s="35" t="s">
        <v>3620</v>
      </c>
      <c r="X5090" s="37" t="s">
        <v>3839</v>
      </c>
      <c r="Y5090" s="36" t="s">
        <v>3840</v>
      </c>
      <c r="Z5090" s="30" t="s">
        <v>3834</v>
      </c>
      <c r="AA5090" s="30" t="s">
        <v>340</v>
      </c>
      <c r="AD5090" s="38">
        <v>1422</v>
      </c>
      <c r="AF5090" s="76">
        <f t="shared" si="474"/>
        <v>254822.94999999876</v>
      </c>
    </row>
    <row r="5091" spans="3:32" ht="8.25" customHeight="1" x14ac:dyDescent="0.25">
      <c r="Q5091" s="52">
        <v>2</v>
      </c>
      <c r="T5091" s="33">
        <v>46217</v>
      </c>
      <c r="U5091" s="34">
        <v>2026</v>
      </c>
      <c r="V5091" s="35" t="s">
        <v>3611</v>
      </c>
      <c r="W5091" s="35" t="s">
        <v>5</v>
      </c>
      <c r="X5091" s="37" t="s">
        <v>1108</v>
      </c>
      <c r="Y5091" s="36" t="s">
        <v>3821</v>
      </c>
      <c r="Z5091" s="30" t="s">
        <v>547</v>
      </c>
      <c r="AA5091" s="30" t="s">
        <v>395</v>
      </c>
      <c r="AE5091" s="38">
        <v>86834.87</v>
      </c>
      <c r="AF5091" s="76">
        <f t="shared" si="474"/>
        <v>167988.07999999876</v>
      </c>
    </row>
    <row r="5092" spans="3:32" ht="8.25" customHeight="1" x14ac:dyDescent="0.25">
      <c r="R5092" s="53">
        <v>18</v>
      </c>
      <c r="T5092" s="33">
        <v>46217</v>
      </c>
      <c r="U5092" s="34">
        <v>2026</v>
      </c>
      <c r="V5092" s="35" t="s">
        <v>3611</v>
      </c>
      <c r="W5092" s="35" t="s">
        <v>5</v>
      </c>
      <c r="X5092" s="37" t="s">
        <v>3823</v>
      </c>
      <c r="Y5092" s="36" t="s">
        <v>3601</v>
      </c>
      <c r="Z5092" s="30" t="s">
        <v>692</v>
      </c>
      <c r="AA5092" s="30" t="s">
        <v>92</v>
      </c>
      <c r="AE5092" s="38">
        <v>1000</v>
      </c>
      <c r="AF5092" s="76">
        <f t="shared" si="474"/>
        <v>166988.07999999876</v>
      </c>
    </row>
    <row r="5093" spans="3:32" ht="8.25" customHeight="1" x14ac:dyDescent="0.25">
      <c r="F5093" s="53">
        <v>8</v>
      </c>
      <c r="T5093" s="33">
        <v>46217</v>
      </c>
      <c r="U5093" s="34">
        <v>2026</v>
      </c>
      <c r="V5093" s="35" t="s">
        <v>3611</v>
      </c>
      <c r="W5093" s="35" t="s">
        <v>3625</v>
      </c>
      <c r="X5093" s="37" t="s">
        <v>3828</v>
      </c>
      <c r="Y5093" s="36" t="s">
        <v>3829</v>
      </c>
      <c r="Z5093" s="30" t="s">
        <v>4252</v>
      </c>
      <c r="AA5093" s="30" t="s">
        <v>3939</v>
      </c>
      <c r="AE5093" s="38">
        <v>800</v>
      </c>
      <c r="AF5093" s="76">
        <f t="shared" si="474"/>
        <v>166188.07999999876</v>
      </c>
    </row>
    <row r="5094" spans="3:32" ht="8.25" customHeight="1" x14ac:dyDescent="0.25">
      <c r="T5094" s="33">
        <v>46217</v>
      </c>
      <c r="U5094" s="34">
        <v>2026</v>
      </c>
      <c r="V5094" s="35" t="s">
        <v>3611</v>
      </c>
      <c r="W5094" s="35" t="s">
        <v>3997</v>
      </c>
      <c r="X5094" s="37" t="s">
        <v>3830</v>
      </c>
      <c r="Y5094" s="36" t="s">
        <v>411</v>
      </c>
      <c r="Z5094" s="30" t="s">
        <v>3162</v>
      </c>
      <c r="AA5094" s="30" t="s">
        <v>618</v>
      </c>
      <c r="AE5094" s="38">
        <v>70000</v>
      </c>
      <c r="AF5094" s="76">
        <f t="shared" si="474"/>
        <v>96188.079999998765</v>
      </c>
    </row>
    <row r="5095" spans="3:32" ht="8.25" customHeight="1" x14ac:dyDescent="0.25">
      <c r="G5095" s="53">
        <v>10</v>
      </c>
      <c r="T5095" s="33">
        <v>46217</v>
      </c>
      <c r="U5095" s="34">
        <v>2026</v>
      </c>
      <c r="V5095" s="35" t="s">
        <v>3611</v>
      </c>
      <c r="W5095" s="35" t="s">
        <v>3625</v>
      </c>
      <c r="X5095" s="37" t="s">
        <v>3841</v>
      </c>
      <c r="Y5095" s="36" t="s">
        <v>3851</v>
      </c>
      <c r="Z5095" s="30" t="s">
        <v>1023</v>
      </c>
      <c r="AA5095" s="30" t="s">
        <v>3945</v>
      </c>
      <c r="AE5095" s="38">
        <v>2035.8</v>
      </c>
      <c r="AF5095" s="76">
        <f t="shared" si="474"/>
        <v>94152.279999998762</v>
      </c>
    </row>
    <row r="5096" spans="3:32" ht="8.25" customHeight="1" x14ac:dyDescent="0.25">
      <c r="G5096" s="53">
        <v>11</v>
      </c>
      <c r="T5096" s="33">
        <v>46217</v>
      </c>
      <c r="U5096" s="34">
        <v>2026</v>
      </c>
      <c r="V5096" s="35" t="s">
        <v>3611</v>
      </c>
      <c r="W5096" s="35" t="s">
        <v>3625</v>
      </c>
      <c r="X5096" s="37" t="s">
        <v>3842</v>
      </c>
      <c r="Y5096" s="36" t="s">
        <v>3843</v>
      </c>
      <c r="Z5096" s="30" t="s">
        <v>1023</v>
      </c>
      <c r="AA5096" s="30" t="s">
        <v>3945</v>
      </c>
      <c r="AE5096" s="38">
        <v>5018.1099999999997</v>
      </c>
      <c r="AF5096" s="76">
        <f t="shared" si="474"/>
        <v>89134.169999998761</v>
      </c>
    </row>
    <row r="5097" spans="3:32" ht="8.25" customHeight="1" thickBot="1" x14ac:dyDescent="0.3">
      <c r="AA5097" s="260" t="s">
        <v>2893</v>
      </c>
      <c r="AD5097" s="233">
        <f>SUM(AD5067:AD5091)</f>
        <v>125011.87</v>
      </c>
      <c r="AE5097" s="233">
        <f>SUM(AE5091:AE5096)</f>
        <v>165688.77999999997</v>
      </c>
      <c r="AF5097" s="233">
        <f>AF5096</f>
        <v>89134.169999998761</v>
      </c>
    </row>
    <row r="5098" spans="3:32" ht="8.25" customHeight="1" thickTop="1" x14ac:dyDescent="0.25">
      <c r="AF5098" s="30"/>
    </row>
    <row r="5099" spans="3:32" ht="8.25" customHeight="1" x14ac:dyDescent="0.25">
      <c r="X5099" s="109"/>
      <c r="Y5099" s="67" t="s">
        <v>214</v>
      </c>
      <c r="Z5099" s="68"/>
      <c r="AA5099" s="75"/>
    </row>
    <row r="5100" spans="3:32" ht="8.25" customHeight="1" x14ac:dyDescent="0.25">
      <c r="X5100" s="110" t="s">
        <v>652</v>
      </c>
      <c r="Y5100" s="111">
        <v>200</v>
      </c>
      <c r="Z5100" s="111">
        <f t="shared" ref="Z5100:Z5105" si="475">X5100*Y5100</f>
        <v>1600</v>
      </c>
      <c r="AA5100" s="112"/>
    </row>
    <row r="5101" spans="3:32" ht="8.25" customHeight="1" x14ac:dyDescent="0.25">
      <c r="X5101" s="110" t="s">
        <v>3785</v>
      </c>
      <c r="Y5101" s="111">
        <v>100</v>
      </c>
      <c r="Z5101" s="111">
        <f t="shared" si="475"/>
        <v>86600</v>
      </c>
      <c r="AA5101" s="112"/>
    </row>
    <row r="5102" spans="3:32" ht="8.25" customHeight="1" x14ac:dyDescent="0.25">
      <c r="X5102" s="110" t="s">
        <v>120</v>
      </c>
      <c r="Y5102" s="111">
        <v>50</v>
      </c>
      <c r="Z5102" s="111">
        <f t="shared" si="475"/>
        <v>0</v>
      </c>
      <c r="AA5102" s="76"/>
    </row>
    <row r="5103" spans="3:32" ht="8.25" customHeight="1" x14ac:dyDescent="0.25">
      <c r="X5103" s="110" t="s">
        <v>120</v>
      </c>
      <c r="Y5103" s="111">
        <v>20</v>
      </c>
      <c r="Z5103" s="111">
        <f t="shared" si="475"/>
        <v>0</v>
      </c>
      <c r="AA5103" s="38"/>
    </row>
    <row r="5104" spans="3:32" ht="8.25" customHeight="1" x14ac:dyDescent="0.25">
      <c r="X5104" s="110" t="s">
        <v>1671</v>
      </c>
      <c r="Y5104" s="111">
        <v>10</v>
      </c>
      <c r="Z5104" s="111">
        <f t="shared" si="475"/>
        <v>130</v>
      </c>
      <c r="AA5104" s="112"/>
    </row>
    <row r="5105" spans="7:32" ht="8.25" customHeight="1" x14ac:dyDescent="0.25">
      <c r="X5105" s="110" t="s">
        <v>356</v>
      </c>
      <c r="Y5105" s="111">
        <v>5</v>
      </c>
      <c r="Z5105" s="111">
        <f t="shared" si="475"/>
        <v>430</v>
      </c>
      <c r="AA5105" s="112"/>
    </row>
    <row r="5106" spans="7:32" ht="8.25" customHeight="1" x14ac:dyDescent="0.25">
      <c r="X5106" s="269"/>
      <c r="Y5106" s="270"/>
      <c r="Z5106" s="271"/>
      <c r="AA5106" s="38"/>
    </row>
    <row r="5107" spans="7:32" ht="8.25" customHeight="1" x14ac:dyDescent="0.25">
      <c r="X5107" s="110" t="s">
        <v>1907</v>
      </c>
      <c r="Y5107" s="111">
        <v>1</v>
      </c>
      <c r="Z5107" s="111">
        <f t="shared" ref="Z5107:Z5112" si="476">X5107*Y5107</f>
        <v>290</v>
      </c>
      <c r="AA5107" s="76"/>
    </row>
    <row r="5108" spans="7:32" ht="8.25" customHeight="1" x14ac:dyDescent="0.25">
      <c r="X5108" s="110" t="s">
        <v>651</v>
      </c>
      <c r="Y5108" s="111">
        <v>0.5</v>
      </c>
      <c r="Z5108" s="111">
        <f t="shared" si="476"/>
        <v>39.5</v>
      </c>
      <c r="AA5108" s="112"/>
    </row>
    <row r="5109" spans="7:32" ht="8.25" customHeight="1" x14ac:dyDescent="0.25">
      <c r="X5109" s="110" t="s">
        <v>2062</v>
      </c>
      <c r="Y5109" s="111">
        <v>0.25</v>
      </c>
      <c r="Z5109" s="111">
        <f t="shared" si="476"/>
        <v>44.5</v>
      </c>
      <c r="AA5109" s="113" t="s">
        <v>1</v>
      </c>
    </row>
    <row r="5110" spans="7:32" ht="8.25" customHeight="1" x14ac:dyDescent="0.25">
      <c r="X5110" s="110" t="s">
        <v>222</v>
      </c>
      <c r="Y5110" s="111">
        <v>0.1</v>
      </c>
      <c r="Z5110" s="111">
        <f t="shared" si="476"/>
        <v>0.1</v>
      </c>
      <c r="AA5110" s="114" t="s">
        <v>219</v>
      </c>
    </row>
    <row r="5111" spans="7:32" ht="8.25" customHeight="1" thickBot="1" x14ac:dyDescent="0.3">
      <c r="X5111" s="110" t="s">
        <v>222</v>
      </c>
      <c r="Y5111" s="111">
        <v>0.05</v>
      </c>
      <c r="Z5111" s="111">
        <f t="shared" si="476"/>
        <v>0.05</v>
      </c>
      <c r="AA5111" s="115">
        <f>SUM(Z5100:Z5105)+Z5107+Z5108+Z5109+Z5110+Z5111+Z5112</f>
        <v>89134.170000000013</v>
      </c>
    </row>
    <row r="5112" spans="7:32" ht="8.25" customHeight="1" thickTop="1" x14ac:dyDescent="0.25">
      <c r="X5112" s="110" t="s">
        <v>224</v>
      </c>
      <c r="Y5112" s="111">
        <v>0.01</v>
      </c>
      <c r="Z5112" s="111">
        <f t="shared" si="476"/>
        <v>0.02</v>
      </c>
    </row>
    <row r="5114" spans="7:32" ht="8.25" customHeight="1" x14ac:dyDescent="0.25">
      <c r="Z5114" s="231" t="s">
        <v>1376</v>
      </c>
      <c r="AF5114" s="76">
        <f>AF5097</f>
        <v>89134.169999998761</v>
      </c>
    </row>
    <row r="5115" spans="7:32" ht="8.25" customHeight="1" x14ac:dyDescent="0.25">
      <c r="N5115" s="52">
        <v>43</v>
      </c>
      <c r="T5115" s="33">
        <v>46218</v>
      </c>
      <c r="U5115" s="34">
        <v>2026</v>
      </c>
      <c r="V5115" s="35" t="s">
        <v>3611</v>
      </c>
      <c r="W5115" s="35" t="s">
        <v>17</v>
      </c>
      <c r="X5115" s="37" t="s">
        <v>3844</v>
      </c>
      <c r="Y5115" s="36" t="s">
        <v>3845</v>
      </c>
      <c r="Z5115" s="30" t="s">
        <v>434</v>
      </c>
      <c r="AA5115" s="30" t="s">
        <v>3899</v>
      </c>
      <c r="AD5115" s="38">
        <v>7691.3</v>
      </c>
      <c r="AF5115" s="76">
        <f>AF5114+AD5115-AE5115</f>
        <v>96825.469999998764</v>
      </c>
    </row>
    <row r="5116" spans="7:32" ht="8.25" customHeight="1" x14ac:dyDescent="0.25">
      <c r="N5116" s="52">
        <v>43</v>
      </c>
      <c r="T5116" s="33">
        <v>46218</v>
      </c>
      <c r="U5116" s="34">
        <v>2026</v>
      </c>
      <c r="V5116" s="35" t="s">
        <v>3611</v>
      </c>
      <c r="W5116" s="35" t="s">
        <v>17</v>
      </c>
      <c r="X5116" s="37" t="s">
        <v>3844</v>
      </c>
      <c r="Y5116" s="36" t="s">
        <v>3845</v>
      </c>
      <c r="Z5116" s="30" t="s">
        <v>434</v>
      </c>
      <c r="AA5116" s="30" t="s">
        <v>166</v>
      </c>
      <c r="AD5116" s="38">
        <v>3308.7</v>
      </c>
      <c r="AF5116" s="76">
        <f t="shared" ref="AF5116:AF5122" si="477">AF5115+AD5116-AE5116</f>
        <v>100134.16999999876</v>
      </c>
    </row>
    <row r="5117" spans="7:32" ht="8.25" customHeight="1" x14ac:dyDescent="0.25">
      <c r="N5117" s="52">
        <v>44</v>
      </c>
      <c r="T5117" s="33">
        <v>46218</v>
      </c>
      <c r="U5117" s="34">
        <v>2026</v>
      </c>
      <c r="V5117" s="35" t="s">
        <v>3611</v>
      </c>
      <c r="W5117" s="35" t="s">
        <v>17</v>
      </c>
      <c r="X5117" s="37" t="s">
        <v>3854</v>
      </c>
      <c r="Y5117" s="36" t="s">
        <v>4253</v>
      </c>
      <c r="Z5117" s="30" t="s">
        <v>301</v>
      </c>
      <c r="AA5117" s="30" t="s">
        <v>3899</v>
      </c>
      <c r="AD5117" s="38">
        <v>8608.23</v>
      </c>
      <c r="AF5117" s="76">
        <f t="shared" si="477"/>
        <v>108742.39999999876</v>
      </c>
    </row>
    <row r="5118" spans="7:32" ht="8.25" customHeight="1" x14ac:dyDescent="0.25">
      <c r="N5118" s="52">
        <v>44</v>
      </c>
      <c r="T5118" s="33">
        <v>46218</v>
      </c>
      <c r="U5118" s="34">
        <v>2026</v>
      </c>
      <c r="V5118" s="35" t="s">
        <v>3611</v>
      </c>
      <c r="W5118" s="35" t="s">
        <v>17</v>
      </c>
      <c r="X5118" s="37" t="s">
        <v>3854</v>
      </c>
      <c r="Y5118" s="36" t="s">
        <v>4253</v>
      </c>
      <c r="Z5118" s="30" t="s">
        <v>301</v>
      </c>
      <c r="AA5118" s="30" t="s">
        <v>166</v>
      </c>
      <c r="AD5118" s="38">
        <v>4391.7700000000004</v>
      </c>
      <c r="AF5118" s="76">
        <f t="shared" si="477"/>
        <v>113134.16999999876</v>
      </c>
    </row>
    <row r="5119" spans="7:32" ht="8.25" customHeight="1" x14ac:dyDescent="0.25">
      <c r="I5119" s="52">
        <v>17</v>
      </c>
      <c r="T5119" s="33">
        <v>46218</v>
      </c>
      <c r="U5119" s="34">
        <v>2026</v>
      </c>
      <c r="V5119" s="35" t="s">
        <v>3611</v>
      </c>
      <c r="W5119" s="35" t="s">
        <v>17</v>
      </c>
      <c r="X5119" s="37" t="s">
        <v>3856</v>
      </c>
      <c r="Y5119" s="36" t="s">
        <v>3857</v>
      </c>
      <c r="Z5119" s="30" t="s">
        <v>537</v>
      </c>
      <c r="AA5119" s="30" t="s">
        <v>13</v>
      </c>
      <c r="AD5119" s="38">
        <v>500</v>
      </c>
      <c r="AF5119" s="76">
        <f t="shared" si="477"/>
        <v>113634.16999999876</v>
      </c>
    </row>
    <row r="5120" spans="7:32" ht="8.25" customHeight="1" x14ac:dyDescent="0.25">
      <c r="G5120" s="53">
        <v>12</v>
      </c>
      <c r="T5120" s="33">
        <v>46218</v>
      </c>
      <c r="U5120" s="34">
        <v>2026</v>
      </c>
      <c r="V5120" s="35" t="s">
        <v>3611</v>
      </c>
      <c r="W5120" s="35" t="s">
        <v>3625</v>
      </c>
      <c r="X5120" s="37" t="s">
        <v>3846</v>
      </c>
      <c r="Y5120" s="36" t="s">
        <v>3847</v>
      </c>
      <c r="Z5120" s="30" t="s">
        <v>3848</v>
      </c>
      <c r="AA5120" s="30" t="s">
        <v>3945</v>
      </c>
      <c r="AE5120" s="38">
        <v>2262</v>
      </c>
      <c r="AF5120" s="76">
        <f t="shared" si="477"/>
        <v>111372.16999999876</v>
      </c>
    </row>
    <row r="5121" spans="7:32" ht="8.25" customHeight="1" x14ac:dyDescent="0.25">
      <c r="G5121" s="53">
        <v>13</v>
      </c>
      <c r="T5121" s="33">
        <v>46218</v>
      </c>
      <c r="U5121" s="34">
        <v>2026</v>
      </c>
      <c r="V5121" s="35" t="s">
        <v>3611</v>
      </c>
      <c r="W5121" s="35" t="s">
        <v>3625</v>
      </c>
      <c r="X5121" s="37" t="s">
        <v>3852</v>
      </c>
      <c r="Y5121" s="36" t="s">
        <v>3853</v>
      </c>
      <c r="Z5121" s="30" t="s">
        <v>3637</v>
      </c>
      <c r="AA5121" s="30" t="s">
        <v>3945</v>
      </c>
      <c r="AE5121" s="38">
        <v>11180.54</v>
      </c>
      <c r="AF5121" s="76">
        <f t="shared" si="477"/>
        <v>100191.62999999875</v>
      </c>
    </row>
    <row r="5122" spans="7:32" ht="8.25" customHeight="1" x14ac:dyDescent="0.25">
      <c r="T5122" s="33">
        <v>46218</v>
      </c>
      <c r="U5122" s="34">
        <v>2026</v>
      </c>
      <c r="V5122" s="35" t="s">
        <v>3611</v>
      </c>
      <c r="W5122" s="35" t="s">
        <v>5</v>
      </c>
      <c r="X5122" s="37" t="s">
        <v>3855</v>
      </c>
      <c r="Y5122" s="36" t="s">
        <v>411</v>
      </c>
      <c r="Z5122" s="30" t="s">
        <v>301</v>
      </c>
      <c r="AA5122" s="30" t="s">
        <v>2719</v>
      </c>
      <c r="AE5122" s="38">
        <v>13000</v>
      </c>
      <c r="AF5122" s="76">
        <f t="shared" si="477"/>
        <v>87191.629999998753</v>
      </c>
    </row>
    <row r="5123" spans="7:32" ht="8.25" customHeight="1" thickBot="1" x14ac:dyDescent="0.3">
      <c r="AA5123" s="260" t="s">
        <v>2893</v>
      </c>
      <c r="AD5123" s="233">
        <f>SUM(AD5115:AD5119)</f>
        <v>24500</v>
      </c>
      <c r="AE5123" s="233">
        <f>SUM(AE5120:AE5122)</f>
        <v>26442.54</v>
      </c>
      <c r="AF5123" s="233">
        <f>AF5122</f>
        <v>87191.629999998753</v>
      </c>
    </row>
    <row r="5124" spans="7:32" ht="8.25" customHeight="1" thickTop="1" x14ac:dyDescent="0.25">
      <c r="AF5124" s="30"/>
    </row>
    <row r="5125" spans="7:32" ht="8.25" customHeight="1" x14ac:dyDescent="0.25">
      <c r="X5125" s="109"/>
      <c r="Y5125" s="67" t="s">
        <v>214</v>
      </c>
      <c r="Z5125" s="68"/>
      <c r="AA5125" s="75"/>
    </row>
    <row r="5126" spans="7:32" ht="8.25" customHeight="1" x14ac:dyDescent="0.25">
      <c r="X5126" s="110" t="s">
        <v>652</v>
      </c>
      <c r="Y5126" s="111">
        <v>200</v>
      </c>
      <c r="Z5126" s="111">
        <f t="shared" ref="Z5126:Z5131" si="478">X5126*Y5126</f>
        <v>1600</v>
      </c>
      <c r="AA5126" s="112"/>
    </row>
    <row r="5127" spans="7:32" ht="8.25" customHeight="1" x14ac:dyDescent="0.25">
      <c r="X5127" s="110" t="s">
        <v>3858</v>
      </c>
      <c r="Y5127" s="111">
        <v>100</v>
      </c>
      <c r="Z5127" s="111">
        <f t="shared" si="478"/>
        <v>84600</v>
      </c>
      <c r="AA5127" s="112"/>
    </row>
    <row r="5128" spans="7:32" ht="8.25" customHeight="1" x14ac:dyDescent="0.25">
      <c r="X5128" s="110" t="s">
        <v>120</v>
      </c>
      <c r="Y5128" s="111">
        <v>50</v>
      </c>
      <c r="Z5128" s="111">
        <f t="shared" si="478"/>
        <v>0</v>
      </c>
      <c r="AA5128" s="76"/>
    </row>
    <row r="5129" spans="7:32" ht="8.25" customHeight="1" x14ac:dyDescent="0.25">
      <c r="X5129" s="110" t="s">
        <v>222</v>
      </c>
      <c r="Y5129" s="111">
        <v>20</v>
      </c>
      <c r="Z5129" s="111">
        <f t="shared" si="478"/>
        <v>20</v>
      </c>
      <c r="AA5129" s="38"/>
    </row>
    <row r="5130" spans="7:32" ht="8.25" customHeight="1" x14ac:dyDescent="0.25">
      <c r="X5130" s="110" t="s">
        <v>670</v>
      </c>
      <c r="Y5130" s="111">
        <v>10</v>
      </c>
      <c r="Z5130" s="111">
        <f t="shared" si="478"/>
        <v>160</v>
      </c>
      <c r="AA5130" s="112"/>
    </row>
    <row r="5131" spans="7:32" ht="8.25" customHeight="1" x14ac:dyDescent="0.25">
      <c r="X5131" s="110" t="s">
        <v>298</v>
      </c>
      <c r="Y5131" s="111">
        <v>5</v>
      </c>
      <c r="Z5131" s="111">
        <f t="shared" si="478"/>
        <v>440</v>
      </c>
      <c r="AA5131" s="112"/>
    </row>
    <row r="5132" spans="7:32" ht="8.25" customHeight="1" x14ac:dyDescent="0.25">
      <c r="X5132" s="269"/>
      <c r="Y5132" s="270"/>
      <c r="Z5132" s="271"/>
      <c r="AA5132" s="38"/>
    </row>
    <row r="5133" spans="7:32" ht="8.25" customHeight="1" x14ac:dyDescent="0.25">
      <c r="X5133" s="110" t="s">
        <v>3053</v>
      </c>
      <c r="Y5133" s="111">
        <v>1</v>
      </c>
      <c r="Z5133" s="111">
        <f t="shared" ref="Z5133:Z5138" si="479">X5133*Y5133</f>
        <v>287</v>
      </c>
      <c r="AA5133" s="76"/>
    </row>
    <row r="5134" spans="7:32" ht="8.25" customHeight="1" x14ac:dyDescent="0.25">
      <c r="X5134" s="110" t="s">
        <v>259</v>
      </c>
      <c r="Y5134" s="111">
        <v>0.5</v>
      </c>
      <c r="Z5134" s="111">
        <f t="shared" si="479"/>
        <v>40</v>
      </c>
      <c r="AA5134" s="112"/>
    </row>
    <row r="5135" spans="7:32" ht="8.25" customHeight="1" x14ac:dyDescent="0.25">
      <c r="X5135" s="110" t="s">
        <v>2062</v>
      </c>
      <c r="Y5135" s="111">
        <v>0.25</v>
      </c>
      <c r="Z5135" s="111">
        <f t="shared" si="479"/>
        <v>44.5</v>
      </c>
      <c r="AA5135" s="113" t="s">
        <v>1</v>
      </c>
    </row>
    <row r="5136" spans="7:32" ht="8.25" customHeight="1" x14ac:dyDescent="0.25">
      <c r="X5136" s="110" t="s">
        <v>222</v>
      </c>
      <c r="Y5136" s="111">
        <v>0.1</v>
      </c>
      <c r="Z5136" s="111">
        <f t="shared" si="479"/>
        <v>0.1</v>
      </c>
      <c r="AA5136" s="114" t="s">
        <v>219</v>
      </c>
    </row>
    <row r="5137" spans="9:32" ht="8.25" customHeight="1" thickBot="1" x14ac:dyDescent="0.3">
      <c r="X5137" s="110" t="s">
        <v>120</v>
      </c>
      <c r="Y5137" s="111">
        <v>0.05</v>
      </c>
      <c r="Z5137" s="111">
        <f t="shared" si="479"/>
        <v>0</v>
      </c>
      <c r="AA5137" s="115">
        <f>SUM(Z5126:Z5131)+Z5133+Z5134+Z5135+Z5136+Z5137+Z5138</f>
        <v>87191.63</v>
      </c>
    </row>
    <row r="5138" spans="9:32" ht="8.25" customHeight="1" thickTop="1" x14ac:dyDescent="0.25">
      <c r="X5138" s="110" t="s">
        <v>223</v>
      </c>
      <c r="Y5138" s="111">
        <v>0.01</v>
      </c>
      <c r="Z5138" s="111">
        <f t="shared" si="479"/>
        <v>0.03</v>
      </c>
    </row>
    <row r="5140" spans="9:32" ht="8.25" customHeight="1" x14ac:dyDescent="0.25">
      <c r="Z5140" s="231" t="s">
        <v>1376</v>
      </c>
      <c r="AF5140" s="76">
        <f>AF5123</f>
        <v>87191.629999998753</v>
      </c>
    </row>
    <row r="5141" spans="9:32" ht="8.25" customHeight="1" x14ac:dyDescent="0.25">
      <c r="N5141" s="52">
        <v>45</v>
      </c>
      <c r="T5141" s="33">
        <v>46219</v>
      </c>
      <c r="U5141" s="34">
        <v>2026</v>
      </c>
      <c r="V5141" s="35" t="s">
        <v>3611</v>
      </c>
      <c r="W5141" s="35" t="s">
        <v>17</v>
      </c>
      <c r="X5141" s="37" t="s">
        <v>3859</v>
      </c>
      <c r="Y5141" s="36" t="s">
        <v>3860</v>
      </c>
      <c r="Z5141" s="30" t="s">
        <v>484</v>
      </c>
      <c r="AA5141" s="30" t="s">
        <v>3899</v>
      </c>
      <c r="AD5141" s="38">
        <v>6617.57</v>
      </c>
      <c r="AF5141" s="76">
        <f>AF5140+AD5141-AE5141</f>
        <v>93809.19999999876</v>
      </c>
    </row>
    <row r="5142" spans="9:32" ht="8.25" customHeight="1" x14ac:dyDescent="0.25">
      <c r="N5142" s="52">
        <v>45</v>
      </c>
      <c r="T5142" s="33">
        <v>46219</v>
      </c>
      <c r="U5142" s="34">
        <v>2026</v>
      </c>
      <c r="V5142" s="35" t="s">
        <v>3611</v>
      </c>
      <c r="W5142" s="35" t="s">
        <v>17</v>
      </c>
      <c r="X5142" s="37" t="s">
        <v>3859</v>
      </c>
      <c r="Y5142" s="36" t="s">
        <v>3860</v>
      </c>
      <c r="Z5142" s="30" t="s">
        <v>484</v>
      </c>
      <c r="AA5142" s="30" t="s">
        <v>166</v>
      </c>
      <c r="AD5142" s="38">
        <v>4795.43</v>
      </c>
      <c r="AF5142" s="76">
        <f t="shared" ref="AF5142:AF5170" si="480">AF5141+AD5142-AE5142</f>
        <v>98604.629999998753</v>
      </c>
    </row>
    <row r="5143" spans="9:32" ht="8.25" customHeight="1" x14ac:dyDescent="0.25">
      <c r="N5143" s="52">
        <v>46</v>
      </c>
      <c r="T5143" s="33">
        <v>46219</v>
      </c>
      <c r="U5143" s="34">
        <v>2026</v>
      </c>
      <c r="V5143" s="35" t="s">
        <v>3611</v>
      </c>
      <c r="W5143" s="35" t="s">
        <v>17</v>
      </c>
      <c r="X5143" s="37" t="s">
        <v>3861</v>
      </c>
      <c r="Y5143" s="36" t="s">
        <v>3478</v>
      </c>
      <c r="Z5143" s="30" t="s">
        <v>508</v>
      </c>
      <c r="AA5143" s="30" t="s">
        <v>3899</v>
      </c>
      <c r="AD5143" s="38">
        <v>9042.93</v>
      </c>
      <c r="AF5143" s="76">
        <f t="shared" si="480"/>
        <v>107647.55999999875</v>
      </c>
    </row>
    <row r="5144" spans="9:32" ht="8.25" customHeight="1" x14ac:dyDescent="0.25">
      <c r="N5144" s="52">
        <v>46</v>
      </c>
      <c r="T5144" s="33">
        <v>46219</v>
      </c>
      <c r="U5144" s="34">
        <v>2026</v>
      </c>
      <c r="V5144" s="35" t="s">
        <v>3611</v>
      </c>
      <c r="W5144" s="35" t="s">
        <v>17</v>
      </c>
      <c r="X5144" s="37" t="s">
        <v>3861</v>
      </c>
      <c r="Y5144" s="36" t="s">
        <v>3478</v>
      </c>
      <c r="Z5144" s="30" t="s">
        <v>508</v>
      </c>
      <c r="AA5144" s="30" t="s">
        <v>166</v>
      </c>
      <c r="AD5144" s="38">
        <v>3804.07</v>
      </c>
      <c r="AF5144" s="76">
        <f t="shared" si="480"/>
        <v>111451.62999999875</v>
      </c>
    </row>
    <row r="5145" spans="9:32" ht="8.25" customHeight="1" x14ac:dyDescent="0.25">
      <c r="N5145" s="52">
        <v>47</v>
      </c>
      <c r="T5145" s="33">
        <v>46219</v>
      </c>
      <c r="U5145" s="34">
        <v>2026</v>
      </c>
      <c r="V5145" s="35" t="s">
        <v>3611</v>
      </c>
      <c r="W5145" s="35" t="s">
        <v>17</v>
      </c>
      <c r="X5145" s="37" t="s">
        <v>3862</v>
      </c>
      <c r="Y5145" s="36" t="s">
        <v>3863</v>
      </c>
      <c r="Z5145" s="30" t="s">
        <v>3864</v>
      </c>
      <c r="AA5145" s="30" t="s">
        <v>3899</v>
      </c>
      <c r="AD5145" s="38">
        <v>2210.42</v>
      </c>
      <c r="AF5145" s="76">
        <f t="shared" si="480"/>
        <v>113662.04999999875</v>
      </c>
    </row>
    <row r="5146" spans="9:32" ht="8.25" customHeight="1" x14ac:dyDescent="0.25">
      <c r="N5146" s="52">
        <v>47</v>
      </c>
      <c r="T5146" s="33">
        <v>46219</v>
      </c>
      <c r="U5146" s="34">
        <v>2026</v>
      </c>
      <c r="V5146" s="35" t="s">
        <v>3611</v>
      </c>
      <c r="W5146" s="35" t="s">
        <v>17</v>
      </c>
      <c r="X5146" s="37" t="s">
        <v>3862</v>
      </c>
      <c r="Y5146" s="36" t="s">
        <v>3863</v>
      </c>
      <c r="Z5146" s="30" t="s">
        <v>3864</v>
      </c>
      <c r="AA5146" s="30" t="s">
        <v>166</v>
      </c>
      <c r="AD5146" s="38">
        <v>7845.58</v>
      </c>
      <c r="AF5146" s="76">
        <f t="shared" si="480"/>
        <v>121507.62999999875</v>
      </c>
    </row>
    <row r="5147" spans="9:32" ht="8.25" customHeight="1" x14ac:dyDescent="0.25">
      <c r="K5147" s="52">
        <v>5</v>
      </c>
      <c r="T5147" s="33">
        <v>46219</v>
      </c>
      <c r="U5147" s="34">
        <v>2026</v>
      </c>
      <c r="V5147" s="35" t="s">
        <v>3611</v>
      </c>
      <c r="W5147" s="35" t="s">
        <v>17</v>
      </c>
      <c r="X5147" s="37" t="s">
        <v>3865</v>
      </c>
      <c r="Y5147" s="36" t="s">
        <v>3866</v>
      </c>
      <c r="Z5147" s="30" t="s">
        <v>3867</v>
      </c>
      <c r="AA5147" s="30" t="s">
        <v>1787</v>
      </c>
      <c r="AD5147" s="38">
        <v>100</v>
      </c>
      <c r="AF5147" s="76">
        <f t="shared" si="480"/>
        <v>121607.62999999875</v>
      </c>
    </row>
    <row r="5148" spans="9:32" ht="8.25" customHeight="1" x14ac:dyDescent="0.25">
      <c r="L5148" s="52">
        <v>5</v>
      </c>
      <c r="T5148" s="33">
        <v>46219</v>
      </c>
      <c r="U5148" s="34">
        <v>2026</v>
      </c>
      <c r="V5148" s="35" t="s">
        <v>3611</v>
      </c>
      <c r="W5148" s="35" t="s">
        <v>17</v>
      </c>
      <c r="X5148" s="37" t="s">
        <v>3868</v>
      </c>
      <c r="Y5148" s="36" t="s">
        <v>3982</v>
      </c>
      <c r="Z5148" s="30" t="s">
        <v>3867</v>
      </c>
      <c r="AA5148" s="30" t="s">
        <v>373</v>
      </c>
      <c r="AD5148" s="38">
        <v>50</v>
      </c>
      <c r="AF5148" s="76">
        <f t="shared" si="480"/>
        <v>121657.62999999875</v>
      </c>
    </row>
    <row r="5149" spans="9:32" ht="8.25" customHeight="1" x14ac:dyDescent="0.25">
      <c r="I5149" s="52">
        <v>18</v>
      </c>
      <c r="T5149" s="33">
        <v>46219</v>
      </c>
      <c r="U5149" s="34">
        <v>2026</v>
      </c>
      <c r="V5149" s="35" t="s">
        <v>3611</v>
      </c>
      <c r="W5149" s="35" t="s">
        <v>17</v>
      </c>
      <c r="X5149" s="37" t="s">
        <v>3869</v>
      </c>
      <c r="Y5149" s="36" t="s">
        <v>3870</v>
      </c>
      <c r="Z5149" s="30" t="s">
        <v>3871</v>
      </c>
      <c r="AA5149" s="30" t="s">
        <v>13</v>
      </c>
      <c r="AD5149" s="38">
        <v>10000</v>
      </c>
      <c r="AF5149" s="76">
        <f t="shared" si="480"/>
        <v>131657.62999999875</v>
      </c>
    </row>
    <row r="5150" spans="9:32" ht="8.25" customHeight="1" x14ac:dyDescent="0.25">
      <c r="I5150" s="52">
        <v>18</v>
      </c>
      <c r="T5150" s="33">
        <v>46219</v>
      </c>
      <c r="U5150" s="34">
        <v>2026</v>
      </c>
      <c r="V5150" s="35" t="s">
        <v>3611</v>
      </c>
      <c r="W5150" s="35" t="s">
        <v>17</v>
      </c>
      <c r="X5150" s="37" t="s">
        <v>3872</v>
      </c>
      <c r="Y5150" s="36" t="s">
        <v>3873</v>
      </c>
      <c r="Z5150" s="30" t="s">
        <v>3867</v>
      </c>
      <c r="AA5150" s="30" t="s">
        <v>13</v>
      </c>
      <c r="AD5150" s="38">
        <v>10000</v>
      </c>
      <c r="AF5150" s="76">
        <f t="shared" si="480"/>
        <v>141657.62999999875</v>
      </c>
    </row>
    <row r="5151" spans="9:32" ht="8.25" customHeight="1" x14ac:dyDescent="0.25">
      <c r="N5151" s="52">
        <v>48</v>
      </c>
      <c r="T5151" s="33">
        <v>46219</v>
      </c>
      <c r="U5151" s="34">
        <v>2026</v>
      </c>
      <c r="V5151" s="35" t="s">
        <v>3611</v>
      </c>
      <c r="W5151" s="35" t="s">
        <v>17</v>
      </c>
      <c r="X5151" s="37" t="s">
        <v>3874</v>
      </c>
      <c r="Y5151" s="36" t="s">
        <v>3875</v>
      </c>
      <c r="Z5151" s="30" t="s">
        <v>437</v>
      </c>
      <c r="AA5151" s="30" t="s">
        <v>3899</v>
      </c>
      <c r="AD5151" s="38">
        <v>7275.74</v>
      </c>
      <c r="AF5151" s="76">
        <f t="shared" si="480"/>
        <v>148933.36999999874</v>
      </c>
    </row>
    <row r="5152" spans="9:32" ht="8.25" customHeight="1" x14ac:dyDescent="0.25">
      <c r="N5152" s="52">
        <v>48</v>
      </c>
      <c r="T5152" s="33">
        <v>46219</v>
      </c>
      <c r="U5152" s="34">
        <v>2026</v>
      </c>
      <c r="V5152" s="35" t="s">
        <v>3611</v>
      </c>
      <c r="W5152" s="35" t="s">
        <v>17</v>
      </c>
      <c r="X5152" s="37" t="s">
        <v>3874</v>
      </c>
      <c r="Y5152" s="36" t="s">
        <v>3875</v>
      </c>
      <c r="Z5152" s="30" t="s">
        <v>437</v>
      </c>
      <c r="AA5152" s="30" t="s">
        <v>166</v>
      </c>
      <c r="AD5152" s="38">
        <v>5724.26</v>
      </c>
      <c r="AF5152" s="76">
        <f t="shared" si="480"/>
        <v>154657.62999999875</v>
      </c>
    </row>
    <row r="5153" spans="3:32" ht="8.25" customHeight="1" x14ac:dyDescent="0.25">
      <c r="N5153" s="52">
        <v>49</v>
      </c>
      <c r="T5153" s="33">
        <v>46219</v>
      </c>
      <c r="U5153" s="34">
        <v>2026</v>
      </c>
      <c r="V5153" s="35" t="s">
        <v>3611</v>
      </c>
      <c r="W5153" s="35" t="s">
        <v>17</v>
      </c>
      <c r="X5153" s="37" t="s">
        <v>3876</v>
      </c>
      <c r="Y5153" s="36" t="s">
        <v>3877</v>
      </c>
      <c r="Z5153" s="30" t="s">
        <v>447</v>
      </c>
      <c r="AA5153" s="30" t="s">
        <v>3899</v>
      </c>
      <c r="AD5153" s="38">
        <v>7485.16</v>
      </c>
      <c r="AF5153" s="76">
        <f t="shared" si="480"/>
        <v>162142.78999999876</v>
      </c>
    </row>
    <row r="5154" spans="3:32" ht="8.25" customHeight="1" x14ac:dyDescent="0.25">
      <c r="N5154" s="52">
        <v>49</v>
      </c>
      <c r="T5154" s="33">
        <v>46219</v>
      </c>
      <c r="U5154" s="34">
        <v>2026</v>
      </c>
      <c r="V5154" s="35" t="s">
        <v>3611</v>
      </c>
      <c r="W5154" s="35" t="s">
        <v>17</v>
      </c>
      <c r="X5154" s="37" t="s">
        <v>3876</v>
      </c>
      <c r="Y5154" s="36" t="s">
        <v>3877</v>
      </c>
      <c r="Z5154" s="30" t="s">
        <v>447</v>
      </c>
      <c r="AA5154" s="30" t="s">
        <v>166</v>
      </c>
      <c r="AD5154" s="38">
        <v>6014.84</v>
      </c>
      <c r="AF5154" s="76">
        <f t="shared" si="480"/>
        <v>168157.62999999875</v>
      </c>
    </row>
    <row r="5155" spans="3:32" ht="8.25" customHeight="1" x14ac:dyDescent="0.25">
      <c r="N5155" s="52">
        <v>50</v>
      </c>
      <c r="T5155" s="33">
        <v>46219</v>
      </c>
      <c r="U5155" s="34">
        <v>2026</v>
      </c>
      <c r="V5155" s="35" t="s">
        <v>3611</v>
      </c>
      <c r="W5155" s="35" t="s">
        <v>17</v>
      </c>
      <c r="X5155" s="37" t="s">
        <v>3878</v>
      </c>
      <c r="Y5155" s="36" t="s">
        <v>3879</v>
      </c>
      <c r="Z5155" s="30" t="s">
        <v>3880</v>
      </c>
      <c r="AA5155" s="30" t="s">
        <v>3899</v>
      </c>
      <c r="AD5155" s="38">
        <v>2500.0500000000002</v>
      </c>
      <c r="AF5155" s="76">
        <f t="shared" si="480"/>
        <v>170657.67999999874</v>
      </c>
    </row>
    <row r="5156" spans="3:32" ht="8.25" customHeight="1" x14ac:dyDescent="0.25">
      <c r="N5156" s="52">
        <v>50</v>
      </c>
      <c r="T5156" s="33">
        <v>46219</v>
      </c>
      <c r="U5156" s="34">
        <v>2026</v>
      </c>
      <c r="V5156" s="35" t="s">
        <v>3611</v>
      </c>
      <c r="W5156" s="35" t="s">
        <v>17</v>
      </c>
      <c r="X5156" s="37" t="s">
        <v>3878</v>
      </c>
      <c r="Y5156" s="36" t="s">
        <v>3879</v>
      </c>
      <c r="Z5156" s="30" t="s">
        <v>3880</v>
      </c>
      <c r="AA5156" s="30" t="s">
        <v>166</v>
      </c>
      <c r="AD5156" s="38">
        <v>2810.95</v>
      </c>
      <c r="AF5156" s="76">
        <f t="shared" si="480"/>
        <v>173468.62999999875</v>
      </c>
    </row>
    <row r="5157" spans="3:32" ht="8.25" customHeight="1" x14ac:dyDescent="0.25">
      <c r="N5157" s="52">
        <v>51</v>
      </c>
      <c r="T5157" s="33">
        <v>46219</v>
      </c>
      <c r="U5157" s="34">
        <v>2026</v>
      </c>
      <c r="V5157" s="35" t="s">
        <v>3611</v>
      </c>
      <c r="W5157" s="35" t="s">
        <v>17</v>
      </c>
      <c r="X5157" s="37" t="s">
        <v>3881</v>
      </c>
      <c r="Y5157" s="36" t="s">
        <v>3882</v>
      </c>
      <c r="Z5157" s="30" t="s">
        <v>408</v>
      </c>
      <c r="AA5157" s="30" t="s">
        <v>3899</v>
      </c>
      <c r="AD5157" s="38">
        <v>6291.95</v>
      </c>
      <c r="AF5157" s="76">
        <f t="shared" si="480"/>
        <v>179760.57999999876</v>
      </c>
    </row>
    <row r="5158" spans="3:32" ht="8.25" customHeight="1" x14ac:dyDescent="0.25">
      <c r="N5158" s="52">
        <v>51</v>
      </c>
      <c r="T5158" s="33">
        <v>46219</v>
      </c>
      <c r="U5158" s="34">
        <v>2026</v>
      </c>
      <c r="V5158" s="35" t="s">
        <v>3611</v>
      </c>
      <c r="W5158" s="35" t="s">
        <v>17</v>
      </c>
      <c r="X5158" s="37" t="s">
        <v>3881</v>
      </c>
      <c r="Y5158" s="36" t="s">
        <v>3882</v>
      </c>
      <c r="Z5158" s="30" t="s">
        <v>408</v>
      </c>
      <c r="AA5158" s="30" t="s">
        <v>166</v>
      </c>
      <c r="AD5158" s="38">
        <v>3708.05</v>
      </c>
      <c r="AF5158" s="76">
        <f t="shared" si="480"/>
        <v>183468.62999999875</v>
      </c>
    </row>
    <row r="5159" spans="3:32" ht="8.25" customHeight="1" x14ac:dyDescent="0.25">
      <c r="C5159" s="52">
        <v>9</v>
      </c>
      <c r="T5159" s="33">
        <v>46219</v>
      </c>
      <c r="U5159" s="34">
        <v>2026</v>
      </c>
      <c r="V5159" s="35" t="s">
        <v>3611</v>
      </c>
      <c r="W5159" s="35" t="s">
        <v>3620</v>
      </c>
      <c r="X5159" s="37" t="s">
        <v>3883</v>
      </c>
      <c r="Y5159" s="36" t="s">
        <v>3884</v>
      </c>
      <c r="Z5159" s="30" t="s">
        <v>2046</v>
      </c>
      <c r="AA5159" s="30" t="s">
        <v>340</v>
      </c>
      <c r="AD5159" s="38">
        <v>54</v>
      </c>
      <c r="AF5159" s="76">
        <f t="shared" si="480"/>
        <v>183522.62999999875</v>
      </c>
    </row>
    <row r="5160" spans="3:32" ht="8.25" customHeight="1" x14ac:dyDescent="0.25">
      <c r="D5160" s="52">
        <v>3</v>
      </c>
      <c r="T5160" s="33">
        <v>46219</v>
      </c>
      <c r="U5160" s="34">
        <v>2026</v>
      </c>
      <c r="V5160" s="35" t="s">
        <v>3611</v>
      </c>
      <c r="W5160" s="35" t="s">
        <v>3620</v>
      </c>
      <c r="X5160" s="37" t="s">
        <v>3890</v>
      </c>
      <c r="Y5160" s="36" t="s">
        <v>3891</v>
      </c>
      <c r="Z5160" s="30" t="s">
        <v>1722</v>
      </c>
      <c r="AA5160" s="30" t="s">
        <v>256</v>
      </c>
      <c r="AD5160" s="38">
        <v>60</v>
      </c>
      <c r="AF5160" s="76">
        <f t="shared" si="480"/>
        <v>183582.62999999875</v>
      </c>
    </row>
    <row r="5161" spans="3:32" ht="8.25" customHeight="1" x14ac:dyDescent="0.25">
      <c r="N5161" s="52">
        <v>52</v>
      </c>
      <c r="T5161" s="33">
        <v>46219</v>
      </c>
      <c r="U5161" s="34">
        <v>2026</v>
      </c>
      <c r="V5161" s="35" t="s">
        <v>3611</v>
      </c>
      <c r="W5161" s="35" t="s">
        <v>17</v>
      </c>
      <c r="X5161" s="37" t="s">
        <v>3892</v>
      </c>
      <c r="Y5161" s="36" t="s">
        <v>3893</v>
      </c>
      <c r="Z5161" s="30" t="s">
        <v>1002</v>
      </c>
      <c r="AA5161" s="30" t="s">
        <v>3708</v>
      </c>
      <c r="AD5161" s="38">
        <v>514.13</v>
      </c>
      <c r="AF5161" s="76">
        <f t="shared" si="480"/>
        <v>184096.75999999876</v>
      </c>
    </row>
    <row r="5162" spans="3:32" ht="8.25" customHeight="1" x14ac:dyDescent="0.25">
      <c r="N5162" s="52">
        <v>52</v>
      </c>
      <c r="T5162" s="33">
        <v>46219</v>
      </c>
      <c r="U5162" s="34">
        <v>2026</v>
      </c>
      <c r="V5162" s="35" t="s">
        <v>3611</v>
      </c>
      <c r="W5162" s="35" t="s">
        <v>17</v>
      </c>
      <c r="X5162" s="37" t="s">
        <v>3892</v>
      </c>
      <c r="Y5162" s="36" t="s">
        <v>3893</v>
      </c>
      <c r="Z5162" s="30" t="s">
        <v>1002</v>
      </c>
      <c r="AA5162" s="30" t="s">
        <v>183</v>
      </c>
      <c r="AD5162" s="38">
        <v>185.87</v>
      </c>
      <c r="AF5162" s="76">
        <f t="shared" si="480"/>
        <v>184282.62999999875</v>
      </c>
    </row>
    <row r="5163" spans="3:32" ht="8.25" customHeight="1" x14ac:dyDescent="0.25">
      <c r="N5163" s="52">
        <v>53</v>
      </c>
      <c r="T5163" s="33">
        <v>46219</v>
      </c>
      <c r="U5163" s="34">
        <v>2026</v>
      </c>
      <c r="V5163" s="35" t="s">
        <v>3611</v>
      </c>
      <c r="W5163" s="35" t="s">
        <v>17</v>
      </c>
      <c r="X5163" s="37" t="s">
        <v>3894</v>
      </c>
      <c r="Y5163" s="36" t="s">
        <v>3895</v>
      </c>
      <c r="Z5163" s="30" t="s">
        <v>3372</v>
      </c>
      <c r="AA5163" s="30" t="s">
        <v>3708</v>
      </c>
      <c r="AD5163" s="38">
        <v>389.09</v>
      </c>
      <c r="AF5163" s="76">
        <f t="shared" si="480"/>
        <v>184671.71999999875</v>
      </c>
    </row>
    <row r="5164" spans="3:32" ht="8.25" customHeight="1" x14ac:dyDescent="0.25">
      <c r="N5164" s="52">
        <v>53</v>
      </c>
      <c r="T5164" s="33">
        <v>46219</v>
      </c>
      <c r="U5164" s="34">
        <v>2026</v>
      </c>
      <c r="V5164" s="35" t="s">
        <v>3611</v>
      </c>
      <c r="W5164" s="35" t="s">
        <v>17</v>
      </c>
      <c r="X5164" s="37" t="s">
        <v>3894</v>
      </c>
      <c r="Y5164" s="36" t="s">
        <v>3895</v>
      </c>
      <c r="Z5164" s="30" t="s">
        <v>3372</v>
      </c>
      <c r="AA5164" s="30" t="s">
        <v>183</v>
      </c>
      <c r="AD5164" s="38">
        <v>91.91</v>
      </c>
      <c r="AF5164" s="76">
        <f t="shared" si="480"/>
        <v>184763.62999999875</v>
      </c>
    </row>
    <row r="5165" spans="3:32" ht="8.25" customHeight="1" x14ac:dyDescent="0.25">
      <c r="N5165" s="52">
        <v>54</v>
      </c>
      <c r="T5165" s="33">
        <v>46219</v>
      </c>
      <c r="U5165" s="34">
        <v>2026</v>
      </c>
      <c r="V5165" s="35" t="s">
        <v>3611</v>
      </c>
      <c r="W5165" s="35" t="s">
        <v>17</v>
      </c>
      <c r="X5165" s="37" t="s">
        <v>3896</v>
      </c>
      <c r="Y5165" s="36" t="s">
        <v>972</v>
      </c>
      <c r="Z5165" s="30" t="s">
        <v>973</v>
      </c>
      <c r="AA5165" s="30" t="s">
        <v>3708</v>
      </c>
      <c r="AD5165" s="38">
        <v>210.75</v>
      </c>
      <c r="AF5165" s="76">
        <f t="shared" si="480"/>
        <v>184974.37999999875</v>
      </c>
    </row>
    <row r="5166" spans="3:32" ht="8.25" customHeight="1" x14ac:dyDescent="0.25">
      <c r="N5166" s="52">
        <v>54</v>
      </c>
      <c r="T5166" s="33">
        <v>46219</v>
      </c>
      <c r="U5166" s="34">
        <v>2026</v>
      </c>
      <c r="V5166" s="35" t="s">
        <v>3611</v>
      </c>
      <c r="W5166" s="35" t="s">
        <v>17</v>
      </c>
      <c r="X5166" s="37" t="s">
        <v>3896</v>
      </c>
      <c r="Y5166" s="36" t="s">
        <v>972</v>
      </c>
      <c r="Z5166" s="30" t="s">
        <v>973</v>
      </c>
      <c r="AA5166" s="30" t="s">
        <v>183</v>
      </c>
      <c r="AD5166" s="38">
        <v>33.25</v>
      </c>
      <c r="AF5166" s="76">
        <f t="shared" si="480"/>
        <v>185007.62999999875</v>
      </c>
    </row>
    <row r="5167" spans="3:32" ht="8.25" customHeight="1" x14ac:dyDescent="0.25">
      <c r="R5167" s="53">
        <v>19</v>
      </c>
      <c r="T5167" s="33">
        <v>46219</v>
      </c>
      <c r="U5167" s="34">
        <v>2026</v>
      </c>
      <c r="V5167" s="35" t="s">
        <v>3611</v>
      </c>
      <c r="W5167" s="35" t="s">
        <v>5</v>
      </c>
      <c r="X5167" s="37" t="s">
        <v>3885</v>
      </c>
      <c r="Y5167" s="36" t="s">
        <v>3534</v>
      </c>
      <c r="Z5167" s="30" t="s">
        <v>1942</v>
      </c>
      <c r="AA5167" s="30" t="s">
        <v>92</v>
      </c>
      <c r="AE5167" s="38">
        <v>300</v>
      </c>
      <c r="AF5167" s="76">
        <f t="shared" si="480"/>
        <v>184707.62999999875</v>
      </c>
    </row>
    <row r="5168" spans="3:32" ht="8.25" customHeight="1" x14ac:dyDescent="0.25">
      <c r="R5168" s="53">
        <v>20</v>
      </c>
      <c r="T5168" s="33">
        <v>46219</v>
      </c>
      <c r="U5168" s="34">
        <v>2026</v>
      </c>
      <c r="V5168" s="35" t="s">
        <v>3611</v>
      </c>
      <c r="W5168" s="35" t="s">
        <v>5</v>
      </c>
      <c r="X5168" s="37" t="s">
        <v>3886</v>
      </c>
      <c r="Y5168" s="36" t="s">
        <v>3870</v>
      </c>
      <c r="Z5168" s="30" t="s">
        <v>3887</v>
      </c>
      <c r="AA5168" s="30" t="s">
        <v>92</v>
      </c>
      <c r="AE5168" s="38">
        <v>10000</v>
      </c>
      <c r="AF5168" s="76">
        <f t="shared" si="480"/>
        <v>174707.62999999875</v>
      </c>
    </row>
    <row r="5169" spans="18:32" ht="8.25" customHeight="1" x14ac:dyDescent="0.25">
      <c r="R5169" s="53">
        <v>21</v>
      </c>
      <c r="T5169" s="33">
        <v>46219</v>
      </c>
      <c r="U5169" s="34">
        <v>2026</v>
      </c>
      <c r="V5169" s="35" t="s">
        <v>3611</v>
      </c>
      <c r="W5169" s="35" t="s">
        <v>5</v>
      </c>
      <c r="X5169" s="37" t="s">
        <v>3888</v>
      </c>
      <c r="Y5169" s="36" t="s">
        <v>3889</v>
      </c>
      <c r="Z5169" s="30" t="s">
        <v>3880</v>
      </c>
      <c r="AA5169" s="30" t="s">
        <v>92</v>
      </c>
      <c r="AE5169" s="38">
        <v>5311</v>
      </c>
      <c r="AF5169" s="76">
        <f t="shared" si="480"/>
        <v>169396.62999999875</v>
      </c>
    </row>
    <row r="5170" spans="18:32" ht="8.25" customHeight="1" x14ac:dyDescent="0.25">
      <c r="R5170" s="53">
        <v>22</v>
      </c>
      <c r="T5170" s="33">
        <v>46219</v>
      </c>
      <c r="U5170" s="34">
        <v>2026</v>
      </c>
      <c r="V5170" s="35" t="s">
        <v>3611</v>
      </c>
      <c r="W5170" s="35" t="s">
        <v>5</v>
      </c>
      <c r="X5170" s="37" t="s">
        <v>3897</v>
      </c>
      <c r="Y5170" s="36" t="s">
        <v>3586</v>
      </c>
      <c r="Z5170" s="30" t="s">
        <v>3587</v>
      </c>
      <c r="AA5170" s="30" t="s">
        <v>92</v>
      </c>
      <c r="AE5170" s="38">
        <v>300</v>
      </c>
      <c r="AF5170" s="76">
        <f t="shared" si="480"/>
        <v>169096.62999999875</v>
      </c>
    </row>
    <row r="5171" spans="18:32" ht="8.25" customHeight="1" thickBot="1" x14ac:dyDescent="0.3">
      <c r="AA5171" s="260" t="s">
        <v>2893</v>
      </c>
      <c r="AD5171" s="233">
        <f>SUM(AD5141:AD5166)</f>
        <v>97816</v>
      </c>
      <c r="AE5171" s="233">
        <f>SUM(AE5167:AE5170)</f>
        <v>15911</v>
      </c>
      <c r="AF5171" s="233">
        <f>AF5140+AD5171-AE5171</f>
        <v>169096.62999999875</v>
      </c>
    </row>
    <row r="5172" spans="18:32" ht="8.25" customHeight="1" thickTop="1" x14ac:dyDescent="0.25"/>
    <row r="5173" spans="18:32" ht="8.25" customHeight="1" x14ac:dyDescent="0.25">
      <c r="X5173" s="109"/>
      <c r="Y5173" s="67" t="s">
        <v>214</v>
      </c>
      <c r="Z5173" s="68"/>
      <c r="AA5173" s="75"/>
    </row>
    <row r="5174" spans="18:32" ht="8.25" customHeight="1" x14ac:dyDescent="0.25">
      <c r="X5174" s="110" t="s">
        <v>652</v>
      </c>
      <c r="Y5174" s="111">
        <v>200</v>
      </c>
      <c r="Z5174" s="111">
        <f t="shared" ref="Z5174:Z5179" si="481">X5174*Y5174</f>
        <v>1600</v>
      </c>
      <c r="AA5174" s="112"/>
    </row>
    <row r="5175" spans="18:32" ht="8.25" customHeight="1" x14ac:dyDescent="0.25">
      <c r="X5175" s="110" t="s">
        <v>3898</v>
      </c>
      <c r="Y5175" s="111">
        <v>100</v>
      </c>
      <c r="Z5175" s="111">
        <f t="shared" si="481"/>
        <v>166700</v>
      </c>
      <c r="AA5175" s="112"/>
    </row>
    <row r="5176" spans="18:32" ht="8.25" customHeight="1" x14ac:dyDescent="0.25">
      <c r="X5176" s="110" t="s">
        <v>120</v>
      </c>
      <c r="Y5176" s="111">
        <v>50</v>
      </c>
      <c r="Z5176" s="111">
        <f t="shared" si="481"/>
        <v>0</v>
      </c>
      <c r="AA5176" s="76"/>
    </row>
    <row r="5177" spans="18:32" ht="8.25" customHeight="1" x14ac:dyDescent="0.25">
      <c r="X5177" s="110" t="s">
        <v>120</v>
      </c>
      <c r="Y5177" s="111">
        <v>20</v>
      </c>
      <c r="Z5177" s="111">
        <f t="shared" si="481"/>
        <v>0</v>
      </c>
      <c r="AA5177" s="38"/>
    </row>
    <row r="5178" spans="18:32" ht="8.25" customHeight="1" x14ac:dyDescent="0.25">
      <c r="X5178" s="110" t="s">
        <v>120</v>
      </c>
      <c r="Y5178" s="111">
        <v>10</v>
      </c>
      <c r="Z5178" s="111">
        <f t="shared" si="481"/>
        <v>0</v>
      </c>
      <c r="AA5178" s="112"/>
    </row>
    <row r="5179" spans="18:32" ht="8.25" customHeight="1" x14ac:dyDescent="0.25">
      <c r="X5179" s="110" t="s">
        <v>625</v>
      </c>
      <c r="Y5179" s="111">
        <v>5</v>
      </c>
      <c r="Z5179" s="111">
        <f t="shared" si="481"/>
        <v>425</v>
      </c>
      <c r="AA5179" s="112"/>
    </row>
    <row r="5180" spans="18:32" ht="8.25" customHeight="1" x14ac:dyDescent="0.25">
      <c r="X5180" s="269"/>
      <c r="Y5180" s="270"/>
      <c r="Z5180" s="271"/>
      <c r="AA5180" s="38"/>
    </row>
    <row r="5181" spans="18:32" ht="8.25" customHeight="1" x14ac:dyDescent="0.25">
      <c r="X5181" s="110" t="s">
        <v>3053</v>
      </c>
      <c r="Y5181" s="111">
        <v>1</v>
      </c>
      <c r="Z5181" s="111">
        <f t="shared" ref="Z5181:Z5186" si="482">X5181*Y5181</f>
        <v>287</v>
      </c>
      <c r="AA5181" s="76"/>
    </row>
    <row r="5182" spans="18:32" ht="8.25" customHeight="1" x14ac:dyDescent="0.25">
      <c r="X5182" s="110" t="s">
        <v>259</v>
      </c>
      <c r="Y5182" s="111">
        <v>0.5</v>
      </c>
      <c r="Z5182" s="111">
        <f t="shared" si="482"/>
        <v>40</v>
      </c>
      <c r="AA5182" s="112"/>
    </row>
    <row r="5183" spans="18:32" ht="8.25" customHeight="1" x14ac:dyDescent="0.25">
      <c r="X5183" s="110" t="s">
        <v>2062</v>
      </c>
      <c r="Y5183" s="111">
        <v>0.25</v>
      </c>
      <c r="Z5183" s="111">
        <f t="shared" si="482"/>
        <v>44.5</v>
      </c>
      <c r="AA5183" s="113" t="s">
        <v>1</v>
      </c>
    </row>
    <row r="5184" spans="18:32" ht="8.25" customHeight="1" x14ac:dyDescent="0.25">
      <c r="X5184" s="110" t="s">
        <v>222</v>
      </c>
      <c r="Y5184" s="111">
        <v>0.1</v>
      </c>
      <c r="Z5184" s="111">
        <f t="shared" si="482"/>
        <v>0.1</v>
      </c>
      <c r="AA5184" s="114" t="s">
        <v>219</v>
      </c>
    </row>
    <row r="5185" spans="3:32" ht="8.25" customHeight="1" thickBot="1" x14ac:dyDescent="0.3">
      <c r="X5185" s="110" t="s">
        <v>120</v>
      </c>
      <c r="Y5185" s="111">
        <v>0.05</v>
      </c>
      <c r="Z5185" s="111">
        <f t="shared" si="482"/>
        <v>0</v>
      </c>
      <c r="AA5185" s="115">
        <f>SUM(Z5174:Z5179)+Z5181+Z5182+Z5183+Z5184+Z5185+Z5186</f>
        <v>169096.63</v>
      </c>
    </row>
    <row r="5186" spans="3:32" ht="8.25" customHeight="1" thickTop="1" x14ac:dyDescent="0.25">
      <c r="X5186" s="110" t="s">
        <v>223</v>
      </c>
      <c r="Y5186" s="111">
        <v>0.01</v>
      </c>
      <c r="Z5186" s="111">
        <f t="shared" si="482"/>
        <v>0.03</v>
      </c>
    </row>
    <row r="5188" spans="3:32" ht="8.25" customHeight="1" x14ac:dyDescent="0.25">
      <c r="Z5188" s="231" t="s">
        <v>1376</v>
      </c>
      <c r="AF5188" s="76">
        <f>AF5171</f>
        <v>169096.62999999875</v>
      </c>
    </row>
    <row r="5189" spans="3:32" ht="8.25" customHeight="1" x14ac:dyDescent="0.25">
      <c r="N5189" s="52">
        <v>55</v>
      </c>
      <c r="T5189" s="33">
        <v>46220</v>
      </c>
      <c r="U5189" s="34">
        <v>2026</v>
      </c>
      <c r="V5189" s="35" t="s">
        <v>3611</v>
      </c>
      <c r="W5189" s="35" t="s">
        <v>17</v>
      </c>
      <c r="X5189" s="37" t="s">
        <v>3900</v>
      </c>
      <c r="Y5189" s="36" t="s">
        <v>3901</v>
      </c>
      <c r="Z5189" s="30" t="s">
        <v>362</v>
      </c>
      <c r="AA5189" s="30" t="s">
        <v>3899</v>
      </c>
      <c r="AD5189" s="38">
        <v>6042.1</v>
      </c>
      <c r="AF5189" s="76">
        <f>AF5188+AD5189-AE5189</f>
        <v>175138.72999999876</v>
      </c>
    </row>
    <row r="5190" spans="3:32" ht="8.25" customHeight="1" x14ac:dyDescent="0.25">
      <c r="N5190" s="52">
        <v>55</v>
      </c>
      <c r="T5190" s="33">
        <v>46220</v>
      </c>
      <c r="U5190" s="34">
        <v>2026</v>
      </c>
      <c r="V5190" s="35" t="s">
        <v>3611</v>
      </c>
      <c r="W5190" s="35" t="s">
        <v>17</v>
      </c>
      <c r="X5190" s="37" t="s">
        <v>3900</v>
      </c>
      <c r="Y5190" s="36" t="s">
        <v>3901</v>
      </c>
      <c r="Z5190" s="30" t="s">
        <v>362</v>
      </c>
      <c r="AA5190" s="30" t="s">
        <v>166</v>
      </c>
      <c r="AD5190" s="38">
        <v>4857.8999999999996</v>
      </c>
      <c r="AF5190" s="76">
        <f>AF5189+AD5190-AE5190</f>
        <v>179996.62999999875</v>
      </c>
    </row>
    <row r="5191" spans="3:32" ht="8.25" customHeight="1" x14ac:dyDescent="0.25">
      <c r="C5191" s="52">
        <v>10</v>
      </c>
      <c r="T5191" s="33">
        <v>46220</v>
      </c>
      <c r="U5191" s="34">
        <v>2026</v>
      </c>
      <c r="V5191" s="35" t="s">
        <v>3611</v>
      </c>
      <c r="W5191" s="35" t="s">
        <v>3620</v>
      </c>
      <c r="X5191" s="37" t="s">
        <v>3905</v>
      </c>
      <c r="Y5191" s="36" t="s">
        <v>3906</v>
      </c>
      <c r="Z5191" s="30" t="s">
        <v>2634</v>
      </c>
      <c r="AA5191" s="30" t="s">
        <v>340</v>
      </c>
      <c r="AD5191" s="38">
        <v>731.15</v>
      </c>
      <c r="AF5191" s="76">
        <f>AF5190+AD5191-AE5191</f>
        <v>180727.77999999875</v>
      </c>
    </row>
    <row r="5192" spans="3:32" ht="8.25" customHeight="1" x14ac:dyDescent="0.25">
      <c r="C5192" s="52">
        <v>11</v>
      </c>
      <c r="T5192" s="33">
        <v>46190</v>
      </c>
      <c r="U5192" s="34">
        <v>2026</v>
      </c>
      <c r="V5192" s="35" t="s">
        <v>3611</v>
      </c>
      <c r="W5192" s="35" t="s">
        <v>3620</v>
      </c>
      <c r="X5192" s="37" t="s">
        <v>3908</v>
      </c>
      <c r="Y5192" s="36" t="s">
        <v>2869</v>
      </c>
      <c r="Z5192" s="30" t="s">
        <v>423</v>
      </c>
      <c r="AA5192" s="30" t="s">
        <v>340</v>
      </c>
      <c r="AD5192" s="38">
        <v>116</v>
      </c>
      <c r="AF5192" s="76">
        <f t="shared" ref="AF5192:AF5195" si="483">AF5191+AD5192-AE5192</f>
        <v>180843.77999999875</v>
      </c>
    </row>
    <row r="5193" spans="3:32" ht="8.25" customHeight="1" x14ac:dyDescent="0.25">
      <c r="R5193" s="53">
        <v>23</v>
      </c>
      <c r="T5193" s="33">
        <v>46220</v>
      </c>
      <c r="U5193" s="34">
        <v>2026</v>
      </c>
      <c r="V5193" s="35" t="s">
        <v>3611</v>
      </c>
      <c r="W5193" s="35" t="s">
        <v>5</v>
      </c>
      <c r="X5193" s="37" t="s">
        <v>3902</v>
      </c>
      <c r="Y5193" s="36" t="s">
        <v>3903</v>
      </c>
      <c r="Z5193" s="30" t="s">
        <v>16</v>
      </c>
      <c r="AA5193" s="30" t="s">
        <v>92</v>
      </c>
      <c r="AE5193" s="38">
        <v>1000</v>
      </c>
      <c r="AF5193" s="76">
        <f t="shared" si="483"/>
        <v>179843.77999999875</v>
      </c>
    </row>
    <row r="5194" spans="3:32" ht="8.25" customHeight="1" x14ac:dyDescent="0.25">
      <c r="R5194" s="53">
        <v>24</v>
      </c>
      <c r="T5194" s="33">
        <v>46220</v>
      </c>
      <c r="U5194" s="34">
        <v>2026</v>
      </c>
      <c r="V5194" s="35" t="s">
        <v>3611</v>
      </c>
      <c r="W5194" s="35" t="s">
        <v>5</v>
      </c>
      <c r="X5194" s="37" t="s">
        <v>3904</v>
      </c>
      <c r="Y5194" s="36" t="s">
        <v>3505</v>
      </c>
      <c r="Z5194" s="30" t="s">
        <v>2634</v>
      </c>
      <c r="AA5194" s="30" t="s">
        <v>92</v>
      </c>
      <c r="AE5194" s="38">
        <v>500</v>
      </c>
      <c r="AF5194" s="76">
        <f t="shared" si="483"/>
        <v>179343.77999999875</v>
      </c>
    </row>
    <row r="5195" spans="3:32" ht="8.25" customHeight="1" x14ac:dyDescent="0.25">
      <c r="T5195" s="33">
        <v>46220</v>
      </c>
      <c r="U5195" s="34">
        <v>2026</v>
      </c>
      <c r="V5195" s="35" t="s">
        <v>3611</v>
      </c>
      <c r="W5195" s="35" t="s">
        <v>3997</v>
      </c>
      <c r="X5195" s="37" t="s">
        <v>3907</v>
      </c>
      <c r="Y5195" s="36" t="s">
        <v>411</v>
      </c>
      <c r="Z5195" s="30" t="s">
        <v>3162</v>
      </c>
      <c r="AA5195" s="30" t="s">
        <v>618</v>
      </c>
      <c r="AE5195" s="38">
        <v>70000</v>
      </c>
      <c r="AF5195" s="76">
        <f t="shared" si="483"/>
        <v>109343.77999999875</v>
      </c>
    </row>
    <row r="5196" spans="3:32" ht="8.25" customHeight="1" thickBot="1" x14ac:dyDescent="0.3">
      <c r="AA5196" s="260" t="s">
        <v>2893</v>
      </c>
      <c r="AD5196" s="233">
        <f>SUM(AD5189:AD5192)</f>
        <v>11747.15</v>
      </c>
      <c r="AE5196" s="233">
        <f>SUM(AE5193:AE5195)</f>
        <v>71500</v>
      </c>
      <c r="AF5196" s="233">
        <f>AF5195</f>
        <v>109343.77999999875</v>
      </c>
    </row>
    <row r="5197" spans="3:32" ht="8.25" customHeight="1" thickTop="1" x14ac:dyDescent="0.25">
      <c r="AF5197" s="30"/>
    </row>
    <row r="5198" spans="3:32" ht="8.25" customHeight="1" x14ac:dyDescent="0.25">
      <c r="X5198" s="109"/>
      <c r="Y5198" s="67" t="s">
        <v>214</v>
      </c>
      <c r="Z5198" s="68"/>
      <c r="AA5198" s="75"/>
    </row>
    <row r="5199" spans="3:32" ht="8.25" customHeight="1" x14ac:dyDescent="0.25">
      <c r="X5199" s="110" t="s">
        <v>221</v>
      </c>
      <c r="Y5199" s="111">
        <v>200</v>
      </c>
      <c r="Z5199" s="111">
        <f t="shared" ref="Z5199:Z5204" si="484">X5199*Y5199</f>
        <v>1400</v>
      </c>
      <c r="AA5199" s="112"/>
    </row>
    <row r="5200" spans="3:32" ht="8.25" customHeight="1" x14ac:dyDescent="0.25">
      <c r="X5200" s="110" t="s">
        <v>2312</v>
      </c>
      <c r="Y5200" s="111">
        <v>100</v>
      </c>
      <c r="Z5200" s="111">
        <f t="shared" si="484"/>
        <v>107100</v>
      </c>
      <c r="AA5200" s="112"/>
    </row>
    <row r="5201" spans="3:32" ht="8.25" customHeight="1" x14ac:dyDescent="0.25">
      <c r="X5201" s="110" t="s">
        <v>222</v>
      </c>
      <c r="Y5201" s="111">
        <v>50</v>
      </c>
      <c r="Z5201" s="111">
        <f t="shared" si="484"/>
        <v>50</v>
      </c>
      <c r="AA5201" s="76"/>
    </row>
    <row r="5202" spans="3:32" ht="8.25" customHeight="1" x14ac:dyDescent="0.25">
      <c r="X5202" s="110" t="s">
        <v>222</v>
      </c>
      <c r="Y5202" s="111">
        <v>20</v>
      </c>
      <c r="Z5202" s="111">
        <f t="shared" si="484"/>
        <v>20</v>
      </c>
      <c r="AA5202" s="38"/>
    </row>
    <row r="5203" spans="3:32" ht="8.25" customHeight="1" x14ac:dyDescent="0.25">
      <c r="X5203" s="110" t="s">
        <v>120</v>
      </c>
      <c r="Y5203" s="111">
        <v>10</v>
      </c>
      <c r="Z5203" s="111">
        <f t="shared" si="484"/>
        <v>0</v>
      </c>
      <c r="AA5203" s="112"/>
    </row>
    <row r="5204" spans="3:32" ht="8.25" customHeight="1" x14ac:dyDescent="0.25">
      <c r="X5204" s="110" t="s">
        <v>875</v>
      </c>
      <c r="Y5204" s="111">
        <v>5</v>
      </c>
      <c r="Z5204" s="111">
        <f t="shared" si="484"/>
        <v>410</v>
      </c>
      <c r="AA5204" s="112"/>
    </row>
    <row r="5205" spans="3:32" ht="8.25" customHeight="1" x14ac:dyDescent="0.25">
      <c r="X5205" s="269"/>
      <c r="Y5205" s="270"/>
      <c r="Z5205" s="271"/>
      <c r="AA5205" s="38"/>
    </row>
    <row r="5206" spans="3:32" ht="8.25" customHeight="1" x14ac:dyDescent="0.25">
      <c r="X5206" s="110" t="s">
        <v>1707</v>
      </c>
      <c r="Y5206" s="111">
        <v>1</v>
      </c>
      <c r="Z5206" s="111">
        <f t="shared" ref="Z5206:Z5211" si="485">X5206*Y5206</f>
        <v>279</v>
      </c>
      <c r="AA5206" s="76"/>
    </row>
    <row r="5207" spans="3:32" ht="8.25" customHeight="1" x14ac:dyDescent="0.25">
      <c r="X5207" s="110" t="s">
        <v>259</v>
      </c>
      <c r="Y5207" s="111">
        <v>0.5</v>
      </c>
      <c r="Z5207" s="111">
        <f t="shared" si="485"/>
        <v>40</v>
      </c>
      <c r="AA5207" s="112"/>
    </row>
    <row r="5208" spans="3:32" ht="8.25" customHeight="1" x14ac:dyDescent="0.25">
      <c r="X5208" s="110" t="s">
        <v>2062</v>
      </c>
      <c r="Y5208" s="111">
        <v>0.25</v>
      </c>
      <c r="Z5208" s="111">
        <f t="shared" si="485"/>
        <v>44.5</v>
      </c>
      <c r="AA5208" s="113" t="s">
        <v>1</v>
      </c>
    </row>
    <row r="5209" spans="3:32" ht="8.25" customHeight="1" x14ac:dyDescent="0.25">
      <c r="X5209" s="110" t="s">
        <v>224</v>
      </c>
      <c r="Y5209" s="111">
        <v>0.1</v>
      </c>
      <c r="Z5209" s="111">
        <f t="shared" si="485"/>
        <v>0.2</v>
      </c>
      <c r="AA5209" s="114" t="s">
        <v>219</v>
      </c>
    </row>
    <row r="5210" spans="3:32" ht="8.25" customHeight="1" thickBot="1" x14ac:dyDescent="0.3">
      <c r="X5210" s="110" t="s">
        <v>222</v>
      </c>
      <c r="Y5210" s="111">
        <v>0.05</v>
      </c>
      <c r="Z5210" s="111">
        <f t="shared" si="485"/>
        <v>0.05</v>
      </c>
      <c r="AA5210" s="115">
        <f>SUM(Z5199:Z5204)+Z5206+Z5207+Z5208+Z5209+Z5210+Z5211</f>
        <v>109343.78</v>
      </c>
    </row>
    <row r="5211" spans="3:32" ht="8.25" customHeight="1" thickTop="1" x14ac:dyDescent="0.25">
      <c r="X5211" s="110" t="s">
        <v>223</v>
      </c>
      <c r="Y5211" s="111">
        <v>0.01</v>
      </c>
      <c r="Z5211" s="111">
        <f t="shared" si="485"/>
        <v>0.03</v>
      </c>
    </row>
    <row r="5213" spans="3:32" ht="8.25" customHeight="1" x14ac:dyDescent="0.25">
      <c r="Z5213" s="231" t="s">
        <v>1376</v>
      </c>
      <c r="AF5213" s="76">
        <f>AF5196</f>
        <v>109343.77999999875</v>
      </c>
    </row>
    <row r="5214" spans="3:32" ht="8.25" customHeight="1" x14ac:dyDescent="0.25">
      <c r="C5214" s="52">
        <v>12</v>
      </c>
      <c r="T5214" s="33">
        <v>46221</v>
      </c>
      <c r="U5214" s="34">
        <v>2026</v>
      </c>
      <c r="V5214" s="35" t="s">
        <v>3611</v>
      </c>
      <c r="W5214" s="35" t="s">
        <v>3620</v>
      </c>
      <c r="X5214" s="37" t="s">
        <v>3909</v>
      </c>
      <c r="Y5214" s="36" t="s">
        <v>2657</v>
      </c>
      <c r="Z5214" s="30" t="s">
        <v>3910</v>
      </c>
      <c r="AA5214" s="30" t="s">
        <v>340</v>
      </c>
      <c r="AD5214" s="38">
        <v>273</v>
      </c>
      <c r="AF5214" s="76">
        <f>AF5213+AD5214-AE5214</f>
        <v>109616.77999999875</v>
      </c>
    </row>
    <row r="5215" spans="3:32" ht="8.25" customHeight="1" x14ac:dyDescent="0.25">
      <c r="N5215" s="52">
        <v>56</v>
      </c>
      <c r="T5215" s="33">
        <v>46221</v>
      </c>
      <c r="U5215" s="34">
        <v>2026</v>
      </c>
      <c r="V5215" s="35" t="s">
        <v>3611</v>
      </c>
      <c r="W5215" s="35" t="s">
        <v>17</v>
      </c>
      <c r="X5215" s="37" t="s">
        <v>3915</v>
      </c>
      <c r="Y5215" s="36" t="s">
        <v>3916</v>
      </c>
      <c r="Z5215" s="30" t="s">
        <v>3917</v>
      </c>
      <c r="AA5215" s="30" t="s">
        <v>166</v>
      </c>
      <c r="AD5215" s="38">
        <v>1900.9</v>
      </c>
      <c r="AF5215" s="76">
        <f t="shared" ref="AF5215:AF5218" si="486">AF5214+AD5215-AE5215</f>
        <v>111517.67999999874</v>
      </c>
    </row>
    <row r="5216" spans="3:32" ht="8.25" customHeight="1" x14ac:dyDescent="0.15">
      <c r="N5216" s="52">
        <v>56</v>
      </c>
      <c r="T5216" s="33">
        <v>46221</v>
      </c>
      <c r="U5216" s="34">
        <v>2026</v>
      </c>
      <c r="V5216" s="35" t="s">
        <v>3611</v>
      </c>
      <c r="W5216" s="35" t="s">
        <v>17</v>
      </c>
      <c r="X5216" s="37" t="s">
        <v>3915</v>
      </c>
      <c r="Y5216" s="36" t="s">
        <v>3916</v>
      </c>
      <c r="Z5216" s="30" t="s">
        <v>3917</v>
      </c>
      <c r="AA5216" s="134" t="s">
        <v>3304</v>
      </c>
      <c r="AD5216" s="38">
        <v>3099.1</v>
      </c>
      <c r="AF5216" s="76">
        <f t="shared" si="486"/>
        <v>114616.77999999875</v>
      </c>
    </row>
    <row r="5217" spans="7:32" ht="8.25" customHeight="1" x14ac:dyDescent="0.25">
      <c r="R5217" s="53">
        <v>25</v>
      </c>
      <c r="T5217" s="33">
        <v>46221</v>
      </c>
      <c r="U5217" s="34">
        <v>2026</v>
      </c>
      <c r="V5217" s="35" t="s">
        <v>3611</v>
      </c>
      <c r="W5217" s="35" t="s">
        <v>5</v>
      </c>
      <c r="X5217" s="37" t="s">
        <v>3911</v>
      </c>
      <c r="Y5217" s="36" t="s">
        <v>3597</v>
      </c>
      <c r="Z5217" s="30" t="s">
        <v>365</v>
      </c>
      <c r="AA5217" s="30" t="s">
        <v>92</v>
      </c>
      <c r="AE5217" s="38">
        <v>1000</v>
      </c>
      <c r="AF5217" s="76">
        <f t="shared" si="486"/>
        <v>113616.77999999875</v>
      </c>
    </row>
    <row r="5218" spans="7:32" ht="8.25" customHeight="1" x14ac:dyDescent="0.25">
      <c r="G5218" s="53">
        <v>14</v>
      </c>
      <c r="T5218" s="33">
        <v>46221</v>
      </c>
      <c r="U5218" s="34">
        <v>2026</v>
      </c>
      <c r="V5218" s="35" t="s">
        <v>3611</v>
      </c>
      <c r="W5218" s="35" t="s">
        <v>3625</v>
      </c>
      <c r="X5218" s="37" t="s">
        <v>3912</v>
      </c>
      <c r="Y5218" s="36" t="s">
        <v>3913</v>
      </c>
      <c r="Z5218" s="30" t="s">
        <v>3914</v>
      </c>
      <c r="AA5218" s="30" t="s">
        <v>3945</v>
      </c>
      <c r="AE5218" s="38">
        <v>6831</v>
      </c>
      <c r="AF5218" s="76">
        <f t="shared" si="486"/>
        <v>106785.77999999875</v>
      </c>
    </row>
    <row r="5219" spans="7:32" ht="8.25" customHeight="1" thickBot="1" x14ac:dyDescent="0.3">
      <c r="AA5219" s="260" t="s">
        <v>2893</v>
      </c>
      <c r="AD5219" s="233">
        <f>SUM(AD5214:AD5216)</f>
        <v>5273</v>
      </c>
      <c r="AE5219" s="233">
        <f>SUM(AE5217:AE5218)</f>
        <v>7831</v>
      </c>
      <c r="AF5219" s="233">
        <f>AF5218</f>
        <v>106785.77999999875</v>
      </c>
    </row>
    <row r="5220" spans="7:32" ht="8.25" customHeight="1" thickTop="1" x14ac:dyDescent="0.25"/>
    <row r="5221" spans="7:32" ht="8.25" customHeight="1" x14ac:dyDescent="0.25">
      <c r="X5221" s="109"/>
      <c r="Y5221" s="67" t="s">
        <v>214</v>
      </c>
      <c r="Z5221" s="68"/>
      <c r="AA5221" s="75"/>
    </row>
    <row r="5222" spans="7:32" ht="8.25" customHeight="1" x14ac:dyDescent="0.25">
      <c r="X5222" s="110" t="s">
        <v>224</v>
      </c>
      <c r="Y5222" s="111">
        <v>200</v>
      </c>
      <c r="Z5222" s="111">
        <f t="shared" ref="Z5222:Z5227" si="487">X5222*Y5222</f>
        <v>400</v>
      </c>
      <c r="AA5222" s="112"/>
    </row>
    <row r="5223" spans="7:32" ht="8.25" customHeight="1" x14ac:dyDescent="0.25">
      <c r="X5223" s="110" t="s">
        <v>3918</v>
      </c>
      <c r="Y5223" s="111">
        <v>100</v>
      </c>
      <c r="Z5223" s="111">
        <f t="shared" si="487"/>
        <v>105600</v>
      </c>
      <c r="AA5223" s="112"/>
    </row>
    <row r="5224" spans="7:32" ht="8.25" customHeight="1" x14ac:dyDescent="0.25">
      <c r="X5224" s="110" t="s">
        <v>222</v>
      </c>
      <c r="Y5224" s="111">
        <v>50</v>
      </c>
      <c r="Z5224" s="111">
        <f t="shared" si="487"/>
        <v>50</v>
      </c>
      <c r="AA5224" s="76"/>
    </row>
    <row r="5225" spans="7:32" ht="8.25" customHeight="1" x14ac:dyDescent="0.25">
      <c r="X5225" s="110" t="s">
        <v>120</v>
      </c>
      <c r="Y5225" s="111">
        <v>20</v>
      </c>
      <c r="Z5225" s="111">
        <f t="shared" si="487"/>
        <v>0</v>
      </c>
      <c r="AA5225" s="38"/>
    </row>
    <row r="5226" spans="7:32" ht="8.25" customHeight="1" x14ac:dyDescent="0.25">
      <c r="X5226" s="110" t="s">
        <v>120</v>
      </c>
      <c r="Y5226" s="111">
        <v>10</v>
      </c>
      <c r="Z5226" s="111">
        <f t="shared" si="487"/>
        <v>0</v>
      </c>
      <c r="AA5226" s="112"/>
    </row>
    <row r="5227" spans="7:32" ht="8.25" customHeight="1" x14ac:dyDescent="0.25">
      <c r="X5227" s="110" t="s">
        <v>481</v>
      </c>
      <c r="Y5227" s="111">
        <v>5</v>
      </c>
      <c r="Z5227" s="111">
        <f t="shared" si="487"/>
        <v>375</v>
      </c>
      <c r="AA5227" s="112"/>
    </row>
    <row r="5228" spans="7:32" ht="8.25" customHeight="1" x14ac:dyDescent="0.25">
      <c r="X5228" s="269"/>
      <c r="Y5228" s="270"/>
      <c r="Z5228" s="271"/>
      <c r="AA5228" s="38"/>
    </row>
    <row r="5229" spans="7:32" ht="8.25" customHeight="1" x14ac:dyDescent="0.25">
      <c r="X5229" s="110" t="s">
        <v>2861</v>
      </c>
      <c r="Y5229" s="111">
        <v>1</v>
      </c>
      <c r="Z5229" s="111">
        <f t="shared" ref="Z5229:Z5234" si="488">X5229*Y5229</f>
        <v>276</v>
      </c>
      <c r="AA5229" s="76"/>
    </row>
    <row r="5230" spans="7:32" ht="8.25" customHeight="1" x14ac:dyDescent="0.25">
      <c r="X5230" s="110" t="s">
        <v>259</v>
      </c>
      <c r="Y5230" s="111">
        <v>0.5</v>
      </c>
      <c r="Z5230" s="111">
        <f t="shared" si="488"/>
        <v>40</v>
      </c>
      <c r="AA5230" s="112"/>
    </row>
    <row r="5231" spans="7:32" ht="8.25" customHeight="1" x14ac:dyDescent="0.25">
      <c r="X5231" s="110" t="s">
        <v>2062</v>
      </c>
      <c r="Y5231" s="111">
        <v>0.25</v>
      </c>
      <c r="Z5231" s="111">
        <f t="shared" si="488"/>
        <v>44.5</v>
      </c>
      <c r="AA5231" s="113" t="s">
        <v>1</v>
      </c>
    </row>
    <row r="5232" spans="7:32" ht="8.25" customHeight="1" x14ac:dyDescent="0.25">
      <c r="X5232" s="110" t="s">
        <v>224</v>
      </c>
      <c r="Y5232" s="111">
        <v>0.1</v>
      </c>
      <c r="Z5232" s="111">
        <f t="shared" si="488"/>
        <v>0.2</v>
      </c>
      <c r="AA5232" s="114" t="s">
        <v>219</v>
      </c>
    </row>
    <row r="5233" spans="4:32" ht="8.25" customHeight="1" thickBot="1" x14ac:dyDescent="0.3">
      <c r="X5233" s="110" t="s">
        <v>222</v>
      </c>
      <c r="Y5233" s="111">
        <v>0.05</v>
      </c>
      <c r="Z5233" s="111">
        <f t="shared" si="488"/>
        <v>0.05</v>
      </c>
      <c r="AA5233" s="115">
        <f>SUM(Z5222:Z5227)+Z5229+Z5230+Z5231+Z5232+Z5233+Z5234</f>
        <v>106785.78</v>
      </c>
    </row>
    <row r="5234" spans="4:32" ht="8.25" customHeight="1" thickTop="1" x14ac:dyDescent="0.25">
      <c r="X5234" s="110" t="s">
        <v>223</v>
      </c>
      <c r="Y5234" s="111">
        <v>0.01</v>
      </c>
      <c r="Z5234" s="111">
        <f t="shared" si="488"/>
        <v>0.03</v>
      </c>
    </row>
    <row r="5236" spans="4:32" ht="8.25" customHeight="1" x14ac:dyDescent="0.25">
      <c r="Z5236" s="231" t="s">
        <v>1376</v>
      </c>
      <c r="AF5236" s="76">
        <f>AF5219</f>
        <v>106785.77999999875</v>
      </c>
    </row>
    <row r="5237" spans="4:32" ht="8.25" customHeight="1" x14ac:dyDescent="0.25">
      <c r="N5237" s="52">
        <v>57</v>
      </c>
      <c r="T5237" s="33">
        <v>46223</v>
      </c>
      <c r="U5237" s="34">
        <v>2026</v>
      </c>
      <c r="V5237" s="35" t="s">
        <v>3611</v>
      </c>
      <c r="W5237" s="35" t="s">
        <v>17</v>
      </c>
      <c r="X5237" s="37" t="s">
        <v>3919</v>
      </c>
      <c r="Y5237" s="36" t="s">
        <v>3920</v>
      </c>
      <c r="Z5237" s="30" t="s">
        <v>3921</v>
      </c>
      <c r="AA5237" s="30" t="s">
        <v>3899</v>
      </c>
      <c r="AD5237" s="38">
        <v>9101.68</v>
      </c>
      <c r="AF5237" s="76">
        <f>AF5236+AD5237-AE5237</f>
        <v>115887.45999999874</v>
      </c>
    </row>
    <row r="5238" spans="4:32" ht="8.25" customHeight="1" x14ac:dyDescent="0.25">
      <c r="N5238" s="52">
        <v>57</v>
      </c>
      <c r="T5238" s="33">
        <v>46223</v>
      </c>
      <c r="U5238" s="34">
        <v>2026</v>
      </c>
      <c r="V5238" s="35" t="s">
        <v>3611</v>
      </c>
      <c r="W5238" s="35" t="s">
        <v>17</v>
      </c>
      <c r="X5238" s="37" t="s">
        <v>3919</v>
      </c>
      <c r="Y5238" s="36" t="s">
        <v>3920</v>
      </c>
      <c r="Z5238" s="30" t="s">
        <v>3921</v>
      </c>
      <c r="AA5238" s="30" t="s">
        <v>166</v>
      </c>
      <c r="AD5238" s="38">
        <v>898.32</v>
      </c>
      <c r="AF5238" s="76">
        <f t="shared" ref="AF5238:AF5247" si="489">AF5237+AD5238-AE5238</f>
        <v>116785.77999999875</v>
      </c>
    </row>
    <row r="5239" spans="4:32" ht="8.25" customHeight="1" x14ac:dyDescent="0.25">
      <c r="I5239" s="52">
        <v>19</v>
      </c>
      <c r="T5239" s="33">
        <v>46223</v>
      </c>
      <c r="U5239" s="34">
        <v>2026</v>
      </c>
      <c r="V5239" s="35" t="s">
        <v>3611</v>
      </c>
      <c r="W5239" s="35" t="s">
        <v>17</v>
      </c>
      <c r="X5239" s="37" t="s">
        <v>3922</v>
      </c>
      <c r="Y5239" s="36" t="s">
        <v>3684</v>
      </c>
      <c r="Z5239" s="30" t="s">
        <v>420</v>
      </c>
      <c r="AA5239" s="30" t="s">
        <v>13</v>
      </c>
      <c r="AD5239" s="38">
        <v>500</v>
      </c>
      <c r="AF5239" s="76">
        <f t="shared" si="489"/>
        <v>117285.77999999875</v>
      </c>
    </row>
    <row r="5240" spans="4:32" ht="8.25" customHeight="1" x14ac:dyDescent="0.25">
      <c r="N5240" s="52">
        <v>58</v>
      </c>
      <c r="T5240" s="33">
        <v>46223</v>
      </c>
      <c r="U5240" s="34">
        <v>2026</v>
      </c>
      <c r="V5240" s="35" t="s">
        <v>3611</v>
      </c>
      <c r="W5240" s="35" t="s">
        <v>17</v>
      </c>
      <c r="X5240" s="37" t="s">
        <v>3923</v>
      </c>
      <c r="Y5240" s="36" t="s">
        <v>3924</v>
      </c>
      <c r="Z5240" s="30" t="s">
        <v>1624</v>
      </c>
      <c r="AA5240" s="30" t="s">
        <v>3899</v>
      </c>
      <c r="AD5240" s="38">
        <v>2547.2399999999998</v>
      </c>
      <c r="AF5240" s="76">
        <f t="shared" si="489"/>
        <v>119833.01999999875</v>
      </c>
    </row>
    <row r="5241" spans="4:32" ht="8.25" customHeight="1" x14ac:dyDescent="0.25">
      <c r="N5241" s="52">
        <v>58</v>
      </c>
      <c r="T5241" s="33">
        <v>46223</v>
      </c>
      <c r="U5241" s="34">
        <v>2026</v>
      </c>
      <c r="V5241" s="35" t="s">
        <v>3611</v>
      </c>
      <c r="W5241" s="35" t="s">
        <v>17</v>
      </c>
      <c r="X5241" s="37" t="s">
        <v>3923</v>
      </c>
      <c r="Y5241" s="36" t="s">
        <v>3924</v>
      </c>
      <c r="Z5241" s="30" t="s">
        <v>1624</v>
      </c>
      <c r="AA5241" s="30" t="s">
        <v>166</v>
      </c>
      <c r="AD5241" s="38">
        <v>1622.76</v>
      </c>
      <c r="AF5241" s="76">
        <f t="shared" si="489"/>
        <v>121455.77999999875</v>
      </c>
    </row>
    <row r="5242" spans="4:32" ht="8.25" customHeight="1" x14ac:dyDescent="0.25">
      <c r="N5242" s="52">
        <v>59</v>
      </c>
      <c r="T5242" s="33">
        <v>46223</v>
      </c>
      <c r="U5242" s="34">
        <v>2026</v>
      </c>
      <c r="V5242" s="35" t="s">
        <v>3611</v>
      </c>
      <c r="W5242" s="35" t="s">
        <v>17</v>
      </c>
      <c r="X5242" s="37" t="s">
        <v>3925</v>
      </c>
      <c r="Y5242" s="36" t="s">
        <v>3926</v>
      </c>
      <c r="Z5242" s="30" t="s">
        <v>3927</v>
      </c>
      <c r="AA5242" s="30" t="s">
        <v>3899</v>
      </c>
      <c r="AD5242" s="38">
        <v>1401.28</v>
      </c>
      <c r="AF5242" s="76">
        <f t="shared" si="489"/>
        <v>122857.05999999875</v>
      </c>
    </row>
    <row r="5243" spans="4:32" ht="8.25" customHeight="1" x14ac:dyDescent="0.25">
      <c r="N5243" s="52">
        <v>59</v>
      </c>
      <c r="T5243" s="33">
        <v>46223</v>
      </c>
      <c r="U5243" s="34">
        <v>2026</v>
      </c>
      <c r="V5243" s="35" t="s">
        <v>3611</v>
      </c>
      <c r="W5243" s="35" t="s">
        <v>17</v>
      </c>
      <c r="X5243" s="37" t="s">
        <v>3925</v>
      </c>
      <c r="Y5243" s="36" t="s">
        <v>3926</v>
      </c>
      <c r="Z5243" s="30" t="s">
        <v>3927</v>
      </c>
      <c r="AA5243" s="30" t="s">
        <v>166</v>
      </c>
      <c r="AD5243" s="38">
        <v>6668.72</v>
      </c>
      <c r="AF5243" s="76">
        <f t="shared" si="489"/>
        <v>129525.77999999875</v>
      </c>
    </row>
    <row r="5244" spans="4:32" ht="8.25" customHeight="1" x14ac:dyDescent="0.25">
      <c r="N5244" s="52">
        <v>59</v>
      </c>
      <c r="T5244" s="33">
        <v>46223</v>
      </c>
      <c r="U5244" s="34">
        <v>2026</v>
      </c>
      <c r="V5244" s="35" t="s">
        <v>3611</v>
      </c>
      <c r="W5244" s="35" t="s">
        <v>17</v>
      </c>
      <c r="X5244" s="37" t="s">
        <v>3925</v>
      </c>
      <c r="Y5244" s="36" t="s">
        <v>3926</v>
      </c>
      <c r="Z5244" s="30" t="s">
        <v>3927</v>
      </c>
      <c r="AA5244" s="30" t="s">
        <v>3304</v>
      </c>
      <c r="AD5244" s="38">
        <v>30</v>
      </c>
      <c r="AF5244" s="76">
        <f t="shared" si="489"/>
        <v>129555.77999999875</v>
      </c>
    </row>
    <row r="5245" spans="4:32" ht="8.25" customHeight="1" x14ac:dyDescent="0.25">
      <c r="D5245" s="52">
        <v>4</v>
      </c>
      <c r="T5245" s="33">
        <v>46223</v>
      </c>
      <c r="U5245" s="34">
        <v>2026</v>
      </c>
      <c r="V5245" s="35" t="s">
        <v>3611</v>
      </c>
      <c r="W5245" s="35" t="s">
        <v>3620</v>
      </c>
      <c r="X5245" s="37" t="s">
        <v>3928</v>
      </c>
      <c r="Y5245" s="36" t="s">
        <v>3929</v>
      </c>
      <c r="Z5245" s="30" t="s">
        <v>3930</v>
      </c>
      <c r="AA5245" s="30" t="s">
        <v>256</v>
      </c>
      <c r="AD5245" s="38">
        <v>900</v>
      </c>
      <c r="AF5245" s="76">
        <f t="shared" si="489"/>
        <v>130455.77999999875</v>
      </c>
    </row>
    <row r="5246" spans="4:32" ht="8.25" customHeight="1" x14ac:dyDescent="0.25">
      <c r="N5246" s="52">
        <v>60</v>
      </c>
      <c r="T5246" s="33">
        <v>46223</v>
      </c>
      <c r="U5246" s="34">
        <v>2026</v>
      </c>
      <c r="V5246" s="35" t="s">
        <v>3611</v>
      </c>
      <c r="W5246" s="35" t="s">
        <v>17</v>
      </c>
      <c r="X5246" s="37" t="s">
        <v>3931</v>
      </c>
      <c r="Y5246" s="36" t="s">
        <v>3932</v>
      </c>
      <c r="Z5246" s="30" t="s">
        <v>3933</v>
      </c>
      <c r="AA5246" s="30" t="s">
        <v>3708</v>
      </c>
      <c r="AD5246" s="38">
        <v>457.48</v>
      </c>
      <c r="AF5246" s="76">
        <f t="shared" si="489"/>
        <v>130913.25999999874</v>
      </c>
    </row>
    <row r="5247" spans="4:32" ht="8.25" customHeight="1" x14ac:dyDescent="0.25">
      <c r="N5247" s="52">
        <v>60</v>
      </c>
      <c r="T5247" s="33">
        <v>46223</v>
      </c>
      <c r="U5247" s="34">
        <v>2026</v>
      </c>
      <c r="V5247" s="35" t="s">
        <v>3611</v>
      </c>
      <c r="W5247" s="35" t="s">
        <v>17</v>
      </c>
      <c r="X5247" s="37" t="s">
        <v>3931</v>
      </c>
      <c r="Y5247" s="36" t="s">
        <v>3932</v>
      </c>
      <c r="Z5247" s="30" t="s">
        <v>3933</v>
      </c>
      <c r="AA5247" s="30" t="s">
        <v>183</v>
      </c>
      <c r="AD5247" s="38">
        <v>112.08</v>
      </c>
      <c r="AF5247" s="76">
        <f t="shared" si="489"/>
        <v>131025.33999999875</v>
      </c>
    </row>
    <row r="5248" spans="4:32" ht="8.25" customHeight="1" x14ac:dyDescent="0.25">
      <c r="D5248" s="52">
        <v>5</v>
      </c>
      <c r="T5248" s="33">
        <v>46223</v>
      </c>
      <c r="U5248" s="34">
        <v>2026</v>
      </c>
      <c r="V5248" s="35" t="s">
        <v>3611</v>
      </c>
      <c r="W5248" s="35" t="s">
        <v>3620</v>
      </c>
      <c r="X5248" s="37" t="s">
        <v>3950</v>
      </c>
      <c r="Y5248" s="36" t="s">
        <v>3951</v>
      </c>
      <c r="Z5248" s="30" t="s">
        <v>3952</v>
      </c>
      <c r="AA5248" s="30" t="s">
        <v>256</v>
      </c>
      <c r="AD5248" s="38">
        <v>300</v>
      </c>
      <c r="AF5248" s="76">
        <f>AF5247+AD5248-AE5248</f>
        <v>131325.33999999875</v>
      </c>
    </row>
    <row r="5249" spans="3:32" ht="8.25" customHeight="1" x14ac:dyDescent="0.25">
      <c r="C5249" s="52">
        <v>13</v>
      </c>
      <c r="T5249" s="33">
        <v>46223</v>
      </c>
      <c r="U5249" s="34">
        <v>2026</v>
      </c>
      <c r="V5249" s="35" t="s">
        <v>3611</v>
      </c>
      <c r="W5249" s="35" t="s">
        <v>3620</v>
      </c>
      <c r="X5249" s="37" t="s">
        <v>3953</v>
      </c>
      <c r="Y5249" s="36" t="s">
        <v>3954</v>
      </c>
      <c r="Z5249" s="30" t="s">
        <v>3955</v>
      </c>
      <c r="AA5249" s="30" t="s">
        <v>340</v>
      </c>
      <c r="AD5249" s="38">
        <v>92</v>
      </c>
      <c r="AF5249" s="76">
        <f t="shared" ref="AF5249:AF5256" si="490">AF5248+AD5249-AE5249</f>
        <v>131417.33999999875</v>
      </c>
    </row>
    <row r="5250" spans="3:32" ht="8.25" customHeight="1" x14ac:dyDescent="0.25">
      <c r="R5250" s="53">
        <v>26</v>
      </c>
      <c r="T5250" s="33">
        <v>46223</v>
      </c>
      <c r="U5250" s="34">
        <v>2026</v>
      </c>
      <c r="V5250" s="35" t="s">
        <v>3611</v>
      </c>
      <c r="W5250" s="35" t="s">
        <v>5</v>
      </c>
      <c r="X5250" s="37" t="s">
        <v>3934</v>
      </c>
      <c r="Y5250" s="36" t="s">
        <v>3935</v>
      </c>
      <c r="Z5250" s="30" t="s">
        <v>3933</v>
      </c>
      <c r="AA5250" s="30" t="s">
        <v>92</v>
      </c>
      <c r="AE5250" s="38">
        <v>569.55999999999995</v>
      </c>
      <c r="AF5250" s="76">
        <f t="shared" si="490"/>
        <v>130847.77999999875</v>
      </c>
    </row>
    <row r="5251" spans="3:32" ht="8.25" customHeight="1" x14ac:dyDescent="0.25">
      <c r="R5251" s="53">
        <v>27</v>
      </c>
      <c r="T5251" s="33">
        <v>46223</v>
      </c>
      <c r="U5251" s="34">
        <v>2026</v>
      </c>
      <c r="V5251" s="35" t="s">
        <v>3611</v>
      </c>
      <c r="W5251" s="35" t="s">
        <v>5</v>
      </c>
      <c r="X5251" s="37" t="s">
        <v>3936</v>
      </c>
      <c r="Y5251" s="36" t="s">
        <v>3505</v>
      </c>
      <c r="Z5251" s="30" t="s">
        <v>2634</v>
      </c>
      <c r="AA5251" s="30" t="s">
        <v>92</v>
      </c>
      <c r="AE5251" s="38">
        <v>100</v>
      </c>
      <c r="AF5251" s="76">
        <f t="shared" si="490"/>
        <v>130747.77999999875</v>
      </c>
    </row>
    <row r="5252" spans="3:32" ht="8.25" customHeight="1" x14ac:dyDescent="0.25">
      <c r="F5252" s="53">
        <v>9</v>
      </c>
      <c r="T5252" s="33">
        <v>46223</v>
      </c>
      <c r="U5252" s="34">
        <v>2026</v>
      </c>
      <c r="V5252" s="35" t="s">
        <v>3611</v>
      </c>
      <c r="W5252" s="35" t="s">
        <v>3625</v>
      </c>
      <c r="X5252" s="37" t="s">
        <v>3937</v>
      </c>
      <c r="Z5252" s="30" t="s">
        <v>3938</v>
      </c>
      <c r="AA5252" s="30" t="s">
        <v>3939</v>
      </c>
      <c r="AE5252" s="38">
        <v>845</v>
      </c>
      <c r="AF5252" s="76">
        <f t="shared" si="490"/>
        <v>129902.77999999875</v>
      </c>
    </row>
    <row r="5253" spans="3:32" ht="8.25" customHeight="1" x14ac:dyDescent="0.25">
      <c r="F5253" s="53">
        <v>10</v>
      </c>
      <c r="T5253" s="33">
        <v>46223</v>
      </c>
      <c r="U5253" s="34">
        <v>2026</v>
      </c>
      <c r="V5253" s="35" t="s">
        <v>3611</v>
      </c>
      <c r="W5253" s="35" t="s">
        <v>3625</v>
      </c>
      <c r="X5253" s="37" t="s">
        <v>3940</v>
      </c>
      <c r="Z5253" s="30" t="s">
        <v>3938</v>
      </c>
      <c r="AA5253" s="30" t="s">
        <v>3939</v>
      </c>
      <c r="AE5253" s="38">
        <v>2000</v>
      </c>
      <c r="AF5253" s="76">
        <f t="shared" si="490"/>
        <v>127902.77999999875</v>
      </c>
    </row>
    <row r="5254" spans="3:32" ht="8.25" customHeight="1" x14ac:dyDescent="0.25">
      <c r="F5254" s="53">
        <v>11</v>
      </c>
      <c r="T5254" s="33">
        <v>46223</v>
      </c>
      <c r="U5254" s="34">
        <v>2026</v>
      </c>
      <c r="V5254" s="35" t="s">
        <v>3611</v>
      </c>
      <c r="W5254" s="35" t="s">
        <v>3625</v>
      </c>
      <c r="X5254" s="37" t="s">
        <v>3941</v>
      </c>
      <c r="Z5254" s="30" t="s">
        <v>3938</v>
      </c>
      <c r="AA5254" s="30" t="s">
        <v>3939</v>
      </c>
      <c r="AE5254" s="38">
        <v>2000</v>
      </c>
      <c r="AF5254" s="76">
        <f t="shared" si="490"/>
        <v>125902.77999999875</v>
      </c>
    </row>
    <row r="5255" spans="3:32" ht="8.25" customHeight="1" x14ac:dyDescent="0.25">
      <c r="F5255" s="53">
        <v>12</v>
      </c>
      <c r="T5255" s="33">
        <v>46223</v>
      </c>
      <c r="U5255" s="34">
        <v>2026</v>
      </c>
      <c r="V5255" s="35" t="s">
        <v>3611</v>
      </c>
      <c r="W5255" s="35" t="s">
        <v>3625</v>
      </c>
      <c r="X5255" s="37" t="s">
        <v>3942</v>
      </c>
      <c r="Z5255" s="30" t="s">
        <v>3938</v>
      </c>
      <c r="AA5255" s="30" t="s">
        <v>3939</v>
      </c>
      <c r="AE5255" s="38">
        <v>2000</v>
      </c>
      <c r="AF5255" s="76">
        <f t="shared" si="490"/>
        <v>123902.77999999875</v>
      </c>
    </row>
    <row r="5256" spans="3:32" ht="8.25" customHeight="1" x14ac:dyDescent="0.25">
      <c r="G5256" s="53">
        <v>15</v>
      </c>
      <c r="T5256" s="33">
        <v>46223</v>
      </c>
      <c r="U5256" s="34">
        <v>2026</v>
      </c>
      <c r="V5256" s="35" t="s">
        <v>3611</v>
      </c>
      <c r="W5256" s="35" t="s">
        <v>3625</v>
      </c>
      <c r="X5256" s="37" t="s">
        <v>3943</v>
      </c>
      <c r="Y5256" s="36" t="s">
        <v>3944</v>
      </c>
      <c r="Z5256" s="30" t="s">
        <v>843</v>
      </c>
      <c r="AA5256" s="30" t="s">
        <v>3945</v>
      </c>
      <c r="AE5256" s="38">
        <v>20223.46</v>
      </c>
      <c r="AF5256" s="76">
        <f t="shared" si="490"/>
        <v>103679.31999999876</v>
      </c>
    </row>
    <row r="5257" spans="3:32" ht="8.25" customHeight="1" thickBot="1" x14ac:dyDescent="0.3">
      <c r="AA5257" s="260" t="s">
        <v>2893</v>
      </c>
      <c r="AD5257" s="233">
        <f>SUM(AD5237:AD5249)</f>
        <v>24631.56</v>
      </c>
      <c r="AE5257" s="233">
        <f>SUM(AE5250:AE5256)</f>
        <v>27738.019999999997</v>
      </c>
      <c r="AF5257" s="233">
        <f>AF5256</f>
        <v>103679.31999999876</v>
      </c>
    </row>
    <row r="5258" spans="3:32" ht="8.25" customHeight="1" thickTop="1" x14ac:dyDescent="0.25"/>
    <row r="5260" spans="3:32" ht="8.25" customHeight="1" x14ac:dyDescent="0.25">
      <c r="X5260" s="109"/>
      <c r="Y5260" s="67" t="s">
        <v>214</v>
      </c>
      <c r="Z5260" s="68"/>
      <c r="AA5260" s="75"/>
    </row>
    <row r="5261" spans="3:32" ht="8.25" customHeight="1" x14ac:dyDescent="0.25">
      <c r="X5261" s="110" t="s">
        <v>581</v>
      </c>
      <c r="Y5261" s="111">
        <v>200</v>
      </c>
      <c r="Z5261" s="111">
        <f t="shared" ref="Z5261:Z5266" si="491">X5261*Y5261</f>
        <v>2000</v>
      </c>
      <c r="AA5261" s="112"/>
    </row>
    <row r="5262" spans="3:32" ht="8.25" customHeight="1" x14ac:dyDescent="0.25">
      <c r="X5262" s="110" t="s">
        <v>3947</v>
      </c>
      <c r="Y5262" s="111">
        <v>100</v>
      </c>
      <c r="Z5262" s="111">
        <f t="shared" si="491"/>
        <v>100400</v>
      </c>
      <c r="AA5262" s="112"/>
    </row>
    <row r="5263" spans="3:32" ht="8.25" customHeight="1" x14ac:dyDescent="0.25">
      <c r="X5263" s="110" t="s">
        <v>120</v>
      </c>
      <c r="Y5263" s="111">
        <v>50</v>
      </c>
      <c r="Z5263" s="111">
        <f t="shared" si="491"/>
        <v>0</v>
      </c>
      <c r="AA5263" s="76"/>
    </row>
    <row r="5264" spans="3:32" ht="8.25" customHeight="1" x14ac:dyDescent="0.25">
      <c r="X5264" s="110" t="s">
        <v>222</v>
      </c>
      <c r="Y5264" s="111">
        <v>20</v>
      </c>
      <c r="Z5264" s="111">
        <f t="shared" si="491"/>
        <v>20</v>
      </c>
      <c r="AA5264" s="38"/>
    </row>
    <row r="5265" spans="3:32" ht="8.25" customHeight="1" x14ac:dyDescent="0.25">
      <c r="X5265" s="110" t="s">
        <v>3949</v>
      </c>
      <c r="Y5265" s="111">
        <v>10</v>
      </c>
      <c r="Z5265" s="111">
        <f t="shared" si="491"/>
        <v>410</v>
      </c>
      <c r="AA5265" s="112"/>
    </row>
    <row r="5266" spans="3:32" ht="8.25" customHeight="1" x14ac:dyDescent="0.25">
      <c r="X5266" s="110" t="s">
        <v>3946</v>
      </c>
      <c r="Y5266" s="111">
        <v>5</v>
      </c>
      <c r="Z5266" s="111">
        <f t="shared" si="491"/>
        <v>500</v>
      </c>
      <c r="AA5266" s="112"/>
    </row>
    <row r="5267" spans="3:32" ht="8.25" customHeight="1" x14ac:dyDescent="0.25">
      <c r="X5267" s="269"/>
      <c r="Y5267" s="270"/>
      <c r="Z5267" s="271"/>
      <c r="AA5267" s="38"/>
    </row>
    <row r="5268" spans="3:32" ht="8.25" customHeight="1" x14ac:dyDescent="0.25">
      <c r="X5268" s="110" t="s">
        <v>3948</v>
      </c>
      <c r="Y5268" s="111">
        <v>1</v>
      </c>
      <c r="Z5268" s="111">
        <f t="shared" ref="Z5268:Z5273" si="492">X5268*Y5268</f>
        <v>265</v>
      </c>
      <c r="AA5268" s="76"/>
    </row>
    <row r="5269" spans="3:32" ht="8.25" customHeight="1" x14ac:dyDescent="0.25">
      <c r="X5269" s="110" t="s">
        <v>651</v>
      </c>
      <c r="Y5269" s="111">
        <v>0.5</v>
      </c>
      <c r="Z5269" s="111">
        <f t="shared" si="492"/>
        <v>39.5</v>
      </c>
      <c r="AA5269" s="112"/>
    </row>
    <row r="5270" spans="3:32" ht="8.25" customHeight="1" x14ac:dyDescent="0.25">
      <c r="X5270" s="110" t="s">
        <v>2062</v>
      </c>
      <c r="Y5270" s="111">
        <v>0.25</v>
      </c>
      <c r="Z5270" s="111">
        <f t="shared" si="492"/>
        <v>44.5</v>
      </c>
      <c r="AA5270" s="113" t="s">
        <v>1</v>
      </c>
    </row>
    <row r="5271" spans="3:32" ht="8.25" customHeight="1" x14ac:dyDescent="0.25">
      <c r="X5271" s="110" t="s">
        <v>223</v>
      </c>
      <c r="Y5271" s="111">
        <v>0.1</v>
      </c>
      <c r="Z5271" s="111">
        <f t="shared" si="492"/>
        <v>0.30000000000000004</v>
      </c>
      <c r="AA5271" s="114" t="s">
        <v>219</v>
      </c>
    </row>
    <row r="5272" spans="3:32" ht="8.25" customHeight="1" thickBot="1" x14ac:dyDescent="0.3">
      <c r="X5272" s="110" t="s">
        <v>120</v>
      </c>
      <c r="Y5272" s="111">
        <v>0.05</v>
      </c>
      <c r="Z5272" s="111">
        <f t="shared" si="492"/>
        <v>0</v>
      </c>
      <c r="AA5272" s="115">
        <f>SUM(Z5261:Z5266)+Z5268+Z5269+Z5270+Z5271+Z5272+Z5273</f>
        <v>103679.32</v>
      </c>
    </row>
    <row r="5273" spans="3:32" ht="8.25" customHeight="1" thickTop="1" x14ac:dyDescent="0.25">
      <c r="X5273" s="110" t="s">
        <v>224</v>
      </c>
      <c r="Y5273" s="111">
        <v>0.01</v>
      </c>
      <c r="Z5273" s="111">
        <f t="shared" si="492"/>
        <v>0.02</v>
      </c>
    </row>
    <row r="5275" spans="3:32" ht="8.25" customHeight="1" x14ac:dyDescent="0.25">
      <c r="Z5275" s="231" t="s">
        <v>1376</v>
      </c>
      <c r="AF5275" s="76">
        <f>AF5257</f>
        <v>103679.31999999876</v>
      </c>
    </row>
    <row r="5276" spans="3:32" ht="8.25" customHeight="1" x14ac:dyDescent="0.25">
      <c r="N5276" s="52">
        <v>61</v>
      </c>
      <c r="T5276" s="33">
        <v>46224</v>
      </c>
      <c r="U5276" s="34">
        <v>2026</v>
      </c>
      <c r="V5276" s="35" t="s">
        <v>3611</v>
      </c>
      <c r="W5276" s="35" t="s">
        <v>17</v>
      </c>
      <c r="X5276" s="37" t="s">
        <v>3960</v>
      </c>
      <c r="Y5276" s="36" t="s">
        <v>3961</v>
      </c>
      <c r="Z5276" s="30" t="s">
        <v>352</v>
      </c>
      <c r="AA5276" s="30" t="s">
        <v>3899</v>
      </c>
      <c r="AD5276" s="38">
        <v>836.01</v>
      </c>
      <c r="AF5276" s="76">
        <f>AF5275+AD5276-AE5276</f>
        <v>104515.32999999875</v>
      </c>
    </row>
    <row r="5277" spans="3:32" ht="8.25" customHeight="1" x14ac:dyDescent="0.25">
      <c r="N5277" s="52">
        <v>61</v>
      </c>
      <c r="T5277" s="33">
        <v>46224</v>
      </c>
      <c r="U5277" s="34">
        <v>2026</v>
      </c>
      <c r="V5277" s="35" t="s">
        <v>3611</v>
      </c>
      <c r="W5277" s="35" t="s">
        <v>17</v>
      </c>
      <c r="X5277" s="37" t="s">
        <v>3960</v>
      </c>
      <c r="Y5277" s="36" t="s">
        <v>3961</v>
      </c>
      <c r="Z5277" s="30" t="s">
        <v>352</v>
      </c>
      <c r="AA5277" s="30" t="s">
        <v>166</v>
      </c>
      <c r="AD5277" s="38">
        <v>780.92</v>
      </c>
      <c r="AF5277" s="76">
        <f t="shared" ref="AF5277:AF5297" si="493">AF5276+AD5277-AE5277</f>
        <v>105296.24999999875</v>
      </c>
    </row>
    <row r="5278" spans="3:32" ht="8.25" customHeight="1" x14ac:dyDescent="0.25">
      <c r="T5278" s="33">
        <v>46224</v>
      </c>
      <c r="U5278" s="34">
        <v>2026</v>
      </c>
      <c r="V5278" s="35" t="s">
        <v>3611</v>
      </c>
      <c r="W5278" s="35" t="s">
        <v>17</v>
      </c>
      <c r="X5278" s="37" t="s">
        <v>3962</v>
      </c>
      <c r="Y5278" s="36" t="s">
        <v>3963</v>
      </c>
      <c r="Z5278" s="30" t="s">
        <v>1860</v>
      </c>
      <c r="AA5278" s="30" t="s">
        <v>3700</v>
      </c>
      <c r="AD5278" s="38">
        <v>200000</v>
      </c>
      <c r="AF5278" s="76">
        <f t="shared" si="493"/>
        <v>305296.24999999872</v>
      </c>
    </row>
    <row r="5279" spans="3:32" ht="8.25" customHeight="1" x14ac:dyDescent="0.25">
      <c r="C5279" s="52">
        <v>14</v>
      </c>
      <c r="T5279" s="33">
        <v>46224</v>
      </c>
      <c r="U5279" s="34">
        <v>2026</v>
      </c>
      <c r="V5279" s="35" t="s">
        <v>3611</v>
      </c>
      <c r="W5279" s="35" t="s">
        <v>3620</v>
      </c>
      <c r="X5279" s="37" t="s">
        <v>3964</v>
      </c>
      <c r="Y5279" s="36" t="s">
        <v>2715</v>
      </c>
      <c r="Z5279" s="30" t="s">
        <v>3965</v>
      </c>
      <c r="AA5279" s="30" t="s">
        <v>340</v>
      </c>
      <c r="AD5279" s="38">
        <v>63</v>
      </c>
      <c r="AF5279" s="76">
        <f t="shared" si="493"/>
        <v>305359.24999999872</v>
      </c>
    </row>
    <row r="5280" spans="3:32" ht="8.25" customHeight="1" x14ac:dyDescent="0.25">
      <c r="C5280" s="52">
        <v>15</v>
      </c>
      <c r="T5280" s="33">
        <v>46224</v>
      </c>
      <c r="U5280" s="34">
        <v>2026</v>
      </c>
      <c r="V5280" s="35" t="s">
        <v>3611</v>
      </c>
      <c r="W5280" s="35" t="s">
        <v>3620</v>
      </c>
      <c r="X5280" s="37" t="s">
        <v>3966</v>
      </c>
      <c r="Y5280" s="36" t="s">
        <v>2906</v>
      </c>
      <c r="Z5280" s="30" t="s">
        <v>3967</v>
      </c>
      <c r="AA5280" s="30" t="s">
        <v>340</v>
      </c>
      <c r="AD5280" s="38">
        <v>94</v>
      </c>
      <c r="AF5280" s="76">
        <f t="shared" si="493"/>
        <v>305453.24999999872</v>
      </c>
    </row>
    <row r="5281" spans="3:32" ht="8.25" customHeight="1" x14ac:dyDescent="0.25">
      <c r="I5281" s="52">
        <v>20</v>
      </c>
      <c r="T5281" s="33">
        <v>46224</v>
      </c>
      <c r="U5281" s="34">
        <v>2026</v>
      </c>
      <c r="V5281" s="35" t="s">
        <v>3611</v>
      </c>
      <c r="W5281" s="35" t="s">
        <v>17</v>
      </c>
      <c r="X5281" s="37" t="s">
        <v>3974</v>
      </c>
      <c r="Y5281" s="36" t="s">
        <v>3975</v>
      </c>
      <c r="Z5281" s="30" t="s">
        <v>3972</v>
      </c>
      <c r="AA5281" s="30" t="s">
        <v>13</v>
      </c>
      <c r="AD5281" s="38">
        <v>263560.24</v>
      </c>
      <c r="AF5281" s="76">
        <f t="shared" si="493"/>
        <v>569013.48999999871</v>
      </c>
    </row>
    <row r="5282" spans="3:32" ht="8.25" customHeight="1" x14ac:dyDescent="0.25">
      <c r="K5282" s="52">
        <v>6</v>
      </c>
      <c r="T5282" s="33">
        <v>46224</v>
      </c>
      <c r="U5282" s="34">
        <v>2026</v>
      </c>
      <c r="V5282" s="35" t="s">
        <v>3611</v>
      </c>
      <c r="W5282" s="35" t="s">
        <v>17</v>
      </c>
      <c r="X5282" s="37" t="s">
        <v>3978</v>
      </c>
      <c r="Y5282" s="36" t="s">
        <v>3979</v>
      </c>
      <c r="Z5282" s="30" t="s">
        <v>3980</v>
      </c>
      <c r="AA5282" s="30" t="s">
        <v>1787</v>
      </c>
      <c r="AD5282" s="38">
        <v>100</v>
      </c>
      <c r="AF5282" s="76">
        <f t="shared" si="493"/>
        <v>569113.48999999871</v>
      </c>
    </row>
    <row r="5283" spans="3:32" ht="8.25" customHeight="1" x14ac:dyDescent="0.25">
      <c r="L5283" s="52">
        <v>6</v>
      </c>
      <c r="T5283" s="33">
        <v>46224</v>
      </c>
      <c r="U5283" s="34">
        <v>2026</v>
      </c>
      <c r="V5283" s="35" t="s">
        <v>3611</v>
      </c>
      <c r="W5283" s="35" t="s">
        <v>17</v>
      </c>
      <c r="X5283" s="37" t="s">
        <v>3981</v>
      </c>
      <c r="Y5283" s="36" t="s">
        <v>3982</v>
      </c>
      <c r="Z5283" s="30" t="s">
        <v>3980</v>
      </c>
      <c r="AA5283" s="30" t="s">
        <v>373</v>
      </c>
      <c r="AD5283" s="38">
        <v>50</v>
      </c>
      <c r="AF5283" s="76">
        <f t="shared" si="493"/>
        <v>569163.48999999871</v>
      </c>
    </row>
    <row r="5284" spans="3:32" ht="8.25" customHeight="1" x14ac:dyDescent="0.25">
      <c r="I5284" s="52">
        <v>21</v>
      </c>
      <c r="T5284" s="33">
        <v>46224</v>
      </c>
      <c r="U5284" s="34">
        <v>2026</v>
      </c>
      <c r="V5284" s="35" t="s">
        <v>3611</v>
      </c>
      <c r="W5284" s="35" t="s">
        <v>17</v>
      </c>
      <c r="X5284" s="37" t="s">
        <v>3983</v>
      </c>
      <c r="Y5284" s="36" t="s">
        <v>3984</v>
      </c>
      <c r="Z5284" s="30" t="s">
        <v>3980</v>
      </c>
      <c r="AA5284" s="30" t="s">
        <v>13</v>
      </c>
      <c r="AD5284" s="38">
        <v>1164.77</v>
      </c>
      <c r="AF5284" s="76">
        <f t="shared" si="493"/>
        <v>570328.25999999873</v>
      </c>
    </row>
    <row r="5285" spans="3:32" ht="8.25" customHeight="1" x14ac:dyDescent="0.25">
      <c r="M5285" s="52">
        <v>6</v>
      </c>
      <c r="T5285" s="33">
        <v>46224</v>
      </c>
      <c r="U5285" s="34">
        <v>2026</v>
      </c>
      <c r="V5285" s="35" t="s">
        <v>3611</v>
      </c>
      <c r="W5285" s="35" t="s">
        <v>17</v>
      </c>
      <c r="X5285" s="37" t="s">
        <v>3985</v>
      </c>
      <c r="Y5285" s="36" t="s">
        <v>3982</v>
      </c>
      <c r="Z5285" s="30" t="s">
        <v>3980</v>
      </c>
      <c r="AA5285" s="30" t="s">
        <v>385</v>
      </c>
      <c r="AD5285" s="38">
        <v>232.96</v>
      </c>
      <c r="AF5285" s="76">
        <f t="shared" si="493"/>
        <v>570561.21999999869</v>
      </c>
    </row>
    <row r="5286" spans="3:32" ht="8.25" customHeight="1" x14ac:dyDescent="0.25">
      <c r="I5286" s="52">
        <v>22</v>
      </c>
      <c r="T5286" s="33">
        <v>46224</v>
      </c>
      <c r="U5286" s="34">
        <v>2026</v>
      </c>
      <c r="V5286" s="35" t="s">
        <v>3611</v>
      </c>
      <c r="W5286" s="35" t="s">
        <v>17</v>
      </c>
      <c r="X5286" s="37" t="s">
        <v>3986</v>
      </c>
      <c r="Y5286" s="36" t="s">
        <v>3987</v>
      </c>
      <c r="Z5286" s="30" t="s">
        <v>826</v>
      </c>
      <c r="AA5286" s="30" t="s">
        <v>13</v>
      </c>
      <c r="AD5286" s="38">
        <v>25000</v>
      </c>
      <c r="AF5286" s="76">
        <f t="shared" si="493"/>
        <v>595561.21999999869</v>
      </c>
    </row>
    <row r="5287" spans="3:32" ht="8.25" customHeight="1" x14ac:dyDescent="0.25">
      <c r="C5287" s="52">
        <v>16</v>
      </c>
      <c r="T5287" s="33">
        <v>46224</v>
      </c>
      <c r="U5287" s="34">
        <v>2026</v>
      </c>
      <c r="V5287" s="35" t="s">
        <v>3611</v>
      </c>
      <c r="W5287" s="35" t="s">
        <v>3620</v>
      </c>
      <c r="X5287" s="37" t="s">
        <v>3988</v>
      </c>
      <c r="Y5287" s="36" t="s">
        <v>2887</v>
      </c>
      <c r="Z5287" s="30" t="s">
        <v>2886</v>
      </c>
      <c r="AA5287" s="30" t="s">
        <v>340</v>
      </c>
      <c r="AD5287" s="38">
        <v>1014</v>
      </c>
      <c r="AF5287" s="76">
        <f t="shared" si="493"/>
        <v>596575.21999999869</v>
      </c>
    </row>
    <row r="5288" spans="3:32" ht="8.25" customHeight="1" x14ac:dyDescent="0.25">
      <c r="R5288" s="53">
        <v>28</v>
      </c>
      <c r="T5288" s="33">
        <v>46224</v>
      </c>
      <c r="U5288" s="34">
        <v>2026</v>
      </c>
      <c r="V5288" s="35" t="s">
        <v>3611</v>
      </c>
      <c r="W5288" s="35" t="s">
        <v>5</v>
      </c>
      <c r="X5288" s="37" t="s">
        <v>3956</v>
      </c>
      <c r="Y5288" s="36" t="s">
        <v>3534</v>
      </c>
      <c r="Z5288" s="30" t="s">
        <v>1942</v>
      </c>
      <c r="AA5288" s="30" t="s">
        <v>92</v>
      </c>
      <c r="AE5288" s="38">
        <v>200</v>
      </c>
      <c r="AF5288" s="76">
        <f t="shared" si="493"/>
        <v>596375.21999999869</v>
      </c>
    </row>
    <row r="5289" spans="3:32" ht="8.25" customHeight="1" x14ac:dyDescent="0.25">
      <c r="R5289" s="53">
        <v>29</v>
      </c>
      <c r="T5289" s="33">
        <v>46224</v>
      </c>
      <c r="U5289" s="34">
        <v>2026</v>
      </c>
      <c r="V5289" s="35" t="s">
        <v>3611</v>
      </c>
      <c r="W5289" s="35" t="s">
        <v>5</v>
      </c>
      <c r="X5289" s="37" t="s">
        <v>3957</v>
      </c>
      <c r="Y5289" s="36" t="s">
        <v>3535</v>
      </c>
      <c r="Z5289" s="30" t="s">
        <v>3958</v>
      </c>
      <c r="AA5289" s="30" t="s">
        <v>92</v>
      </c>
      <c r="AE5289" s="38">
        <v>15000</v>
      </c>
      <c r="AF5289" s="76">
        <f t="shared" si="493"/>
        <v>581375.21999999869</v>
      </c>
    </row>
    <row r="5290" spans="3:32" ht="8.25" customHeight="1" x14ac:dyDescent="0.25">
      <c r="R5290" s="53">
        <v>30</v>
      </c>
      <c r="T5290" s="33">
        <v>46224</v>
      </c>
      <c r="U5290" s="34">
        <v>2026</v>
      </c>
      <c r="V5290" s="35" t="s">
        <v>3611</v>
      </c>
      <c r="W5290" s="35" t="s">
        <v>5</v>
      </c>
      <c r="X5290" s="37" t="s">
        <v>3959</v>
      </c>
      <c r="Y5290" s="36" t="s">
        <v>3547</v>
      </c>
      <c r="Z5290" s="30" t="s">
        <v>645</v>
      </c>
      <c r="AA5290" s="30" t="s">
        <v>92</v>
      </c>
      <c r="AE5290" s="38">
        <v>500</v>
      </c>
      <c r="AF5290" s="76">
        <f t="shared" si="493"/>
        <v>580875.21999999869</v>
      </c>
    </row>
    <row r="5291" spans="3:32" ht="8.25" customHeight="1" x14ac:dyDescent="0.25">
      <c r="R5291" s="53">
        <v>31</v>
      </c>
      <c r="T5291" s="33">
        <v>46224</v>
      </c>
      <c r="U5291" s="34">
        <v>2026</v>
      </c>
      <c r="V5291" s="35" t="s">
        <v>3611</v>
      </c>
      <c r="W5291" s="35" t="s">
        <v>5</v>
      </c>
      <c r="X5291" s="37" t="s">
        <v>3968</v>
      </c>
      <c r="Y5291" s="36" t="s">
        <v>3969</v>
      </c>
      <c r="Z5291" s="30" t="s">
        <v>352</v>
      </c>
      <c r="AA5291" s="30" t="s">
        <v>92</v>
      </c>
      <c r="AE5291" s="38">
        <v>1616.93</v>
      </c>
      <c r="AF5291" s="76">
        <f t="shared" si="493"/>
        <v>579258.28999999864</v>
      </c>
    </row>
    <row r="5292" spans="3:32" ht="8.25" customHeight="1" x14ac:dyDescent="0.25">
      <c r="R5292" s="53">
        <v>32</v>
      </c>
      <c r="T5292" s="33">
        <v>46224</v>
      </c>
      <c r="U5292" s="34">
        <v>2026</v>
      </c>
      <c r="V5292" s="35" t="s">
        <v>3611</v>
      </c>
      <c r="W5292" s="35" t="s">
        <v>5</v>
      </c>
      <c r="X5292" s="37" t="s">
        <v>3970</v>
      </c>
      <c r="Y5292" s="36" t="s">
        <v>3971</v>
      </c>
      <c r="Z5292" s="30" t="s">
        <v>3972</v>
      </c>
      <c r="AA5292" s="30" t="s">
        <v>118</v>
      </c>
      <c r="AE5292" s="38">
        <v>250162.5</v>
      </c>
      <c r="AF5292" s="76">
        <f t="shared" si="493"/>
        <v>329095.78999999864</v>
      </c>
    </row>
    <row r="5293" spans="3:32" ht="8.25" customHeight="1" x14ac:dyDescent="0.25">
      <c r="R5293" s="53">
        <v>32</v>
      </c>
      <c r="T5293" s="33">
        <v>46224</v>
      </c>
      <c r="U5293" s="34">
        <v>2026</v>
      </c>
      <c r="V5293" s="35" t="s">
        <v>3611</v>
      </c>
      <c r="W5293" s="35" t="s">
        <v>5</v>
      </c>
      <c r="X5293" s="37" t="s">
        <v>3970</v>
      </c>
      <c r="Y5293" s="36" t="s">
        <v>3971</v>
      </c>
      <c r="Z5293" s="30" t="s">
        <v>3972</v>
      </c>
      <c r="AA5293" s="30" t="s">
        <v>3996</v>
      </c>
      <c r="AE5293" s="38">
        <v>13397.74</v>
      </c>
      <c r="AF5293" s="76">
        <f t="shared" si="493"/>
        <v>315698.04999999865</v>
      </c>
    </row>
    <row r="5294" spans="3:32" ht="8.25" customHeight="1" x14ac:dyDescent="0.25">
      <c r="F5294" s="53">
        <v>13</v>
      </c>
      <c r="T5294" s="33">
        <v>46224</v>
      </c>
      <c r="U5294" s="34">
        <v>2026</v>
      </c>
      <c r="V5294" s="35" t="s">
        <v>3611</v>
      </c>
      <c r="W5294" s="35" t="s">
        <v>3625</v>
      </c>
      <c r="X5294" s="37" t="s">
        <v>3976</v>
      </c>
      <c r="Z5294" s="30" t="s">
        <v>3977</v>
      </c>
      <c r="AA5294" s="30" t="s">
        <v>3939</v>
      </c>
      <c r="AE5294" s="38">
        <v>500</v>
      </c>
      <c r="AF5294" s="76">
        <f t="shared" si="493"/>
        <v>315198.04999999865</v>
      </c>
    </row>
    <row r="5295" spans="3:32" ht="8.25" customHeight="1" x14ac:dyDescent="0.25">
      <c r="Q5295" s="52">
        <v>3</v>
      </c>
      <c r="T5295" s="33">
        <v>46224</v>
      </c>
      <c r="U5295" s="34">
        <v>2026</v>
      </c>
      <c r="V5295" s="35" t="s">
        <v>3611</v>
      </c>
      <c r="W5295" s="35" t="s">
        <v>5</v>
      </c>
      <c r="X5295" s="37" t="s">
        <v>3989</v>
      </c>
      <c r="Y5295" s="36" t="s">
        <v>3990</v>
      </c>
      <c r="Z5295" s="30" t="s">
        <v>3980</v>
      </c>
      <c r="AA5295" s="30" t="s">
        <v>1063</v>
      </c>
      <c r="AE5295" s="38">
        <v>11647.73</v>
      </c>
      <c r="AF5295" s="76">
        <f t="shared" si="493"/>
        <v>303550.31999999867</v>
      </c>
    </row>
    <row r="5296" spans="3:32" ht="8.25" customHeight="1" x14ac:dyDescent="0.25">
      <c r="R5296" s="53">
        <v>33</v>
      </c>
      <c r="T5296" s="33">
        <v>46224</v>
      </c>
      <c r="U5296" s="34">
        <v>2026</v>
      </c>
      <c r="V5296" s="35" t="s">
        <v>3611</v>
      </c>
      <c r="W5296" s="35" t="s">
        <v>5</v>
      </c>
      <c r="X5296" s="37" t="s">
        <v>3991</v>
      </c>
      <c r="Y5296" s="36" t="s">
        <v>3903</v>
      </c>
      <c r="Z5296" s="30" t="s">
        <v>16</v>
      </c>
      <c r="AA5296" s="30" t="s">
        <v>92</v>
      </c>
      <c r="AE5296" s="38">
        <v>3000</v>
      </c>
      <c r="AF5296" s="76">
        <f t="shared" si="493"/>
        <v>300550.31999999867</v>
      </c>
    </row>
    <row r="5297" spans="7:32" ht="8.25" customHeight="1" x14ac:dyDescent="0.25">
      <c r="G5297" s="53">
        <v>16</v>
      </c>
      <c r="T5297" s="33">
        <v>46224</v>
      </c>
      <c r="U5297" s="34">
        <v>2026</v>
      </c>
      <c r="V5297" s="35" t="s">
        <v>3611</v>
      </c>
      <c r="W5297" s="35" t="s">
        <v>3625</v>
      </c>
      <c r="X5297" s="37" t="s">
        <v>3992</v>
      </c>
      <c r="Y5297" s="36" t="s">
        <v>3993</v>
      </c>
      <c r="Z5297" s="30" t="s">
        <v>3994</v>
      </c>
      <c r="AA5297" s="30" t="s">
        <v>3945</v>
      </c>
      <c r="AE5297" s="38">
        <v>22746.560000000001</v>
      </c>
      <c r="AF5297" s="76">
        <f t="shared" si="493"/>
        <v>277803.75999999867</v>
      </c>
    </row>
    <row r="5298" spans="7:32" ht="8.25" customHeight="1" thickBot="1" x14ac:dyDescent="0.3">
      <c r="AA5298" s="260" t="s">
        <v>2893</v>
      </c>
      <c r="AD5298" s="233">
        <f>SUM(AD5276:AD5287)</f>
        <v>492895.9</v>
      </c>
      <c r="AE5298" s="233">
        <f>SUM(AE5288:AE5297)</f>
        <v>318771.45999999996</v>
      </c>
      <c r="AF5298" s="233">
        <f>AF5297</f>
        <v>277803.75999999867</v>
      </c>
    </row>
    <row r="5299" spans="7:32" ht="8.25" customHeight="1" thickTop="1" x14ac:dyDescent="0.25"/>
    <row r="5302" spans="7:32" ht="8.25" customHeight="1" x14ac:dyDescent="0.25">
      <c r="V5302" s="35" t="s">
        <v>3973</v>
      </c>
    </row>
    <row r="5303" spans="7:32" ht="8.25" customHeight="1" x14ac:dyDescent="0.25">
      <c r="X5303" s="109"/>
      <c r="Y5303" s="67" t="s">
        <v>214</v>
      </c>
      <c r="Z5303" s="68"/>
      <c r="AA5303" s="75"/>
    </row>
    <row r="5304" spans="7:32" ht="8.25" customHeight="1" x14ac:dyDescent="0.25">
      <c r="X5304" s="110" t="s">
        <v>711</v>
      </c>
      <c r="Y5304" s="111">
        <v>200</v>
      </c>
      <c r="Z5304" s="111">
        <f t="shared" ref="Z5304:Z5309" si="494">X5304*Y5304</f>
        <v>10000</v>
      </c>
      <c r="AA5304" s="112"/>
    </row>
    <row r="5305" spans="7:32" ht="8.25" customHeight="1" x14ac:dyDescent="0.25">
      <c r="X5305" s="110" t="s">
        <v>3995</v>
      </c>
      <c r="Y5305" s="111">
        <v>100</v>
      </c>
      <c r="Z5305" s="111">
        <f t="shared" si="494"/>
        <v>266600</v>
      </c>
      <c r="AA5305" s="112"/>
    </row>
    <row r="5306" spans="7:32" ht="8.25" customHeight="1" x14ac:dyDescent="0.25">
      <c r="X5306" s="110" t="s">
        <v>120</v>
      </c>
      <c r="Y5306" s="111">
        <v>50</v>
      </c>
      <c r="Z5306" s="111">
        <f t="shared" si="494"/>
        <v>0</v>
      </c>
      <c r="AA5306" s="76"/>
    </row>
    <row r="5307" spans="7:32" ht="8.25" customHeight="1" x14ac:dyDescent="0.25">
      <c r="X5307" s="110" t="s">
        <v>120</v>
      </c>
      <c r="Y5307" s="111">
        <v>20</v>
      </c>
      <c r="Z5307" s="111">
        <f t="shared" si="494"/>
        <v>0</v>
      </c>
      <c r="AA5307" s="38"/>
    </row>
    <row r="5308" spans="7:32" ht="8.25" customHeight="1" x14ac:dyDescent="0.25">
      <c r="X5308" s="110" t="s">
        <v>926</v>
      </c>
      <c r="Y5308" s="111">
        <v>10</v>
      </c>
      <c r="Z5308" s="111">
        <f t="shared" si="494"/>
        <v>310</v>
      </c>
      <c r="AA5308" s="112"/>
    </row>
    <row r="5309" spans="7:32" ht="8.25" customHeight="1" x14ac:dyDescent="0.25">
      <c r="X5309" s="110" t="s">
        <v>3686</v>
      </c>
      <c r="Y5309" s="111">
        <v>5</v>
      </c>
      <c r="Z5309" s="111">
        <f t="shared" si="494"/>
        <v>485</v>
      </c>
      <c r="AA5309" s="112"/>
    </row>
    <row r="5310" spans="7:32" ht="8.25" customHeight="1" x14ac:dyDescent="0.25">
      <c r="X5310" s="269"/>
      <c r="Y5310" s="270"/>
      <c r="Z5310" s="271"/>
      <c r="AA5310" s="38"/>
    </row>
    <row r="5311" spans="7:32" ht="8.25" customHeight="1" x14ac:dyDescent="0.25">
      <c r="X5311" s="110" t="s">
        <v>3673</v>
      </c>
      <c r="Y5311" s="111">
        <v>1</v>
      </c>
      <c r="Z5311" s="111">
        <f t="shared" ref="Z5311:Z5316" si="495">X5311*Y5311</f>
        <v>324</v>
      </c>
      <c r="AA5311" s="76"/>
    </row>
    <row r="5312" spans="7:32" ht="8.25" customHeight="1" x14ac:dyDescent="0.25">
      <c r="X5312" s="110" t="s">
        <v>259</v>
      </c>
      <c r="Y5312" s="111">
        <v>0.5</v>
      </c>
      <c r="Z5312" s="111">
        <f t="shared" si="495"/>
        <v>40</v>
      </c>
      <c r="AA5312" s="112"/>
    </row>
    <row r="5313" spans="9:32" ht="8.25" customHeight="1" x14ac:dyDescent="0.25">
      <c r="X5313" s="110" t="s">
        <v>2062</v>
      </c>
      <c r="Y5313" s="111">
        <v>0.25</v>
      </c>
      <c r="Z5313" s="111">
        <f t="shared" si="495"/>
        <v>44.5</v>
      </c>
      <c r="AA5313" s="113" t="s">
        <v>1</v>
      </c>
    </row>
    <row r="5314" spans="9:32" ht="8.25" customHeight="1" x14ac:dyDescent="0.25">
      <c r="X5314" s="110" t="s">
        <v>224</v>
      </c>
      <c r="Y5314" s="111">
        <v>0.1</v>
      </c>
      <c r="Z5314" s="111">
        <f t="shared" si="495"/>
        <v>0.2</v>
      </c>
      <c r="AA5314" s="114" t="s">
        <v>219</v>
      </c>
    </row>
    <row r="5315" spans="9:32" ht="8.25" customHeight="1" thickBot="1" x14ac:dyDescent="0.3">
      <c r="X5315" s="110" t="s">
        <v>222</v>
      </c>
      <c r="Y5315" s="111">
        <v>0.05</v>
      </c>
      <c r="Z5315" s="111">
        <f t="shared" si="495"/>
        <v>0.05</v>
      </c>
      <c r="AA5315" s="115">
        <f>SUM(Z5304:Z5309)+Z5311+Z5312+Z5313+Z5314+Z5315+Z5316</f>
        <v>277803.76</v>
      </c>
    </row>
    <row r="5316" spans="9:32" ht="8.25" customHeight="1" thickTop="1" x14ac:dyDescent="0.25">
      <c r="X5316" s="110" t="s">
        <v>222</v>
      </c>
      <c r="Y5316" s="111">
        <v>0.01</v>
      </c>
      <c r="Z5316" s="111">
        <f t="shared" si="495"/>
        <v>0.01</v>
      </c>
    </row>
    <row r="5318" spans="9:32" ht="8.25" customHeight="1" x14ac:dyDescent="0.25">
      <c r="Z5318" s="231" t="s">
        <v>1376</v>
      </c>
      <c r="AF5318" s="76">
        <f>AF5298</f>
        <v>277803.75999999867</v>
      </c>
    </row>
    <row r="5319" spans="9:32" ht="8.25" customHeight="1" x14ac:dyDescent="0.25">
      <c r="N5319" s="52">
        <v>62</v>
      </c>
      <c r="T5319" s="33">
        <v>46225</v>
      </c>
      <c r="U5319" s="34">
        <v>2026</v>
      </c>
      <c r="V5319" s="35" t="s">
        <v>3611</v>
      </c>
      <c r="W5319" s="35" t="s">
        <v>17</v>
      </c>
      <c r="X5319" s="37" t="s">
        <v>3999</v>
      </c>
      <c r="Y5319" s="36" t="s">
        <v>3481</v>
      </c>
      <c r="Z5319" s="30" t="s">
        <v>487</v>
      </c>
      <c r="AA5319" s="30" t="s">
        <v>3899</v>
      </c>
      <c r="AD5319" s="38">
        <v>4966.82</v>
      </c>
      <c r="AF5319" s="76">
        <f>AF5318+AD5319-AE5319</f>
        <v>282770.57999999868</v>
      </c>
    </row>
    <row r="5320" spans="9:32" ht="8.25" customHeight="1" x14ac:dyDescent="0.25">
      <c r="N5320" s="52">
        <v>62</v>
      </c>
      <c r="T5320" s="33">
        <v>46225</v>
      </c>
      <c r="U5320" s="34">
        <v>2026</v>
      </c>
      <c r="V5320" s="35" t="s">
        <v>3611</v>
      </c>
      <c r="W5320" s="35" t="s">
        <v>17</v>
      </c>
      <c r="X5320" s="37" t="s">
        <v>3999</v>
      </c>
      <c r="Y5320" s="36" t="s">
        <v>3481</v>
      </c>
      <c r="Z5320" s="30" t="s">
        <v>487</v>
      </c>
      <c r="AA5320" s="30" t="s">
        <v>166</v>
      </c>
      <c r="AD5320" s="38">
        <v>1921.18</v>
      </c>
      <c r="AF5320" s="76">
        <f t="shared" ref="AF5320:AF5329" si="496">AF5319+AD5320-AE5320</f>
        <v>284691.75999999867</v>
      </c>
    </row>
    <row r="5321" spans="9:32" ht="8.25" customHeight="1" x14ac:dyDescent="0.25">
      <c r="I5321" s="52">
        <v>23</v>
      </c>
      <c r="T5321" s="33">
        <v>46225</v>
      </c>
      <c r="U5321" s="34">
        <v>2026</v>
      </c>
      <c r="V5321" s="35" t="s">
        <v>3611</v>
      </c>
      <c r="W5321" s="35" t="s">
        <v>17</v>
      </c>
      <c r="X5321" s="37" t="s">
        <v>4000</v>
      </c>
      <c r="Y5321" s="36" t="s">
        <v>3597</v>
      </c>
      <c r="Z5321" s="30" t="s">
        <v>365</v>
      </c>
      <c r="AA5321" s="30" t="s">
        <v>13</v>
      </c>
      <c r="AD5321" s="38">
        <v>100</v>
      </c>
      <c r="AF5321" s="76">
        <f t="shared" si="496"/>
        <v>284791.75999999867</v>
      </c>
    </row>
    <row r="5322" spans="9:32" ht="8.25" customHeight="1" x14ac:dyDescent="0.25">
      <c r="I5322" s="52">
        <v>24</v>
      </c>
      <c r="T5322" s="33">
        <v>46225</v>
      </c>
      <c r="U5322" s="34">
        <v>2026</v>
      </c>
      <c r="V5322" s="35" t="s">
        <v>3611</v>
      </c>
      <c r="W5322" s="35" t="s">
        <v>17</v>
      </c>
      <c r="X5322" s="37" t="s">
        <v>4001</v>
      </c>
      <c r="Y5322" s="36" t="s">
        <v>3601</v>
      </c>
      <c r="Z5322" s="30" t="s">
        <v>692</v>
      </c>
      <c r="AA5322" s="30" t="s">
        <v>13</v>
      </c>
      <c r="AD5322" s="38">
        <v>12000</v>
      </c>
      <c r="AF5322" s="76">
        <f t="shared" si="496"/>
        <v>296791.75999999867</v>
      </c>
    </row>
    <row r="5323" spans="9:32" ht="8.25" customHeight="1" x14ac:dyDescent="0.25">
      <c r="N5323" s="52">
        <v>63</v>
      </c>
      <c r="T5323" s="33">
        <v>46225</v>
      </c>
      <c r="U5323" s="34">
        <v>2026</v>
      </c>
      <c r="V5323" s="35" t="s">
        <v>3611</v>
      </c>
      <c r="W5323" s="35" t="s">
        <v>17</v>
      </c>
      <c r="X5323" s="37" t="s">
        <v>4003</v>
      </c>
      <c r="Y5323" s="36" t="s">
        <v>3548</v>
      </c>
      <c r="Z5323" s="30" t="s">
        <v>372</v>
      </c>
      <c r="AA5323" s="30" t="s">
        <v>3899</v>
      </c>
      <c r="AD5323" s="38">
        <v>3541.23</v>
      </c>
      <c r="AF5323" s="76">
        <f t="shared" si="496"/>
        <v>300332.98999999865</v>
      </c>
    </row>
    <row r="5324" spans="9:32" ht="8.25" customHeight="1" x14ac:dyDescent="0.25">
      <c r="N5324" s="52">
        <v>63</v>
      </c>
      <c r="T5324" s="33">
        <v>46225</v>
      </c>
      <c r="U5324" s="34">
        <v>2026</v>
      </c>
      <c r="V5324" s="35" t="s">
        <v>3611</v>
      </c>
      <c r="W5324" s="35" t="s">
        <v>17</v>
      </c>
      <c r="X5324" s="37" t="s">
        <v>4003</v>
      </c>
      <c r="Y5324" s="36" t="s">
        <v>3548</v>
      </c>
      <c r="Z5324" s="30" t="s">
        <v>372</v>
      </c>
      <c r="AA5324" s="30" t="s">
        <v>166</v>
      </c>
      <c r="AD5324" s="38">
        <v>6458.77</v>
      </c>
      <c r="AF5324" s="76">
        <f t="shared" si="496"/>
        <v>306791.75999999867</v>
      </c>
    </row>
    <row r="5325" spans="9:32" ht="8.25" customHeight="1" x14ac:dyDescent="0.25">
      <c r="N5325" s="52">
        <v>64</v>
      </c>
      <c r="T5325" s="33">
        <v>46225</v>
      </c>
      <c r="U5325" s="34">
        <v>2026</v>
      </c>
      <c r="V5325" s="35" t="s">
        <v>3611</v>
      </c>
      <c r="W5325" s="35" t="s">
        <v>17</v>
      </c>
      <c r="X5325" s="37" t="s">
        <v>4004</v>
      </c>
      <c r="Y5325" s="36" t="s">
        <v>4005</v>
      </c>
      <c r="Z5325" s="30" t="s">
        <v>915</v>
      </c>
      <c r="AA5325" s="30" t="s">
        <v>3899</v>
      </c>
      <c r="AD5325" s="38">
        <v>3015.41</v>
      </c>
      <c r="AF5325" s="76">
        <f t="shared" si="496"/>
        <v>309807.16999999864</v>
      </c>
    </row>
    <row r="5326" spans="9:32" ht="8.25" customHeight="1" x14ac:dyDescent="0.25">
      <c r="N5326" s="52">
        <v>64</v>
      </c>
      <c r="T5326" s="33">
        <v>46225</v>
      </c>
      <c r="U5326" s="34">
        <v>2026</v>
      </c>
      <c r="V5326" s="35" t="s">
        <v>3611</v>
      </c>
      <c r="W5326" s="35" t="s">
        <v>17</v>
      </c>
      <c r="X5326" s="37" t="s">
        <v>4004</v>
      </c>
      <c r="Y5326" s="36" t="s">
        <v>4005</v>
      </c>
      <c r="Z5326" s="30" t="s">
        <v>915</v>
      </c>
      <c r="AA5326" s="30" t="s">
        <v>166</v>
      </c>
      <c r="AD5326" s="38">
        <v>5439.59</v>
      </c>
      <c r="AF5326" s="76">
        <f t="shared" si="496"/>
        <v>315246.75999999867</v>
      </c>
    </row>
    <row r="5327" spans="9:32" ht="8.25" customHeight="1" x14ac:dyDescent="0.25">
      <c r="N5327" s="52">
        <v>64</v>
      </c>
      <c r="T5327" s="33">
        <v>46225</v>
      </c>
      <c r="U5327" s="34">
        <v>2026</v>
      </c>
      <c r="V5327" s="35" t="s">
        <v>3611</v>
      </c>
      <c r="W5327" s="35" t="s">
        <v>17</v>
      </c>
      <c r="X5327" s="37" t="s">
        <v>4004</v>
      </c>
      <c r="Y5327" s="36" t="s">
        <v>4005</v>
      </c>
      <c r="Z5327" s="30" t="s">
        <v>915</v>
      </c>
      <c r="AA5327" s="30" t="s">
        <v>3304</v>
      </c>
      <c r="AD5327" s="38">
        <v>45</v>
      </c>
      <c r="AF5327" s="76">
        <f t="shared" si="496"/>
        <v>315291.75999999867</v>
      </c>
    </row>
    <row r="5328" spans="9:32" ht="8.25" customHeight="1" x14ac:dyDescent="0.25">
      <c r="T5328" s="33">
        <v>46225</v>
      </c>
      <c r="U5328" s="34">
        <v>2026</v>
      </c>
      <c r="V5328" s="35" t="s">
        <v>3611</v>
      </c>
      <c r="W5328" s="35" t="s">
        <v>3997</v>
      </c>
      <c r="X5328" s="37" t="s">
        <v>3998</v>
      </c>
      <c r="Y5328" s="36" t="s">
        <v>411</v>
      </c>
      <c r="Z5328" s="30" t="s">
        <v>3162</v>
      </c>
      <c r="AA5328" s="30" t="s">
        <v>618</v>
      </c>
      <c r="AE5328" s="38">
        <v>200000</v>
      </c>
      <c r="AF5328" s="76">
        <f t="shared" si="496"/>
        <v>115291.75999999867</v>
      </c>
    </row>
    <row r="5329" spans="18:32" ht="8.25" customHeight="1" x14ac:dyDescent="0.25">
      <c r="R5329" s="53">
        <v>34</v>
      </c>
      <c r="T5329" s="33">
        <v>46225</v>
      </c>
      <c r="U5329" s="34">
        <v>2026</v>
      </c>
      <c r="V5329" s="35" t="s">
        <v>3611</v>
      </c>
      <c r="W5329" s="35" t="s">
        <v>5</v>
      </c>
      <c r="X5329" s="37" t="s">
        <v>4002</v>
      </c>
      <c r="Y5329" s="36" t="s">
        <v>3903</v>
      </c>
      <c r="Z5329" s="30" t="s">
        <v>16</v>
      </c>
      <c r="AA5329" s="30" t="s">
        <v>92</v>
      </c>
      <c r="AE5329" s="38">
        <v>5000</v>
      </c>
      <c r="AF5329" s="76">
        <f t="shared" si="496"/>
        <v>110291.75999999867</v>
      </c>
    </row>
    <row r="5330" spans="18:32" ht="8.25" customHeight="1" thickBot="1" x14ac:dyDescent="0.3">
      <c r="AA5330" s="260" t="s">
        <v>2893</v>
      </c>
      <c r="AD5330" s="233">
        <f>SUM(AD5319:AD5327)</f>
        <v>37488</v>
      </c>
      <c r="AE5330" s="233">
        <f>SUM(AE5328:AE5329)</f>
        <v>205000</v>
      </c>
      <c r="AF5330" s="233">
        <f>AF5329</f>
        <v>110291.75999999867</v>
      </c>
    </row>
    <row r="5331" spans="18:32" ht="8.25" customHeight="1" thickTop="1" x14ac:dyDescent="0.25"/>
    <row r="5333" spans="18:32" ht="8.25" customHeight="1" x14ac:dyDescent="0.25">
      <c r="X5333" s="109"/>
      <c r="Y5333" s="67" t="s">
        <v>214</v>
      </c>
      <c r="Z5333" s="68"/>
      <c r="AA5333" s="75"/>
    </row>
    <row r="5334" spans="18:32" ht="8.25" customHeight="1" x14ac:dyDescent="0.25">
      <c r="X5334" s="110" t="s">
        <v>431</v>
      </c>
      <c r="Y5334" s="111">
        <v>200</v>
      </c>
      <c r="Z5334" s="111">
        <f t="shared" ref="Z5334:Z5339" si="497">X5334*Y5334</f>
        <v>9000</v>
      </c>
      <c r="AA5334" s="112"/>
    </row>
    <row r="5335" spans="18:32" ht="8.25" customHeight="1" x14ac:dyDescent="0.25">
      <c r="X5335" s="110" t="s">
        <v>4006</v>
      </c>
      <c r="Y5335" s="111">
        <v>100</v>
      </c>
      <c r="Z5335" s="111">
        <f t="shared" si="497"/>
        <v>100300</v>
      </c>
      <c r="AA5335" s="112"/>
    </row>
    <row r="5336" spans="18:32" ht="8.25" customHeight="1" x14ac:dyDescent="0.25">
      <c r="X5336" s="110" t="s">
        <v>120</v>
      </c>
      <c r="Y5336" s="111">
        <v>50</v>
      </c>
      <c r="Z5336" s="111">
        <f t="shared" si="497"/>
        <v>0</v>
      </c>
      <c r="AA5336" s="76"/>
    </row>
    <row r="5337" spans="18:32" ht="8.25" customHeight="1" x14ac:dyDescent="0.25">
      <c r="X5337" s="110" t="s">
        <v>120</v>
      </c>
      <c r="Y5337" s="111">
        <v>20</v>
      </c>
      <c r="Z5337" s="111">
        <f t="shared" si="497"/>
        <v>0</v>
      </c>
      <c r="AA5337" s="38"/>
    </row>
    <row r="5338" spans="18:32" ht="8.25" customHeight="1" x14ac:dyDescent="0.25">
      <c r="X5338" s="110" t="s">
        <v>581</v>
      </c>
      <c r="Y5338" s="111">
        <v>10</v>
      </c>
      <c r="Z5338" s="111">
        <f t="shared" si="497"/>
        <v>100</v>
      </c>
      <c r="AA5338" s="112"/>
    </row>
    <row r="5339" spans="18:32" ht="8.25" customHeight="1" x14ac:dyDescent="0.25">
      <c r="X5339" s="110" t="s">
        <v>3686</v>
      </c>
      <c r="Y5339" s="111">
        <v>5</v>
      </c>
      <c r="Z5339" s="111">
        <f t="shared" si="497"/>
        <v>485</v>
      </c>
      <c r="AA5339" s="112"/>
    </row>
    <row r="5340" spans="18:32" ht="8.25" customHeight="1" x14ac:dyDescent="0.25">
      <c r="X5340" s="269"/>
      <c r="Y5340" s="270"/>
      <c r="Z5340" s="271"/>
      <c r="AA5340" s="38"/>
    </row>
    <row r="5341" spans="18:32" ht="8.25" customHeight="1" x14ac:dyDescent="0.25">
      <c r="X5341" s="110" t="s">
        <v>2244</v>
      </c>
      <c r="Y5341" s="111">
        <v>1</v>
      </c>
      <c r="Z5341" s="111">
        <f t="shared" ref="Z5341:Z5346" si="498">X5341*Y5341</f>
        <v>322</v>
      </c>
      <c r="AA5341" s="76"/>
    </row>
    <row r="5342" spans="18:32" ht="8.25" customHeight="1" x14ac:dyDescent="0.25">
      <c r="X5342" s="110" t="s">
        <v>259</v>
      </c>
      <c r="Y5342" s="111">
        <v>0.5</v>
      </c>
      <c r="Z5342" s="111">
        <f t="shared" si="498"/>
        <v>40</v>
      </c>
      <c r="AA5342" s="112"/>
    </row>
    <row r="5343" spans="18:32" ht="8.25" customHeight="1" x14ac:dyDescent="0.25">
      <c r="X5343" s="110" t="s">
        <v>2062</v>
      </c>
      <c r="Y5343" s="111">
        <v>0.25</v>
      </c>
      <c r="Z5343" s="111">
        <f t="shared" si="498"/>
        <v>44.5</v>
      </c>
      <c r="AA5343" s="113" t="s">
        <v>1</v>
      </c>
    </row>
    <row r="5344" spans="18:32" ht="8.25" customHeight="1" x14ac:dyDescent="0.25">
      <c r="X5344" s="110" t="s">
        <v>224</v>
      </c>
      <c r="Y5344" s="111">
        <v>0.1</v>
      </c>
      <c r="Z5344" s="111">
        <f t="shared" si="498"/>
        <v>0.2</v>
      </c>
      <c r="AA5344" s="114" t="s">
        <v>219</v>
      </c>
    </row>
    <row r="5345" spans="9:32" ht="8.25" customHeight="1" thickBot="1" x14ac:dyDescent="0.3">
      <c r="X5345" s="110" t="s">
        <v>222</v>
      </c>
      <c r="Y5345" s="111">
        <v>0.05</v>
      </c>
      <c r="Z5345" s="111">
        <f t="shared" si="498"/>
        <v>0.05</v>
      </c>
      <c r="AA5345" s="115">
        <f>SUM(Z5334:Z5339)+Z5341+Z5342+Z5343+Z5344+Z5345+Z5346</f>
        <v>110291.76</v>
      </c>
    </row>
    <row r="5346" spans="9:32" ht="8.25" customHeight="1" thickTop="1" x14ac:dyDescent="0.25">
      <c r="X5346" s="110" t="s">
        <v>222</v>
      </c>
      <c r="Y5346" s="111">
        <v>0.01</v>
      </c>
      <c r="Z5346" s="111">
        <f t="shared" si="498"/>
        <v>0.01</v>
      </c>
    </row>
    <row r="5348" spans="9:32" ht="8.25" customHeight="1" x14ac:dyDescent="0.25">
      <c r="Z5348" s="231" t="s">
        <v>1376</v>
      </c>
      <c r="AF5348" s="76">
        <f>AF5330</f>
        <v>110291.75999999867</v>
      </c>
    </row>
    <row r="5349" spans="9:32" ht="8.25" customHeight="1" x14ac:dyDescent="0.25">
      <c r="N5349" s="52">
        <v>65</v>
      </c>
      <c r="T5349" s="33">
        <v>46226</v>
      </c>
      <c r="U5349" s="34">
        <v>2026</v>
      </c>
      <c r="V5349" s="35" t="s">
        <v>3611</v>
      </c>
      <c r="W5349" s="35" t="s">
        <v>17</v>
      </c>
      <c r="X5349" s="37" t="s">
        <v>4007</v>
      </c>
      <c r="Y5349" s="36" t="s">
        <v>3477</v>
      </c>
      <c r="Z5349" s="30" t="s">
        <v>1075</v>
      </c>
      <c r="AA5349" s="30" t="s">
        <v>3899</v>
      </c>
      <c r="AD5349" s="38">
        <v>6980.7</v>
      </c>
      <c r="AF5349" s="76">
        <f>AF5348+AD5349-AE5349</f>
        <v>117272.45999999867</v>
      </c>
    </row>
    <row r="5350" spans="9:32" ht="8.25" customHeight="1" x14ac:dyDescent="0.25">
      <c r="N5350" s="52">
        <v>65</v>
      </c>
      <c r="T5350" s="33">
        <v>46226</v>
      </c>
      <c r="U5350" s="34">
        <v>2026</v>
      </c>
      <c r="V5350" s="35" t="s">
        <v>3611</v>
      </c>
      <c r="W5350" s="35" t="s">
        <v>17</v>
      </c>
      <c r="X5350" s="37" t="s">
        <v>4007</v>
      </c>
      <c r="Y5350" s="36" t="s">
        <v>3477</v>
      </c>
      <c r="Z5350" s="30" t="s">
        <v>1075</v>
      </c>
      <c r="AA5350" s="30" t="s">
        <v>166</v>
      </c>
      <c r="AD5350" s="38">
        <v>3319.3</v>
      </c>
      <c r="AF5350" s="76">
        <f t="shared" ref="AF5350:AF5367" si="499">AF5349+AD5350-AE5350</f>
        <v>120591.75999999867</v>
      </c>
    </row>
    <row r="5351" spans="9:32" ht="8.25" customHeight="1" x14ac:dyDescent="0.25">
      <c r="N5351" s="52">
        <v>66</v>
      </c>
      <c r="T5351" s="33">
        <v>46226</v>
      </c>
      <c r="U5351" s="34">
        <v>2026</v>
      </c>
      <c r="V5351" s="35" t="s">
        <v>3611</v>
      </c>
      <c r="W5351" s="35" t="s">
        <v>17</v>
      </c>
      <c r="X5351" s="37" t="s">
        <v>4008</v>
      </c>
      <c r="Y5351" s="36" t="s">
        <v>3475</v>
      </c>
      <c r="Z5351" s="30" t="s">
        <v>584</v>
      </c>
      <c r="AA5351" s="30" t="s">
        <v>3899</v>
      </c>
      <c r="AD5351" s="38">
        <v>6420</v>
      </c>
      <c r="AF5351" s="76">
        <f t="shared" si="499"/>
        <v>127011.75999999867</v>
      </c>
    </row>
    <row r="5352" spans="9:32" ht="8.25" customHeight="1" x14ac:dyDescent="0.25">
      <c r="N5352" s="52">
        <v>66</v>
      </c>
      <c r="T5352" s="33">
        <v>46226</v>
      </c>
      <c r="U5352" s="34">
        <v>2026</v>
      </c>
      <c r="V5352" s="35" t="s">
        <v>3611</v>
      </c>
      <c r="W5352" s="35" t="s">
        <v>17</v>
      </c>
      <c r="X5352" s="37" t="s">
        <v>4008</v>
      </c>
      <c r="Y5352" s="36" t="s">
        <v>3475</v>
      </c>
      <c r="Z5352" s="30" t="s">
        <v>584</v>
      </c>
      <c r="AA5352" s="30" t="s">
        <v>166</v>
      </c>
      <c r="AD5352" s="38">
        <v>4403</v>
      </c>
      <c r="AF5352" s="76">
        <f t="shared" si="499"/>
        <v>131414.75999999867</v>
      </c>
    </row>
    <row r="5353" spans="9:32" ht="8.25" customHeight="1" x14ac:dyDescent="0.25">
      <c r="N5353" s="52">
        <v>67</v>
      </c>
      <c r="T5353" s="33">
        <v>46226</v>
      </c>
      <c r="U5353" s="34">
        <v>2026</v>
      </c>
      <c r="V5353" s="35" t="s">
        <v>3611</v>
      </c>
      <c r="W5353" s="35" t="s">
        <v>17</v>
      </c>
      <c r="X5353" s="37" t="s">
        <v>4009</v>
      </c>
      <c r="Y5353" s="36" t="s">
        <v>3932</v>
      </c>
      <c r="Z5353" s="30" t="s">
        <v>3933</v>
      </c>
      <c r="AA5353" s="30" t="s">
        <v>3708</v>
      </c>
      <c r="AD5353" s="38">
        <v>526.95000000000005</v>
      </c>
      <c r="AF5353" s="76">
        <f t="shared" si="499"/>
        <v>131941.70999999868</v>
      </c>
    </row>
    <row r="5354" spans="9:32" ht="8.25" customHeight="1" x14ac:dyDescent="0.25">
      <c r="N5354" s="52">
        <v>67</v>
      </c>
      <c r="T5354" s="33">
        <v>46226</v>
      </c>
      <c r="U5354" s="34">
        <v>2026</v>
      </c>
      <c r="V5354" s="35" t="s">
        <v>3611</v>
      </c>
      <c r="W5354" s="35" t="s">
        <v>17</v>
      </c>
      <c r="X5354" s="37" t="s">
        <v>4009</v>
      </c>
      <c r="Y5354" s="36" t="s">
        <v>3932</v>
      </c>
      <c r="Z5354" s="30" t="s">
        <v>3933</v>
      </c>
      <c r="AA5354" s="30" t="s">
        <v>183</v>
      </c>
      <c r="AD5354" s="38">
        <v>24.05</v>
      </c>
      <c r="AF5354" s="76">
        <f t="shared" si="499"/>
        <v>131965.75999999867</v>
      </c>
    </row>
    <row r="5355" spans="9:32" ht="8.25" customHeight="1" x14ac:dyDescent="0.25">
      <c r="N5355" s="52">
        <v>67</v>
      </c>
      <c r="T5355" s="33">
        <v>46226</v>
      </c>
      <c r="U5355" s="34">
        <v>2026</v>
      </c>
      <c r="V5355" s="35" t="s">
        <v>3611</v>
      </c>
      <c r="W5355" s="35" t="s">
        <v>17</v>
      </c>
      <c r="X5355" s="37" t="s">
        <v>4009</v>
      </c>
      <c r="Y5355" s="36" t="s">
        <v>3932</v>
      </c>
      <c r="Z5355" s="30" t="s">
        <v>3933</v>
      </c>
      <c r="AA5355" s="30" t="s">
        <v>3306</v>
      </c>
      <c r="AD5355" s="38">
        <v>35</v>
      </c>
      <c r="AF5355" s="76">
        <f t="shared" si="499"/>
        <v>132000.75999999867</v>
      </c>
    </row>
    <row r="5356" spans="9:32" ht="8.25" customHeight="1" x14ac:dyDescent="0.25">
      <c r="N5356" s="52">
        <v>68</v>
      </c>
      <c r="T5356" s="33">
        <v>46226</v>
      </c>
      <c r="U5356" s="34">
        <v>2026</v>
      </c>
      <c r="V5356" s="35" t="s">
        <v>3611</v>
      </c>
      <c r="W5356" s="35" t="s">
        <v>17</v>
      </c>
      <c r="X5356" s="37" t="s">
        <v>4010</v>
      </c>
      <c r="Y5356" s="36" t="s">
        <v>4011</v>
      </c>
      <c r="Z5356" s="30" t="s">
        <v>4012</v>
      </c>
      <c r="AA5356" s="30" t="s">
        <v>3899</v>
      </c>
      <c r="AD5356" s="38">
        <v>3315.18</v>
      </c>
      <c r="AF5356" s="76">
        <f t="shared" si="499"/>
        <v>135315.93999999866</v>
      </c>
    </row>
    <row r="5357" spans="9:32" ht="8.25" customHeight="1" x14ac:dyDescent="0.25">
      <c r="N5357" s="52">
        <v>68</v>
      </c>
      <c r="T5357" s="33">
        <v>46226</v>
      </c>
      <c r="U5357" s="34">
        <v>2026</v>
      </c>
      <c r="V5357" s="35" t="s">
        <v>3611</v>
      </c>
      <c r="W5357" s="35" t="s">
        <v>17</v>
      </c>
      <c r="X5357" s="37" t="s">
        <v>4010</v>
      </c>
      <c r="Y5357" s="36" t="s">
        <v>4011</v>
      </c>
      <c r="Z5357" s="30" t="s">
        <v>4012</v>
      </c>
      <c r="AA5357" s="30" t="s">
        <v>166</v>
      </c>
      <c r="AD5357" s="38">
        <v>7714.82</v>
      </c>
      <c r="AF5357" s="76">
        <f t="shared" si="499"/>
        <v>143030.75999999867</v>
      </c>
    </row>
    <row r="5358" spans="9:32" ht="8.25" customHeight="1" x14ac:dyDescent="0.25">
      <c r="N5358" s="52">
        <v>69</v>
      </c>
      <c r="T5358" s="33">
        <v>46226</v>
      </c>
      <c r="U5358" s="34">
        <v>2026</v>
      </c>
      <c r="V5358" s="35" t="s">
        <v>3611</v>
      </c>
      <c r="W5358" s="35" t="s">
        <v>17</v>
      </c>
      <c r="X5358" s="37" t="s">
        <v>4021</v>
      </c>
      <c r="Y5358" s="36" t="s">
        <v>1046</v>
      </c>
      <c r="Z5358" s="30" t="s">
        <v>1425</v>
      </c>
      <c r="AA5358" s="30" t="s">
        <v>3899</v>
      </c>
      <c r="AD5358" s="38">
        <v>1424.05</v>
      </c>
      <c r="AF5358" s="76">
        <f t="shared" si="499"/>
        <v>144454.80999999866</v>
      </c>
    </row>
    <row r="5359" spans="9:32" ht="8.25" customHeight="1" x14ac:dyDescent="0.25">
      <c r="N5359" s="52">
        <v>69</v>
      </c>
      <c r="T5359" s="33">
        <v>46226</v>
      </c>
      <c r="U5359" s="34">
        <v>2026</v>
      </c>
      <c r="V5359" s="35" t="s">
        <v>3611</v>
      </c>
      <c r="W5359" s="35" t="s">
        <v>17</v>
      </c>
      <c r="X5359" s="37" t="s">
        <v>4021</v>
      </c>
      <c r="Y5359" s="36" t="s">
        <v>1046</v>
      </c>
      <c r="Z5359" s="30" t="s">
        <v>1425</v>
      </c>
      <c r="AA5359" s="30" t="s">
        <v>166</v>
      </c>
      <c r="AD5359" s="38">
        <v>575.95000000000005</v>
      </c>
      <c r="AF5359" s="76">
        <f t="shared" si="499"/>
        <v>145030.75999999867</v>
      </c>
    </row>
    <row r="5360" spans="9:32" ht="8.25" customHeight="1" x14ac:dyDescent="0.25">
      <c r="I5360" s="52">
        <v>25</v>
      </c>
      <c r="T5360" s="33">
        <v>46226</v>
      </c>
      <c r="U5360" s="34">
        <v>2026</v>
      </c>
      <c r="V5360" s="35" t="s">
        <v>3611</v>
      </c>
      <c r="W5360" s="35" t="s">
        <v>17</v>
      </c>
      <c r="X5360" s="37" t="s">
        <v>4023</v>
      </c>
      <c r="Y5360" s="36" t="s">
        <v>3534</v>
      </c>
      <c r="Z5360" s="30" t="s">
        <v>1942</v>
      </c>
      <c r="AA5360" s="30" t="s">
        <v>13</v>
      </c>
      <c r="AD5360" s="38">
        <v>500</v>
      </c>
      <c r="AF5360" s="76">
        <f t="shared" si="499"/>
        <v>145530.75999999867</v>
      </c>
    </row>
    <row r="5361" spans="3:32" ht="8.25" customHeight="1" x14ac:dyDescent="0.25">
      <c r="C5361" s="52">
        <v>17</v>
      </c>
      <c r="T5361" s="33">
        <v>46226</v>
      </c>
      <c r="U5361" s="34">
        <v>2026</v>
      </c>
      <c r="V5361" s="35" t="s">
        <v>3611</v>
      </c>
      <c r="W5361" s="35" t="s">
        <v>3620</v>
      </c>
      <c r="X5361" s="37" t="s">
        <v>4013</v>
      </c>
      <c r="Y5361" s="36" t="s">
        <v>2841</v>
      </c>
      <c r="Z5361" s="30" t="s">
        <v>1860</v>
      </c>
      <c r="AA5361" s="30" t="s">
        <v>340</v>
      </c>
      <c r="AD5361" s="38">
        <v>345</v>
      </c>
      <c r="AF5361" s="76">
        <f t="shared" si="499"/>
        <v>145875.75999999867</v>
      </c>
    </row>
    <row r="5362" spans="3:32" ht="8.25" customHeight="1" x14ac:dyDescent="0.25">
      <c r="T5362" s="33">
        <v>46226</v>
      </c>
      <c r="U5362" s="34">
        <v>2026</v>
      </c>
      <c r="V5362" s="35" t="s">
        <v>3611</v>
      </c>
      <c r="W5362" s="35" t="s">
        <v>3620</v>
      </c>
      <c r="X5362" s="37" t="s">
        <v>4027</v>
      </c>
      <c r="Y5362" s="36" t="s">
        <v>2962</v>
      </c>
      <c r="Z5362" s="30" t="s">
        <v>882</v>
      </c>
      <c r="AA5362" s="30" t="s">
        <v>340</v>
      </c>
      <c r="AD5362" s="38">
        <v>185</v>
      </c>
      <c r="AF5362" s="76">
        <f t="shared" si="499"/>
        <v>146060.75999999867</v>
      </c>
    </row>
    <row r="5363" spans="3:32" ht="8.25" customHeight="1" x14ac:dyDescent="0.25">
      <c r="R5363" s="53">
        <v>35</v>
      </c>
      <c r="T5363" s="33">
        <v>46226</v>
      </c>
      <c r="U5363" s="34">
        <v>2026</v>
      </c>
      <c r="V5363" s="35" t="s">
        <v>3611</v>
      </c>
      <c r="W5363" s="35" t="s">
        <v>5</v>
      </c>
      <c r="X5363" s="37" t="s">
        <v>4014</v>
      </c>
      <c r="Y5363" s="36" t="s">
        <v>4015</v>
      </c>
      <c r="Z5363" s="30" t="s">
        <v>4012</v>
      </c>
      <c r="AA5363" s="30" t="s">
        <v>92</v>
      </c>
      <c r="AE5363" s="38">
        <v>11030</v>
      </c>
      <c r="AF5363" s="76">
        <f t="shared" si="499"/>
        <v>135030.75999999867</v>
      </c>
    </row>
    <row r="5364" spans="3:32" ht="8.25" customHeight="1" x14ac:dyDescent="0.25">
      <c r="G5364" s="53">
        <v>17</v>
      </c>
      <c r="T5364" s="33">
        <v>46226</v>
      </c>
      <c r="U5364" s="34">
        <v>2026</v>
      </c>
      <c r="V5364" s="35" t="s">
        <v>3611</v>
      </c>
      <c r="W5364" s="35" t="s">
        <v>3625</v>
      </c>
      <c r="X5364" s="37" t="s">
        <v>4016</v>
      </c>
      <c r="Y5364" s="36" t="s">
        <v>4017</v>
      </c>
      <c r="Z5364" s="30" t="s">
        <v>4018</v>
      </c>
      <c r="AA5364" s="30" t="s">
        <v>3945</v>
      </c>
      <c r="AE5364" s="38">
        <v>760</v>
      </c>
      <c r="AF5364" s="76">
        <f t="shared" si="499"/>
        <v>134270.75999999867</v>
      </c>
    </row>
    <row r="5365" spans="3:32" ht="8.25" customHeight="1" x14ac:dyDescent="0.25">
      <c r="G5365" s="53">
        <v>18</v>
      </c>
      <c r="T5365" s="33">
        <v>46226</v>
      </c>
      <c r="U5365" s="34">
        <v>2026</v>
      </c>
      <c r="V5365" s="35" t="s">
        <v>3611</v>
      </c>
      <c r="W5365" s="35" t="s">
        <v>3625</v>
      </c>
      <c r="X5365" s="37" t="s">
        <v>4019</v>
      </c>
      <c r="Y5365" s="36" t="s">
        <v>4020</v>
      </c>
      <c r="Z5365" s="30" t="s">
        <v>4018</v>
      </c>
      <c r="AA5365" s="30" t="s">
        <v>3945</v>
      </c>
      <c r="AE5365" s="38">
        <v>151.80000000000001</v>
      </c>
      <c r="AF5365" s="76">
        <f t="shared" si="499"/>
        <v>134118.95999999868</v>
      </c>
    </row>
    <row r="5366" spans="3:32" ht="8.25" customHeight="1" x14ac:dyDescent="0.25">
      <c r="R5366" s="53">
        <v>36</v>
      </c>
      <c r="T5366" s="33">
        <v>46226</v>
      </c>
      <c r="U5366" s="34">
        <v>2026</v>
      </c>
      <c r="V5366" s="35" t="s">
        <v>3611</v>
      </c>
      <c r="W5366" s="35" t="s">
        <v>5</v>
      </c>
      <c r="X5366" s="37" t="s">
        <v>4022</v>
      </c>
      <c r="Y5366" s="36" t="s">
        <v>3534</v>
      </c>
      <c r="Z5366" s="30" t="s">
        <v>1942</v>
      </c>
      <c r="AA5366" s="30" t="s">
        <v>92</v>
      </c>
      <c r="AE5366" s="38">
        <v>2000</v>
      </c>
      <c r="AF5366" s="76">
        <f t="shared" si="499"/>
        <v>132118.95999999868</v>
      </c>
    </row>
    <row r="5367" spans="3:32" ht="8.25" customHeight="1" x14ac:dyDescent="0.25">
      <c r="R5367" s="53">
        <v>37</v>
      </c>
      <c r="T5367" s="33">
        <v>46226</v>
      </c>
      <c r="U5367" s="34">
        <v>2026</v>
      </c>
      <c r="V5367" s="35" t="s">
        <v>3611</v>
      </c>
      <c r="W5367" s="35" t="s">
        <v>5</v>
      </c>
      <c r="X5367" s="37" t="s">
        <v>4026</v>
      </c>
      <c r="Y5367" s="36" t="s">
        <v>3505</v>
      </c>
      <c r="Z5367" s="30" t="s">
        <v>2634</v>
      </c>
      <c r="AA5367" s="30" t="s">
        <v>92</v>
      </c>
      <c r="AE5367" s="38">
        <v>1600</v>
      </c>
      <c r="AF5367" s="76">
        <f t="shared" si="499"/>
        <v>130518.95999999868</v>
      </c>
    </row>
    <row r="5368" spans="3:32" ht="8.25" customHeight="1" thickBot="1" x14ac:dyDescent="0.3">
      <c r="AA5368" s="260" t="s">
        <v>2893</v>
      </c>
      <c r="AD5368" s="233">
        <f>SUM(AD5349:AD5362)</f>
        <v>35769</v>
      </c>
      <c r="AE5368" s="233">
        <f>SUM(AE5363:AE5367)</f>
        <v>15541.8</v>
      </c>
      <c r="AF5368" s="233">
        <f>AF5367</f>
        <v>130518.95999999868</v>
      </c>
    </row>
    <row r="5369" spans="3:32" ht="8.25" customHeight="1" thickTop="1" x14ac:dyDescent="0.25"/>
    <row r="5373" spans="3:32" ht="8.25" customHeight="1" x14ac:dyDescent="0.25">
      <c r="X5373" s="109"/>
      <c r="Y5373" s="67" t="s">
        <v>214</v>
      </c>
      <c r="Z5373" s="68"/>
      <c r="AA5373" s="75"/>
    </row>
    <row r="5374" spans="3:32" ht="8.25" customHeight="1" x14ac:dyDescent="0.25">
      <c r="X5374" s="110" t="s">
        <v>1114</v>
      </c>
      <c r="Y5374" s="111">
        <v>200</v>
      </c>
      <c r="Z5374" s="111">
        <f t="shared" ref="Z5374:Z5379" si="500">X5374*Y5374</f>
        <v>7000</v>
      </c>
      <c r="AA5374" s="112"/>
    </row>
    <row r="5375" spans="3:32" ht="8.25" customHeight="1" x14ac:dyDescent="0.25">
      <c r="X5375" s="110" t="s">
        <v>4028</v>
      </c>
      <c r="Y5375" s="111">
        <v>100</v>
      </c>
      <c r="Z5375" s="111">
        <f t="shared" si="500"/>
        <v>122600</v>
      </c>
      <c r="AA5375" s="112"/>
    </row>
    <row r="5376" spans="3:32" ht="8.25" customHeight="1" x14ac:dyDescent="0.25">
      <c r="X5376" s="110" t="s">
        <v>120</v>
      </c>
      <c r="Y5376" s="111">
        <v>50</v>
      </c>
      <c r="Z5376" s="111">
        <f t="shared" si="500"/>
        <v>0</v>
      </c>
      <c r="AA5376" s="76"/>
    </row>
    <row r="5377" spans="14:32" ht="8.25" customHeight="1" x14ac:dyDescent="0.25">
      <c r="X5377" s="110" t="s">
        <v>120</v>
      </c>
      <c r="Y5377" s="111">
        <v>20</v>
      </c>
      <c r="Z5377" s="111">
        <f t="shared" si="500"/>
        <v>0</v>
      </c>
      <c r="AA5377" s="38"/>
    </row>
    <row r="5378" spans="14:32" ht="8.25" customHeight="1" x14ac:dyDescent="0.25">
      <c r="X5378" s="110" t="s">
        <v>1372</v>
      </c>
      <c r="Y5378" s="111">
        <v>10</v>
      </c>
      <c r="Z5378" s="111">
        <f t="shared" si="500"/>
        <v>90</v>
      </c>
      <c r="AA5378" s="112"/>
    </row>
    <row r="5379" spans="14:32" ht="8.25" customHeight="1" x14ac:dyDescent="0.25">
      <c r="X5379" s="110" t="s">
        <v>356</v>
      </c>
      <c r="Y5379" s="111">
        <v>5</v>
      </c>
      <c r="Z5379" s="111">
        <f t="shared" si="500"/>
        <v>430</v>
      </c>
      <c r="AA5379" s="112"/>
    </row>
    <row r="5380" spans="14:32" ht="8.25" customHeight="1" x14ac:dyDescent="0.25">
      <c r="X5380" s="269"/>
      <c r="Y5380" s="270"/>
      <c r="Z5380" s="271"/>
      <c r="AA5380" s="38"/>
    </row>
    <row r="5381" spans="14:32" ht="8.25" customHeight="1" x14ac:dyDescent="0.25">
      <c r="X5381" s="110" t="s">
        <v>4024</v>
      </c>
      <c r="Y5381" s="111">
        <v>1</v>
      </c>
      <c r="Z5381" s="111">
        <f t="shared" ref="Z5381:Z5386" si="501">X5381*Y5381</f>
        <v>315</v>
      </c>
      <c r="AA5381" s="76"/>
    </row>
    <row r="5382" spans="14:32" ht="8.25" customHeight="1" x14ac:dyDescent="0.25">
      <c r="X5382" s="110" t="s">
        <v>4025</v>
      </c>
      <c r="Y5382" s="111">
        <v>0.5</v>
      </c>
      <c r="Z5382" s="111">
        <f t="shared" si="501"/>
        <v>39</v>
      </c>
      <c r="AA5382" s="112"/>
    </row>
    <row r="5383" spans="14:32" ht="8.25" customHeight="1" x14ac:dyDescent="0.25">
      <c r="X5383" s="110" t="s">
        <v>2062</v>
      </c>
      <c r="Y5383" s="111">
        <v>0.25</v>
      </c>
      <c r="Z5383" s="111">
        <f t="shared" si="501"/>
        <v>44.5</v>
      </c>
      <c r="AA5383" s="113" t="s">
        <v>1</v>
      </c>
    </row>
    <row r="5384" spans="14:32" ht="8.25" customHeight="1" x14ac:dyDescent="0.25">
      <c r="X5384" s="110" t="s">
        <v>223</v>
      </c>
      <c r="Y5384" s="111">
        <v>0.1</v>
      </c>
      <c r="Z5384" s="111">
        <f t="shared" si="501"/>
        <v>0.30000000000000004</v>
      </c>
      <c r="AA5384" s="114" t="s">
        <v>219</v>
      </c>
    </row>
    <row r="5385" spans="14:32" ht="8.25" customHeight="1" thickBot="1" x14ac:dyDescent="0.3">
      <c r="X5385" s="110" t="s">
        <v>223</v>
      </c>
      <c r="Y5385" s="111">
        <v>0.05</v>
      </c>
      <c r="Z5385" s="111">
        <f t="shared" si="501"/>
        <v>0.15000000000000002</v>
      </c>
      <c r="AA5385" s="115">
        <f>SUM(Z5374:Z5379)+Z5381+Z5382+Z5383+Z5384+Z5385+Z5386</f>
        <v>130518.95999999999</v>
      </c>
    </row>
    <row r="5386" spans="14:32" ht="8.25" customHeight="1" thickTop="1" x14ac:dyDescent="0.25">
      <c r="X5386" s="110" t="s">
        <v>222</v>
      </c>
      <c r="Y5386" s="111">
        <v>0.01</v>
      </c>
      <c r="Z5386" s="111">
        <f t="shared" si="501"/>
        <v>0.01</v>
      </c>
    </row>
    <row r="5388" spans="14:32" ht="8.25" customHeight="1" x14ac:dyDescent="0.25">
      <c r="Z5388" s="231" t="s">
        <v>1376</v>
      </c>
      <c r="AF5388" s="76">
        <f>AF5368</f>
        <v>130518.95999999868</v>
      </c>
    </row>
    <row r="5389" spans="14:32" ht="8.25" customHeight="1" x14ac:dyDescent="0.25">
      <c r="N5389" s="52">
        <v>70</v>
      </c>
      <c r="T5389" s="33">
        <v>46227</v>
      </c>
      <c r="U5389" s="34">
        <v>2026</v>
      </c>
      <c r="V5389" s="35" t="s">
        <v>3611</v>
      </c>
      <c r="W5389" s="35" t="s">
        <v>17</v>
      </c>
      <c r="X5389" s="37" t="s">
        <v>4030</v>
      </c>
      <c r="Y5389" s="36" t="s">
        <v>4031</v>
      </c>
      <c r="Z5389" s="30" t="s">
        <v>2903</v>
      </c>
      <c r="AA5389" s="30" t="s">
        <v>3899</v>
      </c>
      <c r="AD5389" s="38">
        <v>12093.69</v>
      </c>
      <c r="AF5389" s="76">
        <f>AF5388+AD5389-AE5389</f>
        <v>142612.64999999868</v>
      </c>
    </row>
    <row r="5390" spans="14:32" ht="8.25" customHeight="1" x14ac:dyDescent="0.25">
      <c r="N5390" s="52">
        <v>70</v>
      </c>
      <c r="T5390" s="33">
        <v>46227</v>
      </c>
      <c r="U5390" s="34">
        <v>2026</v>
      </c>
      <c r="V5390" s="35" t="s">
        <v>3611</v>
      </c>
      <c r="W5390" s="35" t="s">
        <v>4029</v>
      </c>
      <c r="X5390" s="37" t="s">
        <v>4030</v>
      </c>
      <c r="Y5390" s="36" t="s">
        <v>4031</v>
      </c>
      <c r="Z5390" s="30" t="s">
        <v>2903</v>
      </c>
      <c r="AA5390" s="30" t="s">
        <v>166</v>
      </c>
      <c r="AD5390" s="38">
        <v>2906.31</v>
      </c>
      <c r="AF5390" s="76">
        <f t="shared" ref="AF5390:AF5453" si="502">AF5389+AD5390-AE5390</f>
        <v>145518.95999999868</v>
      </c>
    </row>
    <row r="5391" spans="14:32" ht="8.25" customHeight="1" x14ac:dyDescent="0.25">
      <c r="N5391" s="52">
        <v>71</v>
      </c>
      <c r="T5391" s="33">
        <v>46227</v>
      </c>
      <c r="U5391" s="34">
        <v>2026</v>
      </c>
      <c r="V5391" s="35" t="s">
        <v>3611</v>
      </c>
      <c r="W5391" s="35" t="s">
        <v>17</v>
      </c>
      <c r="X5391" s="37" t="s">
        <v>4032</v>
      </c>
      <c r="Y5391" s="36" t="s">
        <v>4033</v>
      </c>
      <c r="Z5391" s="30" t="s">
        <v>4034</v>
      </c>
      <c r="AA5391" s="30" t="s">
        <v>3899</v>
      </c>
      <c r="AD5391" s="38">
        <v>5516.81</v>
      </c>
      <c r="AF5391" s="76">
        <f t="shared" si="502"/>
        <v>151035.76999999868</v>
      </c>
    </row>
    <row r="5392" spans="14:32" ht="8.25" customHeight="1" x14ac:dyDescent="0.25">
      <c r="N5392" s="52">
        <v>71</v>
      </c>
      <c r="T5392" s="33">
        <v>46227</v>
      </c>
      <c r="U5392" s="34">
        <v>2026</v>
      </c>
      <c r="V5392" s="35" t="s">
        <v>3611</v>
      </c>
      <c r="W5392" s="35" t="s">
        <v>17</v>
      </c>
      <c r="X5392" s="37" t="s">
        <v>4032</v>
      </c>
      <c r="Y5392" s="36" t="s">
        <v>4033</v>
      </c>
      <c r="Z5392" s="30" t="s">
        <v>4034</v>
      </c>
      <c r="AA5392" s="30" t="s">
        <v>166</v>
      </c>
      <c r="AD5392" s="38">
        <v>4483.1899999999996</v>
      </c>
      <c r="AF5392" s="76">
        <f t="shared" si="502"/>
        <v>155518.95999999868</v>
      </c>
    </row>
    <row r="5393" spans="14:32" ht="8.25" customHeight="1" x14ac:dyDescent="0.25">
      <c r="N5393" s="52">
        <v>72</v>
      </c>
      <c r="T5393" s="33">
        <v>46227</v>
      </c>
      <c r="U5393" s="34">
        <v>2026</v>
      </c>
      <c r="V5393" s="35" t="s">
        <v>3611</v>
      </c>
      <c r="W5393" s="35" t="s">
        <v>17</v>
      </c>
      <c r="X5393" s="37" t="s">
        <v>4035</v>
      </c>
      <c r="Y5393" s="36" t="s">
        <v>4036</v>
      </c>
      <c r="Z5393" s="30" t="s">
        <v>4037</v>
      </c>
      <c r="AA5393" s="30" t="s">
        <v>3899</v>
      </c>
      <c r="AD5393" s="38">
        <v>6275.22</v>
      </c>
      <c r="AF5393" s="76">
        <f t="shared" si="502"/>
        <v>161794.17999999868</v>
      </c>
    </row>
    <row r="5394" spans="14:32" ht="8.25" customHeight="1" x14ac:dyDescent="0.25">
      <c r="N5394" s="52">
        <v>72</v>
      </c>
      <c r="T5394" s="33">
        <v>46227</v>
      </c>
      <c r="U5394" s="34">
        <v>2026</v>
      </c>
      <c r="V5394" s="35" t="s">
        <v>3611</v>
      </c>
      <c r="W5394" s="35" t="s">
        <v>17</v>
      </c>
      <c r="X5394" s="37" t="s">
        <v>4035</v>
      </c>
      <c r="Y5394" s="36" t="s">
        <v>4036</v>
      </c>
      <c r="Z5394" s="30" t="s">
        <v>4037</v>
      </c>
      <c r="AA5394" s="30" t="s">
        <v>166</v>
      </c>
      <c r="AD5394" s="38">
        <v>6724.78</v>
      </c>
      <c r="AF5394" s="76">
        <f t="shared" si="502"/>
        <v>168518.95999999868</v>
      </c>
    </row>
    <row r="5395" spans="14:32" ht="8.25" customHeight="1" x14ac:dyDescent="0.25">
      <c r="N5395" s="52">
        <v>73</v>
      </c>
      <c r="T5395" s="33">
        <v>46227</v>
      </c>
      <c r="U5395" s="34">
        <v>2026</v>
      </c>
      <c r="V5395" s="35" t="s">
        <v>3611</v>
      </c>
      <c r="W5395" s="35" t="s">
        <v>17</v>
      </c>
      <c r="X5395" s="37" t="s">
        <v>4038</v>
      </c>
      <c r="Y5395" s="36" t="s">
        <v>3494</v>
      </c>
      <c r="Z5395" s="30" t="s">
        <v>1820</v>
      </c>
      <c r="AA5395" s="30" t="s">
        <v>3899</v>
      </c>
      <c r="AD5395" s="38">
        <v>5022.74</v>
      </c>
      <c r="AF5395" s="76">
        <f t="shared" si="502"/>
        <v>173541.69999999867</v>
      </c>
    </row>
    <row r="5396" spans="14:32" ht="8.25" customHeight="1" x14ac:dyDescent="0.25">
      <c r="N5396" s="52">
        <v>73</v>
      </c>
      <c r="T5396" s="33">
        <v>46227</v>
      </c>
      <c r="U5396" s="34">
        <v>2026</v>
      </c>
      <c r="V5396" s="35" t="s">
        <v>3611</v>
      </c>
      <c r="W5396" s="35" t="s">
        <v>17</v>
      </c>
      <c r="X5396" s="37" t="s">
        <v>4038</v>
      </c>
      <c r="Y5396" s="36" t="s">
        <v>3494</v>
      </c>
      <c r="Z5396" s="30" t="s">
        <v>1820</v>
      </c>
      <c r="AA5396" s="30" t="s">
        <v>166</v>
      </c>
      <c r="AD5396" s="38">
        <v>4977.26</v>
      </c>
      <c r="AF5396" s="76">
        <f t="shared" si="502"/>
        <v>178518.95999999868</v>
      </c>
    </row>
    <row r="5397" spans="14:32" ht="8.25" customHeight="1" x14ac:dyDescent="0.25">
      <c r="N5397" s="52">
        <v>74</v>
      </c>
      <c r="T5397" s="33">
        <v>46227</v>
      </c>
      <c r="U5397" s="34">
        <v>2026</v>
      </c>
      <c r="V5397" s="35" t="s">
        <v>3611</v>
      </c>
      <c r="W5397" s="35" t="s">
        <v>17</v>
      </c>
      <c r="X5397" s="37" t="s">
        <v>4039</v>
      </c>
      <c r="Y5397" s="36" t="s">
        <v>3545</v>
      </c>
      <c r="Z5397" s="30" t="s">
        <v>674</v>
      </c>
      <c r="AA5397" s="30" t="s">
        <v>3899</v>
      </c>
      <c r="AD5397" s="38">
        <v>7213.59</v>
      </c>
      <c r="AF5397" s="76">
        <f t="shared" si="502"/>
        <v>185732.54999999868</v>
      </c>
    </row>
    <row r="5398" spans="14:32" ht="8.25" customHeight="1" x14ac:dyDescent="0.25">
      <c r="N5398" s="52">
        <v>74</v>
      </c>
      <c r="T5398" s="33">
        <v>46227</v>
      </c>
      <c r="U5398" s="34">
        <v>2026</v>
      </c>
      <c r="V5398" s="35" t="s">
        <v>3611</v>
      </c>
      <c r="W5398" s="35" t="s">
        <v>17</v>
      </c>
      <c r="X5398" s="37" t="s">
        <v>4039</v>
      </c>
      <c r="Y5398" s="36" t="s">
        <v>3545</v>
      </c>
      <c r="Z5398" s="30" t="s">
        <v>674</v>
      </c>
      <c r="AA5398" s="30" t="s">
        <v>166</v>
      </c>
      <c r="AD5398" s="38">
        <v>2786.41</v>
      </c>
      <c r="AF5398" s="76">
        <f t="shared" si="502"/>
        <v>188518.95999999868</v>
      </c>
    </row>
    <row r="5399" spans="14:32" ht="8.25" customHeight="1" x14ac:dyDescent="0.25">
      <c r="N5399" s="52">
        <v>75</v>
      </c>
      <c r="T5399" s="33">
        <v>46227</v>
      </c>
      <c r="U5399" s="34">
        <v>2026</v>
      </c>
      <c r="V5399" s="35" t="s">
        <v>3611</v>
      </c>
      <c r="W5399" s="35" t="s">
        <v>17</v>
      </c>
      <c r="X5399" s="37" t="s">
        <v>4040</v>
      </c>
      <c r="Y5399" s="36" t="s">
        <v>3543</v>
      </c>
      <c r="Z5399" s="30" t="s">
        <v>735</v>
      </c>
      <c r="AA5399" s="30" t="s">
        <v>3899</v>
      </c>
      <c r="AD5399" s="38">
        <v>10252.540000000001</v>
      </c>
      <c r="AF5399" s="76">
        <f t="shared" si="502"/>
        <v>198771.49999999869</v>
      </c>
    </row>
    <row r="5400" spans="14:32" ht="8.25" customHeight="1" x14ac:dyDescent="0.25">
      <c r="N5400" s="52">
        <v>75</v>
      </c>
      <c r="T5400" s="33">
        <v>46227</v>
      </c>
      <c r="U5400" s="34">
        <v>2026</v>
      </c>
      <c r="V5400" s="35" t="s">
        <v>3611</v>
      </c>
      <c r="W5400" s="35" t="s">
        <v>17</v>
      </c>
      <c r="X5400" s="37" t="s">
        <v>4040</v>
      </c>
      <c r="Y5400" s="36" t="s">
        <v>3543</v>
      </c>
      <c r="Z5400" s="30" t="s">
        <v>735</v>
      </c>
      <c r="AA5400" s="30" t="s">
        <v>166</v>
      </c>
      <c r="AD5400" s="38">
        <v>5747.46</v>
      </c>
      <c r="AF5400" s="76">
        <f t="shared" si="502"/>
        <v>204518.95999999868</v>
      </c>
    </row>
    <row r="5401" spans="14:32" ht="8.25" customHeight="1" x14ac:dyDescent="0.25">
      <c r="N5401" s="52">
        <v>76</v>
      </c>
      <c r="T5401" s="33">
        <v>46227</v>
      </c>
      <c r="U5401" s="34">
        <v>2026</v>
      </c>
      <c r="V5401" s="35" t="s">
        <v>3611</v>
      </c>
      <c r="W5401" s="35" t="s">
        <v>17</v>
      </c>
      <c r="X5401" s="37" t="s">
        <v>4041</v>
      </c>
      <c r="Y5401" s="36" t="s">
        <v>3542</v>
      </c>
      <c r="Z5401" s="30" t="s">
        <v>680</v>
      </c>
      <c r="AA5401" s="30" t="s">
        <v>3899</v>
      </c>
      <c r="AD5401" s="38">
        <v>7908.26</v>
      </c>
      <c r="AF5401" s="76">
        <f t="shared" si="502"/>
        <v>212427.21999999869</v>
      </c>
    </row>
    <row r="5402" spans="14:32" ht="8.25" customHeight="1" x14ac:dyDescent="0.25">
      <c r="N5402" s="52">
        <v>76</v>
      </c>
      <c r="T5402" s="33">
        <v>46227</v>
      </c>
      <c r="U5402" s="34">
        <v>2026</v>
      </c>
      <c r="V5402" s="35" t="s">
        <v>3611</v>
      </c>
      <c r="W5402" s="35" t="s">
        <v>17</v>
      </c>
      <c r="X5402" s="37" t="s">
        <v>4041</v>
      </c>
      <c r="Y5402" s="36" t="s">
        <v>3542</v>
      </c>
      <c r="Z5402" s="30" t="s">
        <v>680</v>
      </c>
      <c r="AA5402" s="30" t="s">
        <v>166</v>
      </c>
      <c r="AD5402" s="38">
        <v>3091.74</v>
      </c>
      <c r="AF5402" s="76">
        <f t="shared" si="502"/>
        <v>215518.95999999868</v>
      </c>
    </row>
    <row r="5403" spans="14:32" ht="8.25" customHeight="1" x14ac:dyDescent="0.25">
      <c r="N5403" s="52">
        <v>77</v>
      </c>
      <c r="T5403" s="33">
        <v>46227</v>
      </c>
      <c r="U5403" s="34">
        <v>2026</v>
      </c>
      <c r="V5403" s="35" t="s">
        <v>3611</v>
      </c>
      <c r="W5403" s="35" t="s">
        <v>17</v>
      </c>
      <c r="X5403" s="37" t="s">
        <v>4042</v>
      </c>
      <c r="Y5403" s="36" t="s">
        <v>3541</v>
      </c>
      <c r="Z5403" s="30" t="s">
        <v>683</v>
      </c>
      <c r="AA5403" s="30" t="s">
        <v>3899</v>
      </c>
      <c r="AD5403" s="38">
        <v>7283.94</v>
      </c>
      <c r="AF5403" s="76">
        <f t="shared" si="502"/>
        <v>222802.89999999868</v>
      </c>
    </row>
    <row r="5404" spans="14:32" ht="8.25" customHeight="1" x14ac:dyDescent="0.25">
      <c r="N5404" s="52">
        <v>77</v>
      </c>
      <c r="T5404" s="33">
        <v>46227</v>
      </c>
      <c r="U5404" s="34">
        <v>2026</v>
      </c>
      <c r="V5404" s="35" t="s">
        <v>3611</v>
      </c>
      <c r="W5404" s="35" t="s">
        <v>17</v>
      </c>
      <c r="X5404" s="37" t="s">
        <v>4042</v>
      </c>
      <c r="Y5404" s="36" t="s">
        <v>3541</v>
      </c>
      <c r="Z5404" s="30" t="s">
        <v>683</v>
      </c>
      <c r="AA5404" s="30" t="s">
        <v>166</v>
      </c>
      <c r="AD5404" s="38">
        <v>3716.06</v>
      </c>
      <c r="AF5404" s="76">
        <f t="shared" si="502"/>
        <v>226518.95999999868</v>
      </c>
    </row>
    <row r="5405" spans="14:32" ht="8.25" customHeight="1" x14ac:dyDescent="0.25">
      <c r="N5405" s="52">
        <v>78</v>
      </c>
      <c r="T5405" s="33">
        <v>46227</v>
      </c>
      <c r="U5405" s="34">
        <v>2026</v>
      </c>
      <c r="V5405" s="35" t="s">
        <v>3611</v>
      </c>
      <c r="W5405" s="35" t="s">
        <v>17</v>
      </c>
      <c r="X5405" s="37" t="s">
        <v>4043</v>
      </c>
      <c r="Y5405" s="36" t="s">
        <v>3474</v>
      </c>
      <c r="Z5405" s="30" t="s">
        <v>495</v>
      </c>
      <c r="AA5405" s="30" t="s">
        <v>3899</v>
      </c>
      <c r="AD5405" s="38">
        <v>6016.79</v>
      </c>
      <c r="AF5405" s="76">
        <f t="shared" si="502"/>
        <v>232535.74999999869</v>
      </c>
    </row>
    <row r="5406" spans="14:32" ht="8.25" customHeight="1" x14ac:dyDescent="0.25">
      <c r="N5406" s="52">
        <v>78</v>
      </c>
      <c r="T5406" s="33">
        <v>46227</v>
      </c>
      <c r="U5406" s="34">
        <v>2026</v>
      </c>
      <c r="V5406" s="35" t="s">
        <v>3611</v>
      </c>
      <c r="W5406" s="35" t="s">
        <v>17</v>
      </c>
      <c r="X5406" s="37" t="s">
        <v>4043</v>
      </c>
      <c r="Y5406" s="36" t="s">
        <v>3474</v>
      </c>
      <c r="Z5406" s="30" t="s">
        <v>495</v>
      </c>
      <c r="AA5406" s="30" t="s">
        <v>166</v>
      </c>
      <c r="AD5406" s="38">
        <v>4783.21</v>
      </c>
      <c r="AF5406" s="76">
        <f t="shared" si="502"/>
        <v>237318.95999999868</v>
      </c>
    </row>
    <row r="5407" spans="14:32" ht="8.25" customHeight="1" x14ac:dyDescent="0.25">
      <c r="N5407" s="52">
        <v>79</v>
      </c>
      <c r="T5407" s="33">
        <v>46227</v>
      </c>
      <c r="U5407" s="34">
        <v>2026</v>
      </c>
      <c r="V5407" s="35" t="s">
        <v>3611</v>
      </c>
      <c r="W5407" s="35" t="s">
        <v>17</v>
      </c>
      <c r="X5407" s="37" t="s">
        <v>4051</v>
      </c>
      <c r="Y5407" s="36" t="s">
        <v>4052</v>
      </c>
      <c r="Z5407" s="30" t="s">
        <v>766</v>
      </c>
      <c r="AA5407" s="30" t="s">
        <v>3899</v>
      </c>
      <c r="AD5407" s="38">
        <v>2908.31</v>
      </c>
      <c r="AF5407" s="76">
        <f t="shared" si="502"/>
        <v>240227.26999999868</v>
      </c>
    </row>
    <row r="5408" spans="14:32" ht="8.25" customHeight="1" x14ac:dyDescent="0.25">
      <c r="N5408" s="52">
        <v>79</v>
      </c>
      <c r="T5408" s="33">
        <v>46227</v>
      </c>
      <c r="U5408" s="34">
        <v>2026</v>
      </c>
      <c r="V5408" s="35" t="s">
        <v>3611</v>
      </c>
      <c r="W5408" s="35" t="s">
        <v>17</v>
      </c>
      <c r="X5408" s="37" t="s">
        <v>4051</v>
      </c>
      <c r="Y5408" s="36" t="s">
        <v>4052</v>
      </c>
      <c r="Z5408" s="30" t="s">
        <v>766</v>
      </c>
      <c r="AA5408" s="30" t="s">
        <v>166</v>
      </c>
      <c r="AD5408" s="38">
        <v>1091.69</v>
      </c>
      <c r="AF5408" s="76">
        <f t="shared" si="502"/>
        <v>241318.95999999868</v>
      </c>
    </row>
    <row r="5409" spans="9:32" ht="8.25" customHeight="1" x14ac:dyDescent="0.25">
      <c r="K5409" s="52">
        <v>6</v>
      </c>
      <c r="T5409" s="33">
        <v>46227</v>
      </c>
      <c r="U5409" s="34">
        <v>2026</v>
      </c>
      <c r="V5409" s="35" t="s">
        <v>3611</v>
      </c>
      <c r="W5409" s="35" t="s">
        <v>17</v>
      </c>
      <c r="X5409" s="37" t="s">
        <v>4053</v>
      </c>
      <c r="Y5409" s="36" t="s">
        <v>4055</v>
      </c>
      <c r="Z5409" s="30" t="s">
        <v>4056</v>
      </c>
      <c r="AA5409" s="30" t="s">
        <v>1787</v>
      </c>
      <c r="AD5409" s="38">
        <v>100</v>
      </c>
      <c r="AF5409" s="76">
        <f t="shared" si="502"/>
        <v>241418.95999999868</v>
      </c>
    </row>
    <row r="5410" spans="9:32" ht="8.25" customHeight="1" x14ac:dyDescent="0.25">
      <c r="L5410" s="52">
        <v>6</v>
      </c>
      <c r="T5410" s="33">
        <v>46227</v>
      </c>
      <c r="U5410" s="34">
        <v>2026</v>
      </c>
      <c r="V5410" s="35" t="s">
        <v>3611</v>
      </c>
      <c r="W5410" s="35" t="s">
        <v>17</v>
      </c>
      <c r="X5410" s="37" t="s">
        <v>4054</v>
      </c>
      <c r="Y5410" s="36" t="s">
        <v>3982</v>
      </c>
      <c r="Z5410" s="30" t="s">
        <v>4056</v>
      </c>
      <c r="AA5410" s="30" t="s">
        <v>373</v>
      </c>
      <c r="AD5410" s="38">
        <v>50</v>
      </c>
      <c r="AF5410" s="76">
        <f t="shared" si="502"/>
        <v>241468.95999999868</v>
      </c>
    </row>
    <row r="5411" spans="9:32" ht="8.25" customHeight="1" x14ac:dyDescent="0.25">
      <c r="N5411" s="52">
        <v>80</v>
      </c>
      <c r="T5411" s="33">
        <v>46227</v>
      </c>
      <c r="U5411" s="34">
        <v>2026</v>
      </c>
      <c r="V5411" s="35" t="s">
        <v>3611</v>
      </c>
      <c r="W5411" s="35" t="s">
        <v>17</v>
      </c>
      <c r="X5411" s="37" t="s">
        <v>4087</v>
      </c>
      <c r="Y5411" s="36" t="s">
        <v>4088</v>
      </c>
      <c r="Z5411" s="30" t="s">
        <v>4059</v>
      </c>
      <c r="AA5411" s="30" t="s">
        <v>3899</v>
      </c>
      <c r="AD5411" s="38">
        <v>8123.81</v>
      </c>
      <c r="AF5411" s="76">
        <f t="shared" si="502"/>
        <v>249592.76999999868</v>
      </c>
    </row>
    <row r="5412" spans="9:32" ht="8.25" customHeight="1" x14ac:dyDescent="0.25">
      <c r="N5412" s="52">
        <v>80</v>
      </c>
      <c r="T5412" s="33">
        <v>46227</v>
      </c>
      <c r="U5412" s="34">
        <v>2026</v>
      </c>
      <c r="V5412" s="35" t="s">
        <v>3611</v>
      </c>
      <c r="W5412" s="35" t="s">
        <v>17</v>
      </c>
      <c r="X5412" s="37" t="s">
        <v>4087</v>
      </c>
      <c r="Y5412" s="36" t="s">
        <v>4088</v>
      </c>
      <c r="Z5412" s="30" t="s">
        <v>4059</v>
      </c>
      <c r="AA5412" s="30" t="s">
        <v>166</v>
      </c>
      <c r="AD5412" s="38">
        <v>6258.1</v>
      </c>
      <c r="AF5412" s="76">
        <f t="shared" si="502"/>
        <v>255850.86999999869</v>
      </c>
    </row>
    <row r="5413" spans="9:32" ht="8.25" customHeight="1" x14ac:dyDescent="0.25">
      <c r="N5413" s="52">
        <v>80</v>
      </c>
      <c r="T5413" s="33">
        <v>46227</v>
      </c>
      <c r="U5413" s="34">
        <v>2026</v>
      </c>
      <c r="V5413" s="35" t="s">
        <v>3611</v>
      </c>
      <c r="W5413" s="35" t="s">
        <v>17</v>
      </c>
      <c r="X5413" s="37" t="s">
        <v>4087</v>
      </c>
      <c r="Y5413" s="36" t="s">
        <v>4088</v>
      </c>
      <c r="Z5413" s="30" t="s">
        <v>4059</v>
      </c>
      <c r="AA5413" s="30" t="s">
        <v>3304</v>
      </c>
      <c r="AD5413" s="38">
        <v>225</v>
      </c>
      <c r="AF5413" s="76">
        <f t="shared" si="502"/>
        <v>256075.86999999869</v>
      </c>
    </row>
    <row r="5414" spans="9:32" ht="8.25" customHeight="1" x14ac:dyDescent="0.25">
      <c r="I5414" s="52">
        <v>26</v>
      </c>
      <c r="T5414" s="33">
        <v>46227</v>
      </c>
      <c r="U5414" s="34">
        <v>2026</v>
      </c>
      <c r="V5414" s="35" t="s">
        <v>3611</v>
      </c>
      <c r="W5414" s="35" t="s">
        <v>17</v>
      </c>
      <c r="X5414" s="37" t="s">
        <v>4089</v>
      </c>
      <c r="Y5414" s="36" t="s">
        <v>4090</v>
      </c>
      <c r="Z5414" s="30" t="s">
        <v>4056</v>
      </c>
      <c r="AA5414" s="30" t="s">
        <v>13</v>
      </c>
      <c r="AD5414" s="38">
        <v>1136.0899999999999</v>
      </c>
      <c r="AF5414" s="76">
        <f t="shared" si="502"/>
        <v>257211.95999999868</v>
      </c>
    </row>
    <row r="5415" spans="9:32" ht="8.25" customHeight="1" x14ac:dyDescent="0.25">
      <c r="M5415" s="52">
        <v>7</v>
      </c>
      <c r="T5415" s="33">
        <v>46227</v>
      </c>
      <c r="U5415" s="34">
        <v>2026</v>
      </c>
      <c r="V5415" s="35" t="s">
        <v>3611</v>
      </c>
      <c r="W5415" s="35" t="s">
        <v>17</v>
      </c>
      <c r="X5415" s="37" t="s">
        <v>4091</v>
      </c>
      <c r="Y5415" s="36" t="s">
        <v>3982</v>
      </c>
      <c r="Z5415" s="30" t="s">
        <v>4056</v>
      </c>
      <c r="AA5415" s="30" t="s">
        <v>385</v>
      </c>
      <c r="AD5415" s="38">
        <v>227.27</v>
      </c>
      <c r="AF5415" s="76">
        <f t="shared" si="502"/>
        <v>257439.22999999867</v>
      </c>
    </row>
    <row r="5416" spans="9:32" ht="8.25" customHeight="1" x14ac:dyDescent="0.25">
      <c r="M5416" s="52">
        <v>8</v>
      </c>
      <c r="T5416" s="33">
        <v>46227</v>
      </c>
      <c r="U5416" s="34">
        <v>2026</v>
      </c>
      <c r="V5416" s="35" t="s">
        <v>3611</v>
      </c>
      <c r="W5416" s="35" t="s">
        <v>17</v>
      </c>
      <c r="X5416" s="37" t="s">
        <v>4092</v>
      </c>
      <c r="Y5416" s="36" t="s">
        <v>3982</v>
      </c>
      <c r="Z5416" s="30" t="s">
        <v>4066</v>
      </c>
      <c r="AA5416" s="30" t="s">
        <v>385</v>
      </c>
      <c r="AD5416" s="38">
        <v>227.27</v>
      </c>
      <c r="AF5416" s="76">
        <f t="shared" si="502"/>
        <v>257666.49999999866</v>
      </c>
    </row>
    <row r="5417" spans="9:32" ht="8.25" customHeight="1" x14ac:dyDescent="0.25">
      <c r="I5417" s="52">
        <v>27</v>
      </c>
      <c r="T5417" s="33">
        <v>46227</v>
      </c>
      <c r="U5417" s="34">
        <v>2026</v>
      </c>
      <c r="V5417" s="35" t="s">
        <v>3611</v>
      </c>
      <c r="W5417" s="35" t="s">
        <v>17</v>
      </c>
      <c r="X5417" s="37" t="s">
        <v>4093</v>
      </c>
      <c r="Y5417" s="36" t="s">
        <v>4094</v>
      </c>
      <c r="Z5417" s="30" t="s">
        <v>4066</v>
      </c>
      <c r="AA5417" s="30" t="s">
        <v>13</v>
      </c>
      <c r="AD5417" s="38">
        <v>1136.3599999999999</v>
      </c>
      <c r="AF5417" s="76">
        <f t="shared" si="502"/>
        <v>258802.85999999865</v>
      </c>
    </row>
    <row r="5418" spans="9:32" ht="8.25" customHeight="1" x14ac:dyDescent="0.25">
      <c r="N5418" s="52">
        <v>81</v>
      </c>
      <c r="T5418" s="33">
        <v>46227</v>
      </c>
      <c r="U5418" s="34">
        <v>2026</v>
      </c>
      <c r="V5418" s="35" t="s">
        <v>3611</v>
      </c>
      <c r="W5418" s="35" t="s">
        <v>17</v>
      </c>
      <c r="X5418" s="37" t="s">
        <v>4095</v>
      </c>
      <c r="Y5418" s="36" t="s">
        <v>4096</v>
      </c>
      <c r="Z5418" s="30" t="s">
        <v>388</v>
      </c>
      <c r="AA5418" s="30" t="s">
        <v>3899</v>
      </c>
      <c r="AD5418" s="38">
        <v>13334.86</v>
      </c>
      <c r="AF5418" s="76">
        <f t="shared" si="502"/>
        <v>272137.71999999863</v>
      </c>
    </row>
    <row r="5419" spans="9:32" ht="8.25" customHeight="1" x14ac:dyDescent="0.25">
      <c r="N5419" s="52">
        <v>81</v>
      </c>
      <c r="T5419" s="33">
        <v>46227</v>
      </c>
      <c r="U5419" s="34">
        <v>2026</v>
      </c>
      <c r="V5419" s="35" t="s">
        <v>3611</v>
      </c>
      <c r="W5419" s="35" t="s">
        <v>17</v>
      </c>
      <c r="X5419" s="37" t="s">
        <v>4095</v>
      </c>
      <c r="Y5419" s="36" t="s">
        <v>4096</v>
      </c>
      <c r="Z5419" s="30" t="s">
        <v>388</v>
      </c>
      <c r="AA5419" s="30" t="s">
        <v>166</v>
      </c>
      <c r="AD5419" s="38">
        <v>25022.240000000002</v>
      </c>
      <c r="AF5419" s="76">
        <f t="shared" si="502"/>
        <v>297159.95999999862</v>
      </c>
    </row>
    <row r="5420" spans="9:32" ht="8.25" customHeight="1" x14ac:dyDescent="0.25">
      <c r="N5420" s="52">
        <v>81</v>
      </c>
      <c r="T5420" s="33">
        <v>46227</v>
      </c>
      <c r="U5420" s="34">
        <v>2026</v>
      </c>
      <c r="V5420" s="35" t="s">
        <v>3611</v>
      </c>
      <c r="W5420" s="35" t="s">
        <v>17</v>
      </c>
      <c r="X5420" s="37" t="s">
        <v>4095</v>
      </c>
      <c r="Y5420" s="36" t="s">
        <v>4096</v>
      </c>
      <c r="Z5420" s="30" t="s">
        <v>388</v>
      </c>
      <c r="AA5420" s="30" t="s">
        <v>3304</v>
      </c>
      <c r="AD5420" s="38">
        <v>150</v>
      </c>
      <c r="AF5420" s="76">
        <f t="shared" si="502"/>
        <v>297309.95999999862</v>
      </c>
    </row>
    <row r="5421" spans="9:32" ht="8.25" customHeight="1" x14ac:dyDescent="0.25">
      <c r="N5421" s="52">
        <v>82</v>
      </c>
      <c r="T5421" s="33">
        <v>46227</v>
      </c>
      <c r="U5421" s="34">
        <v>2026</v>
      </c>
      <c r="V5421" s="35" t="s">
        <v>3611</v>
      </c>
      <c r="W5421" s="35" t="s">
        <v>17</v>
      </c>
      <c r="X5421" s="37" t="s">
        <v>4097</v>
      </c>
      <c r="Y5421" s="36" t="s">
        <v>4098</v>
      </c>
      <c r="Z5421" s="30" t="s">
        <v>388</v>
      </c>
      <c r="AA5421" s="30" t="s">
        <v>3899</v>
      </c>
      <c r="AD5421" s="38">
        <v>19736.03</v>
      </c>
      <c r="AF5421" s="76">
        <f t="shared" si="502"/>
        <v>317045.98999999859</v>
      </c>
    </row>
    <row r="5422" spans="9:32" ht="8.25" customHeight="1" x14ac:dyDescent="0.25">
      <c r="N5422" s="52">
        <v>82</v>
      </c>
      <c r="T5422" s="33">
        <v>46227</v>
      </c>
      <c r="U5422" s="34">
        <v>2026</v>
      </c>
      <c r="V5422" s="35" t="s">
        <v>3611</v>
      </c>
      <c r="W5422" s="35" t="s">
        <v>17</v>
      </c>
      <c r="X5422" s="37" t="s">
        <v>4097</v>
      </c>
      <c r="Y5422" s="36" t="s">
        <v>4098</v>
      </c>
      <c r="Z5422" s="30" t="s">
        <v>388</v>
      </c>
      <c r="AA5422" s="30" t="s">
        <v>166</v>
      </c>
      <c r="AD5422" s="38">
        <v>26798.74</v>
      </c>
      <c r="AF5422" s="76">
        <f t="shared" si="502"/>
        <v>343844.72999999858</v>
      </c>
    </row>
    <row r="5423" spans="9:32" ht="8.25" customHeight="1" x14ac:dyDescent="0.25">
      <c r="N5423" s="52">
        <v>82</v>
      </c>
      <c r="T5423" s="33">
        <v>46227</v>
      </c>
      <c r="U5423" s="34">
        <v>2026</v>
      </c>
      <c r="V5423" s="35" t="s">
        <v>3611</v>
      </c>
      <c r="W5423" s="35" t="s">
        <v>17</v>
      </c>
      <c r="X5423" s="37" t="s">
        <v>4097</v>
      </c>
      <c r="Y5423" s="36" t="s">
        <v>4098</v>
      </c>
      <c r="Z5423" s="30" t="s">
        <v>388</v>
      </c>
      <c r="AA5423" s="30" t="s">
        <v>3304</v>
      </c>
      <c r="AD5423" s="38">
        <v>225</v>
      </c>
      <c r="AF5423" s="76">
        <f t="shared" si="502"/>
        <v>344069.72999999858</v>
      </c>
    </row>
    <row r="5424" spans="9:32" ht="8.25" customHeight="1" x14ac:dyDescent="0.25">
      <c r="N5424" s="52">
        <v>83</v>
      </c>
      <c r="T5424" s="33">
        <v>46227</v>
      </c>
      <c r="U5424" s="34">
        <v>2026</v>
      </c>
      <c r="V5424" s="35" t="s">
        <v>3611</v>
      </c>
      <c r="W5424" s="35" t="s">
        <v>17</v>
      </c>
      <c r="X5424" s="37" t="s">
        <v>4099</v>
      </c>
      <c r="Y5424" s="36" t="s">
        <v>4100</v>
      </c>
      <c r="Z5424" s="30" t="s">
        <v>2576</v>
      </c>
      <c r="AA5424" s="30" t="s">
        <v>3899</v>
      </c>
      <c r="AD5424" s="38">
        <v>3314.39</v>
      </c>
      <c r="AF5424" s="76">
        <f t="shared" si="502"/>
        <v>347384.1199999986</v>
      </c>
    </row>
    <row r="5425" spans="14:32" ht="8.25" customHeight="1" x14ac:dyDescent="0.25">
      <c r="N5425" s="52">
        <v>83</v>
      </c>
      <c r="T5425" s="33">
        <v>46227</v>
      </c>
      <c r="U5425" s="34">
        <v>2026</v>
      </c>
      <c r="V5425" s="35" t="s">
        <v>3611</v>
      </c>
      <c r="W5425" s="35" t="s">
        <v>17</v>
      </c>
      <c r="X5425" s="37" t="s">
        <v>4099</v>
      </c>
      <c r="Y5425" s="36" t="s">
        <v>4100</v>
      </c>
      <c r="Z5425" s="30" t="s">
        <v>2576</v>
      </c>
      <c r="AA5425" s="30" t="s">
        <v>166</v>
      </c>
      <c r="AD5425" s="38">
        <v>11506.85</v>
      </c>
      <c r="AF5425" s="76">
        <f t="shared" si="502"/>
        <v>358890.96999999858</v>
      </c>
    </row>
    <row r="5426" spans="14:32" ht="8.25" customHeight="1" x14ac:dyDescent="0.25">
      <c r="N5426" s="52">
        <v>83</v>
      </c>
      <c r="T5426" s="33">
        <v>46227</v>
      </c>
      <c r="U5426" s="34">
        <v>2026</v>
      </c>
      <c r="V5426" s="35" t="s">
        <v>3611</v>
      </c>
      <c r="W5426" s="35" t="s">
        <v>17</v>
      </c>
      <c r="X5426" s="37" t="s">
        <v>4099</v>
      </c>
      <c r="Y5426" s="36" t="s">
        <v>4100</v>
      </c>
      <c r="Z5426" s="30" t="s">
        <v>2576</v>
      </c>
      <c r="AA5426" s="30" t="s">
        <v>3304</v>
      </c>
      <c r="AD5426" s="38">
        <v>70</v>
      </c>
      <c r="AF5426" s="76">
        <f t="shared" si="502"/>
        <v>358960.96999999858</v>
      </c>
    </row>
    <row r="5427" spans="14:32" ht="8.25" customHeight="1" x14ac:dyDescent="0.25">
      <c r="N5427" s="52">
        <v>84</v>
      </c>
      <c r="T5427" s="33">
        <v>46227</v>
      </c>
      <c r="U5427" s="34">
        <v>2026</v>
      </c>
      <c r="V5427" s="35" t="s">
        <v>3611</v>
      </c>
      <c r="W5427" s="35" t="s">
        <v>17</v>
      </c>
      <c r="X5427" s="37" t="s">
        <v>4101</v>
      </c>
      <c r="Y5427" s="36" t="s">
        <v>3926</v>
      </c>
      <c r="Z5427" s="30" t="s">
        <v>4072</v>
      </c>
      <c r="AA5427" s="30" t="s">
        <v>3899</v>
      </c>
      <c r="AD5427" s="38">
        <v>965.34</v>
      </c>
      <c r="AF5427" s="76">
        <f t="shared" si="502"/>
        <v>359926.3099999986</v>
      </c>
    </row>
    <row r="5428" spans="14:32" ht="8.25" customHeight="1" x14ac:dyDescent="0.25">
      <c r="N5428" s="52">
        <v>85</v>
      </c>
      <c r="T5428" s="33">
        <v>46227</v>
      </c>
      <c r="U5428" s="34">
        <v>2026</v>
      </c>
      <c r="V5428" s="35" t="s">
        <v>3611</v>
      </c>
      <c r="W5428" s="35" t="s">
        <v>17</v>
      </c>
      <c r="X5428" s="37" t="s">
        <v>4104</v>
      </c>
      <c r="Y5428" s="36" t="s">
        <v>4102</v>
      </c>
      <c r="Z5428" s="30" t="s">
        <v>567</v>
      </c>
      <c r="AA5428" s="30" t="s">
        <v>166</v>
      </c>
      <c r="AD5428" s="38">
        <v>16808.86</v>
      </c>
      <c r="AF5428" s="76">
        <f t="shared" si="502"/>
        <v>376735.16999999859</v>
      </c>
    </row>
    <row r="5429" spans="14:32" ht="8.25" customHeight="1" x14ac:dyDescent="0.25">
      <c r="N5429" s="52">
        <v>85</v>
      </c>
      <c r="T5429" s="33">
        <v>46227</v>
      </c>
      <c r="U5429" s="34">
        <v>2026</v>
      </c>
      <c r="V5429" s="35" t="s">
        <v>3611</v>
      </c>
      <c r="W5429" s="35" t="s">
        <v>17</v>
      </c>
      <c r="X5429" s="37" t="s">
        <v>4104</v>
      </c>
      <c r="Y5429" s="36" t="s">
        <v>4102</v>
      </c>
      <c r="Z5429" s="30" t="s">
        <v>567</v>
      </c>
      <c r="AA5429" s="30" t="s">
        <v>3304</v>
      </c>
      <c r="AD5429" s="38">
        <v>925</v>
      </c>
      <c r="AF5429" s="76">
        <f t="shared" si="502"/>
        <v>377660.16999999859</v>
      </c>
    </row>
    <row r="5430" spans="14:32" ht="8.25" customHeight="1" x14ac:dyDescent="0.25">
      <c r="N5430" s="52">
        <v>86</v>
      </c>
      <c r="T5430" s="33">
        <v>46227</v>
      </c>
      <c r="U5430" s="34">
        <v>2026</v>
      </c>
      <c r="V5430" s="35" t="s">
        <v>3611</v>
      </c>
      <c r="W5430" s="35" t="s">
        <v>17</v>
      </c>
      <c r="X5430" s="37" t="s">
        <v>4103</v>
      </c>
      <c r="Y5430" s="36" t="s">
        <v>3765</v>
      </c>
      <c r="Z5430" s="30" t="s">
        <v>3766</v>
      </c>
      <c r="AA5430" s="30" t="s">
        <v>166</v>
      </c>
      <c r="AD5430" s="38">
        <v>15479.72</v>
      </c>
      <c r="AF5430" s="76">
        <f t="shared" si="502"/>
        <v>393139.88999999856</v>
      </c>
    </row>
    <row r="5431" spans="14:32" ht="8.25" customHeight="1" x14ac:dyDescent="0.25">
      <c r="N5431" s="52">
        <v>86</v>
      </c>
      <c r="T5431" s="33">
        <v>46227</v>
      </c>
      <c r="U5431" s="34">
        <v>2026</v>
      </c>
      <c r="V5431" s="35" t="s">
        <v>3611</v>
      </c>
      <c r="W5431" s="35" t="s">
        <v>17</v>
      </c>
      <c r="X5431" s="37" t="s">
        <v>4103</v>
      </c>
      <c r="Y5431" s="36" t="s">
        <v>3765</v>
      </c>
      <c r="Z5431" s="30" t="s">
        <v>3766</v>
      </c>
      <c r="AA5431" s="30" t="s">
        <v>3304</v>
      </c>
      <c r="AD5431" s="38">
        <v>70</v>
      </c>
      <c r="AF5431" s="76">
        <f t="shared" si="502"/>
        <v>393209.88999999856</v>
      </c>
    </row>
    <row r="5432" spans="14:32" ht="8.25" customHeight="1" x14ac:dyDescent="0.25">
      <c r="N5432" s="52">
        <v>87</v>
      </c>
      <c r="T5432" s="33">
        <v>46227</v>
      </c>
      <c r="U5432" s="34">
        <v>2026</v>
      </c>
      <c r="V5432" s="35" t="s">
        <v>3611</v>
      </c>
      <c r="W5432" s="35" t="s">
        <v>17</v>
      </c>
      <c r="X5432" s="37" t="s">
        <v>4105</v>
      </c>
      <c r="Y5432" s="36" t="s">
        <v>4106</v>
      </c>
      <c r="Z5432" s="30" t="s">
        <v>3070</v>
      </c>
      <c r="AA5432" s="30" t="s">
        <v>3899</v>
      </c>
      <c r="AD5432" s="38">
        <v>2388.58</v>
      </c>
      <c r="AF5432" s="76">
        <f t="shared" si="502"/>
        <v>395598.46999999858</v>
      </c>
    </row>
    <row r="5433" spans="14:32" ht="8.25" customHeight="1" x14ac:dyDescent="0.25">
      <c r="N5433" s="52">
        <v>87</v>
      </c>
      <c r="T5433" s="33">
        <v>46227</v>
      </c>
      <c r="U5433" s="34">
        <v>2026</v>
      </c>
      <c r="V5433" s="35" t="s">
        <v>3611</v>
      </c>
      <c r="W5433" s="35" t="s">
        <v>17</v>
      </c>
      <c r="X5433" s="37" t="s">
        <v>4105</v>
      </c>
      <c r="Y5433" s="36" t="s">
        <v>4106</v>
      </c>
      <c r="Z5433" s="30" t="s">
        <v>3070</v>
      </c>
      <c r="AA5433" s="30" t="s">
        <v>166</v>
      </c>
      <c r="AD5433" s="38">
        <v>9800.36</v>
      </c>
      <c r="AF5433" s="76">
        <f t="shared" si="502"/>
        <v>405398.82999999856</v>
      </c>
    </row>
    <row r="5434" spans="14:32" ht="8.25" customHeight="1" x14ac:dyDescent="0.25">
      <c r="N5434" s="52">
        <v>87</v>
      </c>
      <c r="T5434" s="33">
        <v>46227</v>
      </c>
      <c r="U5434" s="34">
        <v>2026</v>
      </c>
      <c r="V5434" s="35" t="s">
        <v>3611</v>
      </c>
      <c r="W5434" s="35" t="s">
        <v>17</v>
      </c>
      <c r="X5434" s="37" t="s">
        <v>4105</v>
      </c>
      <c r="Y5434" s="36" t="s">
        <v>4106</v>
      </c>
      <c r="Z5434" s="30" t="s">
        <v>3070</v>
      </c>
      <c r="AA5434" s="30" t="s">
        <v>3304</v>
      </c>
      <c r="AD5434" s="38">
        <v>110</v>
      </c>
      <c r="AF5434" s="76">
        <f t="shared" si="502"/>
        <v>405508.82999999856</v>
      </c>
    </row>
    <row r="5435" spans="14:32" ht="8.25" customHeight="1" x14ac:dyDescent="0.25">
      <c r="N5435" s="52">
        <v>88</v>
      </c>
      <c r="T5435" s="33">
        <v>46227</v>
      </c>
      <c r="U5435" s="34">
        <v>2026</v>
      </c>
      <c r="V5435" s="35" t="s">
        <v>3611</v>
      </c>
      <c r="W5435" s="35" t="s">
        <v>17</v>
      </c>
      <c r="X5435" s="37" t="s">
        <v>4107</v>
      </c>
      <c r="Y5435" s="36" t="s">
        <v>4005</v>
      </c>
      <c r="Z5435" s="30" t="s">
        <v>915</v>
      </c>
      <c r="AA5435" s="30" t="s">
        <v>3899</v>
      </c>
      <c r="AD5435" s="38">
        <v>772.01</v>
      </c>
      <c r="AF5435" s="76">
        <f t="shared" si="502"/>
        <v>406280.83999999857</v>
      </c>
    </row>
    <row r="5436" spans="14:32" ht="8.25" customHeight="1" x14ac:dyDescent="0.25">
      <c r="N5436" s="52">
        <v>89</v>
      </c>
      <c r="T5436" s="33">
        <v>46227</v>
      </c>
      <c r="U5436" s="34">
        <v>2026</v>
      </c>
      <c r="V5436" s="35" t="s">
        <v>3611</v>
      </c>
      <c r="W5436" s="35" t="s">
        <v>17</v>
      </c>
      <c r="X5436" s="37" t="s">
        <v>4108</v>
      </c>
      <c r="Y5436" s="36" t="s">
        <v>4109</v>
      </c>
      <c r="Z5436" s="30" t="s">
        <v>4084</v>
      </c>
      <c r="AA5436" s="30" t="s">
        <v>3899</v>
      </c>
      <c r="AD5436" s="38">
        <v>662.88</v>
      </c>
      <c r="AF5436" s="76">
        <f t="shared" si="502"/>
        <v>406943.71999999858</v>
      </c>
    </row>
    <row r="5437" spans="14:32" ht="8.25" customHeight="1" x14ac:dyDescent="0.25">
      <c r="N5437" s="52">
        <v>89</v>
      </c>
      <c r="T5437" s="33">
        <v>46227</v>
      </c>
      <c r="U5437" s="34">
        <v>2026</v>
      </c>
      <c r="V5437" s="35" t="s">
        <v>3611</v>
      </c>
      <c r="W5437" s="35" t="s">
        <v>17</v>
      </c>
      <c r="X5437" s="37" t="s">
        <v>4108</v>
      </c>
      <c r="Y5437" s="36" t="s">
        <v>4109</v>
      </c>
      <c r="Z5437" s="30" t="s">
        <v>4084</v>
      </c>
      <c r="AA5437" s="30" t="s">
        <v>166</v>
      </c>
      <c r="AD5437" s="38">
        <v>1150.69</v>
      </c>
      <c r="AF5437" s="76">
        <f t="shared" si="502"/>
        <v>408094.40999999858</v>
      </c>
    </row>
    <row r="5438" spans="14:32" ht="8.25" customHeight="1" x14ac:dyDescent="0.25">
      <c r="N5438" s="52">
        <v>89</v>
      </c>
      <c r="T5438" s="33">
        <v>46227</v>
      </c>
      <c r="U5438" s="34">
        <v>2026</v>
      </c>
      <c r="V5438" s="35" t="s">
        <v>3611</v>
      </c>
      <c r="W5438" s="35" t="s">
        <v>17</v>
      </c>
      <c r="X5438" s="37" t="s">
        <v>4108</v>
      </c>
      <c r="Y5438" s="36" t="s">
        <v>4109</v>
      </c>
      <c r="Z5438" s="30" t="s">
        <v>4084</v>
      </c>
      <c r="AA5438" s="30" t="s">
        <v>3304</v>
      </c>
      <c r="AD5438" s="38">
        <v>70</v>
      </c>
      <c r="AF5438" s="76">
        <f t="shared" si="502"/>
        <v>408164.40999999858</v>
      </c>
    </row>
    <row r="5439" spans="14:32" ht="8.25" customHeight="1" x14ac:dyDescent="0.25">
      <c r="N5439" s="52">
        <v>90</v>
      </c>
      <c r="T5439" s="33">
        <v>46227</v>
      </c>
      <c r="U5439" s="34">
        <v>2026</v>
      </c>
      <c r="V5439" s="35" t="s">
        <v>3611</v>
      </c>
      <c r="W5439" s="35" t="s">
        <v>17</v>
      </c>
      <c r="X5439" s="37" t="s">
        <v>4110</v>
      </c>
      <c r="Y5439" s="36" t="s">
        <v>4111</v>
      </c>
      <c r="Z5439" s="30" t="s">
        <v>355</v>
      </c>
      <c r="AA5439" s="30" t="s">
        <v>3899</v>
      </c>
      <c r="AD5439" s="38">
        <v>6703.61</v>
      </c>
      <c r="AF5439" s="76">
        <f t="shared" si="502"/>
        <v>414868.01999999856</v>
      </c>
    </row>
    <row r="5440" spans="14:32" ht="8.25" customHeight="1" x14ac:dyDescent="0.25">
      <c r="N5440" s="52">
        <v>90</v>
      </c>
      <c r="T5440" s="33">
        <v>46227</v>
      </c>
      <c r="U5440" s="34">
        <v>2026</v>
      </c>
      <c r="V5440" s="35" t="s">
        <v>3611</v>
      </c>
      <c r="W5440" s="35" t="s">
        <v>17</v>
      </c>
      <c r="X5440" s="37" t="s">
        <v>4110</v>
      </c>
      <c r="Y5440" s="36" t="s">
        <v>4111</v>
      </c>
      <c r="Z5440" s="30" t="s">
        <v>355</v>
      </c>
      <c r="AA5440" s="30" t="s">
        <v>166</v>
      </c>
      <c r="AD5440" s="38">
        <v>990.78</v>
      </c>
      <c r="AF5440" s="76">
        <f t="shared" si="502"/>
        <v>415858.79999999859</v>
      </c>
    </row>
    <row r="5441" spans="7:32" ht="8.25" customHeight="1" x14ac:dyDescent="0.25">
      <c r="N5441" s="52">
        <v>90</v>
      </c>
      <c r="T5441" s="33">
        <v>46227</v>
      </c>
      <c r="U5441" s="34">
        <v>2026</v>
      </c>
      <c r="V5441" s="35" t="s">
        <v>3611</v>
      </c>
      <c r="W5441" s="35" t="s">
        <v>17</v>
      </c>
      <c r="X5441" s="37" t="s">
        <v>4110</v>
      </c>
      <c r="Y5441" s="36" t="s">
        <v>4111</v>
      </c>
      <c r="Z5441" s="30" t="s">
        <v>355</v>
      </c>
      <c r="AA5441" s="30" t="s">
        <v>3304</v>
      </c>
      <c r="AD5441" s="38">
        <v>75</v>
      </c>
      <c r="AF5441" s="76">
        <f t="shared" si="502"/>
        <v>415933.79999999859</v>
      </c>
    </row>
    <row r="5442" spans="7:32" ht="8.25" customHeight="1" x14ac:dyDescent="0.25">
      <c r="R5442" s="53">
        <v>38</v>
      </c>
      <c r="T5442" s="33">
        <v>46227</v>
      </c>
      <c r="U5442" s="34">
        <v>2026</v>
      </c>
      <c r="V5442" s="35" t="s">
        <v>3611</v>
      </c>
      <c r="W5442" s="35" t="s">
        <v>5</v>
      </c>
      <c r="X5442" s="37" t="s">
        <v>4044</v>
      </c>
      <c r="Y5442" s="36" t="s">
        <v>3601</v>
      </c>
      <c r="Z5442" s="30" t="s">
        <v>692</v>
      </c>
      <c r="AA5442" s="30" t="s">
        <v>92</v>
      </c>
      <c r="AE5442" s="38">
        <v>1000</v>
      </c>
      <c r="AF5442" s="76">
        <f t="shared" si="502"/>
        <v>414933.79999999859</v>
      </c>
    </row>
    <row r="5443" spans="7:32" ht="8.25" customHeight="1" x14ac:dyDescent="0.25">
      <c r="G5443" s="53">
        <v>19</v>
      </c>
      <c r="T5443" s="33">
        <v>46227</v>
      </c>
      <c r="U5443" s="34">
        <v>2026</v>
      </c>
      <c r="V5443" s="35" t="s">
        <v>3611</v>
      </c>
      <c r="W5443" s="35" t="s">
        <v>3625</v>
      </c>
      <c r="X5443" s="37" t="s">
        <v>4045</v>
      </c>
      <c r="Y5443" s="36" t="s">
        <v>4046</v>
      </c>
      <c r="Z5443" s="30" t="s">
        <v>4047</v>
      </c>
      <c r="AA5443" s="30" t="s">
        <v>3945</v>
      </c>
      <c r="AE5443" s="38">
        <v>1284.21</v>
      </c>
      <c r="AF5443" s="76">
        <f t="shared" si="502"/>
        <v>413649.58999999857</v>
      </c>
    </row>
    <row r="5444" spans="7:32" ht="8.25" customHeight="1" x14ac:dyDescent="0.25">
      <c r="G5444" s="53">
        <v>20</v>
      </c>
      <c r="T5444" s="33">
        <v>46227</v>
      </c>
      <c r="U5444" s="34">
        <v>2026</v>
      </c>
      <c r="V5444" s="35" t="s">
        <v>3611</v>
      </c>
      <c r="W5444" s="35" t="s">
        <v>3625</v>
      </c>
      <c r="X5444" s="37" t="s">
        <v>4048</v>
      </c>
      <c r="Y5444" s="36" t="s">
        <v>4049</v>
      </c>
      <c r="Z5444" s="30" t="s">
        <v>2903</v>
      </c>
      <c r="AA5444" s="30" t="s">
        <v>3945</v>
      </c>
      <c r="AE5444" s="38">
        <v>19786</v>
      </c>
      <c r="AF5444" s="76">
        <f t="shared" si="502"/>
        <v>393863.58999999857</v>
      </c>
    </row>
    <row r="5445" spans="7:32" ht="8.25" customHeight="1" x14ac:dyDescent="0.25">
      <c r="R5445" s="53">
        <v>39</v>
      </c>
      <c r="T5445" s="33">
        <v>46227</v>
      </c>
      <c r="U5445" s="34">
        <v>2026</v>
      </c>
      <c r="V5445" s="35" t="s">
        <v>3611</v>
      </c>
      <c r="W5445" s="35" t="s">
        <v>5</v>
      </c>
      <c r="X5445" s="37" t="s">
        <v>4057</v>
      </c>
      <c r="Y5445" s="36" t="s">
        <v>4058</v>
      </c>
      <c r="Z5445" s="30" t="s">
        <v>4059</v>
      </c>
      <c r="AA5445" s="30" t="s">
        <v>92</v>
      </c>
      <c r="AE5445" s="38">
        <v>14606.91</v>
      </c>
      <c r="AF5445" s="76">
        <f t="shared" si="502"/>
        <v>379256.6799999986</v>
      </c>
    </row>
    <row r="5446" spans="7:32" ht="8.25" customHeight="1" x14ac:dyDescent="0.25">
      <c r="R5446" s="53">
        <v>40</v>
      </c>
      <c r="T5446" s="33">
        <v>46227</v>
      </c>
      <c r="U5446" s="34">
        <v>2026</v>
      </c>
      <c r="V5446" s="35" t="s">
        <v>3611</v>
      </c>
      <c r="W5446" s="35" t="s">
        <v>5</v>
      </c>
      <c r="X5446" s="37" t="s">
        <v>4060</v>
      </c>
      <c r="Y5446" s="36" t="s">
        <v>4061</v>
      </c>
      <c r="Z5446" s="30" t="s">
        <v>388</v>
      </c>
      <c r="AA5446" s="30" t="s">
        <v>92</v>
      </c>
      <c r="AE5446" s="38">
        <v>38507.1</v>
      </c>
      <c r="AF5446" s="76">
        <f t="shared" si="502"/>
        <v>340749.57999999862</v>
      </c>
    </row>
    <row r="5447" spans="7:32" ht="8.25" customHeight="1" x14ac:dyDescent="0.25">
      <c r="Q5447" s="52">
        <v>4</v>
      </c>
      <c r="T5447" s="33">
        <v>46227</v>
      </c>
      <c r="U5447" s="34">
        <v>2026</v>
      </c>
      <c r="V5447" s="35" t="s">
        <v>3611</v>
      </c>
      <c r="W5447" s="35" t="s">
        <v>5</v>
      </c>
      <c r="X5447" s="37" t="s">
        <v>4062</v>
      </c>
      <c r="Y5447" s="36" t="s">
        <v>4063</v>
      </c>
      <c r="Z5447" s="30" t="s">
        <v>4056</v>
      </c>
      <c r="AA5447" s="30" t="s">
        <v>395</v>
      </c>
      <c r="AE5447" s="38">
        <v>11363.36</v>
      </c>
      <c r="AF5447" s="76">
        <f t="shared" si="502"/>
        <v>329386.21999999863</v>
      </c>
    </row>
    <row r="5448" spans="7:32" ht="8.25" customHeight="1" x14ac:dyDescent="0.25">
      <c r="Q5448" s="52">
        <v>5</v>
      </c>
      <c r="T5448" s="33">
        <v>46227</v>
      </c>
      <c r="U5448" s="34">
        <v>2026</v>
      </c>
      <c r="V5448" s="35" t="s">
        <v>3611</v>
      </c>
      <c r="W5448" s="35" t="s">
        <v>5</v>
      </c>
      <c r="X5448" s="37" t="s">
        <v>4064</v>
      </c>
      <c r="Y5448" s="36" t="s">
        <v>4065</v>
      </c>
      <c r="Z5448" s="30" t="s">
        <v>4066</v>
      </c>
      <c r="AA5448" s="30" t="s">
        <v>395</v>
      </c>
      <c r="AE5448" s="38">
        <v>11363.63</v>
      </c>
      <c r="AF5448" s="76">
        <f t="shared" si="502"/>
        <v>318022.58999999863</v>
      </c>
    </row>
    <row r="5449" spans="7:32" ht="8.25" customHeight="1" x14ac:dyDescent="0.25">
      <c r="R5449" s="53">
        <v>41</v>
      </c>
      <c r="T5449" s="33">
        <v>46227</v>
      </c>
      <c r="U5449" s="34">
        <v>2026</v>
      </c>
      <c r="V5449" s="35" t="s">
        <v>3611</v>
      </c>
      <c r="W5449" s="35" t="s">
        <v>5</v>
      </c>
      <c r="X5449" s="37" t="s">
        <v>4067</v>
      </c>
      <c r="Y5449" s="36" t="s">
        <v>4061</v>
      </c>
      <c r="Z5449" s="30" t="s">
        <v>388</v>
      </c>
      <c r="AA5449" s="30" t="s">
        <v>92</v>
      </c>
      <c r="AE5449" s="38">
        <v>46759.77</v>
      </c>
      <c r="AF5449" s="76">
        <f t="shared" si="502"/>
        <v>271262.81999999861</v>
      </c>
    </row>
    <row r="5450" spans="7:32" ht="8.25" customHeight="1" x14ac:dyDescent="0.25">
      <c r="R5450" s="53">
        <v>42</v>
      </c>
      <c r="T5450" s="33">
        <v>46227</v>
      </c>
      <c r="U5450" s="34">
        <v>2026</v>
      </c>
      <c r="V5450" s="35" t="s">
        <v>3611</v>
      </c>
      <c r="W5450" s="35" t="s">
        <v>5</v>
      </c>
      <c r="X5450" s="37" t="s">
        <v>4068</v>
      </c>
      <c r="Y5450" s="36" t="s">
        <v>4069</v>
      </c>
      <c r="Z5450" s="30" t="s">
        <v>2576</v>
      </c>
      <c r="AA5450" s="30" t="s">
        <v>92</v>
      </c>
      <c r="AE5450" s="38">
        <v>14891.24</v>
      </c>
      <c r="AF5450" s="76">
        <f t="shared" si="502"/>
        <v>256371.57999999862</v>
      </c>
    </row>
    <row r="5451" spans="7:32" ht="8.25" customHeight="1" x14ac:dyDescent="0.25">
      <c r="R5451" s="53">
        <v>43</v>
      </c>
      <c r="T5451" s="33">
        <v>46227</v>
      </c>
      <c r="U5451" s="34">
        <v>2026</v>
      </c>
      <c r="V5451" s="35" t="s">
        <v>3611</v>
      </c>
      <c r="W5451" s="35" t="s">
        <v>5</v>
      </c>
      <c r="X5451" s="37" t="s">
        <v>4070</v>
      </c>
      <c r="Y5451" s="36" t="s">
        <v>4071</v>
      </c>
      <c r="Z5451" s="30" t="s">
        <v>4072</v>
      </c>
      <c r="AA5451" s="30" t="s">
        <v>92</v>
      </c>
      <c r="AE5451" s="38">
        <v>965.34</v>
      </c>
      <c r="AF5451" s="76">
        <f t="shared" si="502"/>
        <v>255406.23999999862</v>
      </c>
    </row>
    <row r="5452" spans="7:32" ht="8.25" customHeight="1" x14ac:dyDescent="0.25">
      <c r="R5452" s="53">
        <v>44</v>
      </c>
      <c r="T5452" s="33">
        <v>46227</v>
      </c>
      <c r="U5452" s="34">
        <v>2026</v>
      </c>
      <c r="V5452" s="35" t="s">
        <v>3611</v>
      </c>
      <c r="W5452" s="35" t="s">
        <v>5</v>
      </c>
      <c r="X5452" s="37" t="s">
        <v>4073</v>
      </c>
      <c r="Y5452" s="36" t="s">
        <v>4074</v>
      </c>
      <c r="Z5452" s="30" t="s">
        <v>4075</v>
      </c>
      <c r="AA5452" s="30" t="s">
        <v>92</v>
      </c>
      <c r="AE5452" s="38">
        <v>17733.86</v>
      </c>
      <c r="AF5452" s="76">
        <f t="shared" si="502"/>
        <v>237672.37999999861</v>
      </c>
    </row>
    <row r="5453" spans="7:32" ht="8.25" customHeight="1" x14ac:dyDescent="0.25">
      <c r="R5453" s="53">
        <v>45</v>
      </c>
      <c r="T5453" s="33">
        <v>46227</v>
      </c>
      <c r="U5453" s="34">
        <v>2026</v>
      </c>
      <c r="V5453" s="35" t="s">
        <v>3611</v>
      </c>
      <c r="W5453" s="35" t="s">
        <v>5</v>
      </c>
      <c r="X5453" s="37" t="s">
        <v>4076</v>
      </c>
      <c r="Y5453" s="36" t="s">
        <v>4077</v>
      </c>
      <c r="Z5453" s="30" t="s">
        <v>3766</v>
      </c>
      <c r="AA5453" s="30" t="s">
        <v>92</v>
      </c>
      <c r="AE5453" s="38">
        <v>15549.72</v>
      </c>
      <c r="AF5453" s="76">
        <f t="shared" si="502"/>
        <v>222122.65999999861</v>
      </c>
    </row>
    <row r="5454" spans="7:32" ht="8.25" customHeight="1" x14ac:dyDescent="0.25">
      <c r="R5454" s="53">
        <v>46</v>
      </c>
      <c r="T5454" s="33">
        <v>46227</v>
      </c>
      <c r="U5454" s="34">
        <v>2026</v>
      </c>
      <c r="V5454" s="35" t="s">
        <v>3611</v>
      </c>
      <c r="W5454" s="35" t="s">
        <v>5</v>
      </c>
      <c r="X5454" s="37" t="s">
        <v>4078</v>
      </c>
      <c r="Y5454" s="36" t="s">
        <v>4079</v>
      </c>
      <c r="Z5454" s="30" t="s">
        <v>3070</v>
      </c>
      <c r="AA5454" s="30" t="s">
        <v>92</v>
      </c>
      <c r="AE5454" s="38">
        <v>12298.94</v>
      </c>
      <c r="AF5454" s="76">
        <f t="shared" ref="AF5454:AF5457" si="503">AF5453+AD5454-AE5454</f>
        <v>209823.7199999986</v>
      </c>
    </row>
    <row r="5455" spans="7:32" ht="8.25" customHeight="1" x14ac:dyDescent="0.25">
      <c r="R5455" s="53">
        <v>47</v>
      </c>
      <c r="T5455" s="33">
        <v>46227</v>
      </c>
      <c r="U5455" s="34">
        <v>2026</v>
      </c>
      <c r="V5455" s="35" t="s">
        <v>3611</v>
      </c>
      <c r="W5455" s="35" t="s">
        <v>5</v>
      </c>
      <c r="X5455" s="37" t="s">
        <v>4080</v>
      </c>
      <c r="Y5455" s="36" t="s">
        <v>4081</v>
      </c>
      <c r="Z5455" s="30" t="s">
        <v>915</v>
      </c>
      <c r="AA5455" s="30" t="s">
        <v>92</v>
      </c>
      <c r="AE5455" s="38">
        <v>772.01</v>
      </c>
      <c r="AF5455" s="76">
        <f t="shared" si="503"/>
        <v>209051.70999999859</v>
      </c>
    </row>
    <row r="5456" spans="7:32" ht="8.25" customHeight="1" x14ac:dyDescent="0.25">
      <c r="R5456" s="53">
        <v>48</v>
      </c>
      <c r="T5456" s="33">
        <v>46227</v>
      </c>
      <c r="U5456" s="34">
        <v>2026</v>
      </c>
      <c r="V5456" s="35" t="s">
        <v>3611</v>
      </c>
      <c r="W5456" s="35" t="s">
        <v>5</v>
      </c>
      <c r="X5456" s="37" t="s">
        <v>4082</v>
      </c>
      <c r="Y5456" s="36" t="s">
        <v>4083</v>
      </c>
      <c r="Z5456" s="30" t="s">
        <v>4084</v>
      </c>
      <c r="AA5456" s="30" t="s">
        <v>92</v>
      </c>
      <c r="AE5456" s="38">
        <v>1883.57</v>
      </c>
      <c r="AF5456" s="76">
        <f t="shared" si="503"/>
        <v>207168.13999999859</v>
      </c>
    </row>
    <row r="5457" spans="18:32" ht="8.25" customHeight="1" x14ac:dyDescent="0.25">
      <c r="R5457" s="53">
        <v>49</v>
      </c>
      <c r="T5457" s="33">
        <v>46227</v>
      </c>
      <c r="U5457" s="34">
        <v>2026</v>
      </c>
      <c r="V5457" s="35" t="s">
        <v>3611</v>
      </c>
      <c r="W5457" s="35" t="s">
        <v>5</v>
      </c>
      <c r="X5457" s="37" t="s">
        <v>4085</v>
      </c>
      <c r="Y5457" s="36" t="s">
        <v>4086</v>
      </c>
      <c r="Z5457" s="30" t="s">
        <v>355</v>
      </c>
      <c r="AA5457" s="30" t="s">
        <v>92</v>
      </c>
      <c r="AE5457" s="38">
        <v>7769.39</v>
      </c>
      <c r="AF5457" s="76">
        <f t="shared" si="503"/>
        <v>199398.74999999857</v>
      </c>
    </row>
    <row r="5458" spans="18:32" ht="8.25" customHeight="1" thickBot="1" x14ac:dyDescent="0.3">
      <c r="AA5458" s="260" t="s">
        <v>2893</v>
      </c>
      <c r="AD5458" s="233">
        <f>SUM(AD5389:AD5441)</f>
        <v>285414.84000000003</v>
      </c>
      <c r="AE5458" s="233">
        <f>SUM(AE5442:AE5457)</f>
        <v>216535.05000000002</v>
      </c>
      <c r="AF5458" s="233">
        <f>AF5457</f>
        <v>199398.74999999857</v>
      </c>
    </row>
    <row r="5459" spans="18:32" ht="8.25" customHeight="1" thickTop="1" x14ac:dyDescent="0.25">
      <c r="AF5459" s="30"/>
    </row>
    <row r="5461" spans="18:32" ht="8.25" customHeight="1" x14ac:dyDescent="0.25">
      <c r="X5461" s="109"/>
      <c r="Y5461" s="67" t="s">
        <v>214</v>
      </c>
      <c r="Z5461" s="68"/>
      <c r="AA5461" s="75"/>
    </row>
    <row r="5462" spans="18:32" ht="8.25" customHeight="1" x14ac:dyDescent="0.25">
      <c r="X5462" s="110" t="s">
        <v>1114</v>
      </c>
      <c r="Y5462" s="111">
        <v>200</v>
      </c>
      <c r="Z5462" s="111">
        <f t="shared" ref="Z5462:Z5467" si="504">X5462*Y5462</f>
        <v>7000</v>
      </c>
      <c r="AA5462" s="112"/>
    </row>
    <row r="5463" spans="18:32" ht="8.25" customHeight="1" x14ac:dyDescent="0.25">
      <c r="X5463" s="110" t="s">
        <v>4113</v>
      </c>
      <c r="Y5463" s="111">
        <v>100</v>
      </c>
      <c r="Z5463" s="111">
        <f t="shared" si="504"/>
        <v>191700</v>
      </c>
      <c r="AA5463" s="112"/>
    </row>
    <row r="5464" spans="18:32" ht="8.25" customHeight="1" x14ac:dyDescent="0.25">
      <c r="X5464" s="110" t="s">
        <v>120</v>
      </c>
      <c r="Y5464" s="111">
        <v>50</v>
      </c>
      <c r="Z5464" s="111">
        <f t="shared" si="504"/>
        <v>0</v>
      </c>
      <c r="AA5464" s="76"/>
    </row>
    <row r="5465" spans="18:32" ht="8.25" customHeight="1" x14ac:dyDescent="0.25">
      <c r="X5465" s="110" t="s">
        <v>120</v>
      </c>
      <c r="Y5465" s="111">
        <v>20</v>
      </c>
      <c r="Z5465" s="111">
        <f t="shared" si="504"/>
        <v>0</v>
      </c>
      <c r="AA5465" s="38"/>
    </row>
    <row r="5466" spans="18:32" ht="8.25" customHeight="1" x14ac:dyDescent="0.25">
      <c r="X5466" s="110" t="s">
        <v>120</v>
      </c>
      <c r="Y5466" s="111">
        <v>10</v>
      </c>
      <c r="Z5466" s="111">
        <f t="shared" si="504"/>
        <v>0</v>
      </c>
      <c r="AA5466" s="112"/>
    </row>
    <row r="5467" spans="18:32" ht="8.25" customHeight="1" x14ac:dyDescent="0.25">
      <c r="X5467" s="110" t="s">
        <v>562</v>
      </c>
      <c r="Y5467" s="111">
        <v>5</v>
      </c>
      <c r="Z5467" s="111">
        <f t="shared" si="504"/>
        <v>305</v>
      </c>
      <c r="AA5467" s="112"/>
    </row>
    <row r="5468" spans="18:32" ht="8.25" customHeight="1" x14ac:dyDescent="0.25">
      <c r="X5468" s="269"/>
      <c r="Y5468" s="270"/>
      <c r="Z5468" s="271"/>
      <c r="AA5468" s="38"/>
    </row>
    <row r="5469" spans="18:32" ht="8.25" customHeight="1" x14ac:dyDescent="0.25">
      <c r="X5469" s="110" t="s">
        <v>4112</v>
      </c>
      <c r="Y5469" s="111">
        <v>1</v>
      </c>
      <c r="Z5469" s="111">
        <f t="shared" ref="Z5469:Z5474" si="505">X5469*Y5469</f>
        <v>311</v>
      </c>
      <c r="AA5469" s="76"/>
    </row>
    <row r="5470" spans="18:32" ht="8.25" customHeight="1" x14ac:dyDescent="0.25">
      <c r="X5470" s="110" t="s">
        <v>474</v>
      </c>
      <c r="Y5470" s="111">
        <v>0.5</v>
      </c>
      <c r="Z5470" s="111">
        <f t="shared" si="505"/>
        <v>38</v>
      </c>
      <c r="AA5470" s="112"/>
    </row>
    <row r="5471" spans="18:32" ht="8.25" customHeight="1" x14ac:dyDescent="0.25">
      <c r="X5471" s="110" t="s">
        <v>2026</v>
      </c>
      <c r="Y5471" s="111">
        <v>0.25</v>
      </c>
      <c r="Z5471" s="111">
        <f t="shared" si="505"/>
        <v>44.75</v>
      </c>
      <c r="AA5471" s="113" t="s">
        <v>1</v>
      </c>
    </row>
    <row r="5472" spans="18:32" ht="8.25" customHeight="1" x14ac:dyDescent="0.25">
      <c r="X5472" s="110" t="s">
        <v>120</v>
      </c>
      <c r="Y5472" s="111">
        <v>2</v>
      </c>
      <c r="Z5472" s="111">
        <f t="shared" si="505"/>
        <v>0</v>
      </c>
      <c r="AA5472" s="114" t="s">
        <v>219</v>
      </c>
    </row>
    <row r="5473" spans="7:32" ht="8.25" customHeight="1" thickBot="1" x14ac:dyDescent="0.3">
      <c r="X5473" s="110" t="s">
        <v>120</v>
      </c>
      <c r="Y5473" s="111">
        <v>0.05</v>
      </c>
      <c r="Z5473" s="111">
        <f t="shared" si="505"/>
        <v>0</v>
      </c>
      <c r="AA5473" s="115">
        <f>SUM(Z5462:Z5467)+Z5469+Z5470+Z5471+Z5472+Z5473+Z5474</f>
        <v>199398.75</v>
      </c>
    </row>
    <row r="5474" spans="7:32" ht="8.25" customHeight="1" thickTop="1" x14ac:dyDescent="0.25">
      <c r="X5474" s="110" t="s">
        <v>120</v>
      </c>
      <c r="Y5474" s="111">
        <v>0.01</v>
      </c>
      <c r="Z5474" s="111">
        <f t="shared" si="505"/>
        <v>0</v>
      </c>
    </row>
    <row r="5476" spans="7:32" ht="8.25" customHeight="1" x14ac:dyDescent="0.25">
      <c r="Z5476" s="231" t="s">
        <v>1376</v>
      </c>
      <c r="AF5476" s="76">
        <f>AF5458</f>
        <v>199398.74999999857</v>
      </c>
    </row>
    <row r="5477" spans="7:32" ht="8.25" customHeight="1" x14ac:dyDescent="0.25">
      <c r="N5477" s="52">
        <v>91</v>
      </c>
      <c r="T5477" s="33">
        <v>46228</v>
      </c>
      <c r="U5477" s="34">
        <v>2026</v>
      </c>
      <c r="V5477" s="35" t="s">
        <v>3611</v>
      </c>
      <c r="W5477" s="35" t="s">
        <v>17</v>
      </c>
      <c r="X5477" s="37" t="s">
        <v>4114</v>
      </c>
      <c r="Y5477" s="36" t="s">
        <v>1704</v>
      </c>
      <c r="Z5477" s="30" t="s">
        <v>4115</v>
      </c>
      <c r="AA5477" s="30" t="s">
        <v>3708</v>
      </c>
      <c r="AD5477" s="38">
        <v>757.79</v>
      </c>
      <c r="AF5477" s="76">
        <f>AF5476+AD5477-AE5477</f>
        <v>200156.53999999858</v>
      </c>
    </row>
    <row r="5478" spans="7:32" ht="8.25" customHeight="1" x14ac:dyDescent="0.25">
      <c r="N5478" s="52">
        <v>91</v>
      </c>
      <c r="T5478" s="33">
        <v>46228</v>
      </c>
      <c r="U5478" s="34">
        <v>2026</v>
      </c>
      <c r="V5478" s="35" t="s">
        <v>3611</v>
      </c>
      <c r="W5478" s="35" t="s">
        <v>17</v>
      </c>
      <c r="X5478" s="37" t="s">
        <v>4114</v>
      </c>
      <c r="Y5478" s="36" t="s">
        <v>1704</v>
      </c>
      <c r="Z5478" s="30" t="s">
        <v>4115</v>
      </c>
      <c r="AA5478" s="30" t="s">
        <v>183</v>
      </c>
      <c r="AD5478" s="38">
        <v>209.21</v>
      </c>
      <c r="AF5478" s="76">
        <f t="shared" ref="AF5478:AF5484" si="506">AF5477+AD5478-AE5478</f>
        <v>200365.74999999857</v>
      </c>
    </row>
    <row r="5479" spans="7:32" ht="8.25" customHeight="1" x14ac:dyDescent="0.25">
      <c r="N5479" s="52">
        <v>91</v>
      </c>
      <c r="T5479" s="33">
        <v>46228</v>
      </c>
      <c r="U5479" s="34">
        <v>2026</v>
      </c>
      <c r="V5479" s="35" t="s">
        <v>3611</v>
      </c>
      <c r="W5479" s="35" t="s">
        <v>17</v>
      </c>
      <c r="X5479" s="37" t="s">
        <v>4114</v>
      </c>
      <c r="Y5479" s="36" t="s">
        <v>1704</v>
      </c>
      <c r="Z5479" s="30" t="s">
        <v>4115</v>
      </c>
      <c r="AA5479" s="30" t="s">
        <v>3306</v>
      </c>
      <c r="AD5479" s="38">
        <v>25</v>
      </c>
      <c r="AF5479" s="76">
        <f t="shared" si="506"/>
        <v>200390.74999999857</v>
      </c>
    </row>
    <row r="5480" spans="7:32" ht="8.25" customHeight="1" x14ac:dyDescent="0.25">
      <c r="N5480" s="52">
        <v>92</v>
      </c>
      <c r="T5480" s="33">
        <v>46228</v>
      </c>
      <c r="U5480" s="34">
        <v>2026</v>
      </c>
      <c r="V5480" s="35" t="s">
        <v>3611</v>
      </c>
      <c r="W5480" s="35" t="s">
        <v>17</v>
      </c>
      <c r="X5480" s="37" t="s">
        <v>4116</v>
      </c>
      <c r="Y5480" s="36" t="s">
        <v>3932</v>
      </c>
      <c r="Z5480" s="30" t="s">
        <v>3933</v>
      </c>
      <c r="AA5480" s="30" t="s">
        <v>3708</v>
      </c>
      <c r="AD5480" s="38">
        <v>4697.3900000000003</v>
      </c>
      <c r="AF5480" s="76">
        <f t="shared" si="506"/>
        <v>205088.13999999859</v>
      </c>
    </row>
    <row r="5481" spans="7:32" ht="8.25" customHeight="1" x14ac:dyDescent="0.25">
      <c r="N5481" s="52">
        <v>92</v>
      </c>
      <c r="T5481" s="33">
        <v>46228</v>
      </c>
      <c r="U5481" s="34">
        <v>2026</v>
      </c>
      <c r="V5481" s="35" t="s">
        <v>3611</v>
      </c>
      <c r="W5481" s="35" t="s">
        <v>17</v>
      </c>
      <c r="X5481" s="37" t="s">
        <v>4116</v>
      </c>
      <c r="Y5481" s="36" t="s">
        <v>3932</v>
      </c>
      <c r="Z5481" s="30" t="s">
        <v>3933</v>
      </c>
      <c r="AA5481" s="30" t="s">
        <v>183</v>
      </c>
      <c r="AD5481" s="38">
        <v>6.18</v>
      </c>
      <c r="AF5481" s="76">
        <f t="shared" si="506"/>
        <v>205094.31999999858</v>
      </c>
    </row>
    <row r="5482" spans="7:32" ht="8.25" customHeight="1" x14ac:dyDescent="0.25">
      <c r="I5482" s="52">
        <v>28</v>
      </c>
      <c r="T5482" s="33">
        <v>46228</v>
      </c>
      <c r="U5482" s="34">
        <v>2026</v>
      </c>
      <c r="V5482" s="35" t="s">
        <v>3611</v>
      </c>
      <c r="W5482" s="35" t="s">
        <v>17</v>
      </c>
      <c r="X5482" s="37" t="s">
        <v>4117</v>
      </c>
      <c r="Y5482" s="36" t="s">
        <v>3935</v>
      </c>
      <c r="Z5482" s="30" t="s">
        <v>3933</v>
      </c>
      <c r="AA5482" s="30" t="s">
        <v>13</v>
      </c>
      <c r="AD5482" s="38">
        <v>296.43</v>
      </c>
      <c r="AF5482" s="76">
        <f t="shared" si="506"/>
        <v>205390.74999999857</v>
      </c>
    </row>
    <row r="5483" spans="7:32" ht="8.25" customHeight="1" x14ac:dyDescent="0.25">
      <c r="T5483" s="33">
        <v>46228</v>
      </c>
      <c r="U5483" s="34">
        <v>2026</v>
      </c>
      <c r="V5483" s="35" t="s">
        <v>3611</v>
      </c>
      <c r="W5483" s="35" t="s">
        <v>3997</v>
      </c>
      <c r="X5483" s="37" t="s">
        <v>4118</v>
      </c>
      <c r="Y5483" s="36" t="s">
        <v>411</v>
      </c>
      <c r="Z5483" s="30" t="s">
        <v>3162</v>
      </c>
      <c r="AA5483" s="30" t="s">
        <v>618</v>
      </c>
      <c r="AE5483" s="38">
        <v>100000</v>
      </c>
      <c r="AF5483" s="76">
        <f t="shared" si="506"/>
        <v>105390.74999999857</v>
      </c>
    </row>
    <row r="5484" spans="7:32" ht="8.25" customHeight="1" x14ac:dyDescent="0.25">
      <c r="G5484" s="53">
        <v>21</v>
      </c>
      <c r="T5484" s="33">
        <v>46228</v>
      </c>
      <c r="U5484" s="34">
        <v>2026</v>
      </c>
      <c r="V5484" s="35" t="s">
        <v>3611</v>
      </c>
      <c r="W5484" s="35" t="s">
        <v>3625</v>
      </c>
      <c r="X5484" s="37" t="s">
        <v>4119</v>
      </c>
      <c r="Y5484" s="36" t="s">
        <v>4120</v>
      </c>
      <c r="Z5484" s="30" t="s">
        <v>835</v>
      </c>
      <c r="AA5484" s="30" t="s">
        <v>3945</v>
      </c>
      <c r="AE5484" s="38">
        <v>1459.81</v>
      </c>
      <c r="AF5484" s="76">
        <f t="shared" si="506"/>
        <v>103930.93999999858</v>
      </c>
    </row>
    <row r="5485" spans="7:32" ht="8.25" customHeight="1" thickBot="1" x14ac:dyDescent="0.3">
      <c r="AA5485" s="260" t="s">
        <v>2893</v>
      </c>
      <c r="AD5485" s="233">
        <f>SUM(AD5477:AD5482)</f>
        <v>5992.0000000000009</v>
      </c>
      <c r="AE5485" s="233">
        <f>SUM(AE5483:AE5484)</f>
        <v>101459.81</v>
      </c>
      <c r="AF5485" s="233">
        <f>AF5484</f>
        <v>103930.93999999858</v>
      </c>
    </row>
    <row r="5486" spans="7:32" ht="8.25" customHeight="1" thickTop="1" x14ac:dyDescent="0.25"/>
    <row r="5487" spans="7:32" ht="8.25" customHeight="1" x14ac:dyDescent="0.25">
      <c r="X5487" s="109"/>
      <c r="Y5487" s="67" t="s">
        <v>214</v>
      </c>
      <c r="Z5487" s="68"/>
      <c r="AA5487" s="75"/>
    </row>
    <row r="5488" spans="7:32" ht="8.25" customHeight="1" x14ac:dyDescent="0.25">
      <c r="X5488" s="110" t="s">
        <v>4121</v>
      </c>
      <c r="Y5488" s="111">
        <v>200</v>
      </c>
      <c r="Z5488" s="111">
        <f t="shared" ref="Z5488:Z5493" si="507">X5488*Y5488</f>
        <v>10600</v>
      </c>
      <c r="AA5488" s="112"/>
    </row>
    <row r="5489" spans="14:32" ht="8.25" customHeight="1" x14ac:dyDescent="0.25">
      <c r="X5489" s="110" t="s">
        <v>4122</v>
      </c>
      <c r="Y5489" s="111">
        <v>100</v>
      </c>
      <c r="Z5489" s="111">
        <f t="shared" si="507"/>
        <v>92700</v>
      </c>
      <c r="AA5489" s="112"/>
    </row>
    <row r="5490" spans="14:32" ht="8.25" customHeight="1" x14ac:dyDescent="0.25">
      <c r="X5490" s="110" t="s">
        <v>120</v>
      </c>
      <c r="Y5490" s="111">
        <v>50</v>
      </c>
      <c r="Z5490" s="111">
        <f t="shared" si="507"/>
        <v>0</v>
      </c>
      <c r="AA5490" s="76"/>
    </row>
    <row r="5491" spans="14:32" ht="8.25" customHeight="1" x14ac:dyDescent="0.25">
      <c r="X5491" s="110" t="s">
        <v>120</v>
      </c>
      <c r="Y5491" s="111">
        <v>20</v>
      </c>
      <c r="Z5491" s="111">
        <f t="shared" si="507"/>
        <v>0</v>
      </c>
      <c r="AA5491" s="38"/>
    </row>
    <row r="5492" spans="14:32" ht="8.25" customHeight="1" x14ac:dyDescent="0.25">
      <c r="X5492" s="110" t="s">
        <v>120</v>
      </c>
      <c r="Y5492" s="111">
        <v>10</v>
      </c>
      <c r="Z5492" s="111">
        <f t="shared" si="507"/>
        <v>0</v>
      </c>
      <c r="AA5492" s="112"/>
    </row>
    <row r="5493" spans="14:32" ht="8.25" customHeight="1" x14ac:dyDescent="0.25">
      <c r="X5493" s="110" t="s">
        <v>1012</v>
      </c>
      <c r="Y5493" s="111">
        <v>5</v>
      </c>
      <c r="Z5493" s="111">
        <f t="shared" si="507"/>
        <v>245</v>
      </c>
      <c r="AA5493" s="112"/>
    </row>
    <row r="5494" spans="14:32" ht="8.25" customHeight="1" x14ac:dyDescent="0.25">
      <c r="X5494" s="269"/>
      <c r="Y5494" s="270"/>
      <c r="Z5494" s="271"/>
      <c r="AA5494" s="38"/>
    </row>
    <row r="5495" spans="14:32" ht="8.25" customHeight="1" x14ac:dyDescent="0.25">
      <c r="X5495" s="110" t="s">
        <v>2648</v>
      </c>
      <c r="Y5495" s="111">
        <v>1</v>
      </c>
      <c r="Z5495" s="111">
        <f t="shared" ref="Z5495:Z5500" si="508">X5495*Y5495</f>
        <v>303</v>
      </c>
      <c r="AA5495" s="76"/>
    </row>
    <row r="5496" spans="14:32" ht="8.25" customHeight="1" x14ac:dyDescent="0.25">
      <c r="X5496" s="110" t="s">
        <v>474</v>
      </c>
      <c r="Y5496" s="111">
        <v>0.5</v>
      </c>
      <c r="Z5496" s="111">
        <f t="shared" si="508"/>
        <v>38</v>
      </c>
      <c r="AA5496" s="112"/>
    </row>
    <row r="5497" spans="14:32" ht="8.25" customHeight="1" x14ac:dyDescent="0.25">
      <c r="X5497" s="110" t="s">
        <v>2062</v>
      </c>
      <c r="Y5497" s="111">
        <v>0.25</v>
      </c>
      <c r="Z5497" s="111">
        <f t="shared" si="508"/>
        <v>44.5</v>
      </c>
      <c r="AA5497" s="113" t="s">
        <v>1</v>
      </c>
    </row>
    <row r="5498" spans="14:32" ht="8.25" customHeight="1" x14ac:dyDescent="0.25">
      <c r="X5498" s="110" t="s">
        <v>224</v>
      </c>
      <c r="Y5498" s="111">
        <v>0.1</v>
      </c>
      <c r="Z5498" s="111">
        <f t="shared" si="508"/>
        <v>0.2</v>
      </c>
      <c r="AA5498" s="114" t="s">
        <v>219</v>
      </c>
    </row>
    <row r="5499" spans="14:32" ht="8.25" customHeight="1" thickBot="1" x14ac:dyDescent="0.3">
      <c r="X5499" s="110" t="s">
        <v>299</v>
      </c>
      <c r="Y5499" s="111">
        <v>0.05</v>
      </c>
      <c r="Z5499" s="111">
        <f t="shared" si="508"/>
        <v>0.2</v>
      </c>
      <c r="AA5499" s="115">
        <f>SUM(Z5488:Z5493)+Z5495+Z5496+Z5497+Z5498+Z5499+Z5500</f>
        <v>103930.93999999999</v>
      </c>
    </row>
    <row r="5500" spans="14:32" ht="8.25" customHeight="1" thickTop="1" x14ac:dyDescent="0.25">
      <c r="X5500" s="110" t="s">
        <v>299</v>
      </c>
      <c r="Y5500" s="111">
        <v>0.01</v>
      </c>
      <c r="Z5500" s="111">
        <f t="shared" si="508"/>
        <v>0.04</v>
      </c>
    </row>
    <row r="5503" spans="14:32" ht="8.25" customHeight="1" x14ac:dyDescent="0.25">
      <c r="Z5503" s="231" t="s">
        <v>1376</v>
      </c>
      <c r="AF5503" s="76">
        <f>AF5485</f>
        <v>103930.93999999858</v>
      </c>
    </row>
    <row r="5504" spans="14:32" ht="8.25" customHeight="1" x14ac:dyDescent="0.25">
      <c r="N5504" s="52">
        <v>93</v>
      </c>
      <c r="T5504" s="33">
        <v>46230</v>
      </c>
      <c r="U5504" s="34">
        <v>2026</v>
      </c>
      <c r="V5504" s="35" t="s">
        <v>3611</v>
      </c>
      <c r="W5504" s="35" t="s">
        <v>17</v>
      </c>
      <c r="X5504" s="37" t="s">
        <v>4123</v>
      </c>
      <c r="Y5504" s="36" t="s">
        <v>4124</v>
      </c>
      <c r="Z5504" s="30" t="s">
        <v>1283</v>
      </c>
      <c r="AA5504" s="30" t="s">
        <v>3899</v>
      </c>
      <c r="AD5504" s="38">
        <v>7886.95</v>
      </c>
      <c r="AF5504" s="76">
        <f>AF5503+AD5504-AE5504</f>
        <v>111817.88999999857</v>
      </c>
    </row>
    <row r="5505" spans="4:32" ht="8.25" customHeight="1" x14ac:dyDescent="0.25">
      <c r="N5505" s="52">
        <v>93</v>
      </c>
      <c r="T5505" s="33">
        <v>46230</v>
      </c>
      <c r="U5505" s="34">
        <v>2026</v>
      </c>
      <c r="V5505" s="35" t="s">
        <v>3611</v>
      </c>
      <c r="W5505" s="35" t="s">
        <v>17</v>
      </c>
      <c r="X5505" s="37" t="s">
        <v>4123</v>
      </c>
      <c r="Y5505" s="36" t="s">
        <v>4124</v>
      </c>
      <c r="Z5505" s="30" t="s">
        <v>1283</v>
      </c>
      <c r="AA5505" s="30" t="s">
        <v>166</v>
      </c>
      <c r="AD5505" s="38">
        <v>6113.05</v>
      </c>
      <c r="AF5505" s="76">
        <f t="shared" ref="AF5505:AF5525" si="509">AF5504+AD5505-AE5505</f>
        <v>117930.93999999858</v>
      </c>
    </row>
    <row r="5506" spans="4:32" ht="8.25" customHeight="1" x14ac:dyDescent="0.25">
      <c r="K5506" s="52">
        <v>7</v>
      </c>
      <c r="T5506" s="33">
        <v>46230</v>
      </c>
      <c r="U5506" s="34">
        <v>2026</v>
      </c>
      <c r="V5506" s="35" t="s">
        <v>3611</v>
      </c>
      <c r="W5506" s="35" t="s">
        <v>17</v>
      </c>
      <c r="X5506" s="37" t="s">
        <v>4125</v>
      </c>
      <c r="Y5506" s="36" t="s">
        <v>4126</v>
      </c>
      <c r="Z5506" s="30" t="s">
        <v>4127</v>
      </c>
      <c r="AA5506" s="30" t="s">
        <v>1787</v>
      </c>
      <c r="AD5506" s="38">
        <v>100</v>
      </c>
      <c r="AF5506" s="76">
        <f t="shared" si="509"/>
        <v>118030.93999999858</v>
      </c>
    </row>
    <row r="5507" spans="4:32" ht="8.25" customHeight="1" x14ac:dyDescent="0.25">
      <c r="L5507" s="52">
        <v>7</v>
      </c>
      <c r="T5507" s="33">
        <v>46230</v>
      </c>
      <c r="U5507" s="34">
        <v>2026</v>
      </c>
      <c r="V5507" s="35" t="s">
        <v>3611</v>
      </c>
      <c r="W5507" s="35" t="s">
        <v>17</v>
      </c>
      <c r="X5507" s="37" t="s">
        <v>4128</v>
      </c>
      <c r="Y5507" s="36" t="s">
        <v>3982</v>
      </c>
      <c r="Z5507" s="30" t="s">
        <v>4127</v>
      </c>
      <c r="AA5507" s="30" t="s">
        <v>373</v>
      </c>
      <c r="AD5507" s="38">
        <v>50</v>
      </c>
      <c r="AF5507" s="76">
        <f t="shared" si="509"/>
        <v>118080.93999999858</v>
      </c>
    </row>
    <row r="5508" spans="4:32" ht="8.25" customHeight="1" x14ac:dyDescent="0.25">
      <c r="N5508" s="52">
        <v>94</v>
      </c>
      <c r="T5508" s="33">
        <v>46230</v>
      </c>
      <c r="U5508" s="34">
        <v>2026</v>
      </c>
      <c r="V5508" s="35" t="s">
        <v>3611</v>
      </c>
      <c r="W5508" s="35" t="s">
        <v>17</v>
      </c>
      <c r="X5508" s="37" t="s">
        <v>4129</v>
      </c>
      <c r="Y5508" s="36" t="s">
        <v>4130</v>
      </c>
      <c r="Z5508" s="30" t="s">
        <v>1287</v>
      </c>
      <c r="AA5508" s="30" t="s">
        <v>3899</v>
      </c>
      <c r="AD5508" s="38">
        <v>7583.18</v>
      </c>
      <c r="AF5508" s="76">
        <f t="shared" si="509"/>
        <v>125664.11999999857</v>
      </c>
    </row>
    <row r="5509" spans="4:32" ht="8.25" customHeight="1" x14ac:dyDescent="0.25">
      <c r="N5509" s="52">
        <v>94</v>
      </c>
      <c r="T5509" s="33">
        <v>46230</v>
      </c>
      <c r="U5509" s="34">
        <v>2026</v>
      </c>
      <c r="V5509" s="35" t="s">
        <v>3611</v>
      </c>
      <c r="W5509" s="35" t="s">
        <v>17</v>
      </c>
      <c r="X5509" s="37" t="s">
        <v>4129</v>
      </c>
      <c r="Y5509" s="36" t="s">
        <v>4130</v>
      </c>
      <c r="Z5509" s="30" t="s">
        <v>1287</v>
      </c>
      <c r="AA5509" s="30" t="s">
        <v>166</v>
      </c>
      <c r="AD5509" s="38">
        <v>8361.82</v>
      </c>
      <c r="AF5509" s="76">
        <f t="shared" si="509"/>
        <v>134025.93999999858</v>
      </c>
    </row>
    <row r="5510" spans="4:32" ht="8.25" customHeight="1" x14ac:dyDescent="0.25">
      <c r="N5510" s="52">
        <v>95</v>
      </c>
      <c r="T5510" s="33">
        <v>46230</v>
      </c>
      <c r="U5510" s="34">
        <v>2026</v>
      </c>
      <c r="V5510" s="35" t="s">
        <v>3611</v>
      </c>
      <c r="W5510" s="35" t="s">
        <v>17</v>
      </c>
      <c r="X5510" s="37" t="s">
        <v>4131</v>
      </c>
      <c r="Y5510" s="36" t="s">
        <v>4109</v>
      </c>
      <c r="Z5510" s="30" t="s">
        <v>4084</v>
      </c>
      <c r="AA5510" s="30" t="s">
        <v>3899</v>
      </c>
      <c r="AD5510" s="38">
        <v>1422.85</v>
      </c>
      <c r="AF5510" s="76">
        <f t="shared" si="509"/>
        <v>135448.78999999858</v>
      </c>
    </row>
    <row r="5511" spans="4:32" ht="8.25" customHeight="1" x14ac:dyDescent="0.25">
      <c r="N5511" s="52">
        <v>95</v>
      </c>
      <c r="T5511" s="33">
        <v>46230</v>
      </c>
      <c r="U5511" s="34">
        <v>2026</v>
      </c>
      <c r="V5511" s="35" t="s">
        <v>3611</v>
      </c>
      <c r="W5511" s="35" t="s">
        <v>17</v>
      </c>
      <c r="X5511" s="37" t="s">
        <v>4131</v>
      </c>
      <c r="Y5511" s="36" t="s">
        <v>4109</v>
      </c>
      <c r="Z5511" s="30" t="s">
        <v>4084</v>
      </c>
      <c r="AA5511" s="30" t="s">
        <v>166</v>
      </c>
      <c r="AD5511" s="38">
        <v>77.150000000000006</v>
      </c>
      <c r="AF5511" s="76">
        <f t="shared" si="509"/>
        <v>135525.93999999858</v>
      </c>
    </row>
    <row r="5512" spans="4:32" ht="8.25" customHeight="1" x14ac:dyDescent="0.25">
      <c r="I5512" s="52">
        <v>29</v>
      </c>
      <c r="T5512" s="33">
        <v>46230</v>
      </c>
      <c r="U5512" s="34">
        <v>2026</v>
      </c>
      <c r="V5512" s="35" t="s">
        <v>3611</v>
      </c>
      <c r="W5512" s="35" t="s">
        <v>17</v>
      </c>
      <c r="X5512" s="37" t="s">
        <v>4132</v>
      </c>
      <c r="Y5512" s="36" t="s">
        <v>4133</v>
      </c>
      <c r="Z5512" s="30" t="s">
        <v>1895</v>
      </c>
      <c r="AA5512" s="30" t="s">
        <v>13</v>
      </c>
      <c r="AD5512" s="38">
        <v>200</v>
      </c>
      <c r="AF5512" s="76">
        <f t="shared" si="509"/>
        <v>135725.93999999858</v>
      </c>
    </row>
    <row r="5513" spans="4:32" ht="8.25" customHeight="1" x14ac:dyDescent="0.25">
      <c r="N5513" s="52">
        <v>96</v>
      </c>
      <c r="T5513" s="33">
        <v>46230</v>
      </c>
      <c r="U5513" s="34">
        <v>2026</v>
      </c>
      <c r="V5513" s="35" t="s">
        <v>3611</v>
      </c>
      <c r="W5513" s="35" t="s">
        <v>17</v>
      </c>
      <c r="X5513" s="37" t="s">
        <v>4140</v>
      </c>
      <c r="Y5513" s="36" t="s">
        <v>1216</v>
      </c>
      <c r="Z5513" s="30" t="s">
        <v>1201</v>
      </c>
      <c r="AA5513" s="30" t="s">
        <v>3708</v>
      </c>
      <c r="AD5513" s="38">
        <v>853.39</v>
      </c>
      <c r="AF5513" s="76">
        <f t="shared" si="509"/>
        <v>136579.32999999859</v>
      </c>
    </row>
    <row r="5514" spans="4:32" ht="8.25" customHeight="1" x14ac:dyDescent="0.25">
      <c r="N5514" s="52">
        <v>96</v>
      </c>
      <c r="T5514" s="33">
        <v>46230</v>
      </c>
      <c r="U5514" s="34">
        <v>2026</v>
      </c>
      <c r="V5514" s="35" t="s">
        <v>3611</v>
      </c>
      <c r="W5514" s="35" t="s">
        <v>17</v>
      </c>
      <c r="X5514" s="37" t="s">
        <v>4140</v>
      </c>
      <c r="Y5514" s="36" t="s">
        <v>1216</v>
      </c>
      <c r="Z5514" s="30" t="s">
        <v>1201</v>
      </c>
      <c r="AA5514" s="30" t="s">
        <v>183</v>
      </c>
      <c r="AD5514" s="38">
        <v>133.61000000000001</v>
      </c>
      <c r="AF5514" s="76">
        <f t="shared" si="509"/>
        <v>136712.93999999858</v>
      </c>
    </row>
    <row r="5515" spans="4:32" ht="8.25" customHeight="1" x14ac:dyDescent="0.25">
      <c r="I5515" s="52">
        <v>30</v>
      </c>
      <c r="T5515" s="33">
        <v>46230</v>
      </c>
      <c r="U5515" s="34">
        <v>2026</v>
      </c>
      <c r="V5515" s="35" t="s">
        <v>3611</v>
      </c>
      <c r="W5515" s="35" t="s">
        <v>17</v>
      </c>
      <c r="X5515" s="37" t="s">
        <v>4146</v>
      </c>
      <c r="Y5515" s="36" t="s">
        <v>4147</v>
      </c>
      <c r="Z5515" s="30" t="s">
        <v>4127</v>
      </c>
      <c r="AA5515" s="30" t="s">
        <v>13</v>
      </c>
      <c r="AD5515" s="38">
        <v>68181.820000000007</v>
      </c>
      <c r="AF5515" s="76">
        <f t="shared" si="509"/>
        <v>204894.75999999858</v>
      </c>
    </row>
    <row r="5516" spans="4:32" ht="8.25" customHeight="1" x14ac:dyDescent="0.25">
      <c r="T5516" s="33">
        <v>46230</v>
      </c>
      <c r="U5516" s="34">
        <v>2026</v>
      </c>
      <c r="V5516" s="35" t="s">
        <v>3611</v>
      </c>
      <c r="W5516" s="35" t="s">
        <v>17</v>
      </c>
      <c r="X5516" s="37" t="s">
        <v>4148</v>
      </c>
      <c r="Y5516" s="36" t="s">
        <v>3982</v>
      </c>
      <c r="Z5516" s="30" t="s">
        <v>4127</v>
      </c>
      <c r="AA5516" s="30" t="s">
        <v>385</v>
      </c>
      <c r="AD5516" s="38">
        <v>13636.36</v>
      </c>
      <c r="AF5516" s="76">
        <f t="shared" si="509"/>
        <v>218531.1199999986</v>
      </c>
    </row>
    <row r="5517" spans="4:32" ht="8.25" customHeight="1" x14ac:dyDescent="0.25">
      <c r="I5517" s="52">
        <v>31</v>
      </c>
      <c r="T5517" s="33">
        <v>46230</v>
      </c>
      <c r="U5517" s="34">
        <v>2026</v>
      </c>
      <c r="V5517" s="35" t="s">
        <v>3611</v>
      </c>
      <c r="W5517" s="35" t="s">
        <v>17</v>
      </c>
      <c r="X5517" s="37" t="s">
        <v>4150</v>
      </c>
      <c r="Y5517" s="36" t="s">
        <v>3857</v>
      </c>
      <c r="Z5517" s="30" t="s">
        <v>2178</v>
      </c>
      <c r="AA5517" s="30" t="s">
        <v>13</v>
      </c>
      <c r="AD5517" s="38">
        <v>3000</v>
      </c>
      <c r="AF5517" s="76">
        <f t="shared" si="509"/>
        <v>221531.1199999986</v>
      </c>
    </row>
    <row r="5518" spans="4:32" ht="8.25" customHeight="1" x14ac:dyDescent="0.25">
      <c r="T5518" s="33">
        <v>46230</v>
      </c>
      <c r="U5518" s="34">
        <v>2026</v>
      </c>
      <c r="V5518" s="35" t="s">
        <v>3611</v>
      </c>
      <c r="W5518" s="35" t="s">
        <v>17</v>
      </c>
      <c r="X5518" s="37" t="s">
        <v>4151</v>
      </c>
      <c r="Y5518" s="36" t="s">
        <v>4154</v>
      </c>
      <c r="Z5518" s="30" t="s">
        <v>4153</v>
      </c>
      <c r="AA5518" s="30" t="s">
        <v>1787</v>
      </c>
      <c r="AD5518" s="38">
        <v>100</v>
      </c>
      <c r="AF5518" s="76">
        <f t="shared" si="509"/>
        <v>221631.1199999986</v>
      </c>
    </row>
    <row r="5519" spans="4:32" ht="8.25" customHeight="1" x14ac:dyDescent="0.25">
      <c r="T5519" s="33">
        <v>46230</v>
      </c>
      <c r="U5519" s="34">
        <v>2026</v>
      </c>
      <c r="V5519" s="35" t="s">
        <v>3611</v>
      </c>
      <c r="W5519" s="35" t="s">
        <v>17</v>
      </c>
      <c r="X5519" s="37" t="s">
        <v>4152</v>
      </c>
      <c r="Y5519" s="36" t="s">
        <v>3982</v>
      </c>
      <c r="Z5519" s="30" t="s">
        <v>4153</v>
      </c>
      <c r="AA5519" s="30" t="s">
        <v>373</v>
      </c>
      <c r="AD5519" s="38">
        <v>50</v>
      </c>
      <c r="AF5519" s="76">
        <f t="shared" si="509"/>
        <v>221681.1199999986</v>
      </c>
    </row>
    <row r="5520" spans="4:32" ht="8.25" customHeight="1" x14ac:dyDescent="0.25">
      <c r="D5520" s="52">
        <v>6</v>
      </c>
      <c r="T5520" s="33">
        <v>46230</v>
      </c>
      <c r="U5520" s="34">
        <v>2026</v>
      </c>
      <c r="V5520" s="35" t="s">
        <v>3611</v>
      </c>
      <c r="W5520" s="35" t="s">
        <v>3620</v>
      </c>
      <c r="X5520" s="37" t="s">
        <v>4144</v>
      </c>
      <c r="Y5520" s="36" t="s">
        <v>2490</v>
      </c>
      <c r="Z5520" s="30" t="s">
        <v>4145</v>
      </c>
      <c r="AA5520" s="30" t="s">
        <v>256</v>
      </c>
      <c r="AD5520" s="38">
        <v>900</v>
      </c>
      <c r="AF5520" s="76">
        <f t="shared" si="509"/>
        <v>222581.1199999986</v>
      </c>
    </row>
    <row r="5521" spans="4:32" ht="8.25" customHeight="1" x14ac:dyDescent="0.25">
      <c r="D5521" s="52">
        <v>7</v>
      </c>
      <c r="T5521" s="33">
        <v>46230</v>
      </c>
      <c r="U5521" s="34">
        <v>2026</v>
      </c>
      <c r="V5521" s="35" t="s">
        <v>3611</v>
      </c>
      <c r="W5521" s="35" t="s">
        <v>3620</v>
      </c>
      <c r="X5521" s="37" t="s">
        <v>4141</v>
      </c>
      <c r="Y5521" s="36" t="s">
        <v>4142</v>
      </c>
      <c r="Z5521" s="30" t="s">
        <v>4143</v>
      </c>
      <c r="AA5521" s="30" t="s">
        <v>256</v>
      </c>
      <c r="AD5521" s="38">
        <v>800</v>
      </c>
      <c r="AF5521" s="76">
        <f t="shared" si="509"/>
        <v>223381.1199999986</v>
      </c>
    </row>
    <row r="5522" spans="4:32" ht="8.25" customHeight="1" x14ac:dyDescent="0.25">
      <c r="G5522" s="53">
        <v>22</v>
      </c>
      <c r="T5522" s="33">
        <v>46230</v>
      </c>
      <c r="U5522" s="34">
        <v>2026</v>
      </c>
      <c r="V5522" s="35" t="s">
        <v>3611</v>
      </c>
      <c r="W5522" s="35" t="s">
        <v>3625</v>
      </c>
      <c r="X5522" s="37" t="s">
        <v>4134</v>
      </c>
      <c r="Y5522" s="36" t="s">
        <v>4135</v>
      </c>
      <c r="Z5522" s="30" t="s">
        <v>1895</v>
      </c>
      <c r="AA5522" s="30" t="s">
        <v>3945</v>
      </c>
      <c r="AE5522" s="38">
        <v>13752</v>
      </c>
      <c r="AF5522" s="76">
        <f t="shared" si="509"/>
        <v>209629.1199999986</v>
      </c>
    </row>
    <row r="5523" spans="4:32" ht="8.25" customHeight="1" x14ac:dyDescent="0.25">
      <c r="G5523" s="53">
        <v>23</v>
      </c>
      <c r="T5523" s="33">
        <v>46230</v>
      </c>
      <c r="U5523" s="34">
        <v>2026</v>
      </c>
      <c r="V5523" s="35" t="s">
        <v>3611</v>
      </c>
      <c r="W5523" s="35" t="s">
        <v>3625</v>
      </c>
      <c r="X5523" s="37" t="s">
        <v>4136</v>
      </c>
      <c r="Y5523" s="36" t="s">
        <v>4137</v>
      </c>
      <c r="Z5523" s="30" t="s">
        <v>879</v>
      </c>
      <c r="AA5523" s="30" t="s">
        <v>3945</v>
      </c>
      <c r="AE5523" s="38">
        <v>1116.29</v>
      </c>
      <c r="AF5523" s="76">
        <f t="shared" si="509"/>
        <v>208512.82999999859</v>
      </c>
    </row>
    <row r="5524" spans="4:32" ht="8.25" customHeight="1" x14ac:dyDescent="0.25">
      <c r="R5524" s="53">
        <v>50</v>
      </c>
      <c r="T5524" s="33">
        <v>46230</v>
      </c>
      <c r="U5524" s="34">
        <v>2026</v>
      </c>
      <c r="V5524" s="35" t="s">
        <v>3611</v>
      </c>
      <c r="W5524" s="35" t="s">
        <v>5</v>
      </c>
      <c r="X5524" s="37" t="s">
        <v>4139</v>
      </c>
      <c r="Y5524" s="36" t="s">
        <v>3987</v>
      </c>
      <c r="Z5524" s="30" t="s">
        <v>826</v>
      </c>
      <c r="AA5524" s="30" t="s">
        <v>92</v>
      </c>
      <c r="AE5524" s="38">
        <v>1000</v>
      </c>
      <c r="AF5524" s="76">
        <f t="shared" si="509"/>
        <v>207512.82999999859</v>
      </c>
    </row>
    <row r="5525" spans="4:32" ht="8.25" customHeight="1" x14ac:dyDescent="0.25">
      <c r="T5525" s="33">
        <v>46230</v>
      </c>
      <c r="U5525" s="34">
        <v>2026</v>
      </c>
      <c r="V5525" s="35" t="s">
        <v>3611</v>
      </c>
      <c r="W5525" s="35" t="s">
        <v>3997</v>
      </c>
      <c r="X5525" s="37" t="s">
        <v>4149</v>
      </c>
      <c r="Y5525" s="36" t="s">
        <v>411</v>
      </c>
      <c r="Z5525" s="30" t="s">
        <v>398</v>
      </c>
      <c r="AA5525" s="30" t="s">
        <v>2719</v>
      </c>
      <c r="AE5525" s="38">
        <v>68181.820000000007</v>
      </c>
      <c r="AF5525" s="76">
        <f t="shared" si="509"/>
        <v>139331.00999999858</v>
      </c>
    </row>
    <row r="5526" spans="4:32" ht="8.25" customHeight="1" x14ac:dyDescent="0.25">
      <c r="T5526" s="33">
        <v>46230</v>
      </c>
      <c r="U5526" s="34">
        <v>2026</v>
      </c>
      <c r="V5526" s="35" t="s">
        <v>3611</v>
      </c>
      <c r="W5526" s="35" t="s">
        <v>3997</v>
      </c>
      <c r="X5526" s="37" t="s">
        <v>4156</v>
      </c>
      <c r="Y5526" s="36" t="s">
        <v>411</v>
      </c>
      <c r="Z5526" s="30" t="s">
        <v>398</v>
      </c>
      <c r="AA5526" s="30" t="s">
        <v>2719</v>
      </c>
      <c r="AE5526" s="38">
        <v>13636.36</v>
      </c>
      <c r="AF5526" s="76">
        <f>AF5525+AD5526-AE5526</f>
        <v>125694.64999999858</v>
      </c>
    </row>
    <row r="5527" spans="4:32" ht="8.25" customHeight="1" thickBot="1" x14ac:dyDescent="0.3">
      <c r="AA5527" s="260" t="s">
        <v>2893</v>
      </c>
      <c r="AD5527" s="233">
        <f>SUM(AD5504:AD5521)</f>
        <v>119450.18000000001</v>
      </c>
      <c r="AE5527" s="233">
        <f>SUM(AE5522:AE5526)</f>
        <v>97686.470000000016</v>
      </c>
      <c r="AF5527" s="233">
        <f>AF5526</f>
        <v>125694.64999999858</v>
      </c>
    </row>
    <row r="5528" spans="4:32" ht="8.25" customHeight="1" thickTop="1" x14ac:dyDescent="0.25">
      <c r="AF5528" s="30"/>
    </row>
    <row r="5530" spans="4:32" ht="8.25" customHeight="1" x14ac:dyDescent="0.25">
      <c r="X5530" s="109"/>
      <c r="Y5530" s="67" t="s">
        <v>214</v>
      </c>
      <c r="Z5530" s="68"/>
      <c r="AA5530" s="75"/>
    </row>
    <row r="5531" spans="4:32" ht="8.25" customHeight="1" x14ac:dyDescent="0.25">
      <c r="X5531" s="110" t="s">
        <v>4121</v>
      </c>
      <c r="Y5531" s="111">
        <v>200</v>
      </c>
      <c r="Z5531" s="111">
        <f t="shared" ref="Z5531:Z5536" si="510">X5531*Y5531</f>
        <v>10600</v>
      </c>
      <c r="AA5531" s="112"/>
    </row>
    <row r="5532" spans="4:32" ht="8.25" customHeight="1" x14ac:dyDescent="0.25">
      <c r="X5532" s="110" t="s">
        <v>4155</v>
      </c>
      <c r="Y5532" s="111">
        <v>100</v>
      </c>
      <c r="Z5532" s="111">
        <f t="shared" si="510"/>
        <v>114600</v>
      </c>
      <c r="AA5532" s="112"/>
    </row>
    <row r="5533" spans="4:32" ht="8.25" customHeight="1" x14ac:dyDescent="0.25">
      <c r="X5533" s="110" t="s">
        <v>120</v>
      </c>
      <c r="Y5533" s="111">
        <v>50</v>
      </c>
      <c r="Z5533" s="111">
        <f t="shared" si="510"/>
        <v>0</v>
      </c>
      <c r="AA5533" s="76"/>
    </row>
    <row r="5534" spans="4:32" ht="8.25" customHeight="1" x14ac:dyDescent="0.25">
      <c r="X5534" s="110" t="s">
        <v>224</v>
      </c>
      <c r="Y5534" s="111">
        <v>20</v>
      </c>
      <c r="Z5534" s="111">
        <f t="shared" si="510"/>
        <v>40</v>
      </c>
      <c r="AA5534" s="38"/>
    </row>
    <row r="5535" spans="4:32" ht="8.25" customHeight="1" x14ac:dyDescent="0.25">
      <c r="X5535" s="110" t="s">
        <v>120</v>
      </c>
      <c r="Y5535" s="111">
        <v>10</v>
      </c>
      <c r="Z5535" s="111">
        <f t="shared" si="510"/>
        <v>0</v>
      </c>
      <c r="AA5535" s="112"/>
    </row>
    <row r="5536" spans="4:32" ht="8.25" customHeight="1" x14ac:dyDescent="0.25">
      <c r="X5536" s="110" t="s">
        <v>216</v>
      </c>
      <c r="Y5536" s="111">
        <v>5</v>
      </c>
      <c r="Z5536" s="111">
        <f t="shared" si="510"/>
        <v>75</v>
      </c>
      <c r="AA5536" s="112"/>
    </row>
    <row r="5537" spans="9:32" ht="8.25" customHeight="1" x14ac:dyDescent="0.25">
      <c r="X5537" s="269"/>
      <c r="Y5537" s="270"/>
      <c r="Z5537" s="271"/>
      <c r="AA5537" s="38"/>
    </row>
    <row r="5538" spans="9:32" ht="8.25" customHeight="1" x14ac:dyDescent="0.25">
      <c r="X5538" s="110" t="s">
        <v>607</v>
      </c>
      <c r="Y5538" s="111">
        <v>1</v>
      </c>
      <c r="Z5538" s="111">
        <f t="shared" ref="Z5538:Z5543" si="511">X5538*Y5538</f>
        <v>297</v>
      </c>
      <c r="AA5538" s="76"/>
    </row>
    <row r="5539" spans="9:32" ht="8.25" customHeight="1" x14ac:dyDescent="0.25">
      <c r="X5539" s="110" t="s">
        <v>474</v>
      </c>
      <c r="Y5539" s="111">
        <v>0.5</v>
      </c>
      <c r="Z5539" s="111">
        <f t="shared" si="511"/>
        <v>38</v>
      </c>
      <c r="AA5539" s="112"/>
    </row>
    <row r="5540" spans="9:32" ht="8.25" customHeight="1" x14ac:dyDescent="0.25">
      <c r="X5540" s="110" t="s">
        <v>4138</v>
      </c>
      <c r="Y5540" s="111">
        <v>0.25</v>
      </c>
      <c r="Z5540" s="111">
        <f t="shared" si="511"/>
        <v>44.25</v>
      </c>
      <c r="AA5540" s="113" t="s">
        <v>1</v>
      </c>
    </row>
    <row r="5541" spans="9:32" ht="8.25" customHeight="1" x14ac:dyDescent="0.25">
      <c r="X5541" s="110" t="s">
        <v>224</v>
      </c>
      <c r="Y5541" s="111">
        <v>0.1</v>
      </c>
      <c r="Z5541" s="111">
        <f t="shared" si="511"/>
        <v>0.2</v>
      </c>
      <c r="AA5541" s="114" t="s">
        <v>219</v>
      </c>
    </row>
    <row r="5542" spans="9:32" ht="8.25" customHeight="1" thickBot="1" x14ac:dyDescent="0.3">
      <c r="X5542" s="110" t="s">
        <v>223</v>
      </c>
      <c r="Y5542" s="111">
        <v>0.05</v>
      </c>
      <c r="Z5542" s="111">
        <f t="shared" si="511"/>
        <v>0.15000000000000002</v>
      </c>
      <c r="AA5542" s="115">
        <f>SUM(Z5531:Z5536)+Z5538+Z5539+Z5540+Z5541+Z5542+Z5543</f>
        <v>125694.65</v>
      </c>
    </row>
    <row r="5543" spans="9:32" ht="8.25" customHeight="1" thickTop="1" x14ac:dyDescent="0.25">
      <c r="X5543" s="110" t="s">
        <v>402</v>
      </c>
      <c r="Y5543" s="111">
        <v>0.01</v>
      </c>
      <c r="Z5543" s="111">
        <f t="shared" si="511"/>
        <v>0.05</v>
      </c>
    </row>
    <row r="5545" spans="9:32" ht="8.25" customHeight="1" x14ac:dyDescent="0.25">
      <c r="Z5545" s="231" t="s">
        <v>1376</v>
      </c>
      <c r="AF5545" s="76">
        <f>AF5527</f>
        <v>125694.64999999858</v>
      </c>
    </row>
    <row r="5546" spans="9:32" ht="8.25" customHeight="1" x14ac:dyDescent="0.25">
      <c r="K5546" s="52">
        <v>8</v>
      </c>
      <c r="T5546" s="33">
        <v>46231</v>
      </c>
      <c r="U5546" s="34">
        <v>2026</v>
      </c>
      <c r="V5546" s="35" t="s">
        <v>3611</v>
      </c>
      <c r="W5546" s="35" t="s">
        <v>17</v>
      </c>
      <c r="X5546" s="37" t="s">
        <v>4157</v>
      </c>
      <c r="Y5546" s="36" t="s">
        <v>4158</v>
      </c>
      <c r="Z5546" s="30" t="s">
        <v>4159</v>
      </c>
      <c r="AA5546" s="30" t="s">
        <v>1787</v>
      </c>
      <c r="AD5546" s="38">
        <v>100</v>
      </c>
      <c r="AF5546" s="76">
        <f>AF5545+AD5546-AE5546</f>
        <v>125794.64999999858</v>
      </c>
    </row>
    <row r="5547" spans="9:32" ht="8.25" customHeight="1" x14ac:dyDescent="0.25">
      <c r="L5547" s="52">
        <v>8</v>
      </c>
      <c r="T5547" s="33">
        <v>46231</v>
      </c>
      <c r="U5547" s="34">
        <v>2026</v>
      </c>
      <c r="V5547" s="35" t="s">
        <v>3611</v>
      </c>
      <c r="W5547" s="35" t="s">
        <v>17</v>
      </c>
      <c r="X5547" s="37" t="s">
        <v>4160</v>
      </c>
      <c r="Y5547" s="36" t="s">
        <v>3982</v>
      </c>
      <c r="Z5547" s="30" t="s">
        <v>4159</v>
      </c>
      <c r="AA5547" s="30" t="s">
        <v>373</v>
      </c>
      <c r="AD5547" s="38">
        <v>50</v>
      </c>
      <c r="AF5547" s="76">
        <f t="shared" ref="AF5547:AF5561" si="512">AF5546+AD5547-AE5547</f>
        <v>125844.64999999858</v>
      </c>
    </row>
    <row r="5548" spans="9:32" ht="8.25" customHeight="1" x14ac:dyDescent="0.25">
      <c r="K5548" s="52">
        <v>9</v>
      </c>
      <c r="T5548" s="33">
        <v>46231</v>
      </c>
      <c r="U5548" s="34">
        <v>2026</v>
      </c>
      <c r="V5548" s="35" t="s">
        <v>3611</v>
      </c>
      <c r="W5548" s="35" t="s">
        <v>17</v>
      </c>
      <c r="X5548" s="37" t="s">
        <v>4165</v>
      </c>
      <c r="Y5548" s="36" t="s">
        <v>4166</v>
      </c>
      <c r="Z5548" s="30" t="s">
        <v>4167</v>
      </c>
      <c r="AA5548" s="30" t="s">
        <v>1787</v>
      </c>
      <c r="AD5548" s="38">
        <v>100</v>
      </c>
      <c r="AF5548" s="76">
        <f t="shared" si="512"/>
        <v>125944.64999999858</v>
      </c>
    </row>
    <row r="5549" spans="9:32" ht="8.25" customHeight="1" x14ac:dyDescent="0.25">
      <c r="L5549" s="52">
        <v>9</v>
      </c>
      <c r="T5549" s="33">
        <v>46231</v>
      </c>
      <c r="U5549" s="34">
        <v>2026</v>
      </c>
      <c r="V5549" s="35" t="s">
        <v>3611</v>
      </c>
      <c r="W5549" s="35" t="s">
        <v>17</v>
      </c>
      <c r="X5549" s="37" t="s">
        <v>4168</v>
      </c>
      <c r="Y5549" s="36" t="s">
        <v>3982</v>
      </c>
      <c r="Z5549" s="30" t="s">
        <v>4167</v>
      </c>
      <c r="AA5549" s="30" t="s">
        <v>373</v>
      </c>
      <c r="AD5549" s="38">
        <v>50</v>
      </c>
      <c r="AF5549" s="76">
        <f t="shared" si="512"/>
        <v>125994.64999999858</v>
      </c>
    </row>
    <row r="5550" spans="9:32" ht="8.25" customHeight="1" x14ac:dyDescent="0.25">
      <c r="K5550" s="52">
        <v>10</v>
      </c>
      <c r="T5550" s="33">
        <v>46231</v>
      </c>
      <c r="U5550" s="34">
        <v>2026</v>
      </c>
      <c r="V5550" s="35" t="s">
        <v>3611</v>
      </c>
      <c r="W5550" s="35" t="s">
        <v>17</v>
      </c>
      <c r="X5550" s="37" t="s">
        <v>4169</v>
      </c>
      <c r="Y5550" s="36" t="s">
        <v>4170</v>
      </c>
      <c r="Z5550" s="30" t="s">
        <v>4171</v>
      </c>
      <c r="AA5550" s="30" t="s">
        <v>1787</v>
      </c>
      <c r="AD5550" s="38">
        <v>100</v>
      </c>
      <c r="AF5550" s="76">
        <f t="shared" si="512"/>
        <v>126094.64999999858</v>
      </c>
    </row>
    <row r="5551" spans="9:32" ht="8.25" customHeight="1" x14ac:dyDescent="0.25">
      <c r="L5551" s="52">
        <v>10</v>
      </c>
      <c r="T5551" s="33">
        <v>46231</v>
      </c>
      <c r="U5551" s="34">
        <v>2026</v>
      </c>
      <c r="V5551" s="35" t="s">
        <v>3611</v>
      </c>
      <c r="W5551" s="35" t="s">
        <v>17</v>
      </c>
      <c r="X5551" s="37" t="s">
        <v>4172</v>
      </c>
      <c r="Y5551" s="36" t="s">
        <v>3982</v>
      </c>
      <c r="Z5551" s="30" t="s">
        <v>4171</v>
      </c>
      <c r="AA5551" s="30" t="s">
        <v>373</v>
      </c>
      <c r="AD5551" s="38">
        <v>50</v>
      </c>
      <c r="AF5551" s="76">
        <f t="shared" si="512"/>
        <v>126144.64999999858</v>
      </c>
    </row>
    <row r="5552" spans="9:32" ht="8.25" customHeight="1" x14ac:dyDescent="0.25">
      <c r="I5552" s="52">
        <v>32</v>
      </c>
      <c r="T5552" s="33">
        <v>46231</v>
      </c>
      <c r="U5552" s="34">
        <v>2026</v>
      </c>
      <c r="V5552" s="35" t="s">
        <v>3611</v>
      </c>
      <c r="W5552" s="35" t="s">
        <v>17</v>
      </c>
      <c r="X5552" s="37" t="s">
        <v>4173</v>
      </c>
      <c r="Y5552" s="36" t="s">
        <v>4174</v>
      </c>
      <c r="Z5552" s="30" t="s">
        <v>4159</v>
      </c>
      <c r="AA5552" s="30" t="s">
        <v>13</v>
      </c>
      <c r="AD5552" s="38">
        <v>579.54</v>
      </c>
      <c r="AF5552" s="76">
        <f t="shared" si="512"/>
        <v>126724.18999999858</v>
      </c>
    </row>
    <row r="5553" spans="7:32" ht="8.25" customHeight="1" x14ac:dyDescent="0.25">
      <c r="I5553" s="52">
        <v>33</v>
      </c>
      <c r="T5553" s="33">
        <v>46231</v>
      </c>
      <c r="U5553" s="34">
        <v>2026</v>
      </c>
      <c r="V5553" s="35" t="s">
        <v>3611</v>
      </c>
      <c r="W5553" s="35" t="s">
        <v>17</v>
      </c>
      <c r="X5553" s="37" t="s">
        <v>4175</v>
      </c>
      <c r="Y5553" s="36" t="s">
        <v>4176</v>
      </c>
      <c r="Z5553" s="30" t="s">
        <v>4167</v>
      </c>
      <c r="AA5553" s="30" t="s">
        <v>13</v>
      </c>
      <c r="AD5553" s="38">
        <v>200</v>
      </c>
      <c r="AF5553" s="76">
        <f t="shared" si="512"/>
        <v>126924.18999999858</v>
      </c>
    </row>
    <row r="5554" spans="7:32" ht="8.25" customHeight="1" x14ac:dyDescent="0.25">
      <c r="M5554" s="52">
        <v>9</v>
      </c>
      <c r="T5554" s="33">
        <v>46231</v>
      </c>
      <c r="U5554" s="34">
        <v>2026</v>
      </c>
      <c r="V5554" s="35" t="s">
        <v>3611</v>
      </c>
      <c r="W5554" s="35" t="s">
        <v>17</v>
      </c>
      <c r="X5554" s="37" t="s">
        <v>4177</v>
      </c>
      <c r="Y5554" s="36" t="s">
        <v>3982</v>
      </c>
      <c r="Z5554" s="30" t="s">
        <v>4159</v>
      </c>
      <c r="AA5554" s="30" t="s">
        <v>385</v>
      </c>
      <c r="AD5554" s="38">
        <v>115.91</v>
      </c>
      <c r="AF5554" s="76">
        <f t="shared" si="512"/>
        <v>127040.09999999858</v>
      </c>
    </row>
    <row r="5555" spans="7:32" ht="8.25" customHeight="1" x14ac:dyDescent="0.25">
      <c r="N5555" s="52">
        <v>97</v>
      </c>
      <c r="T5555" s="33">
        <v>46231</v>
      </c>
      <c r="U5555" s="34">
        <v>2026</v>
      </c>
      <c r="V5555" s="35" t="s">
        <v>3611</v>
      </c>
      <c r="W5555" s="35" t="s">
        <v>17</v>
      </c>
      <c r="X5555" s="37" t="s">
        <v>4181</v>
      </c>
      <c r="Y5555" s="36" t="s">
        <v>1773</v>
      </c>
      <c r="Z5555" s="30" t="s">
        <v>530</v>
      </c>
      <c r="AA5555" s="30" t="s">
        <v>3708</v>
      </c>
      <c r="AD5555" s="38">
        <v>546.1</v>
      </c>
      <c r="AF5555" s="76">
        <f t="shared" si="512"/>
        <v>127586.19999999859</v>
      </c>
    </row>
    <row r="5556" spans="7:32" ht="8.25" customHeight="1" x14ac:dyDescent="0.25">
      <c r="N5556" s="52">
        <v>97</v>
      </c>
      <c r="T5556" s="33">
        <v>46231</v>
      </c>
      <c r="U5556" s="34">
        <v>2026</v>
      </c>
      <c r="V5556" s="35" t="s">
        <v>3611</v>
      </c>
      <c r="W5556" s="35" t="s">
        <v>17</v>
      </c>
      <c r="X5556" s="37" t="s">
        <v>4181</v>
      </c>
      <c r="Y5556" s="36" t="s">
        <v>1773</v>
      </c>
      <c r="Z5556" s="30" t="s">
        <v>530</v>
      </c>
      <c r="AA5556" s="30" t="s">
        <v>183</v>
      </c>
      <c r="AD5556" s="38">
        <v>96.9</v>
      </c>
      <c r="AF5556" s="76">
        <f t="shared" si="512"/>
        <v>127683.09999999858</v>
      </c>
    </row>
    <row r="5557" spans="7:32" ht="8.25" customHeight="1" x14ac:dyDescent="0.25">
      <c r="T5557" s="33">
        <v>46231</v>
      </c>
      <c r="U5557" s="34">
        <v>2026</v>
      </c>
      <c r="V5557" s="35" t="s">
        <v>3611</v>
      </c>
      <c r="W5557" s="35" t="s">
        <v>5</v>
      </c>
      <c r="X5557" s="37" t="s">
        <v>4161</v>
      </c>
      <c r="Y5557" s="36" t="s">
        <v>3809</v>
      </c>
      <c r="Z5557" s="30" t="s">
        <v>3801</v>
      </c>
      <c r="AA5557" s="30" t="s">
        <v>4162</v>
      </c>
      <c r="AE5557" s="38">
        <v>100</v>
      </c>
      <c r="AF5557" s="76">
        <f t="shared" si="512"/>
        <v>127583.09999999858</v>
      </c>
    </row>
    <row r="5558" spans="7:32" ht="8.25" customHeight="1" x14ac:dyDescent="0.25">
      <c r="G5558" s="53">
        <v>24</v>
      </c>
      <c r="T5558" s="33">
        <v>46231</v>
      </c>
      <c r="U5558" s="34">
        <v>2026</v>
      </c>
      <c r="V5558" s="35" t="s">
        <v>3611</v>
      </c>
      <c r="W5558" s="35" t="s">
        <v>3625</v>
      </c>
      <c r="X5558" s="37" t="s">
        <v>4163</v>
      </c>
      <c r="Y5558" s="36" t="s">
        <v>4164</v>
      </c>
      <c r="Z5558" s="30" t="s">
        <v>993</v>
      </c>
      <c r="AA5558" s="30" t="s">
        <v>3945</v>
      </c>
      <c r="AE5558" s="38">
        <v>695</v>
      </c>
      <c r="AF5558" s="76">
        <f t="shared" si="512"/>
        <v>126888.09999999858</v>
      </c>
    </row>
    <row r="5559" spans="7:32" ht="8.25" customHeight="1" x14ac:dyDescent="0.25">
      <c r="Q5559" s="52">
        <v>6</v>
      </c>
      <c r="T5559" s="33">
        <v>46231</v>
      </c>
      <c r="U5559" s="34">
        <v>2026</v>
      </c>
      <c r="V5559" s="35" t="s">
        <v>3611</v>
      </c>
      <c r="W5559" s="35" t="s">
        <v>5</v>
      </c>
      <c r="X5559" s="37" t="s">
        <v>4178</v>
      </c>
      <c r="Y5559" s="36" t="s">
        <v>4179</v>
      </c>
      <c r="Z5559" s="30" t="s">
        <v>4159</v>
      </c>
      <c r="AA5559" s="30" t="s">
        <v>1063</v>
      </c>
      <c r="AE5559" s="38">
        <v>5795.45</v>
      </c>
      <c r="AF5559" s="76">
        <f t="shared" si="512"/>
        <v>121092.64999999858</v>
      </c>
    </row>
    <row r="5560" spans="7:32" ht="8.25" customHeight="1" x14ac:dyDescent="0.25">
      <c r="R5560" s="53">
        <v>51</v>
      </c>
      <c r="T5560" s="33">
        <v>46231</v>
      </c>
      <c r="U5560" s="34">
        <v>2026</v>
      </c>
      <c r="V5560" s="35" t="s">
        <v>3611</v>
      </c>
      <c r="W5560" s="35" t="s">
        <v>5</v>
      </c>
      <c r="X5560" s="37" t="s">
        <v>4180</v>
      </c>
      <c r="Y5560" s="36" t="s">
        <v>3987</v>
      </c>
      <c r="Z5560" s="30" t="s">
        <v>826</v>
      </c>
      <c r="AA5560" s="30" t="s">
        <v>92</v>
      </c>
      <c r="AE5560" s="38">
        <v>500</v>
      </c>
      <c r="AF5560" s="76">
        <f t="shared" si="512"/>
        <v>120592.64999999858</v>
      </c>
    </row>
    <row r="5561" spans="7:32" ht="8.25" customHeight="1" x14ac:dyDescent="0.25">
      <c r="G5561" s="53">
        <v>25</v>
      </c>
      <c r="T5561" s="33">
        <v>46231</v>
      </c>
      <c r="U5561" s="34">
        <v>2026</v>
      </c>
      <c r="V5561" s="35" t="s">
        <v>3611</v>
      </c>
      <c r="W5561" s="35" t="s">
        <v>3625</v>
      </c>
      <c r="X5561" s="37" t="s">
        <v>4182</v>
      </c>
      <c r="Y5561" s="36" t="s">
        <v>4183</v>
      </c>
      <c r="Z5561" s="30" t="s">
        <v>1896</v>
      </c>
      <c r="AA5561" s="30" t="s">
        <v>3945</v>
      </c>
      <c r="AE5561" s="38">
        <v>711.99</v>
      </c>
      <c r="AF5561" s="76">
        <f t="shared" si="512"/>
        <v>119880.65999999858</v>
      </c>
    </row>
    <row r="5562" spans="7:32" ht="8.25" customHeight="1" thickBot="1" x14ac:dyDescent="0.3">
      <c r="AA5562" s="260" t="s">
        <v>2893</v>
      </c>
      <c r="AD5562" s="233">
        <f>SUM(AD5546:AD5556)</f>
        <v>1988.4500000000003</v>
      </c>
      <c r="AE5562" s="233">
        <f>SUM(AE5557:AE5561)</f>
        <v>7802.44</v>
      </c>
      <c r="AF5562" s="233">
        <f>AF5545+AD5562-AE5562</f>
        <v>119880.65999999858</v>
      </c>
    </row>
    <row r="5563" spans="7:32" ht="8.25" customHeight="1" thickTop="1" x14ac:dyDescent="0.25"/>
    <row r="5565" spans="7:32" ht="8.25" customHeight="1" x14ac:dyDescent="0.25">
      <c r="X5565" s="109"/>
      <c r="Y5565" s="67" t="s">
        <v>214</v>
      </c>
      <c r="Z5565" s="68"/>
      <c r="AA5565" s="75"/>
    </row>
    <row r="5566" spans="7:32" ht="8.25" customHeight="1" x14ac:dyDescent="0.25">
      <c r="X5566" s="110" t="s">
        <v>797</v>
      </c>
      <c r="Y5566" s="111">
        <v>200</v>
      </c>
      <c r="Z5566" s="111">
        <f t="shared" ref="Z5566:Z5571" si="513">X5566*Y5566</f>
        <v>10200</v>
      </c>
      <c r="AA5566" s="112"/>
    </row>
    <row r="5567" spans="7:32" ht="8.25" customHeight="1" x14ac:dyDescent="0.25">
      <c r="X5567" s="110" t="s">
        <v>4184</v>
      </c>
      <c r="Y5567" s="111">
        <v>100</v>
      </c>
      <c r="Z5567" s="111">
        <f t="shared" si="513"/>
        <v>109300</v>
      </c>
      <c r="AA5567" s="112"/>
    </row>
    <row r="5568" spans="7:32" ht="8.25" customHeight="1" x14ac:dyDescent="0.25">
      <c r="X5568" s="110" t="s">
        <v>120</v>
      </c>
      <c r="Y5568" s="111">
        <v>50</v>
      </c>
      <c r="Z5568" s="111">
        <f t="shared" si="513"/>
        <v>0</v>
      </c>
      <c r="AA5568" s="76"/>
    </row>
    <row r="5569" spans="4:32" ht="8.25" customHeight="1" x14ac:dyDescent="0.25">
      <c r="X5569" s="110" t="s">
        <v>120</v>
      </c>
      <c r="Y5569" s="111">
        <v>20</v>
      </c>
      <c r="Z5569" s="111">
        <f t="shared" si="513"/>
        <v>0</v>
      </c>
      <c r="AA5569" s="38"/>
    </row>
    <row r="5570" spans="4:32" ht="8.25" customHeight="1" x14ac:dyDescent="0.25">
      <c r="X5570" s="110" t="s">
        <v>223</v>
      </c>
      <c r="Y5570" s="111">
        <v>10</v>
      </c>
      <c r="Z5570" s="111">
        <f t="shared" si="513"/>
        <v>30</v>
      </c>
      <c r="AA5570" s="112"/>
    </row>
    <row r="5571" spans="4:32" ht="8.25" customHeight="1" x14ac:dyDescent="0.25">
      <c r="X5571" s="110" t="s">
        <v>222</v>
      </c>
      <c r="Y5571" s="111">
        <v>5</v>
      </c>
      <c r="Z5571" s="111">
        <f t="shared" si="513"/>
        <v>5</v>
      </c>
      <c r="AA5571" s="112"/>
    </row>
    <row r="5572" spans="4:32" ht="8.25" customHeight="1" x14ac:dyDescent="0.25">
      <c r="X5572" s="269"/>
      <c r="Y5572" s="270"/>
      <c r="Z5572" s="271"/>
      <c r="AA5572" s="38"/>
    </row>
    <row r="5573" spans="4:32" ht="8.25" customHeight="1" x14ac:dyDescent="0.25">
      <c r="X5573" s="110" t="s">
        <v>1707</v>
      </c>
      <c r="Y5573" s="111">
        <v>1</v>
      </c>
      <c r="Z5573" s="111">
        <f t="shared" ref="Z5573:Z5578" si="514">X5573*Y5573</f>
        <v>279</v>
      </c>
      <c r="AA5573" s="76"/>
    </row>
    <row r="5574" spans="4:32" ht="8.25" customHeight="1" x14ac:dyDescent="0.25">
      <c r="X5574" s="110" t="s">
        <v>711</v>
      </c>
      <c r="Y5574" s="111">
        <v>0.5</v>
      </c>
      <c r="Z5574" s="111">
        <f t="shared" si="514"/>
        <v>25</v>
      </c>
      <c r="AA5574" s="112"/>
    </row>
    <row r="5575" spans="4:32" ht="8.25" customHeight="1" x14ac:dyDescent="0.25">
      <c r="X5575" s="110" t="s">
        <v>1777</v>
      </c>
      <c r="Y5575" s="111">
        <v>0.25</v>
      </c>
      <c r="Z5575" s="111">
        <f t="shared" si="514"/>
        <v>41.25</v>
      </c>
      <c r="AA5575" s="113" t="s">
        <v>1</v>
      </c>
    </row>
    <row r="5576" spans="4:32" ht="8.25" customHeight="1" x14ac:dyDescent="0.25">
      <c r="X5576" s="110" t="s">
        <v>224</v>
      </c>
      <c r="Y5576" s="111">
        <v>0.1</v>
      </c>
      <c r="Z5576" s="111">
        <f t="shared" si="514"/>
        <v>0.2</v>
      </c>
      <c r="AA5576" s="114" t="s">
        <v>219</v>
      </c>
    </row>
    <row r="5577" spans="4:32" ht="8.25" customHeight="1" thickBot="1" x14ac:dyDescent="0.3">
      <c r="X5577" s="110" t="s">
        <v>223</v>
      </c>
      <c r="Y5577" s="111">
        <v>0.05</v>
      </c>
      <c r="Z5577" s="111">
        <f t="shared" si="514"/>
        <v>0.15000000000000002</v>
      </c>
      <c r="AA5577" s="115">
        <f>SUM(Z5566:Z5571)+Z5573+Z5574+Z5575+Z5576+Z5577+Z5578</f>
        <v>119880.65999999999</v>
      </c>
    </row>
    <row r="5578" spans="4:32" ht="8.25" customHeight="1" thickTop="1" x14ac:dyDescent="0.25">
      <c r="X5578" s="110" t="s">
        <v>319</v>
      </c>
      <c r="Y5578" s="111">
        <v>0.01</v>
      </c>
      <c r="Z5578" s="111">
        <f t="shared" si="514"/>
        <v>0.06</v>
      </c>
    </row>
    <row r="5580" spans="4:32" ht="8.25" customHeight="1" x14ac:dyDescent="0.25">
      <c r="Z5580" s="231" t="s">
        <v>1376</v>
      </c>
      <c r="AF5580" s="76">
        <f>AF5562</f>
        <v>119880.65999999858</v>
      </c>
    </row>
    <row r="5581" spans="4:32" ht="8.25" customHeight="1" x14ac:dyDescent="0.25">
      <c r="D5581" s="52">
        <v>8</v>
      </c>
      <c r="T5581" s="33">
        <v>46232</v>
      </c>
      <c r="U5581" s="34">
        <v>2026</v>
      </c>
      <c r="V5581" s="35" t="s">
        <v>3611</v>
      </c>
      <c r="W5581" s="35" t="s">
        <v>3620</v>
      </c>
      <c r="X5581" s="37" t="s">
        <v>4188</v>
      </c>
      <c r="Y5581" s="36" t="s">
        <v>4142</v>
      </c>
      <c r="Z5581" s="30" t="s">
        <v>4189</v>
      </c>
      <c r="AA5581" s="30" t="s">
        <v>256</v>
      </c>
      <c r="AD5581" s="38">
        <v>90</v>
      </c>
      <c r="AF5581" s="76">
        <f>AF5580+AD5581-AE5581</f>
        <v>119970.65999999858</v>
      </c>
    </row>
    <row r="5582" spans="4:32" ht="8.25" customHeight="1" x14ac:dyDescent="0.25">
      <c r="N5582" s="52">
        <v>98</v>
      </c>
      <c r="T5582" s="33">
        <v>46232</v>
      </c>
      <c r="U5582" s="34">
        <v>2026</v>
      </c>
      <c r="V5582" s="35" t="s">
        <v>3611</v>
      </c>
      <c r="W5582" s="35" t="s">
        <v>17</v>
      </c>
      <c r="X5582" s="37" t="s">
        <v>4190</v>
      </c>
      <c r="Y5582" s="36" t="s">
        <v>4100</v>
      </c>
      <c r="Z5582" s="30" t="s">
        <v>2576</v>
      </c>
      <c r="AA5582" s="30" t="s">
        <v>166</v>
      </c>
      <c r="AD5582" s="38">
        <v>1296.7</v>
      </c>
      <c r="AF5582" s="76">
        <f t="shared" ref="AF5582:AF5588" si="515">AF5581+AD5582-AE5582</f>
        <v>121267.35999999857</v>
      </c>
    </row>
    <row r="5583" spans="4:32" ht="8.25" customHeight="1" x14ac:dyDescent="0.25">
      <c r="I5583" s="52">
        <v>34</v>
      </c>
      <c r="T5583" s="33">
        <v>46232</v>
      </c>
      <c r="U5583" s="34">
        <v>2026</v>
      </c>
      <c r="V5583" s="35" t="s">
        <v>3611</v>
      </c>
      <c r="W5583" s="35" t="s">
        <v>17</v>
      </c>
      <c r="X5583" s="37" t="s">
        <v>4191</v>
      </c>
      <c r="Y5583" s="36" t="s">
        <v>4069</v>
      </c>
      <c r="Z5583" s="30" t="s">
        <v>2576</v>
      </c>
      <c r="AA5583" s="30" t="s">
        <v>13</v>
      </c>
      <c r="AD5583" s="38">
        <v>11703.3</v>
      </c>
      <c r="AF5583" s="76">
        <f t="shared" si="515"/>
        <v>132970.65999999858</v>
      </c>
    </row>
    <row r="5584" spans="4:32" ht="8.25" customHeight="1" x14ac:dyDescent="0.25">
      <c r="I5584" s="52">
        <v>35</v>
      </c>
      <c r="T5584" s="33">
        <v>46232</v>
      </c>
      <c r="U5584" s="34">
        <v>2026</v>
      </c>
      <c r="V5584" s="35" t="s">
        <v>3611</v>
      </c>
      <c r="W5584" s="35" t="s">
        <v>17</v>
      </c>
      <c r="X5584" s="37" t="s">
        <v>4192</v>
      </c>
      <c r="Y5584" s="36" t="s">
        <v>4193</v>
      </c>
      <c r="Z5584" s="30" t="s">
        <v>4171</v>
      </c>
      <c r="AA5584" s="30" t="s">
        <v>13</v>
      </c>
      <c r="AD5584" s="38">
        <v>20000</v>
      </c>
      <c r="AF5584" s="76">
        <f t="shared" si="515"/>
        <v>152970.65999999858</v>
      </c>
    </row>
    <row r="5585" spans="7:32" ht="8.25" customHeight="1" x14ac:dyDescent="0.25">
      <c r="M5585" s="52">
        <v>10</v>
      </c>
      <c r="T5585" s="33">
        <v>46232</v>
      </c>
      <c r="U5585" s="34">
        <v>2026</v>
      </c>
      <c r="V5585" s="35" t="s">
        <v>3611</v>
      </c>
      <c r="W5585" s="35" t="s">
        <v>17</v>
      </c>
      <c r="X5585" s="37" t="s">
        <v>4194</v>
      </c>
      <c r="Y5585" s="36" t="s">
        <v>3982</v>
      </c>
      <c r="Z5585" s="30" t="s">
        <v>4171</v>
      </c>
      <c r="AA5585" s="30" t="s">
        <v>385</v>
      </c>
      <c r="AD5585" s="38">
        <v>4000</v>
      </c>
      <c r="AF5585" s="76">
        <f t="shared" si="515"/>
        <v>156970.65999999858</v>
      </c>
    </row>
    <row r="5586" spans="7:32" ht="8.25" customHeight="1" x14ac:dyDescent="0.25">
      <c r="T5586" s="33">
        <v>46232</v>
      </c>
      <c r="U5586" s="34">
        <v>2026</v>
      </c>
      <c r="V5586" s="35" t="s">
        <v>3611</v>
      </c>
      <c r="W5586" s="35" t="s">
        <v>5</v>
      </c>
      <c r="X5586" s="37" t="s">
        <v>4195</v>
      </c>
      <c r="Y5586" s="36" t="s">
        <v>411</v>
      </c>
      <c r="Z5586" s="30" t="s">
        <v>398</v>
      </c>
      <c r="AA5586" s="30" t="s">
        <v>2719</v>
      </c>
      <c r="AE5586" s="38">
        <v>20000</v>
      </c>
      <c r="AF5586" s="76">
        <f t="shared" si="515"/>
        <v>136970.65999999858</v>
      </c>
    </row>
    <row r="5587" spans="7:32" ht="8.25" customHeight="1" x14ac:dyDescent="0.25">
      <c r="T5587" s="33">
        <v>46232</v>
      </c>
      <c r="U5587" s="34">
        <v>2026</v>
      </c>
      <c r="V5587" s="35" t="s">
        <v>3611</v>
      </c>
      <c r="W5587" s="35" t="s">
        <v>5</v>
      </c>
      <c r="X5587" s="37" t="s">
        <v>4196</v>
      </c>
      <c r="Y5587" s="36" t="s">
        <v>411</v>
      </c>
      <c r="Z5587" s="30" t="s">
        <v>398</v>
      </c>
      <c r="AA5587" s="30" t="s">
        <v>2719</v>
      </c>
      <c r="AE5587" s="38">
        <v>4000</v>
      </c>
      <c r="AF5587" s="76">
        <f t="shared" si="515"/>
        <v>132970.65999999858</v>
      </c>
    </row>
    <row r="5588" spans="7:32" ht="8.25" customHeight="1" x14ac:dyDescent="0.25">
      <c r="G5588" s="53">
        <v>26</v>
      </c>
      <c r="T5588" s="33">
        <v>46232</v>
      </c>
      <c r="U5588" s="34">
        <v>2026</v>
      </c>
      <c r="V5588" s="35" t="s">
        <v>3611</v>
      </c>
      <c r="W5588" s="35" t="s">
        <v>3625</v>
      </c>
      <c r="X5588" s="37" t="s">
        <v>4185</v>
      </c>
      <c r="Y5588" s="36" t="s">
        <v>4186</v>
      </c>
      <c r="Z5588" s="30" t="s">
        <v>4187</v>
      </c>
      <c r="AA5588" s="30" t="s">
        <v>3945</v>
      </c>
      <c r="AE5588" s="38">
        <v>373.81</v>
      </c>
      <c r="AF5588" s="76">
        <f t="shared" si="515"/>
        <v>132596.84999999858</v>
      </c>
    </row>
    <row r="5589" spans="7:32" ht="8.25" customHeight="1" thickBot="1" x14ac:dyDescent="0.3">
      <c r="AA5589" s="260" t="s">
        <v>2893</v>
      </c>
      <c r="AD5589" s="233">
        <f>SUM(AD5581:AD5588)</f>
        <v>37090</v>
      </c>
      <c r="AE5589" s="233">
        <f>SUM(AE5586:AE5588)</f>
        <v>24373.81</v>
      </c>
      <c r="AF5589" s="233">
        <f>AF5580+AD5589-AE5589</f>
        <v>132596.84999999858</v>
      </c>
    </row>
    <row r="5590" spans="7:32" ht="8.25" customHeight="1" thickTop="1" x14ac:dyDescent="0.25"/>
    <row r="5591" spans="7:32" ht="8.25" customHeight="1" x14ac:dyDescent="0.25">
      <c r="X5591" s="109"/>
      <c r="Y5591" s="67" t="s">
        <v>214</v>
      </c>
      <c r="Z5591" s="68"/>
      <c r="AA5591" s="75"/>
    </row>
    <row r="5592" spans="7:32" ht="8.25" customHeight="1" x14ac:dyDescent="0.25">
      <c r="X5592" s="110" t="s">
        <v>711</v>
      </c>
      <c r="Y5592" s="111">
        <v>200</v>
      </c>
      <c r="Z5592" s="111">
        <f t="shared" ref="Z5592:Z5597" si="516">X5592*Y5592</f>
        <v>10000</v>
      </c>
      <c r="AA5592" s="112"/>
    </row>
    <row r="5593" spans="7:32" ht="8.25" customHeight="1" x14ac:dyDescent="0.25">
      <c r="X5593" s="110" t="s">
        <v>4197</v>
      </c>
      <c r="Y5593" s="111">
        <v>100</v>
      </c>
      <c r="Z5593" s="111">
        <f t="shared" si="516"/>
        <v>122200</v>
      </c>
      <c r="AA5593" s="112"/>
    </row>
    <row r="5594" spans="7:32" ht="8.25" customHeight="1" x14ac:dyDescent="0.25">
      <c r="X5594" s="110" t="s">
        <v>120</v>
      </c>
      <c r="Y5594" s="111">
        <v>50</v>
      </c>
      <c r="Z5594" s="111">
        <f t="shared" si="516"/>
        <v>0</v>
      </c>
      <c r="AA5594" s="76"/>
    </row>
    <row r="5595" spans="7:32" ht="8.25" customHeight="1" x14ac:dyDescent="0.25">
      <c r="X5595" s="110" t="s">
        <v>222</v>
      </c>
      <c r="Y5595" s="111">
        <v>20</v>
      </c>
      <c r="Z5595" s="111">
        <f t="shared" si="516"/>
        <v>20</v>
      </c>
      <c r="AA5595" s="38"/>
    </row>
    <row r="5596" spans="7:32" ht="8.25" customHeight="1" x14ac:dyDescent="0.25">
      <c r="X5596" s="110" t="s">
        <v>223</v>
      </c>
      <c r="Y5596" s="111">
        <v>10</v>
      </c>
      <c r="Z5596" s="111">
        <f t="shared" si="516"/>
        <v>30</v>
      </c>
      <c r="AA5596" s="112"/>
    </row>
    <row r="5597" spans="7:32" ht="8.25" customHeight="1" x14ac:dyDescent="0.25">
      <c r="X5597" s="110" t="s">
        <v>222</v>
      </c>
      <c r="Y5597" s="111">
        <v>5</v>
      </c>
      <c r="Z5597" s="111">
        <f t="shared" si="516"/>
        <v>5</v>
      </c>
      <c r="AA5597" s="112"/>
    </row>
    <row r="5598" spans="7:32" ht="8.25" customHeight="1" x14ac:dyDescent="0.25">
      <c r="X5598" s="269"/>
      <c r="Y5598" s="270"/>
      <c r="Z5598" s="271"/>
      <c r="AA5598" s="38"/>
    </row>
    <row r="5599" spans="7:32" ht="8.25" customHeight="1" x14ac:dyDescent="0.25">
      <c r="X5599" s="110" t="s">
        <v>1707</v>
      </c>
      <c r="Y5599" s="111">
        <v>1</v>
      </c>
      <c r="Z5599" s="111">
        <f t="shared" ref="Z5599:Z5604" si="517">X5599*Y5599</f>
        <v>279</v>
      </c>
      <c r="AA5599" s="76"/>
    </row>
    <row r="5600" spans="7:32" ht="8.25" customHeight="1" x14ac:dyDescent="0.25">
      <c r="X5600" s="110" t="s">
        <v>711</v>
      </c>
      <c r="Y5600" s="111">
        <v>0.5</v>
      </c>
      <c r="Z5600" s="111">
        <f t="shared" si="517"/>
        <v>25</v>
      </c>
      <c r="AA5600" s="112"/>
    </row>
    <row r="5601" spans="9:32" ht="8.25" customHeight="1" x14ac:dyDescent="0.25">
      <c r="X5601" s="110" t="s">
        <v>873</v>
      </c>
      <c r="Y5601" s="111">
        <v>0.25</v>
      </c>
      <c r="Z5601" s="111">
        <f t="shared" si="517"/>
        <v>37.5</v>
      </c>
      <c r="AA5601" s="113" t="s">
        <v>1</v>
      </c>
    </row>
    <row r="5602" spans="9:32" ht="8.25" customHeight="1" x14ac:dyDescent="0.25">
      <c r="X5602" s="110" t="s">
        <v>224</v>
      </c>
      <c r="Y5602" s="111">
        <v>0.1</v>
      </c>
      <c r="Z5602" s="111">
        <f t="shared" si="517"/>
        <v>0.2</v>
      </c>
      <c r="AA5602" s="114" t="s">
        <v>219</v>
      </c>
    </row>
    <row r="5603" spans="9:32" ht="8.25" customHeight="1" thickBot="1" x14ac:dyDescent="0.3">
      <c r="X5603" s="110" t="s">
        <v>224</v>
      </c>
      <c r="Y5603" s="111">
        <v>0.05</v>
      </c>
      <c r="Z5603" s="111">
        <f t="shared" si="517"/>
        <v>0.1</v>
      </c>
      <c r="AA5603" s="115">
        <f>SUM(Z5592:Z5597)+Z5599+Z5600+Z5601+Z5602+Z5603+Z5604</f>
        <v>132596.85</v>
      </c>
    </row>
    <row r="5604" spans="9:32" ht="8.25" customHeight="1" thickTop="1" x14ac:dyDescent="0.25">
      <c r="X5604" s="110" t="s">
        <v>402</v>
      </c>
      <c r="Y5604" s="111">
        <v>0.01</v>
      </c>
      <c r="Z5604" s="111">
        <f t="shared" si="517"/>
        <v>0.05</v>
      </c>
    </row>
    <row r="5607" spans="9:32" ht="8.25" customHeight="1" x14ac:dyDescent="0.25">
      <c r="Z5607" s="231" t="s">
        <v>1376</v>
      </c>
      <c r="AF5607" s="76">
        <f>AF5589</f>
        <v>132596.84999999858</v>
      </c>
    </row>
    <row r="5608" spans="9:32" ht="8.25" customHeight="1" x14ac:dyDescent="0.25">
      <c r="I5608" s="52">
        <v>36</v>
      </c>
      <c r="T5608" s="33">
        <v>46233</v>
      </c>
      <c r="U5608" s="34">
        <v>2026</v>
      </c>
      <c r="V5608" s="35" t="s">
        <v>3611</v>
      </c>
      <c r="W5608" s="35" t="s">
        <v>17</v>
      </c>
      <c r="X5608" s="37" t="s">
        <v>4198</v>
      </c>
      <c r="Y5608" s="36" t="s">
        <v>3534</v>
      </c>
      <c r="Z5608" s="30" t="s">
        <v>1942</v>
      </c>
      <c r="AA5608" s="30" t="s">
        <v>13</v>
      </c>
      <c r="AD5608" s="38">
        <v>1500</v>
      </c>
      <c r="AF5608" s="76">
        <f>AF5607+AD5608-AE5608</f>
        <v>134096.84999999858</v>
      </c>
    </row>
    <row r="5609" spans="9:32" ht="8.25" customHeight="1" x14ac:dyDescent="0.25">
      <c r="N5609" s="52">
        <v>99</v>
      </c>
      <c r="T5609" s="33">
        <v>46233</v>
      </c>
      <c r="U5609" s="34">
        <v>2026</v>
      </c>
      <c r="V5609" s="35" t="s">
        <v>3611</v>
      </c>
      <c r="W5609" s="35" t="s">
        <v>17</v>
      </c>
      <c r="X5609" s="37" t="s">
        <v>4199</v>
      </c>
      <c r="Y5609" s="36" t="s">
        <v>4200</v>
      </c>
      <c r="Z5609" s="30" t="s">
        <v>495</v>
      </c>
      <c r="AA5609" s="30" t="s">
        <v>3899</v>
      </c>
      <c r="AD5609" s="38">
        <v>24313.84</v>
      </c>
      <c r="AF5609" s="76">
        <f t="shared" ref="AF5609:AF5623" si="518">AF5608+AD5609-AE5609</f>
        <v>158410.68999999858</v>
      </c>
    </row>
    <row r="5610" spans="9:32" ht="8.25" customHeight="1" x14ac:dyDescent="0.25">
      <c r="N5610" s="52">
        <v>99</v>
      </c>
      <c r="T5610" s="33">
        <v>46233</v>
      </c>
      <c r="U5610" s="34">
        <v>2026</v>
      </c>
      <c r="V5610" s="35" t="s">
        <v>3611</v>
      </c>
      <c r="W5610" s="35" t="s">
        <v>17</v>
      </c>
      <c r="X5610" s="37" t="s">
        <v>4199</v>
      </c>
      <c r="Y5610" s="36" t="s">
        <v>4200</v>
      </c>
      <c r="Z5610" s="30" t="s">
        <v>495</v>
      </c>
      <c r="AA5610" s="30" t="s">
        <v>166</v>
      </c>
      <c r="AD5610" s="38">
        <v>5198.8</v>
      </c>
      <c r="AF5610" s="76">
        <f t="shared" si="518"/>
        <v>163609.48999999856</v>
      </c>
    </row>
    <row r="5611" spans="9:32" ht="8.25" customHeight="1" x14ac:dyDescent="0.25">
      <c r="N5611" s="52">
        <v>99</v>
      </c>
      <c r="T5611" s="33">
        <v>46233</v>
      </c>
      <c r="U5611" s="34">
        <v>2026</v>
      </c>
      <c r="V5611" s="35" t="s">
        <v>3611</v>
      </c>
      <c r="W5611" s="35" t="s">
        <v>17</v>
      </c>
      <c r="X5611" s="37" t="s">
        <v>4199</v>
      </c>
      <c r="Y5611" s="36" t="s">
        <v>4200</v>
      </c>
      <c r="Z5611" s="30" t="s">
        <v>495</v>
      </c>
      <c r="AA5611" s="30" t="s">
        <v>3304</v>
      </c>
      <c r="AD5611" s="38">
        <v>487.36</v>
      </c>
      <c r="AF5611" s="76">
        <f t="shared" si="518"/>
        <v>164096.84999999855</v>
      </c>
    </row>
    <row r="5612" spans="9:32" ht="8.25" customHeight="1" x14ac:dyDescent="0.25">
      <c r="N5612" s="52">
        <v>100</v>
      </c>
      <c r="T5612" s="33">
        <v>46233</v>
      </c>
      <c r="U5612" s="34">
        <v>2026</v>
      </c>
      <c r="V5612" s="35" t="s">
        <v>3611</v>
      </c>
      <c r="W5612" s="35" t="s">
        <v>17</v>
      </c>
      <c r="X5612" s="37" t="s">
        <v>4202</v>
      </c>
      <c r="Y5612" s="36" t="s">
        <v>1332</v>
      </c>
      <c r="Z5612" s="30" t="s">
        <v>1333</v>
      </c>
      <c r="AA5612" s="30" t="s">
        <v>3899</v>
      </c>
      <c r="AD5612" s="38">
        <v>1234.3800000000001</v>
      </c>
      <c r="AF5612" s="76">
        <f t="shared" si="518"/>
        <v>165331.22999999856</v>
      </c>
    </row>
    <row r="5613" spans="9:32" ht="8.25" customHeight="1" x14ac:dyDescent="0.25">
      <c r="N5613" s="52">
        <v>100</v>
      </c>
      <c r="T5613" s="33">
        <v>46233</v>
      </c>
      <c r="U5613" s="34">
        <v>2026</v>
      </c>
      <c r="V5613" s="35" t="s">
        <v>3611</v>
      </c>
      <c r="W5613" s="35" t="s">
        <v>17</v>
      </c>
      <c r="X5613" s="37" t="s">
        <v>4202</v>
      </c>
      <c r="Y5613" s="36" t="s">
        <v>1332</v>
      </c>
      <c r="Z5613" s="30" t="s">
        <v>1333</v>
      </c>
      <c r="AA5613" s="30" t="s">
        <v>166</v>
      </c>
      <c r="AD5613" s="38">
        <v>465.62</v>
      </c>
      <c r="AF5613" s="76">
        <f t="shared" si="518"/>
        <v>165796.84999999855</v>
      </c>
    </row>
    <row r="5614" spans="9:32" ht="8.25" customHeight="1" x14ac:dyDescent="0.25">
      <c r="I5614" s="52">
        <v>37</v>
      </c>
      <c r="T5614" s="33">
        <v>46233</v>
      </c>
      <c r="U5614" s="34">
        <v>2026</v>
      </c>
      <c r="V5614" s="35" t="s">
        <v>3611</v>
      </c>
      <c r="W5614" s="35" t="s">
        <v>17</v>
      </c>
      <c r="X5614" s="37" t="s">
        <v>4203</v>
      </c>
      <c r="Y5614" s="36" t="s">
        <v>3505</v>
      </c>
      <c r="Z5614" s="30" t="s">
        <v>2634</v>
      </c>
      <c r="AA5614" s="30" t="s">
        <v>13</v>
      </c>
      <c r="AD5614" s="38">
        <v>25000</v>
      </c>
      <c r="AF5614" s="76">
        <f t="shared" si="518"/>
        <v>190796.84999999855</v>
      </c>
    </row>
    <row r="5615" spans="9:32" ht="8.25" customHeight="1" x14ac:dyDescent="0.25">
      <c r="N5615" s="52">
        <v>101</v>
      </c>
      <c r="T5615" s="33">
        <v>46233</v>
      </c>
      <c r="U5615" s="34">
        <v>2026</v>
      </c>
      <c r="V5615" s="35" t="s">
        <v>3611</v>
      </c>
      <c r="W5615" s="35" t="s">
        <v>17</v>
      </c>
      <c r="X5615" s="37" t="s">
        <v>4209</v>
      </c>
      <c r="Y5615" s="36" t="s">
        <v>3633</v>
      </c>
      <c r="Z5615" s="30" t="s">
        <v>3634</v>
      </c>
      <c r="AA5615" s="30" t="s">
        <v>3899</v>
      </c>
      <c r="AD5615" s="38">
        <v>3780.37</v>
      </c>
      <c r="AF5615" s="76">
        <f t="shared" si="518"/>
        <v>194577.21999999855</v>
      </c>
    </row>
    <row r="5616" spans="9:32" ht="8.25" customHeight="1" x14ac:dyDescent="0.25">
      <c r="N5616" s="52">
        <v>101</v>
      </c>
      <c r="T5616" s="33">
        <v>46233</v>
      </c>
      <c r="U5616" s="34">
        <v>2026</v>
      </c>
      <c r="V5616" s="35" t="s">
        <v>3611</v>
      </c>
      <c r="W5616" s="35" t="s">
        <v>17</v>
      </c>
      <c r="X5616" s="37" t="s">
        <v>4209</v>
      </c>
      <c r="Y5616" s="36" t="s">
        <v>3633</v>
      </c>
      <c r="Z5616" s="30" t="s">
        <v>3634</v>
      </c>
      <c r="AA5616" s="30" t="s">
        <v>166</v>
      </c>
      <c r="AD5616" s="38">
        <v>3219.63</v>
      </c>
      <c r="AF5616" s="76">
        <f t="shared" si="518"/>
        <v>197796.84999999855</v>
      </c>
    </row>
    <row r="5617" spans="7:32" ht="8.25" customHeight="1" x14ac:dyDescent="0.25">
      <c r="I5617" s="52">
        <v>38</v>
      </c>
      <c r="T5617" s="33">
        <v>46233</v>
      </c>
      <c r="U5617" s="34">
        <v>2026</v>
      </c>
      <c r="V5617" s="35" t="s">
        <v>3611</v>
      </c>
      <c r="W5617" s="35" t="s">
        <v>17</v>
      </c>
      <c r="X5617" s="37" t="s">
        <v>4210</v>
      </c>
      <c r="Y5617" s="36" t="s">
        <v>4211</v>
      </c>
      <c r="Z5617" s="30" t="s">
        <v>3632</v>
      </c>
      <c r="AA5617" s="30" t="s">
        <v>13</v>
      </c>
      <c r="AD5617" s="38">
        <v>100</v>
      </c>
      <c r="AF5617" s="76">
        <f t="shared" si="518"/>
        <v>197896.84999999855</v>
      </c>
    </row>
    <row r="5618" spans="7:32" ht="8.25" customHeight="1" x14ac:dyDescent="0.25">
      <c r="N5618" s="52">
        <v>102</v>
      </c>
      <c r="T5618" s="33">
        <v>46233</v>
      </c>
      <c r="U5618" s="34">
        <v>2026</v>
      </c>
      <c r="V5618" s="35" t="s">
        <v>3611</v>
      </c>
      <c r="W5618" s="35" t="s">
        <v>17</v>
      </c>
      <c r="X5618" s="37" t="s">
        <v>4213</v>
      </c>
      <c r="Y5618" s="36" t="s">
        <v>1062</v>
      </c>
      <c r="Z5618" s="30" t="s">
        <v>645</v>
      </c>
      <c r="AA5618" s="30" t="s">
        <v>3708</v>
      </c>
      <c r="AD5618" s="38">
        <v>2730.77</v>
      </c>
      <c r="AF5618" s="76">
        <f t="shared" si="518"/>
        <v>200627.61999999854</v>
      </c>
    </row>
    <row r="5619" spans="7:32" ht="8.25" customHeight="1" x14ac:dyDescent="0.25">
      <c r="N5619" s="52">
        <v>102</v>
      </c>
      <c r="T5619" s="33">
        <v>46233</v>
      </c>
      <c r="U5619" s="34">
        <v>2026</v>
      </c>
      <c r="V5619" s="35" t="s">
        <v>3611</v>
      </c>
      <c r="W5619" s="35" t="s">
        <v>17</v>
      </c>
      <c r="X5619" s="37" t="s">
        <v>4213</v>
      </c>
      <c r="Y5619" s="36" t="s">
        <v>1062</v>
      </c>
      <c r="Z5619" s="30" t="s">
        <v>645</v>
      </c>
      <c r="AA5619" s="30" t="s">
        <v>183</v>
      </c>
      <c r="AD5619" s="38">
        <v>369.23</v>
      </c>
      <c r="AF5619" s="76">
        <f t="shared" si="518"/>
        <v>200996.84999999855</v>
      </c>
    </row>
    <row r="5620" spans="7:32" ht="8.25" customHeight="1" x14ac:dyDescent="0.25">
      <c r="R5620" s="53">
        <v>52</v>
      </c>
      <c r="T5620" s="33">
        <v>46233</v>
      </c>
      <c r="U5620" s="34">
        <v>2026</v>
      </c>
      <c r="V5620" s="35" t="s">
        <v>3611</v>
      </c>
      <c r="W5620" s="35" t="s">
        <v>5</v>
      </c>
      <c r="X5620" s="37" t="s">
        <v>4201</v>
      </c>
      <c r="Y5620" s="36" t="s">
        <v>3511</v>
      </c>
      <c r="Z5620" s="30" t="s">
        <v>745</v>
      </c>
      <c r="AA5620" s="30" t="s">
        <v>92</v>
      </c>
      <c r="AE5620" s="38">
        <v>200</v>
      </c>
      <c r="AF5620" s="76">
        <f t="shared" si="518"/>
        <v>200796.84999999855</v>
      </c>
    </row>
    <row r="5621" spans="7:32" ht="8.25" customHeight="1" x14ac:dyDescent="0.25">
      <c r="G5621" s="53">
        <v>27</v>
      </c>
      <c r="T5621" s="33">
        <v>46233</v>
      </c>
      <c r="U5621" s="34">
        <v>2026</v>
      </c>
      <c r="V5621" s="35" t="s">
        <v>3611</v>
      </c>
      <c r="W5621" s="35" t="s">
        <v>3625</v>
      </c>
      <c r="X5621" s="37" t="s">
        <v>4204</v>
      </c>
      <c r="Y5621" s="36" t="s">
        <v>4205</v>
      </c>
      <c r="Z5621" s="30" t="s">
        <v>4206</v>
      </c>
      <c r="AA5621" s="30" t="s">
        <v>3945</v>
      </c>
      <c r="AE5621" s="38">
        <v>1072.7</v>
      </c>
      <c r="AF5621" s="76">
        <f t="shared" si="518"/>
        <v>199724.14999999854</v>
      </c>
    </row>
    <row r="5622" spans="7:32" ht="8.25" customHeight="1" x14ac:dyDescent="0.25">
      <c r="T5622" s="33">
        <v>46233</v>
      </c>
      <c r="U5622" s="34">
        <v>2026</v>
      </c>
      <c r="V5622" s="35" t="s">
        <v>3611</v>
      </c>
      <c r="W5622" s="35" t="s">
        <v>3997</v>
      </c>
      <c r="X5622" s="37" t="s">
        <v>4215</v>
      </c>
      <c r="Y5622" s="36" t="s">
        <v>411</v>
      </c>
      <c r="Z5622" s="30" t="s">
        <v>3162</v>
      </c>
      <c r="AA5622" s="30" t="s">
        <v>618</v>
      </c>
      <c r="AE5622" s="38">
        <v>70000</v>
      </c>
      <c r="AF5622" s="76">
        <f t="shared" si="518"/>
        <v>129724.14999999854</v>
      </c>
    </row>
    <row r="5623" spans="7:32" ht="8.25" customHeight="1" x14ac:dyDescent="0.25">
      <c r="T5623" s="33">
        <v>46233</v>
      </c>
      <c r="U5623" s="34">
        <v>2026</v>
      </c>
      <c r="V5623" s="35" t="s">
        <v>3611</v>
      </c>
      <c r="W5623" s="35" t="s">
        <v>5</v>
      </c>
      <c r="X5623" s="37" t="s">
        <v>4214</v>
      </c>
      <c r="Y5623" s="36" t="s">
        <v>411</v>
      </c>
      <c r="Z5623" s="30" t="s">
        <v>398</v>
      </c>
      <c r="AA5623" s="30" t="s">
        <v>2719</v>
      </c>
      <c r="AE5623" s="38">
        <v>3100</v>
      </c>
      <c r="AF5623" s="76">
        <f t="shared" si="518"/>
        <v>126624.14999999854</v>
      </c>
    </row>
    <row r="5624" spans="7:32" ht="8.25" customHeight="1" thickBot="1" x14ac:dyDescent="0.3">
      <c r="AA5624" s="260" t="s">
        <v>2893</v>
      </c>
      <c r="AD5624" s="233">
        <f>SUM(AD5608:AD5619)</f>
        <v>68400</v>
      </c>
      <c r="AE5624" s="233">
        <f>SUM(AE5620:AE5623)</f>
        <v>74372.7</v>
      </c>
      <c r="AF5624" s="233">
        <f>AF5607+AD5624-AE5624</f>
        <v>126624.14999999858</v>
      </c>
    </row>
    <row r="5625" spans="7:32" ht="8.25" customHeight="1" thickTop="1" x14ac:dyDescent="0.25"/>
    <row r="5627" spans="7:32" ht="8.25" customHeight="1" x14ac:dyDescent="0.25">
      <c r="X5627" s="109"/>
      <c r="Y5627" s="67" t="s">
        <v>214</v>
      </c>
      <c r="Z5627" s="68"/>
      <c r="AA5627" s="75"/>
    </row>
    <row r="5628" spans="7:32" ht="8.25" customHeight="1" x14ac:dyDescent="0.25">
      <c r="X5628" s="110" t="s">
        <v>402</v>
      </c>
      <c r="Y5628" s="111">
        <v>200</v>
      </c>
      <c r="Z5628" s="111">
        <f t="shared" ref="Z5628:Z5633" si="519">X5628*Y5628</f>
        <v>1000</v>
      </c>
      <c r="AA5628" s="112"/>
    </row>
    <row r="5629" spans="7:32" ht="8.25" customHeight="1" x14ac:dyDescent="0.25">
      <c r="X5629" s="110" t="s">
        <v>4212</v>
      </c>
      <c r="Y5629" s="111">
        <v>100</v>
      </c>
      <c r="Z5629" s="111">
        <f t="shared" si="519"/>
        <v>122800</v>
      </c>
      <c r="AA5629" s="112"/>
    </row>
    <row r="5630" spans="7:32" ht="8.25" customHeight="1" x14ac:dyDescent="0.25">
      <c r="X5630" s="110" t="s">
        <v>120</v>
      </c>
      <c r="Y5630" s="111">
        <v>50</v>
      </c>
      <c r="Z5630" s="111">
        <f t="shared" si="519"/>
        <v>0</v>
      </c>
      <c r="AA5630" s="76"/>
    </row>
    <row r="5631" spans="7:32" ht="8.25" customHeight="1" x14ac:dyDescent="0.25">
      <c r="X5631" s="110" t="s">
        <v>120</v>
      </c>
      <c r="Y5631" s="111">
        <v>20</v>
      </c>
      <c r="Z5631" s="111">
        <f t="shared" si="519"/>
        <v>0</v>
      </c>
      <c r="AA5631" s="38"/>
    </row>
    <row r="5632" spans="7:32" ht="8.25" customHeight="1" x14ac:dyDescent="0.25">
      <c r="X5632" s="110" t="s">
        <v>3674</v>
      </c>
      <c r="Y5632" s="111">
        <v>10</v>
      </c>
      <c r="Z5632" s="111">
        <f t="shared" si="519"/>
        <v>980</v>
      </c>
      <c r="AA5632" s="112"/>
    </row>
    <row r="5633" spans="14:32" ht="8.25" customHeight="1" x14ac:dyDescent="0.25">
      <c r="X5633" s="110" t="s">
        <v>357</v>
      </c>
      <c r="Y5633" s="111">
        <v>5</v>
      </c>
      <c r="Z5633" s="111">
        <f t="shared" si="519"/>
        <v>1505</v>
      </c>
      <c r="AA5633" s="112"/>
    </row>
    <row r="5634" spans="14:32" ht="8.25" customHeight="1" x14ac:dyDescent="0.25">
      <c r="X5634" s="269"/>
      <c r="Y5634" s="270"/>
      <c r="Z5634" s="271"/>
      <c r="AA5634" s="38"/>
    </row>
    <row r="5635" spans="14:32" ht="8.25" customHeight="1" x14ac:dyDescent="0.25">
      <c r="X5635" s="110" t="s">
        <v>4207</v>
      </c>
      <c r="Y5635" s="111">
        <v>1</v>
      </c>
      <c r="Z5635" s="111">
        <f t="shared" ref="Z5635:Z5640" si="520">X5635*Y5635</f>
        <v>277</v>
      </c>
      <c r="AA5635" s="76"/>
    </row>
    <row r="5636" spans="14:32" ht="8.25" customHeight="1" x14ac:dyDescent="0.25">
      <c r="X5636" s="110" t="s">
        <v>1012</v>
      </c>
      <c r="Y5636" s="111">
        <v>0.5</v>
      </c>
      <c r="Z5636" s="111">
        <f t="shared" si="520"/>
        <v>24.5</v>
      </c>
      <c r="AA5636" s="112"/>
    </row>
    <row r="5637" spans="14:32" ht="8.25" customHeight="1" x14ac:dyDescent="0.25">
      <c r="X5637" s="110" t="s">
        <v>4208</v>
      </c>
      <c r="Y5637" s="111">
        <v>0.25</v>
      </c>
      <c r="Z5637" s="111">
        <f t="shared" si="520"/>
        <v>37.25</v>
      </c>
      <c r="AA5637" s="113" t="s">
        <v>1</v>
      </c>
    </row>
    <row r="5638" spans="14:32" ht="8.25" customHeight="1" x14ac:dyDescent="0.25">
      <c r="X5638" s="110" t="s">
        <v>224</v>
      </c>
      <c r="Y5638" s="111">
        <v>0.1</v>
      </c>
      <c r="Z5638" s="111">
        <f t="shared" si="520"/>
        <v>0.2</v>
      </c>
      <c r="AA5638" s="114" t="s">
        <v>219</v>
      </c>
    </row>
    <row r="5639" spans="14:32" ht="8.25" customHeight="1" thickBot="1" x14ac:dyDescent="0.3">
      <c r="X5639" s="110" t="s">
        <v>223</v>
      </c>
      <c r="Y5639" s="111">
        <v>0.05</v>
      </c>
      <c r="Z5639" s="111">
        <f t="shared" si="520"/>
        <v>0.15000000000000002</v>
      </c>
      <c r="AA5639" s="115">
        <f>SUM(Z5628:Z5633)+Z5635+Z5636+Z5637+Z5638+Z5639+Z5640</f>
        <v>126624.15</v>
      </c>
    </row>
    <row r="5640" spans="14:32" ht="8.25" customHeight="1" thickTop="1" x14ac:dyDescent="0.25">
      <c r="X5640" s="110" t="s">
        <v>402</v>
      </c>
      <c r="Y5640" s="111">
        <v>0.01</v>
      </c>
      <c r="Z5640" s="111">
        <f t="shared" si="520"/>
        <v>0.05</v>
      </c>
    </row>
    <row r="5643" spans="14:32" ht="8.25" customHeight="1" x14ac:dyDescent="0.25">
      <c r="Z5643" s="231" t="s">
        <v>1376</v>
      </c>
      <c r="AF5643" s="76">
        <f>AF5624</f>
        <v>126624.14999999858</v>
      </c>
    </row>
    <row r="5644" spans="14:32" ht="8.25" customHeight="1" x14ac:dyDescent="0.25">
      <c r="N5644" s="52">
        <v>103</v>
      </c>
      <c r="T5644" s="33">
        <v>46234</v>
      </c>
      <c r="U5644" s="34">
        <v>2026</v>
      </c>
      <c r="V5644" s="35" t="s">
        <v>3611</v>
      </c>
      <c r="W5644" s="35" t="s">
        <v>17</v>
      </c>
      <c r="X5644" s="37" t="s">
        <v>4254</v>
      </c>
      <c r="Y5644" s="36" t="s">
        <v>4255</v>
      </c>
      <c r="Z5644" s="30" t="s">
        <v>2316</v>
      </c>
      <c r="AA5644" s="30" t="s">
        <v>166</v>
      </c>
      <c r="AD5644" s="38">
        <v>2487.6</v>
      </c>
      <c r="AF5644" s="76">
        <f>AF5643+AD5644-AE5644</f>
        <v>129111.74999999859</v>
      </c>
    </row>
    <row r="5645" spans="14:32" ht="8.25" customHeight="1" x14ac:dyDescent="0.25">
      <c r="N5645" s="52">
        <v>103</v>
      </c>
      <c r="T5645" s="33">
        <v>46234</v>
      </c>
      <c r="U5645" s="34">
        <v>2026</v>
      </c>
      <c r="V5645" s="35" t="s">
        <v>3611</v>
      </c>
      <c r="W5645" s="35" t="s">
        <v>17</v>
      </c>
      <c r="X5645" s="37" t="s">
        <v>4254</v>
      </c>
      <c r="Y5645" s="36" t="s">
        <v>4255</v>
      </c>
      <c r="Z5645" s="30" t="s">
        <v>2316</v>
      </c>
      <c r="AA5645" s="30" t="s">
        <v>3304</v>
      </c>
      <c r="AD5645" s="38">
        <v>4512.3999999999996</v>
      </c>
      <c r="AF5645" s="76">
        <f t="shared" ref="AF5645:AF5658" si="521">AF5644+AD5645-AE5645</f>
        <v>133624.1499999986</v>
      </c>
    </row>
    <row r="5646" spans="14:32" ht="8.25" customHeight="1" x14ac:dyDescent="0.25">
      <c r="T5646" s="33">
        <v>46234</v>
      </c>
      <c r="U5646" s="34">
        <v>2026</v>
      </c>
      <c r="V5646" s="35" t="s">
        <v>3611</v>
      </c>
      <c r="W5646" s="35" t="s">
        <v>3620</v>
      </c>
      <c r="X5646" s="37" t="s">
        <v>4256</v>
      </c>
      <c r="Y5646" s="36" t="s">
        <v>4257</v>
      </c>
      <c r="Z5646" s="30" t="s">
        <v>4258</v>
      </c>
      <c r="AA5646" s="30" t="s">
        <v>4262</v>
      </c>
      <c r="AD5646" s="38">
        <v>1997</v>
      </c>
      <c r="AF5646" s="76">
        <f t="shared" si="521"/>
        <v>135621.1499999986</v>
      </c>
    </row>
    <row r="5647" spans="14:32" ht="8.25" customHeight="1" x14ac:dyDescent="0.25">
      <c r="T5647" s="33">
        <v>46234</v>
      </c>
      <c r="U5647" s="34">
        <v>2026</v>
      </c>
      <c r="V5647" s="35" t="s">
        <v>3611</v>
      </c>
      <c r="W5647" s="35" t="s">
        <v>3620</v>
      </c>
      <c r="X5647" s="37" t="s">
        <v>4259</v>
      </c>
      <c r="Y5647" s="36" t="s">
        <v>4260</v>
      </c>
      <c r="Z5647" s="30" t="s">
        <v>4261</v>
      </c>
      <c r="AA5647" s="30" t="s">
        <v>4262</v>
      </c>
      <c r="AD5647" s="38">
        <v>6111</v>
      </c>
      <c r="AF5647" s="76">
        <f t="shared" si="521"/>
        <v>141732.1499999986</v>
      </c>
    </row>
    <row r="5648" spans="14:32" ht="8.25" customHeight="1" x14ac:dyDescent="0.25">
      <c r="T5648" s="33">
        <v>46234</v>
      </c>
      <c r="U5648" s="34">
        <v>2026</v>
      </c>
      <c r="V5648" s="35" t="s">
        <v>3611</v>
      </c>
      <c r="W5648" s="35" t="s">
        <v>3620</v>
      </c>
      <c r="X5648" s="37" t="s">
        <v>4263</v>
      </c>
      <c r="Y5648" s="36" t="s">
        <v>4264</v>
      </c>
      <c r="Z5648" s="30" t="s">
        <v>4265</v>
      </c>
      <c r="AA5648" s="30" t="s">
        <v>4262</v>
      </c>
      <c r="AD5648" s="38">
        <v>2167</v>
      </c>
      <c r="AF5648" s="76">
        <f t="shared" si="521"/>
        <v>143899.1499999986</v>
      </c>
    </row>
    <row r="5649" spans="6:32" ht="8.25" customHeight="1" x14ac:dyDescent="0.25">
      <c r="N5649" s="52">
        <v>104</v>
      </c>
      <c r="T5649" s="33">
        <v>46234</v>
      </c>
      <c r="U5649" s="34">
        <v>2026</v>
      </c>
      <c r="V5649" s="35" t="s">
        <v>3611</v>
      </c>
      <c r="W5649" s="35" t="s">
        <v>17</v>
      </c>
      <c r="X5649" s="37" t="s">
        <v>4275</v>
      </c>
      <c r="Y5649" s="36" t="s">
        <v>4276</v>
      </c>
      <c r="Z5649" s="30" t="s">
        <v>520</v>
      </c>
      <c r="AA5649" s="30" t="s">
        <v>166</v>
      </c>
      <c r="AD5649" s="38">
        <v>9795</v>
      </c>
      <c r="AF5649" s="76">
        <f t="shared" si="521"/>
        <v>153694.1499999986</v>
      </c>
    </row>
    <row r="5650" spans="6:32" ht="8.25" customHeight="1" x14ac:dyDescent="0.25">
      <c r="N5650" s="52">
        <v>104</v>
      </c>
      <c r="T5650" s="33">
        <v>46234</v>
      </c>
      <c r="U5650" s="34">
        <v>2026</v>
      </c>
      <c r="V5650" s="35" t="s">
        <v>3611</v>
      </c>
      <c r="W5650" s="35" t="s">
        <v>17</v>
      </c>
      <c r="X5650" s="37" t="s">
        <v>4275</v>
      </c>
      <c r="Y5650" s="36" t="s">
        <v>4276</v>
      </c>
      <c r="Z5650" s="30" t="s">
        <v>520</v>
      </c>
      <c r="AA5650" s="30" t="s">
        <v>3304</v>
      </c>
      <c r="AD5650" s="38">
        <v>205</v>
      </c>
      <c r="AF5650" s="76">
        <f t="shared" si="521"/>
        <v>153899.1499999986</v>
      </c>
    </row>
    <row r="5651" spans="6:32" ht="8.25" customHeight="1" x14ac:dyDescent="0.25">
      <c r="R5651" s="53">
        <v>53</v>
      </c>
      <c r="T5651" s="33">
        <v>46234</v>
      </c>
      <c r="U5651" s="34">
        <v>2026</v>
      </c>
      <c r="V5651" s="35" t="s">
        <v>3611</v>
      </c>
      <c r="W5651" s="35" t="s">
        <v>5</v>
      </c>
      <c r="X5651" s="37" t="s">
        <v>4216</v>
      </c>
      <c r="Y5651" s="36" t="s">
        <v>3534</v>
      </c>
      <c r="Z5651" s="30" t="s">
        <v>1942</v>
      </c>
      <c r="AA5651" s="30" t="s">
        <v>92</v>
      </c>
      <c r="AE5651" s="38">
        <v>300</v>
      </c>
      <c r="AF5651" s="76">
        <f t="shared" si="521"/>
        <v>153599.1499999986</v>
      </c>
    </row>
    <row r="5652" spans="6:32" ht="8.25" customHeight="1" x14ac:dyDescent="0.25">
      <c r="R5652" s="53">
        <v>54</v>
      </c>
      <c r="T5652" s="33">
        <v>46234</v>
      </c>
      <c r="U5652" s="34">
        <v>2026</v>
      </c>
      <c r="V5652" s="35" t="s">
        <v>3611</v>
      </c>
      <c r="W5652" s="35" t="s">
        <v>5</v>
      </c>
      <c r="X5652" s="37" t="s">
        <v>4217</v>
      </c>
      <c r="Y5652" s="36" t="s">
        <v>3903</v>
      </c>
      <c r="Z5652" s="30" t="s">
        <v>16</v>
      </c>
      <c r="AA5652" s="30" t="s">
        <v>92</v>
      </c>
      <c r="AE5652" s="38">
        <v>1000</v>
      </c>
      <c r="AF5652" s="76">
        <f t="shared" si="521"/>
        <v>152599.1499999986</v>
      </c>
    </row>
    <row r="5653" spans="6:32" ht="8.25" customHeight="1" x14ac:dyDescent="0.25">
      <c r="G5653" s="53">
        <v>28</v>
      </c>
      <c r="T5653" s="33">
        <v>46234</v>
      </c>
      <c r="U5653" s="34">
        <v>2026</v>
      </c>
      <c r="V5653" s="35" t="s">
        <v>3611</v>
      </c>
      <c r="W5653" s="35" t="s">
        <v>3625</v>
      </c>
      <c r="X5653" s="37" t="s">
        <v>4218</v>
      </c>
      <c r="Y5653" s="36" t="s">
        <v>4219</v>
      </c>
      <c r="Z5653" s="30" t="s">
        <v>4220</v>
      </c>
      <c r="AA5653" s="30" t="s">
        <v>3945</v>
      </c>
      <c r="AE5653" s="38">
        <v>2000</v>
      </c>
      <c r="AF5653" s="76">
        <f t="shared" si="521"/>
        <v>150599.1499999986</v>
      </c>
    </row>
    <row r="5654" spans="6:32" ht="8.25" customHeight="1" x14ac:dyDescent="0.25">
      <c r="G5654" s="53">
        <v>29</v>
      </c>
      <c r="T5654" s="33">
        <v>46234</v>
      </c>
      <c r="U5654" s="34">
        <v>2026</v>
      </c>
      <c r="V5654" s="35" t="s">
        <v>3611</v>
      </c>
      <c r="W5654" s="35" t="s">
        <v>3625</v>
      </c>
      <c r="X5654" s="37" t="s">
        <v>4221</v>
      </c>
      <c r="Y5654" s="36" t="s">
        <v>4222</v>
      </c>
      <c r="Z5654" s="30" t="s">
        <v>4223</v>
      </c>
      <c r="AA5654" s="30" t="s">
        <v>3945</v>
      </c>
      <c r="AE5654" s="38">
        <v>8158.76</v>
      </c>
      <c r="AF5654" s="76">
        <f t="shared" si="521"/>
        <v>142440.38999999859</v>
      </c>
    </row>
    <row r="5655" spans="6:32" ht="8.25" customHeight="1" x14ac:dyDescent="0.25">
      <c r="F5655" s="53">
        <v>14</v>
      </c>
      <c r="T5655" s="33">
        <v>46234</v>
      </c>
      <c r="U5655" s="34">
        <v>2026</v>
      </c>
      <c r="V5655" s="35" t="s">
        <v>3611</v>
      </c>
      <c r="W5655" s="35" t="s">
        <v>3625</v>
      </c>
      <c r="X5655" s="37" t="s">
        <v>4266</v>
      </c>
      <c r="Z5655" s="30" t="s">
        <v>4267</v>
      </c>
      <c r="AA5655" s="30" t="s">
        <v>3939</v>
      </c>
      <c r="AE5655" s="38">
        <v>100</v>
      </c>
      <c r="AF5655" s="76">
        <f t="shared" si="521"/>
        <v>142340.38999999859</v>
      </c>
    </row>
    <row r="5656" spans="6:32" ht="8.25" customHeight="1" x14ac:dyDescent="0.25">
      <c r="F5656" s="53">
        <v>15</v>
      </c>
      <c r="T5656" s="33">
        <v>46234</v>
      </c>
      <c r="U5656" s="34">
        <v>2026</v>
      </c>
      <c r="V5656" s="35" t="s">
        <v>3611</v>
      </c>
      <c r="W5656" s="35" t="s">
        <v>3625</v>
      </c>
      <c r="X5656" s="37" t="s">
        <v>4268</v>
      </c>
      <c r="Z5656" s="30" t="s">
        <v>4270</v>
      </c>
      <c r="AA5656" s="30" t="s">
        <v>3939</v>
      </c>
      <c r="AE5656" s="38">
        <v>2000</v>
      </c>
      <c r="AF5656" s="76">
        <f t="shared" si="521"/>
        <v>140340.38999999859</v>
      </c>
    </row>
    <row r="5657" spans="6:32" ht="8.25" customHeight="1" x14ac:dyDescent="0.25">
      <c r="F5657" s="53">
        <v>16</v>
      </c>
      <c r="T5657" s="33">
        <v>46234</v>
      </c>
      <c r="U5657" s="34">
        <v>2026</v>
      </c>
      <c r="V5657" s="35" t="s">
        <v>3611</v>
      </c>
      <c r="W5657" s="35" t="s">
        <v>3625</v>
      </c>
      <c r="X5657" s="37" t="s">
        <v>4269</v>
      </c>
      <c r="Z5657" s="30" t="s">
        <v>4270</v>
      </c>
      <c r="AA5657" s="30" t="s">
        <v>3939</v>
      </c>
      <c r="AE5657" s="38">
        <v>265</v>
      </c>
      <c r="AF5657" s="76">
        <f t="shared" si="521"/>
        <v>140075.38999999859</v>
      </c>
    </row>
    <row r="5658" spans="6:32" ht="8.25" customHeight="1" x14ac:dyDescent="0.25">
      <c r="T5658" s="33">
        <v>46234</v>
      </c>
      <c r="U5658" s="34">
        <v>2026</v>
      </c>
      <c r="V5658" s="35" t="s">
        <v>3611</v>
      </c>
      <c r="W5658" s="35" t="s">
        <v>3997</v>
      </c>
      <c r="X5658" s="37" t="s">
        <v>4277</v>
      </c>
      <c r="Y5658" s="36" t="s">
        <v>411</v>
      </c>
      <c r="Z5658" s="30" t="s">
        <v>520</v>
      </c>
      <c r="AA5658" s="30" t="s">
        <v>2719</v>
      </c>
      <c r="AE5658" s="38">
        <v>10000</v>
      </c>
      <c r="AF5658" s="76">
        <f t="shared" si="521"/>
        <v>130075.38999999859</v>
      </c>
    </row>
    <row r="5659" spans="6:32" ht="8.25" customHeight="1" x14ac:dyDescent="0.25">
      <c r="R5659" s="53">
        <v>55</v>
      </c>
      <c r="T5659" s="33">
        <v>46234</v>
      </c>
      <c r="U5659" s="34">
        <v>2026</v>
      </c>
      <c r="V5659" s="35" t="s">
        <v>3611</v>
      </c>
      <c r="W5659" s="35" t="s">
        <v>5</v>
      </c>
      <c r="X5659" s="37" t="s">
        <v>4271</v>
      </c>
      <c r="Y5659" s="36" t="s">
        <v>3547</v>
      </c>
      <c r="Z5659" s="30" t="s">
        <v>1060</v>
      </c>
      <c r="AA5659" s="30" t="s">
        <v>92</v>
      </c>
      <c r="AE5659" s="38">
        <v>2000</v>
      </c>
      <c r="AF5659" s="76">
        <f>AF5658+AD5659-AE5659</f>
        <v>128075.38999999859</v>
      </c>
    </row>
    <row r="5660" spans="6:32" ht="8.25" customHeight="1" thickBot="1" x14ac:dyDescent="0.3">
      <c r="AA5660" s="260" t="s">
        <v>2893</v>
      </c>
      <c r="AD5660" s="233">
        <f>SUM(AD5644:AD5650)</f>
        <v>27275</v>
      </c>
      <c r="AE5660" s="233">
        <f>SUM(AE5651:AE5659)</f>
        <v>25823.760000000002</v>
      </c>
      <c r="AF5660" s="233">
        <f>AF5643+AD5660-AE5660</f>
        <v>128075.38999999856</v>
      </c>
    </row>
    <row r="5661" spans="6:32" ht="8.25" customHeight="1" thickTop="1" x14ac:dyDescent="0.25">
      <c r="AA5661" s="75" t="s">
        <v>4515</v>
      </c>
      <c r="AD5661" s="76">
        <f>SUM(AD5660+AD5624+AD5589+AD5562+AD5527+AD5485+AD5458+AD5368+AD5330+AD5298+AD5257+AD5219+AD5196+AD5171+AD5123+AD5097+AD5049+AD5019+AD4987+AD4938+AD4918+AD4894+AD4854+AD4810+AD4784+AD4757+AD4723)</f>
        <v>1890358.55</v>
      </c>
      <c r="AE5661" s="76">
        <f>SUM(AE5660+AE5624+AE5589+AE5562+AE5527+AE5485+AE5458+AE5368+AE5330+AE5298+AE5257+AE5219+AE5196+AE5171+AE5123+AE5097+AE5049+AE5019+AE4987+AE4938+AE4918+AE4894+AE4854+AE4810+AE4784+AE4757+AE4723)</f>
        <v>1796617.32</v>
      </c>
      <c r="AF5661" s="76">
        <f>AF4690+AD5661-AE5661</f>
        <v>128075.38999999873</v>
      </c>
    </row>
    <row r="5665" spans="24:32" ht="8.25" customHeight="1" x14ac:dyDescent="0.25">
      <c r="X5665" s="109"/>
      <c r="Y5665" s="67" t="s">
        <v>214</v>
      </c>
      <c r="Z5665" s="68"/>
      <c r="AA5665" s="75"/>
    </row>
    <row r="5666" spans="24:32" ht="8.25" customHeight="1" x14ac:dyDescent="0.25">
      <c r="X5666" s="110" t="s">
        <v>402</v>
      </c>
      <c r="Y5666" s="111">
        <v>200</v>
      </c>
      <c r="Z5666" s="111">
        <f t="shared" ref="Z5666:Z5671" si="522">X5666*Y5666</f>
        <v>1000</v>
      </c>
      <c r="AA5666" s="112"/>
    </row>
    <row r="5667" spans="24:32" ht="8.25" customHeight="1" x14ac:dyDescent="0.25">
      <c r="X5667" s="110" t="s">
        <v>4273</v>
      </c>
      <c r="Y5667" s="111">
        <v>100</v>
      </c>
      <c r="Z5667" s="111">
        <f t="shared" si="522"/>
        <v>124600</v>
      </c>
      <c r="AA5667" s="112"/>
    </row>
    <row r="5668" spans="24:32" ht="8.25" customHeight="1" x14ac:dyDescent="0.25">
      <c r="X5668" s="110" t="s">
        <v>120</v>
      </c>
      <c r="Y5668" s="111">
        <v>50</v>
      </c>
      <c r="Z5668" s="111">
        <f t="shared" si="522"/>
        <v>0</v>
      </c>
      <c r="AA5668" s="76"/>
    </row>
    <row r="5669" spans="24:32" ht="8.25" customHeight="1" x14ac:dyDescent="0.25">
      <c r="X5669" s="110" t="s">
        <v>120</v>
      </c>
      <c r="Y5669" s="111">
        <v>20</v>
      </c>
      <c r="Z5669" s="111">
        <f t="shared" si="522"/>
        <v>0</v>
      </c>
      <c r="AA5669" s="38"/>
    </row>
    <row r="5670" spans="24:32" ht="8.25" customHeight="1" x14ac:dyDescent="0.25">
      <c r="X5670" s="110" t="s">
        <v>549</v>
      </c>
      <c r="Y5670" s="111">
        <v>10</v>
      </c>
      <c r="Z5670" s="111">
        <f t="shared" si="522"/>
        <v>650</v>
      </c>
      <c r="AA5670" s="112"/>
    </row>
    <row r="5671" spans="24:32" ht="8.25" customHeight="1" x14ac:dyDescent="0.25">
      <c r="X5671" s="110" t="s">
        <v>4272</v>
      </c>
      <c r="Y5671" s="111">
        <v>5</v>
      </c>
      <c r="Z5671" s="111">
        <f t="shared" si="522"/>
        <v>1495</v>
      </c>
      <c r="AA5671" s="112"/>
    </row>
    <row r="5672" spans="24:32" ht="8.25" customHeight="1" x14ac:dyDescent="0.25">
      <c r="X5672" s="269"/>
      <c r="Y5672" s="270"/>
      <c r="Z5672" s="271"/>
      <c r="AA5672" s="38"/>
    </row>
    <row r="5673" spans="24:32" ht="8.25" customHeight="1" x14ac:dyDescent="0.25">
      <c r="X5673" s="110" t="s">
        <v>4274</v>
      </c>
      <c r="Y5673" s="111">
        <v>1</v>
      </c>
      <c r="Z5673" s="111">
        <f t="shared" ref="Z5673:Z5678" si="523">X5673*Y5673</f>
        <v>268</v>
      </c>
      <c r="AA5673" s="76"/>
    </row>
    <row r="5674" spans="24:32" ht="8.25" customHeight="1" x14ac:dyDescent="0.25">
      <c r="X5674" s="110" t="s">
        <v>1012</v>
      </c>
      <c r="Y5674" s="111">
        <v>0.5</v>
      </c>
      <c r="Z5674" s="111">
        <f t="shared" si="523"/>
        <v>24.5</v>
      </c>
      <c r="AA5674" s="112"/>
    </row>
    <row r="5675" spans="24:32" ht="8.25" customHeight="1" x14ac:dyDescent="0.25">
      <c r="X5675" s="110" t="s">
        <v>4208</v>
      </c>
      <c r="Y5675" s="111">
        <v>0.25</v>
      </c>
      <c r="Z5675" s="111">
        <f t="shared" si="523"/>
        <v>37.25</v>
      </c>
      <c r="AA5675" s="113" t="s">
        <v>1</v>
      </c>
    </row>
    <row r="5676" spans="24:32" ht="8.25" customHeight="1" x14ac:dyDescent="0.25">
      <c r="X5676" s="110" t="s">
        <v>299</v>
      </c>
      <c r="Y5676" s="111">
        <v>0.1</v>
      </c>
      <c r="Z5676" s="111">
        <f t="shared" si="523"/>
        <v>0.4</v>
      </c>
      <c r="AA5676" s="114" t="s">
        <v>219</v>
      </c>
    </row>
    <row r="5677" spans="24:32" ht="8.25" customHeight="1" thickBot="1" x14ac:dyDescent="0.3">
      <c r="X5677" s="110" t="s">
        <v>223</v>
      </c>
      <c r="Y5677" s="111">
        <v>0.05</v>
      </c>
      <c r="Z5677" s="111">
        <f t="shared" si="523"/>
        <v>0.15000000000000002</v>
      </c>
      <c r="AA5677" s="115">
        <f>SUM(Z5666:Z5671)+Z5673+Z5674+Z5675+Z5676+Z5677+Z5678</f>
        <v>128075.38999999998</v>
      </c>
    </row>
    <row r="5678" spans="24:32" ht="8.25" customHeight="1" thickTop="1" x14ac:dyDescent="0.25">
      <c r="X5678" s="110" t="s">
        <v>1372</v>
      </c>
      <c r="Y5678" s="111">
        <v>0.01</v>
      </c>
      <c r="Z5678" s="111">
        <f t="shared" si="523"/>
        <v>0.09</v>
      </c>
    </row>
    <row r="5680" spans="24:32" ht="8.25" customHeight="1" x14ac:dyDescent="0.25">
      <c r="Z5680" s="231" t="s">
        <v>1376</v>
      </c>
      <c r="AF5680" s="76">
        <f>AF5660</f>
        <v>128075.38999999856</v>
      </c>
    </row>
    <row r="5681" spans="14:32" ht="8.25" customHeight="1" x14ac:dyDescent="0.25">
      <c r="N5681" s="52">
        <v>105</v>
      </c>
      <c r="T5681" s="33">
        <v>46235</v>
      </c>
      <c r="U5681" s="34">
        <v>2026</v>
      </c>
      <c r="V5681" s="35" t="s">
        <v>2716</v>
      </c>
      <c r="W5681" s="35" t="s">
        <v>17</v>
      </c>
      <c r="X5681" s="37" t="s">
        <v>4278</v>
      </c>
      <c r="Y5681" s="36" t="s">
        <v>1046</v>
      </c>
      <c r="Z5681" s="30" t="s">
        <v>1425</v>
      </c>
      <c r="AA5681" s="30" t="s">
        <v>3899</v>
      </c>
      <c r="AD5681" s="38">
        <v>816.44</v>
      </c>
      <c r="AF5681" s="76">
        <f>AF5680+AD5681-AE5681</f>
        <v>128891.82999999856</v>
      </c>
    </row>
    <row r="5682" spans="14:32" ht="8.25" customHeight="1" x14ac:dyDescent="0.25">
      <c r="N5682" s="52">
        <v>105</v>
      </c>
      <c r="T5682" s="33">
        <v>46235</v>
      </c>
      <c r="U5682" s="34">
        <v>2026</v>
      </c>
      <c r="V5682" s="35" t="s">
        <v>2716</v>
      </c>
      <c r="W5682" s="35" t="s">
        <v>17</v>
      </c>
      <c r="X5682" s="37" t="s">
        <v>4278</v>
      </c>
      <c r="Y5682" s="36" t="s">
        <v>1046</v>
      </c>
      <c r="Z5682" s="30" t="s">
        <v>1425</v>
      </c>
      <c r="AA5682" s="30" t="s">
        <v>166</v>
      </c>
      <c r="AD5682" s="38">
        <v>183.56</v>
      </c>
      <c r="AF5682" s="76">
        <f t="shared" ref="AF5682:AF5683" si="524">AF5681+AD5682-AE5682</f>
        <v>129075.38999999856</v>
      </c>
    </row>
    <row r="5683" spans="14:32" ht="8.25" customHeight="1" x14ac:dyDescent="0.25">
      <c r="T5683" s="33">
        <v>46235</v>
      </c>
      <c r="U5683" s="34">
        <v>2026</v>
      </c>
      <c r="V5683" s="35" t="s">
        <v>2716</v>
      </c>
      <c r="W5683" s="35" t="s">
        <v>3997</v>
      </c>
      <c r="X5683" s="37" t="s">
        <v>4279</v>
      </c>
      <c r="Y5683" s="36" t="s">
        <v>411</v>
      </c>
      <c r="Z5683" s="30" t="s">
        <v>1425</v>
      </c>
      <c r="AA5683" s="30" t="s">
        <v>2719</v>
      </c>
      <c r="AE5683" s="38">
        <v>1000</v>
      </c>
      <c r="AF5683" s="76">
        <f t="shared" si="524"/>
        <v>128075.38999999856</v>
      </c>
    </row>
    <row r="5684" spans="14:32" ht="8.25" customHeight="1" thickBot="1" x14ac:dyDescent="0.3">
      <c r="AA5684" s="260" t="s">
        <v>2893</v>
      </c>
      <c r="AD5684" s="233">
        <f>SUM(AD5681:AD5682)</f>
        <v>1000</v>
      </c>
      <c r="AE5684" s="233">
        <f>SUM(AE5683:AE5683)</f>
        <v>1000</v>
      </c>
      <c r="AF5684" s="233">
        <f>AF5683</f>
        <v>128075.38999999856</v>
      </c>
    </row>
    <row r="5685" spans="14:32" ht="8.25" customHeight="1" thickTop="1" x14ac:dyDescent="0.25">
      <c r="AF5685" s="30"/>
    </row>
    <row r="5686" spans="14:32" ht="8.25" customHeight="1" x14ac:dyDescent="0.25">
      <c r="X5686" s="109"/>
      <c r="Y5686" s="67" t="s">
        <v>214</v>
      </c>
      <c r="Z5686" s="68"/>
      <c r="AA5686" s="75"/>
    </row>
    <row r="5687" spans="14:32" ht="8.25" customHeight="1" x14ac:dyDescent="0.25">
      <c r="X5687" s="110" t="s">
        <v>299</v>
      </c>
      <c r="Y5687" s="111">
        <v>200</v>
      </c>
      <c r="Z5687" s="111">
        <f t="shared" ref="Z5687:Z5692" si="525">X5687*Y5687</f>
        <v>800</v>
      </c>
      <c r="AA5687" s="112"/>
    </row>
    <row r="5688" spans="14:32" ht="8.25" customHeight="1" x14ac:dyDescent="0.25">
      <c r="X5688" s="110" t="s">
        <v>4280</v>
      </c>
      <c r="Y5688" s="111">
        <v>100</v>
      </c>
      <c r="Z5688" s="111">
        <f t="shared" si="525"/>
        <v>124800</v>
      </c>
      <c r="AA5688" s="112"/>
    </row>
    <row r="5689" spans="14:32" ht="8.25" customHeight="1" x14ac:dyDescent="0.25">
      <c r="X5689" s="110" t="s">
        <v>120</v>
      </c>
      <c r="Y5689" s="111">
        <v>50</v>
      </c>
      <c r="Z5689" s="111">
        <f t="shared" si="525"/>
        <v>0</v>
      </c>
      <c r="AA5689" s="76"/>
    </row>
    <row r="5690" spans="14:32" ht="8.25" customHeight="1" x14ac:dyDescent="0.25">
      <c r="X5690" s="110" t="s">
        <v>120</v>
      </c>
      <c r="Y5690" s="111">
        <v>20</v>
      </c>
      <c r="Z5690" s="111">
        <f t="shared" si="525"/>
        <v>0</v>
      </c>
      <c r="AA5690" s="38"/>
    </row>
    <row r="5691" spans="14:32" ht="8.25" customHeight="1" x14ac:dyDescent="0.25">
      <c r="X5691" s="110" t="s">
        <v>549</v>
      </c>
      <c r="Y5691" s="111">
        <v>10</v>
      </c>
      <c r="Z5691" s="111">
        <f t="shared" si="525"/>
        <v>650</v>
      </c>
      <c r="AA5691" s="112"/>
    </row>
    <row r="5692" spans="14:32" ht="8.25" customHeight="1" x14ac:dyDescent="0.25">
      <c r="X5692" s="110" t="s">
        <v>4272</v>
      </c>
      <c r="Y5692" s="111">
        <v>5</v>
      </c>
      <c r="Z5692" s="111">
        <f t="shared" si="525"/>
        <v>1495</v>
      </c>
      <c r="AA5692" s="112"/>
    </row>
    <row r="5693" spans="14:32" ht="8.25" customHeight="1" x14ac:dyDescent="0.25">
      <c r="X5693" s="269"/>
      <c r="Y5693" s="270"/>
      <c r="Z5693" s="271"/>
      <c r="AA5693" s="38"/>
    </row>
    <row r="5694" spans="14:32" ht="8.25" customHeight="1" x14ac:dyDescent="0.25">
      <c r="X5694" s="110" t="s">
        <v>4274</v>
      </c>
      <c r="Y5694" s="111">
        <v>1</v>
      </c>
      <c r="Z5694" s="111">
        <f t="shared" ref="Z5694:Z5699" si="526">X5694*Y5694</f>
        <v>268</v>
      </c>
      <c r="AA5694" s="76"/>
    </row>
    <row r="5695" spans="14:32" ht="8.25" customHeight="1" x14ac:dyDescent="0.25">
      <c r="X5695" s="110" t="s">
        <v>711</v>
      </c>
      <c r="Y5695" s="111">
        <v>0.5</v>
      </c>
      <c r="Z5695" s="111">
        <f t="shared" si="526"/>
        <v>25</v>
      </c>
      <c r="AA5695" s="112"/>
    </row>
    <row r="5696" spans="14:32" ht="8.25" customHeight="1" x14ac:dyDescent="0.25">
      <c r="X5696" s="110" t="s">
        <v>4208</v>
      </c>
      <c r="Y5696" s="111">
        <v>0.25</v>
      </c>
      <c r="Z5696" s="111">
        <f t="shared" si="526"/>
        <v>37.25</v>
      </c>
      <c r="AA5696" s="113" t="s">
        <v>1</v>
      </c>
    </row>
    <row r="5697" spans="4:32" ht="8.25" customHeight="1" x14ac:dyDescent="0.25">
      <c r="X5697" s="110" t="s">
        <v>222</v>
      </c>
      <c r="Y5697" s="111">
        <v>0.1</v>
      </c>
      <c r="Z5697" s="111">
        <f t="shared" si="526"/>
        <v>0.1</v>
      </c>
      <c r="AA5697" s="114" t="s">
        <v>219</v>
      </c>
    </row>
    <row r="5698" spans="4:32" ht="8.25" customHeight="1" thickBot="1" x14ac:dyDescent="0.3">
      <c r="X5698" s="110" t="s">
        <v>120</v>
      </c>
      <c r="Y5698" s="111">
        <v>0.05</v>
      </c>
      <c r="Z5698" s="111">
        <f t="shared" si="526"/>
        <v>0</v>
      </c>
      <c r="AA5698" s="115">
        <f>SUM(Z5687:Z5692)+Z5694+Z5695+Z5696+Z5697+Z5698+Z5699</f>
        <v>128075.39</v>
      </c>
    </row>
    <row r="5699" spans="4:32" ht="8.25" customHeight="1" thickTop="1" x14ac:dyDescent="0.25">
      <c r="X5699" s="110" t="s">
        <v>299</v>
      </c>
      <c r="Y5699" s="111">
        <v>0.01</v>
      </c>
      <c r="Z5699" s="111">
        <f t="shared" si="526"/>
        <v>0.04</v>
      </c>
    </row>
    <row r="5702" spans="4:32" ht="8.25" customHeight="1" x14ac:dyDescent="0.25">
      <c r="Z5702" s="231" t="s">
        <v>1376</v>
      </c>
      <c r="AF5702" s="76">
        <f>AF5684</f>
        <v>128075.38999999856</v>
      </c>
    </row>
    <row r="5703" spans="4:32" ht="8.25" customHeight="1" x14ac:dyDescent="0.25">
      <c r="I5703" s="52">
        <v>39</v>
      </c>
      <c r="T5703" s="33">
        <v>46237</v>
      </c>
      <c r="U5703" s="34">
        <v>2026</v>
      </c>
      <c r="V5703" s="35" t="s">
        <v>2716</v>
      </c>
      <c r="W5703" s="35" t="s">
        <v>17</v>
      </c>
      <c r="X5703" s="37" t="s">
        <v>4281</v>
      </c>
      <c r="Y5703" s="36" t="s">
        <v>3873</v>
      </c>
      <c r="Z5703" s="30" t="s">
        <v>3867</v>
      </c>
      <c r="AA5703" s="30" t="s">
        <v>13</v>
      </c>
      <c r="AD5703" s="38">
        <v>2100</v>
      </c>
      <c r="AF5703" s="76">
        <f>AF5702+AD5703-AE5703</f>
        <v>130175.38999999856</v>
      </c>
    </row>
    <row r="5704" spans="4:32" ht="8.25" customHeight="1" x14ac:dyDescent="0.25">
      <c r="D5704" s="52">
        <v>9</v>
      </c>
      <c r="T5704" s="33">
        <v>46237</v>
      </c>
      <c r="U5704" s="34">
        <v>2026</v>
      </c>
      <c r="V5704" s="35" t="s">
        <v>2716</v>
      </c>
      <c r="W5704" s="35" t="s">
        <v>3620</v>
      </c>
      <c r="X5704" s="37" t="s">
        <v>4282</v>
      </c>
      <c r="Y5704" s="36" t="s">
        <v>4283</v>
      </c>
      <c r="Z5704" s="30" t="s">
        <v>4284</v>
      </c>
      <c r="AA5704" s="30" t="s">
        <v>256</v>
      </c>
      <c r="AD5704" s="38">
        <v>5075.5</v>
      </c>
      <c r="AF5704" s="76">
        <f t="shared" ref="AF5704:AF5732" si="527">AF5703+AD5704-AE5704</f>
        <v>135250.88999999856</v>
      </c>
    </row>
    <row r="5705" spans="4:32" ht="8.25" customHeight="1" x14ac:dyDescent="0.25">
      <c r="N5705" s="52">
        <v>106</v>
      </c>
      <c r="T5705" s="33">
        <v>46237</v>
      </c>
      <c r="U5705" s="34">
        <v>2026</v>
      </c>
      <c r="V5705" s="35" t="s">
        <v>2716</v>
      </c>
      <c r="W5705" s="35" t="s">
        <v>17</v>
      </c>
      <c r="X5705" s="37" t="s">
        <v>4289</v>
      </c>
      <c r="Y5705" s="36" t="s">
        <v>4290</v>
      </c>
      <c r="Z5705" s="30" t="s">
        <v>3617</v>
      </c>
      <c r="AA5705" s="30" t="s">
        <v>3899</v>
      </c>
      <c r="AD5705" s="38">
        <v>3334.29</v>
      </c>
      <c r="AF5705" s="76">
        <f t="shared" si="527"/>
        <v>138585.17999999857</v>
      </c>
    </row>
    <row r="5706" spans="4:32" ht="8.25" customHeight="1" x14ac:dyDescent="0.25">
      <c r="N5706" s="52">
        <v>106</v>
      </c>
      <c r="T5706" s="33">
        <v>46237</v>
      </c>
      <c r="U5706" s="34">
        <v>2026</v>
      </c>
      <c r="V5706" s="35" t="s">
        <v>2716</v>
      </c>
      <c r="W5706" s="35" t="s">
        <v>17</v>
      </c>
      <c r="X5706" s="37" t="s">
        <v>4289</v>
      </c>
      <c r="Y5706" s="36" t="s">
        <v>4290</v>
      </c>
      <c r="Z5706" s="30" t="s">
        <v>3617</v>
      </c>
      <c r="AA5706" s="30" t="s">
        <v>166</v>
      </c>
      <c r="AD5706" s="38">
        <v>4076.71</v>
      </c>
      <c r="AF5706" s="76">
        <f t="shared" si="527"/>
        <v>142661.88999999856</v>
      </c>
    </row>
    <row r="5707" spans="4:32" ht="8.25" customHeight="1" x14ac:dyDescent="0.25">
      <c r="N5707" s="52">
        <v>107</v>
      </c>
      <c r="T5707" s="33">
        <v>46237</v>
      </c>
      <c r="U5707" s="34">
        <v>2026</v>
      </c>
      <c r="V5707" s="35" t="s">
        <v>2716</v>
      </c>
      <c r="W5707" s="35" t="s">
        <v>17</v>
      </c>
      <c r="X5707" s="37" t="s">
        <v>4291</v>
      </c>
      <c r="Y5707" s="36" t="s">
        <v>4292</v>
      </c>
      <c r="Z5707" s="30" t="s">
        <v>4293</v>
      </c>
      <c r="AA5707" s="30" t="s">
        <v>166</v>
      </c>
      <c r="AD5707" s="38">
        <v>6885</v>
      </c>
      <c r="AF5707" s="76">
        <f t="shared" si="527"/>
        <v>149546.88999999856</v>
      </c>
    </row>
    <row r="5708" spans="4:32" ht="8.25" customHeight="1" x14ac:dyDescent="0.25">
      <c r="N5708" s="52">
        <v>107</v>
      </c>
      <c r="T5708" s="33">
        <v>46237</v>
      </c>
      <c r="U5708" s="34">
        <v>2026</v>
      </c>
      <c r="V5708" s="35" t="s">
        <v>2716</v>
      </c>
      <c r="W5708" s="35" t="s">
        <v>17</v>
      </c>
      <c r="X5708" s="37" t="s">
        <v>4291</v>
      </c>
      <c r="Y5708" s="36" t="s">
        <v>4292</v>
      </c>
      <c r="Z5708" s="30" t="s">
        <v>4293</v>
      </c>
      <c r="AA5708" s="30" t="s">
        <v>3304</v>
      </c>
      <c r="AD5708" s="38">
        <v>115</v>
      </c>
      <c r="AF5708" s="76">
        <f t="shared" si="527"/>
        <v>149661.88999999856</v>
      </c>
    </row>
    <row r="5709" spans="4:32" ht="8.25" customHeight="1" x14ac:dyDescent="0.25">
      <c r="N5709" s="52">
        <v>108</v>
      </c>
      <c r="T5709" s="33">
        <v>46237</v>
      </c>
      <c r="U5709" s="34">
        <v>2026</v>
      </c>
      <c r="V5709" s="35" t="s">
        <v>2716</v>
      </c>
      <c r="W5709" s="35" t="s">
        <v>17</v>
      </c>
      <c r="X5709" s="37" t="s">
        <v>4297</v>
      </c>
      <c r="Y5709" s="36" t="s">
        <v>4298</v>
      </c>
      <c r="Z5709" s="30" t="s">
        <v>3702</v>
      </c>
      <c r="AA5709" s="30" t="s">
        <v>3899</v>
      </c>
      <c r="AD5709" s="38">
        <v>4735.6899999999996</v>
      </c>
      <c r="AF5709" s="76">
        <f t="shared" si="527"/>
        <v>154397.57999999856</v>
      </c>
    </row>
    <row r="5710" spans="4:32" ht="8.25" customHeight="1" x14ac:dyDescent="0.25">
      <c r="N5710" s="52">
        <v>108</v>
      </c>
      <c r="T5710" s="33">
        <v>46237</v>
      </c>
      <c r="U5710" s="34">
        <v>2026</v>
      </c>
      <c r="V5710" s="35" t="s">
        <v>2716</v>
      </c>
      <c r="W5710" s="35" t="s">
        <v>17</v>
      </c>
      <c r="X5710" s="37" t="s">
        <v>4297</v>
      </c>
      <c r="Y5710" s="36" t="s">
        <v>4298</v>
      </c>
      <c r="Z5710" s="30" t="s">
        <v>3702</v>
      </c>
      <c r="AA5710" s="30" t="s">
        <v>166</v>
      </c>
      <c r="AD5710" s="38">
        <v>2316.31</v>
      </c>
      <c r="AF5710" s="76">
        <f t="shared" si="527"/>
        <v>156713.88999999856</v>
      </c>
    </row>
    <row r="5711" spans="4:32" ht="8.25" customHeight="1" x14ac:dyDescent="0.25">
      <c r="N5711" s="52">
        <v>109</v>
      </c>
      <c r="T5711" s="33">
        <v>46237</v>
      </c>
      <c r="U5711" s="34">
        <v>2026</v>
      </c>
      <c r="V5711" s="35" t="s">
        <v>2716</v>
      </c>
      <c r="W5711" s="35" t="s">
        <v>17</v>
      </c>
      <c r="X5711" s="37" t="s">
        <v>4299</v>
      </c>
      <c r="Y5711" s="36" t="s">
        <v>3281</v>
      </c>
      <c r="Z5711" s="30" t="s">
        <v>15</v>
      </c>
      <c r="AA5711" s="30" t="s">
        <v>3899</v>
      </c>
      <c r="AD5711" s="38">
        <v>703.97</v>
      </c>
      <c r="AF5711" s="76">
        <f t="shared" si="527"/>
        <v>157417.85999999856</v>
      </c>
    </row>
    <row r="5712" spans="4:32" ht="8.25" customHeight="1" x14ac:dyDescent="0.25">
      <c r="N5712" s="52">
        <v>109</v>
      </c>
      <c r="T5712" s="33">
        <v>46237</v>
      </c>
      <c r="U5712" s="34">
        <v>2026</v>
      </c>
      <c r="V5712" s="35" t="s">
        <v>2716</v>
      </c>
      <c r="W5712" s="35" t="s">
        <v>17</v>
      </c>
      <c r="X5712" s="37" t="s">
        <v>4299</v>
      </c>
      <c r="Y5712" s="36" t="s">
        <v>3281</v>
      </c>
      <c r="Z5712" s="30" t="s">
        <v>15</v>
      </c>
      <c r="AA5712" s="30" t="s">
        <v>166</v>
      </c>
      <c r="AD5712" s="38">
        <v>191.03</v>
      </c>
      <c r="AF5712" s="76">
        <f t="shared" si="527"/>
        <v>157608.88999999856</v>
      </c>
    </row>
    <row r="5713" spans="4:32" ht="8.25" customHeight="1" x14ac:dyDescent="0.25">
      <c r="N5713" s="52">
        <v>109</v>
      </c>
      <c r="T5713" s="33">
        <v>46237</v>
      </c>
      <c r="U5713" s="34">
        <v>2026</v>
      </c>
      <c r="V5713" s="35" t="s">
        <v>2716</v>
      </c>
      <c r="W5713" s="35" t="s">
        <v>17</v>
      </c>
      <c r="X5713" s="37" t="s">
        <v>4299</v>
      </c>
      <c r="Y5713" s="36" t="s">
        <v>3281</v>
      </c>
      <c r="Z5713" s="30" t="s">
        <v>15</v>
      </c>
      <c r="AA5713" s="30" t="s">
        <v>3304</v>
      </c>
      <c r="AD5713" s="38">
        <v>105</v>
      </c>
      <c r="AF5713" s="76">
        <f t="shared" si="527"/>
        <v>157713.88999999856</v>
      </c>
    </row>
    <row r="5714" spans="4:32" ht="8.25" customHeight="1" x14ac:dyDescent="0.25">
      <c r="N5714" s="52">
        <v>110</v>
      </c>
      <c r="T5714" s="33">
        <v>46237</v>
      </c>
      <c r="U5714" s="34">
        <v>2026</v>
      </c>
      <c r="V5714" s="35" t="s">
        <v>2716</v>
      </c>
      <c r="W5714" s="35" t="s">
        <v>17</v>
      </c>
      <c r="X5714" s="37" t="s">
        <v>4300</v>
      </c>
      <c r="Y5714" s="36" t="s">
        <v>3780</v>
      </c>
      <c r="Z5714" s="30" t="s">
        <v>119</v>
      </c>
      <c r="AA5714" s="30" t="s">
        <v>3899</v>
      </c>
      <c r="AD5714" s="38">
        <v>8389.06</v>
      </c>
      <c r="AF5714" s="76">
        <f t="shared" si="527"/>
        <v>166102.94999999856</v>
      </c>
    </row>
    <row r="5715" spans="4:32" ht="8.25" customHeight="1" x14ac:dyDescent="0.25">
      <c r="N5715" s="52">
        <v>110</v>
      </c>
      <c r="T5715" s="33">
        <v>46237</v>
      </c>
      <c r="U5715" s="34">
        <v>2026</v>
      </c>
      <c r="V5715" s="35" t="s">
        <v>2716</v>
      </c>
      <c r="W5715" s="35" t="s">
        <v>17</v>
      </c>
      <c r="X5715" s="37" t="s">
        <v>4300</v>
      </c>
      <c r="Y5715" s="36" t="s">
        <v>3780</v>
      </c>
      <c r="Z5715" s="30" t="s">
        <v>119</v>
      </c>
      <c r="AA5715" s="30" t="s">
        <v>166</v>
      </c>
      <c r="AD5715" s="38">
        <v>1570.94</v>
      </c>
      <c r="AF5715" s="76">
        <f t="shared" si="527"/>
        <v>167673.88999999856</v>
      </c>
    </row>
    <row r="5716" spans="4:32" ht="8.25" customHeight="1" x14ac:dyDescent="0.25">
      <c r="N5716" s="52">
        <v>110</v>
      </c>
      <c r="T5716" s="33">
        <v>46237</v>
      </c>
      <c r="U5716" s="34">
        <v>2026</v>
      </c>
      <c r="V5716" s="35" t="s">
        <v>2716</v>
      </c>
      <c r="W5716" s="35" t="s">
        <v>17</v>
      </c>
      <c r="X5716" s="37" t="s">
        <v>4300</v>
      </c>
      <c r="Y5716" s="36" t="s">
        <v>3780</v>
      </c>
      <c r="Z5716" s="30" t="s">
        <v>119</v>
      </c>
      <c r="AA5716" s="30" t="s">
        <v>3304</v>
      </c>
      <c r="AD5716" s="38">
        <v>40</v>
      </c>
      <c r="AF5716" s="76">
        <f t="shared" si="527"/>
        <v>167713.88999999856</v>
      </c>
    </row>
    <row r="5717" spans="4:32" ht="8.25" customHeight="1" x14ac:dyDescent="0.25">
      <c r="T5717" s="33">
        <v>46237</v>
      </c>
      <c r="U5717" s="34">
        <v>2026</v>
      </c>
      <c r="V5717" s="35" t="s">
        <v>2716</v>
      </c>
      <c r="W5717" s="35" t="s">
        <v>17</v>
      </c>
      <c r="X5717" s="37" t="s">
        <v>4301</v>
      </c>
      <c r="Y5717" s="36" t="s">
        <v>3651</v>
      </c>
      <c r="Z5717" s="30" t="s">
        <v>1860</v>
      </c>
      <c r="AA5717" s="30" t="s">
        <v>2485</v>
      </c>
      <c r="AD5717" s="38">
        <v>1000</v>
      </c>
      <c r="AF5717" s="76">
        <f t="shared" si="527"/>
        <v>168713.88999999856</v>
      </c>
    </row>
    <row r="5718" spans="4:32" ht="8.25" customHeight="1" x14ac:dyDescent="0.25">
      <c r="T5718" s="33">
        <v>46237</v>
      </c>
      <c r="U5718" s="34">
        <v>2026</v>
      </c>
      <c r="V5718" s="35" t="s">
        <v>2716</v>
      </c>
      <c r="W5718" s="35" t="s">
        <v>17</v>
      </c>
      <c r="X5718" s="37" t="s">
        <v>4302</v>
      </c>
      <c r="Y5718" s="36" t="s">
        <v>3963</v>
      </c>
      <c r="Z5718" s="30" t="s">
        <v>4303</v>
      </c>
      <c r="AA5718" s="30" t="s">
        <v>1195</v>
      </c>
      <c r="AD5718" s="38">
        <v>5</v>
      </c>
      <c r="AF5718" s="76">
        <f t="shared" si="527"/>
        <v>168718.88999999856</v>
      </c>
    </row>
    <row r="5719" spans="4:32" ht="8.25" customHeight="1" x14ac:dyDescent="0.25">
      <c r="I5719" s="52">
        <v>40</v>
      </c>
      <c r="T5719" s="33">
        <v>46237</v>
      </c>
      <c r="U5719" s="34">
        <v>2026</v>
      </c>
      <c r="V5719" s="35" t="s">
        <v>2716</v>
      </c>
      <c r="W5719" s="35" t="s">
        <v>17</v>
      </c>
      <c r="X5719" s="37" t="s">
        <v>4304</v>
      </c>
      <c r="Y5719" s="36" t="s">
        <v>4305</v>
      </c>
      <c r="Z5719" s="30" t="s">
        <v>4303</v>
      </c>
      <c r="AA5719" s="30" t="s">
        <v>13</v>
      </c>
      <c r="AD5719" s="38">
        <v>10000</v>
      </c>
      <c r="AF5719" s="76">
        <f t="shared" si="527"/>
        <v>178718.88999999856</v>
      </c>
    </row>
    <row r="5720" spans="4:32" ht="8.25" customHeight="1" x14ac:dyDescent="0.25">
      <c r="N5720" s="52">
        <v>111</v>
      </c>
      <c r="T5720" s="33">
        <v>46237</v>
      </c>
      <c r="U5720" s="34">
        <v>2026</v>
      </c>
      <c r="V5720" s="35" t="s">
        <v>2716</v>
      </c>
      <c r="W5720" s="35" t="s">
        <v>17</v>
      </c>
      <c r="X5720" s="37" t="s">
        <v>4315</v>
      </c>
      <c r="Y5720" s="36" t="s">
        <v>790</v>
      </c>
      <c r="Z5720" s="30" t="s">
        <v>14</v>
      </c>
      <c r="AA5720" s="30" t="s">
        <v>3899</v>
      </c>
      <c r="AD5720" s="38">
        <v>1424.95</v>
      </c>
      <c r="AF5720" s="76">
        <f t="shared" si="527"/>
        <v>180143.83999999857</v>
      </c>
    </row>
    <row r="5721" spans="4:32" ht="8.25" customHeight="1" x14ac:dyDescent="0.25">
      <c r="N5721" s="52">
        <v>111</v>
      </c>
      <c r="T5721" s="33">
        <v>46237</v>
      </c>
      <c r="U5721" s="34">
        <v>2026</v>
      </c>
      <c r="V5721" s="35" t="s">
        <v>2716</v>
      </c>
      <c r="W5721" s="35" t="s">
        <v>17</v>
      </c>
      <c r="X5721" s="37" t="s">
        <v>4315</v>
      </c>
      <c r="Y5721" s="36" t="s">
        <v>790</v>
      </c>
      <c r="Z5721" s="30" t="s">
        <v>14</v>
      </c>
      <c r="AA5721" s="30" t="s">
        <v>166</v>
      </c>
      <c r="AD5721" s="38">
        <v>546.04999999999995</v>
      </c>
      <c r="AF5721" s="76">
        <f t="shared" si="527"/>
        <v>180689.88999999856</v>
      </c>
    </row>
    <row r="5722" spans="4:32" ht="8.25" customHeight="1" x14ac:dyDescent="0.25">
      <c r="N5722" s="52">
        <v>112</v>
      </c>
      <c r="T5722" s="33">
        <v>46237</v>
      </c>
      <c r="U5722" s="34">
        <v>2026</v>
      </c>
      <c r="V5722" s="35" t="s">
        <v>2716</v>
      </c>
      <c r="W5722" s="35" t="s">
        <v>17</v>
      </c>
      <c r="X5722" s="37" t="s">
        <v>4316</v>
      </c>
      <c r="Y5722" s="36" t="s">
        <v>1216</v>
      </c>
      <c r="Z5722" s="30" t="s">
        <v>1201</v>
      </c>
      <c r="AA5722" s="30" t="s">
        <v>3708</v>
      </c>
      <c r="AD5722" s="38">
        <v>938.97</v>
      </c>
      <c r="AF5722" s="76">
        <f t="shared" si="527"/>
        <v>181628.85999999856</v>
      </c>
    </row>
    <row r="5723" spans="4:32" ht="8.25" customHeight="1" x14ac:dyDescent="0.25">
      <c r="N5723" s="52">
        <v>112</v>
      </c>
      <c r="T5723" s="33">
        <v>46237</v>
      </c>
      <c r="U5723" s="34">
        <v>2026</v>
      </c>
      <c r="V5723" s="35" t="s">
        <v>2716</v>
      </c>
      <c r="W5723" s="35" t="s">
        <v>17</v>
      </c>
      <c r="X5723" s="37" t="s">
        <v>4316</v>
      </c>
      <c r="Y5723" s="36" t="s">
        <v>1216</v>
      </c>
      <c r="Z5723" s="30" t="s">
        <v>1201</v>
      </c>
      <c r="AA5723" s="30" t="s">
        <v>183</v>
      </c>
      <c r="AD5723" s="38">
        <v>35.03</v>
      </c>
      <c r="AF5723" s="76">
        <f t="shared" si="527"/>
        <v>181663.88999999856</v>
      </c>
    </row>
    <row r="5724" spans="4:32" ht="8.25" customHeight="1" x14ac:dyDescent="0.25">
      <c r="D5724" s="52">
        <v>10</v>
      </c>
      <c r="T5724" s="33">
        <v>46237</v>
      </c>
      <c r="U5724" s="34">
        <v>2026</v>
      </c>
      <c r="V5724" s="35" t="s">
        <v>2716</v>
      </c>
      <c r="W5724" s="35" t="s">
        <v>3620</v>
      </c>
      <c r="X5724" s="37" t="s">
        <v>4306</v>
      </c>
      <c r="Y5724" s="36" t="s">
        <v>4307</v>
      </c>
      <c r="Z5724" s="30" t="s">
        <v>4308</v>
      </c>
      <c r="AA5724" s="30" t="s">
        <v>256</v>
      </c>
      <c r="AD5724" s="38">
        <v>300</v>
      </c>
      <c r="AF5724" s="76">
        <f t="shared" si="527"/>
        <v>181963.88999999856</v>
      </c>
    </row>
    <row r="5725" spans="4:32" ht="8.25" customHeight="1" x14ac:dyDescent="0.25">
      <c r="K5725" s="52">
        <v>11</v>
      </c>
      <c r="T5725" s="33">
        <v>46237</v>
      </c>
      <c r="U5725" s="34">
        <v>2026</v>
      </c>
      <c r="V5725" s="35" t="s">
        <v>2716</v>
      </c>
      <c r="W5725" s="35" t="s">
        <v>17</v>
      </c>
      <c r="X5725" s="37" t="s">
        <v>4318</v>
      </c>
      <c r="Y5725" s="36" t="s">
        <v>4321</v>
      </c>
      <c r="Z5725" s="30" t="s">
        <v>4322</v>
      </c>
      <c r="AA5725" s="30" t="s">
        <v>1787</v>
      </c>
      <c r="AD5725" s="38">
        <v>100</v>
      </c>
      <c r="AF5725" s="76">
        <f t="shared" si="527"/>
        <v>182063.88999999856</v>
      </c>
    </row>
    <row r="5726" spans="4:32" ht="8.25" customHeight="1" x14ac:dyDescent="0.25">
      <c r="L5726" s="52">
        <v>11</v>
      </c>
      <c r="T5726" s="33">
        <v>46237</v>
      </c>
      <c r="U5726" s="34">
        <v>2026</v>
      </c>
      <c r="V5726" s="35" t="s">
        <v>2716</v>
      </c>
      <c r="W5726" s="35" t="s">
        <v>17</v>
      </c>
      <c r="X5726" s="37" t="s">
        <v>4319</v>
      </c>
      <c r="Y5726" s="36" t="s">
        <v>3982</v>
      </c>
      <c r="Z5726" s="30" t="s">
        <v>4322</v>
      </c>
      <c r="AA5726" s="30" t="s">
        <v>373</v>
      </c>
      <c r="AD5726" s="38">
        <v>50</v>
      </c>
      <c r="AF5726" s="76">
        <f t="shared" si="527"/>
        <v>182113.88999999856</v>
      </c>
    </row>
    <row r="5727" spans="4:32" ht="8.25" customHeight="1" x14ac:dyDescent="0.25">
      <c r="R5727" s="53">
        <v>56</v>
      </c>
      <c r="T5727" s="33">
        <v>46237</v>
      </c>
      <c r="U5727" s="34">
        <v>2026</v>
      </c>
      <c r="V5727" s="35" t="s">
        <v>2716</v>
      </c>
      <c r="W5727" s="35" t="s">
        <v>5</v>
      </c>
      <c r="X5727" s="37" t="s">
        <v>4285</v>
      </c>
      <c r="Y5727" s="36" t="s">
        <v>3597</v>
      </c>
      <c r="Z5727" s="30" t="s">
        <v>365</v>
      </c>
      <c r="AA5727" s="30" t="s">
        <v>92</v>
      </c>
      <c r="AE5727" s="38">
        <v>100</v>
      </c>
      <c r="AF5727" s="76">
        <f t="shared" si="527"/>
        <v>182013.88999999856</v>
      </c>
    </row>
    <row r="5728" spans="4:32" ht="8.25" customHeight="1" x14ac:dyDescent="0.25">
      <c r="G5728" s="53">
        <v>30</v>
      </c>
      <c r="T5728" s="33">
        <v>46237</v>
      </c>
      <c r="U5728" s="34">
        <v>2026</v>
      </c>
      <c r="V5728" s="35" t="s">
        <v>2716</v>
      </c>
      <c r="W5728" s="35" t="s">
        <v>3625</v>
      </c>
      <c r="X5728" s="37" t="s">
        <v>4286</v>
      </c>
      <c r="Y5728" s="36" t="s">
        <v>4287</v>
      </c>
      <c r="Z5728" s="30" t="s">
        <v>843</v>
      </c>
      <c r="AA5728" s="30" t="s">
        <v>4288</v>
      </c>
      <c r="AE5728" s="38">
        <v>6112</v>
      </c>
      <c r="AF5728" s="76">
        <f t="shared" si="527"/>
        <v>175901.88999999856</v>
      </c>
    </row>
    <row r="5729" spans="7:32" ht="8.25" customHeight="1" x14ac:dyDescent="0.25">
      <c r="G5729" s="53">
        <v>31</v>
      </c>
      <c r="T5729" s="33">
        <v>46237</v>
      </c>
      <c r="U5729" s="34">
        <v>2026</v>
      </c>
      <c r="V5729" s="35" t="s">
        <v>2716</v>
      </c>
      <c r="W5729" s="35" t="s">
        <v>3625</v>
      </c>
      <c r="X5729" s="37" t="s">
        <v>4294</v>
      </c>
      <c r="Y5729" s="36" t="s">
        <v>4295</v>
      </c>
      <c r="Z5729" s="30" t="s">
        <v>4296</v>
      </c>
      <c r="AA5729" s="30" t="s">
        <v>4288</v>
      </c>
      <c r="AE5729" s="38">
        <v>1031.42</v>
      </c>
      <c r="AF5729" s="76">
        <f t="shared" si="527"/>
        <v>174870.46999999855</v>
      </c>
    </row>
    <row r="5730" spans="7:32" ht="8.25" customHeight="1" x14ac:dyDescent="0.25">
      <c r="G5730" s="53">
        <v>32</v>
      </c>
      <c r="T5730" s="33">
        <v>46237</v>
      </c>
      <c r="U5730" s="34">
        <v>2026</v>
      </c>
      <c r="V5730" s="35" t="s">
        <v>2716</v>
      </c>
      <c r="W5730" s="35" t="s">
        <v>3625</v>
      </c>
      <c r="X5730" s="37" t="s">
        <v>4309</v>
      </c>
      <c r="Y5730" s="36" t="s">
        <v>4310</v>
      </c>
      <c r="Z5730" s="30" t="s">
        <v>119</v>
      </c>
      <c r="AA5730" s="30" t="s">
        <v>4288</v>
      </c>
      <c r="AE5730" s="38">
        <v>10878</v>
      </c>
      <c r="AF5730" s="76">
        <f t="shared" si="527"/>
        <v>163992.46999999855</v>
      </c>
    </row>
    <row r="5731" spans="7:32" ht="8.25" customHeight="1" x14ac:dyDescent="0.25">
      <c r="G5731" s="53">
        <v>33</v>
      </c>
      <c r="T5731" s="33">
        <v>46237</v>
      </c>
      <c r="U5731" s="34">
        <v>2026</v>
      </c>
      <c r="V5731" s="35" t="s">
        <v>2716</v>
      </c>
      <c r="W5731" s="35" t="s">
        <v>3625</v>
      </c>
      <c r="X5731" s="37" t="s">
        <v>4311</v>
      </c>
      <c r="Y5731" s="36" t="s">
        <v>4312</v>
      </c>
      <c r="Z5731" s="30" t="s">
        <v>119</v>
      </c>
      <c r="AA5731" s="30" t="s">
        <v>4288</v>
      </c>
      <c r="AE5731" s="38">
        <v>694</v>
      </c>
      <c r="AF5731" s="76">
        <f t="shared" si="527"/>
        <v>163298.46999999855</v>
      </c>
    </row>
    <row r="5732" spans="7:32" ht="8.25" customHeight="1" x14ac:dyDescent="0.25">
      <c r="G5732" s="53">
        <v>34</v>
      </c>
      <c r="T5732" s="33">
        <v>46237</v>
      </c>
      <c r="U5732" s="34">
        <v>2026</v>
      </c>
      <c r="V5732" s="35" t="s">
        <v>2716</v>
      </c>
      <c r="W5732" s="35" t="s">
        <v>3625</v>
      </c>
      <c r="X5732" s="37" t="s">
        <v>4313</v>
      </c>
      <c r="Y5732" s="36" t="s">
        <v>4314</v>
      </c>
      <c r="Z5732" s="30" t="s">
        <v>1514</v>
      </c>
      <c r="AA5732" s="30" t="s">
        <v>4288</v>
      </c>
      <c r="AE5732" s="38">
        <v>1530</v>
      </c>
      <c r="AF5732" s="76">
        <f t="shared" si="527"/>
        <v>161768.46999999855</v>
      </c>
    </row>
    <row r="5733" spans="7:32" ht="8.25" customHeight="1" thickBot="1" x14ac:dyDescent="0.3">
      <c r="AA5733" s="260" t="s">
        <v>2893</v>
      </c>
      <c r="AD5733" s="233">
        <f>SUM(AD5703:AD5726)</f>
        <v>54038.5</v>
      </c>
      <c r="AE5733" s="233">
        <f>SUM(AE5727:AE5732)</f>
        <v>20345.419999999998</v>
      </c>
      <c r="AF5733" s="233">
        <f>AF5732</f>
        <v>161768.46999999855</v>
      </c>
    </row>
    <row r="5734" spans="7:32" ht="8.25" customHeight="1" thickTop="1" x14ac:dyDescent="0.25"/>
    <row r="5736" spans="7:32" ht="8.25" customHeight="1" x14ac:dyDescent="0.25">
      <c r="X5736" s="109"/>
      <c r="Y5736" s="67" t="s">
        <v>214</v>
      </c>
      <c r="Z5736" s="68"/>
      <c r="AA5736" s="75"/>
    </row>
    <row r="5737" spans="7:32" ht="8.25" customHeight="1" x14ac:dyDescent="0.25">
      <c r="X5737" s="110" t="s">
        <v>223</v>
      </c>
      <c r="Y5737" s="111">
        <v>200</v>
      </c>
      <c r="Z5737" s="111">
        <f t="shared" ref="Z5737:Z5742" si="528">X5737*Y5737</f>
        <v>600</v>
      </c>
      <c r="AA5737" s="112"/>
    </row>
    <row r="5738" spans="7:32" ht="8.25" customHeight="1" x14ac:dyDescent="0.25">
      <c r="X5738" s="110" t="s">
        <v>4320</v>
      </c>
      <c r="Y5738" s="111">
        <v>100</v>
      </c>
      <c r="Z5738" s="111">
        <f t="shared" si="528"/>
        <v>158900</v>
      </c>
      <c r="AA5738" s="112"/>
    </row>
    <row r="5739" spans="7:32" ht="8.25" customHeight="1" x14ac:dyDescent="0.25">
      <c r="X5739" s="110" t="s">
        <v>222</v>
      </c>
      <c r="Y5739" s="111">
        <v>50</v>
      </c>
      <c r="Z5739" s="111">
        <f t="shared" si="528"/>
        <v>50</v>
      </c>
      <c r="AA5739" s="76"/>
    </row>
    <row r="5740" spans="7:32" ht="8.25" customHeight="1" x14ac:dyDescent="0.25">
      <c r="X5740" s="110" t="s">
        <v>120</v>
      </c>
      <c r="Y5740" s="111">
        <v>20</v>
      </c>
      <c r="Z5740" s="111">
        <f t="shared" si="528"/>
        <v>0</v>
      </c>
      <c r="AA5740" s="38"/>
    </row>
    <row r="5741" spans="7:32" ht="8.25" customHeight="1" x14ac:dyDescent="0.25">
      <c r="X5741" s="110" t="s">
        <v>1111</v>
      </c>
      <c r="Y5741" s="111">
        <v>10</v>
      </c>
      <c r="Z5741" s="111">
        <f t="shared" si="528"/>
        <v>420</v>
      </c>
      <c r="AA5741" s="112"/>
    </row>
    <row r="5742" spans="7:32" ht="8.25" customHeight="1" x14ac:dyDescent="0.25">
      <c r="X5742" s="110" t="s">
        <v>607</v>
      </c>
      <c r="Y5742" s="111">
        <v>5</v>
      </c>
      <c r="Z5742" s="111">
        <f t="shared" si="528"/>
        <v>1485</v>
      </c>
      <c r="AA5742" s="112"/>
    </row>
    <row r="5743" spans="7:32" ht="8.25" customHeight="1" x14ac:dyDescent="0.25">
      <c r="X5743" s="269"/>
      <c r="Y5743" s="270"/>
      <c r="Z5743" s="271"/>
      <c r="AA5743" s="38"/>
    </row>
    <row r="5744" spans="7:32" ht="8.25" customHeight="1" x14ac:dyDescent="0.25">
      <c r="X5744" s="110" t="s">
        <v>4317</v>
      </c>
      <c r="Y5744" s="111">
        <v>1</v>
      </c>
      <c r="Z5744" s="111">
        <f t="shared" ref="Z5744:Z5749" si="529">X5744*Y5744</f>
        <v>251</v>
      </c>
      <c r="AA5744" s="76"/>
    </row>
    <row r="5745" spans="9:32" ht="8.25" customHeight="1" x14ac:dyDescent="0.25">
      <c r="X5745" s="110" t="s">
        <v>711</v>
      </c>
      <c r="Y5745" s="111">
        <v>0.5</v>
      </c>
      <c r="Z5745" s="111">
        <f t="shared" si="529"/>
        <v>25</v>
      </c>
      <c r="AA5745" s="112"/>
    </row>
    <row r="5746" spans="9:32" ht="8.25" customHeight="1" x14ac:dyDescent="0.25">
      <c r="X5746" s="110" t="s">
        <v>4208</v>
      </c>
      <c r="Y5746" s="111">
        <v>0.25</v>
      </c>
      <c r="Z5746" s="111">
        <f t="shared" si="529"/>
        <v>37.25</v>
      </c>
      <c r="AA5746" s="113" t="s">
        <v>1</v>
      </c>
    </row>
    <row r="5747" spans="9:32" ht="8.25" customHeight="1" x14ac:dyDescent="0.25">
      <c r="X5747" s="110" t="s">
        <v>222</v>
      </c>
      <c r="Y5747" s="111">
        <v>0.1</v>
      </c>
      <c r="Z5747" s="111">
        <f t="shared" si="529"/>
        <v>0.1</v>
      </c>
      <c r="AA5747" s="114" t="s">
        <v>219</v>
      </c>
    </row>
    <row r="5748" spans="9:32" ht="8.25" customHeight="1" thickBot="1" x14ac:dyDescent="0.3">
      <c r="X5748" s="110" t="s">
        <v>224</v>
      </c>
      <c r="Y5748" s="111">
        <v>0.05</v>
      </c>
      <c r="Z5748" s="111">
        <f t="shared" si="529"/>
        <v>0.1</v>
      </c>
      <c r="AA5748" s="115">
        <f>SUM(Z5737:Z5742)+Z5744+Z5745+Z5746+Z5747+Z5748+Z5749</f>
        <v>161768.47</v>
      </c>
    </row>
    <row r="5749" spans="9:32" ht="8.25" customHeight="1" thickTop="1" x14ac:dyDescent="0.25">
      <c r="X5749" s="110" t="s">
        <v>224</v>
      </c>
      <c r="Y5749" s="111">
        <v>0.01</v>
      </c>
      <c r="Z5749" s="111">
        <f t="shared" si="529"/>
        <v>0.02</v>
      </c>
    </row>
    <row r="5751" spans="9:32" ht="8.25" customHeight="1" x14ac:dyDescent="0.25">
      <c r="Z5751" s="231" t="s">
        <v>1376</v>
      </c>
      <c r="AF5751" s="76">
        <f>AF5733</f>
        <v>161768.46999999855</v>
      </c>
    </row>
    <row r="5752" spans="9:32" ht="8.25" customHeight="1" x14ac:dyDescent="0.25">
      <c r="N5752" s="52">
        <v>113</v>
      </c>
      <c r="T5752" s="33">
        <v>46238</v>
      </c>
      <c r="U5752" s="34">
        <v>2026</v>
      </c>
      <c r="V5752" s="35" t="s">
        <v>2716</v>
      </c>
      <c r="W5752" s="35" t="s">
        <v>17</v>
      </c>
      <c r="X5752" s="37" t="s">
        <v>4323</v>
      </c>
      <c r="Y5752" s="36" t="s">
        <v>2530</v>
      </c>
      <c r="Z5752" s="30" t="s">
        <v>15</v>
      </c>
      <c r="AA5752" s="30" t="s">
        <v>3899</v>
      </c>
      <c r="AD5752" s="38">
        <v>1894.74</v>
      </c>
      <c r="AF5752" s="76">
        <f>AF5751+AD5752-AE5752</f>
        <v>163663.20999999854</v>
      </c>
    </row>
    <row r="5753" spans="9:32" ht="8.25" customHeight="1" x14ac:dyDescent="0.25">
      <c r="N5753" s="52">
        <v>113</v>
      </c>
      <c r="T5753" s="33">
        <v>46238</v>
      </c>
      <c r="U5753" s="34">
        <v>2026</v>
      </c>
      <c r="V5753" s="35" t="s">
        <v>2716</v>
      </c>
      <c r="W5753" s="35" t="s">
        <v>17</v>
      </c>
      <c r="X5753" s="37" t="s">
        <v>4323</v>
      </c>
      <c r="Y5753" s="36" t="s">
        <v>2530</v>
      </c>
      <c r="Z5753" s="30" t="s">
        <v>15</v>
      </c>
      <c r="AA5753" s="30" t="s">
        <v>166</v>
      </c>
      <c r="AD5753" s="38">
        <v>385.26</v>
      </c>
      <c r="AF5753" s="76">
        <f>AF5752+AD5753-AE5753</f>
        <v>164048.46999999855</v>
      </c>
    </row>
    <row r="5754" spans="9:32" ht="8.25" customHeight="1" x14ac:dyDescent="0.25">
      <c r="I5754" s="52">
        <v>41</v>
      </c>
      <c r="T5754" s="33">
        <v>46238</v>
      </c>
      <c r="U5754" s="34">
        <v>2026</v>
      </c>
      <c r="V5754" s="35" t="s">
        <v>2716</v>
      </c>
      <c r="W5754" s="35" t="s">
        <v>17</v>
      </c>
      <c r="X5754" s="37" t="s">
        <v>4324</v>
      </c>
      <c r="Y5754" s="36" t="s">
        <v>3505</v>
      </c>
      <c r="Z5754" s="30" t="s">
        <v>2634</v>
      </c>
      <c r="AA5754" s="30" t="s">
        <v>13</v>
      </c>
      <c r="AD5754" s="38">
        <v>300</v>
      </c>
      <c r="AF5754" s="76">
        <f t="shared" ref="AF5754:AF5770" si="530">AF5753+AD5754-AE5754</f>
        <v>164348.46999999855</v>
      </c>
    </row>
    <row r="5755" spans="9:32" ht="8.25" customHeight="1" x14ac:dyDescent="0.25">
      <c r="N5755" s="52">
        <v>114</v>
      </c>
      <c r="T5755" s="33">
        <v>46238</v>
      </c>
      <c r="U5755" s="34">
        <v>2026</v>
      </c>
      <c r="V5755" s="35" t="s">
        <v>2716</v>
      </c>
      <c r="W5755" s="35" t="s">
        <v>17</v>
      </c>
      <c r="X5755" s="37" t="s">
        <v>4325</v>
      </c>
      <c r="Y5755" s="36" t="s">
        <v>3663</v>
      </c>
      <c r="Z5755" s="30" t="s">
        <v>807</v>
      </c>
      <c r="AA5755" s="30" t="s">
        <v>3899</v>
      </c>
      <c r="AD5755" s="38">
        <v>7109.85</v>
      </c>
      <c r="AF5755" s="76">
        <f t="shared" si="530"/>
        <v>171458.31999999855</v>
      </c>
    </row>
    <row r="5756" spans="9:32" ht="8.25" customHeight="1" x14ac:dyDescent="0.25">
      <c r="N5756" s="52">
        <v>114</v>
      </c>
      <c r="T5756" s="33">
        <v>46238</v>
      </c>
      <c r="U5756" s="34">
        <v>2026</v>
      </c>
      <c r="V5756" s="35" t="s">
        <v>2716</v>
      </c>
      <c r="W5756" s="35" t="s">
        <v>17</v>
      </c>
      <c r="X5756" s="37" t="s">
        <v>4325</v>
      </c>
      <c r="Y5756" s="36" t="s">
        <v>3663</v>
      </c>
      <c r="Z5756" s="30" t="s">
        <v>807</v>
      </c>
      <c r="AA5756" s="30" t="s">
        <v>166</v>
      </c>
      <c r="AD5756" s="38">
        <v>6218.15</v>
      </c>
      <c r="AF5756" s="76">
        <f t="shared" si="530"/>
        <v>177676.46999999855</v>
      </c>
    </row>
    <row r="5757" spans="9:32" ht="8.25" customHeight="1" x14ac:dyDescent="0.25">
      <c r="K5757" s="52">
        <v>12</v>
      </c>
      <c r="T5757" s="33">
        <v>46238</v>
      </c>
      <c r="U5757" s="34">
        <v>2026</v>
      </c>
      <c r="V5757" s="35" t="s">
        <v>2716</v>
      </c>
      <c r="W5757" s="35" t="s">
        <v>17</v>
      </c>
      <c r="X5757" s="37" t="s">
        <v>4326</v>
      </c>
      <c r="Y5757" s="36" t="s">
        <v>4328</v>
      </c>
      <c r="Z5757" s="30" t="s">
        <v>4329</v>
      </c>
      <c r="AA5757" s="30" t="s">
        <v>1787</v>
      </c>
      <c r="AD5757" s="38">
        <v>100</v>
      </c>
      <c r="AF5757" s="76">
        <f t="shared" si="530"/>
        <v>177776.46999999855</v>
      </c>
    </row>
    <row r="5758" spans="9:32" ht="8.25" customHeight="1" x14ac:dyDescent="0.25">
      <c r="L5758" s="52">
        <v>12</v>
      </c>
      <c r="T5758" s="33">
        <v>46238</v>
      </c>
      <c r="U5758" s="34">
        <v>2026</v>
      </c>
      <c r="V5758" s="35" t="s">
        <v>2716</v>
      </c>
      <c r="W5758" s="35" t="s">
        <v>17</v>
      </c>
      <c r="X5758" s="37" t="s">
        <v>4327</v>
      </c>
      <c r="Y5758" s="36" t="s">
        <v>3982</v>
      </c>
      <c r="Z5758" s="30" t="s">
        <v>4329</v>
      </c>
      <c r="AA5758" s="30" t="s">
        <v>373</v>
      </c>
      <c r="AD5758" s="38">
        <v>50</v>
      </c>
      <c r="AF5758" s="76">
        <f t="shared" si="530"/>
        <v>177826.46999999855</v>
      </c>
    </row>
    <row r="5759" spans="9:32" ht="8.25" customHeight="1" x14ac:dyDescent="0.25">
      <c r="N5759" s="52">
        <v>115</v>
      </c>
      <c r="T5759" s="33">
        <v>46238</v>
      </c>
      <c r="U5759" s="34">
        <v>2026</v>
      </c>
      <c r="V5759" s="35" t="s">
        <v>2716</v>
      </c>
      <c r="W5759" s="35" t="s">
        <v>17</v>
      </c>
      <c r="X5759" s="37" t="s">
        <v>4330</v>
      </c>
      <c r="Y5759" s="36" t="s">
        <v>3710</v>
      </c>
      <c r="Z5759" s="30" t="s">
        <v>752</v>
      </c>
      <c r="AA5759" s="30" t="s">
        <v>3899</v>
      </c>
      <c r="AD5759" s="38">
        <v>8835.7800000000007</v>
      </c>
      <c r="AF5759" s="76">
        <f t="shared" si="530"/>
        <v>186662.24999999854</v>
      </c>
    </row>
    <row r="5760" spans="9:32" ht="8.25" customHeight="1" x14ac:dyDescent="0.25">
      <c r="N5760" s="52">
        <v>115</v>
      </c>
      <c r="T5760" s="33">
        <v>46238</v>
      </c>
      <c r="U5760" s="34">
        <v>2026</v>
      </c>
      <c r="V5760" s="35" t="s">
        <v>2716</v>
      </c>
      <c r="W5760" s="35" t="s">
        <v>17</v>
      </c>
      <c r="X5760" s="37" t="s">
        <v>4330</v>
      </c>
      <c r="Y5760" s="36" t="s">
        <v>3710</v>
      </c>
      <c r="Z5760" s="30" t="s">
        <v>752</v>
      </c>
      <c r="AA5760" s="30" t="s">
        <v>166</v>
      </c>
      <c r="AD5760" s="38">
        <v>5164.22</v>
      </c>
      <c r="AF5760" s="76">
        <f t="shared" si="530"/>
        <v>191826.46999999855</v>
      </c>
    </row>
    <row r="5761" spans="9:32" ht="8.25" customHeight="1" x14ac:dyDescent="0.25">
      <c r="N5761" s="52">
        <v>116</v>
      </c>
      <c r="T5761" s="33">
        <v>46238</v>
      </c>
      <c r="U5761" s="34">
        <v>2026</v>
      </c>
      <c r="V5761" s="35" t="s">
        <v>2716</v>
      </c>
      <c r="W5761" s="35" t="s">
        <v>17</v>
      </c>
      <c r="X5761" s="37" t="s">
        <v>4331</v>
      </c>
      <c r="Y5761" s="36" t="s">
        <v>3712</v>
      </c>
      <c r="Z5761" s="30" t="s">
        <v>756</v>
      </c>
      <c r="AA5761" s="30" t="s">
        <v>3899</v>
      </c>
      <c r="AD5761" s="38">
        <v>8835.7800000000007</v>
      </c>
      <c r="AF5761" s="76">
        <f t="shared" si="530"/>
        <v>200662.24999999854</v>
      </c>
    </row>
    <row r="5762" spans="9:32" ht="8.25" customHeight="1" x14ac:dyDescent="0.25">
      <c r="N5762" s="52">
        <v>116</v>
      </c>
      <c r="T5762" s="33">
        <v>46238</v>
      </c>
      <c r="U5762" s="34">
        <v>2026</v>
      </c>
      <c r="V5762" s="35" t="s">
        <v>2716</v>
      </c>
      <c r="W5762" s="35" t="s">
        <v>17</v>
      </c>
      <c r="X5762" s="37" t="s">
        <v>4331</v>
      </c>
      <c r="Y5762" s="36" t="s">
        <v>3712</v>
      </c>
      <c r="Z5762" s="30" t="s">
        <v>756</v>
      </c>
      <c r="AA5762" s="30" t="s">
        <v>166</v>
      </c>
      <c r="AD5762" s="38">
        <v>5164.22</v>
      </c>
      <c r="AF5762" s="76">
        <f t="shared" si="530"/>
        <v>205826.46999999855</v>
      </c>
    </row>
    <row r="5763" spans="9:32" ht="8.25" customHeight="1" x14ac:dyDescent="0.25">
      <c r="N5763" s="52">
        <v>117</v>
      </c>
      <c r="T5763" s="33">
        <v>46238</v>
      </c>
      <c r="U5763" s="34">
        <v>2026</v>
      </c>
      <c r="V5763" s="35" t="s">
        <v>2716</v>
      </c>
      <c r="W5763" s="35" t="s">
        <v>17</v>
      </c>
      <c r="X5763" s="37" t="s">
        <v>4332</v>
      </c>
      <c r="Y5763" s="36" t="s">
        <v>4253</v>
      </c>
      <c r="Z5763" s="30" t="s">
        <v>301</v>
      </c>
      <c r="AA5763" s="30" t="s">
        <v>3899</v>
      </c>
      <c r="AD5763" s="38">
        <v>10084.4</v>
      </c>
      <c r="AF5763" s="76">
        <f t="shared" si="530"/>
        <v>215910.86999999854</v>
      </c>
    </row>
    <row r="5764" spans="9:32" ht="8.25" customHeight="1" x14ac:dyDescent="0.25">
      <c r="N5764" s="52">
        <v>117</v>
      </c>
      <c r="T5764" s="33">
        <v>46238</v>
      </c>
      <c r="U5764" s="34">
        <v>2026</v>
      </c>
      <c r="V5764" s="35" t="s">
        <v>2716</v>
      </c>
      <c r="W5764" s="35" t="s">
        <v>17</v>
      </c>
      <c r="X5764" s="37" t="s">
        <v>4332</v>
      </c>
      <c r="Y5764" s="36" t="s">
        <v>4253</v>
      </c>
      <c r="Z5764" s="30" t="s">
        <v>301</v>
      </c>
      <c r="AA5764" s="30" t="s">
        <v>166</v>
      </c>
      <c r="AD5764" s="38">
        <v>2915.6</v>
      </c>
      <c r="AF5764" s="76">
        <f t="shared" si="530"/>
        <v>218826.46999999855</v>
      </c>
    </row>
    <row r="5765" spans="9:32" ht="8.25" customHeight="1" x14ac:dyDescent="0.25">
      <c r="I5765" s="52">
        <v>42</v>
      </c>
      <c r="T5765" s="33">
        <v>46238</v>
      </c>
      <c r="U5765" s="34">
        <v>2026</v>
      </c>
      <c r="V5765" s="35" t="s">
        <v>2716</v>
      </c>
      <c r="W5765" s="35" t="s">
        <v>17</v>
      </c>
      <c r="X5765" s="37" t="s">
        <v>4333</v>
      </c>
      <c r="Y5765" s="36" t="s">
        <v>3684</v>
      </c>
      <c r="Z5765" s="30" t="s">
        <v>420</v>
      </c>
      <c r="AA5765" s="30" t="s">
        <v>13</v>
      </c>
      <c r="AD5765" s="38">
        <v>400</v>
      </c>
      <c r="AF5765" s="76">
        <f t="shared" si="530"/>
        <v>219226.46999999855</v>
      </c>
    </row>
    <row r="5766" spans="9:32" ht="8.25" customHeight="1" x14ac:dyDescent="0.25">
      <c r="N5766" s="52">
        <v>118</v>
      </c>
      <c r="T5766" s="33">
        <v>46238</v>
      </c>
      <c r="U5766" s="34">
        <v>2026</v>
      </c>
      <c r="V5766" s="35" t="s">
        <v>2716</v>
      </c>
      <c r="W5766" s="35" t="s">
        <v>17</v>
      </c>
      <c r="X5766" s="37" t="s">
        <v>4334</v>
      </c>
      <c r="Y5766" s="36" t="s">
        <v>3699</v>
      </c>
      <c r="Z5766" s="30" t="s">
        <v>1991</v>
      </c>
      <c r="AA5766" s="30" t="s">
        <v>3899</v>
      </c>
      <c r="AD5766" s="38">
        <v>9140.7999999999993</v>
      </c>
      <c r="AF5766" s="76">
        <f t="shared" si="530"/>
        <v>228367.26999999853</v>
      </c>
    </row>
    <row r="5767" spans="9:32" ht="8.25" customHeight="1" x14ac:dyDescent="0.25">
      <c r="N5767" s="52">
        <v>118</v>
      </c>
      <c r="T5767" s="33">
        <v>46238</v>
      </c>
      <c r="U5767" s="34">
        <v>2026</v>
      </c>
      <c r="V5767" s="35" t="s">
        <v>2716</v>
      </c>
      <c r="W5767" s="35" t="s">
        <v>17</v>
      </c>
      <c r="X5767" s="37" t="s">
        <v>4334</v>
      </c>
      <c r="Y5767" s="36" t="s">
        <v>3699</v>
      </c>
      <c r="Z5767" s="30" t="s">
        <v>1991</v>
      </c>
      <c r="AA5767" s="30" t="s">
        <v>166</v>
      </c>
      <c r="AD5767" s="38">
        <v>5859.2</v>
      </c>
      <c r="AF5767" s="76">
        <f t="shared" si="530"/>
        <v>234226.46999999855</v>
      </c>
    </row>
    <row r="5768" spans="9:32" ht="8.25" customHeight="1" x14ac:dyDescent="0.25">
      <c r="K5768" s="52">
        <v>13</v>
      </c>
      <c r="T5768" s="33">
        <v>46238</v>
      </c>
      <c r="U5768" s="34">
        <v>2026</v>
      </c>
      <c r="V5768" s="35" t="s">
        <v>2716</v>
      </c>
      <c r="W5768" s="35" t="s">
        <v>17</v>
      </c>
      <c r="X5768" s="37" t="s">
        <v>4338</v>
      </c>
      <c r="Y5768" s="36" t="s">
        <v>4340</v>
      </c>
      <c r="Z5768" s="30" t="s">
        <v>4341</v>
      </c>
      <c r="AA5768" s="30" t="s">
        <v>1787</v>
      </c>
      <c r="AD5768" s="38">
        <v>100</v>
      </c>
      <c r="AF5768" s="76">
        <f t="shared" si="530"/>
        <v>234326.46999999855</v>
      </c>
    </row>
    <row r="5769" spans="9:32" ht="8.25" customHeight="1" x14ac:dyDescent="0.25">
      <c r="L5769" s="52">
        <v>13</v>
      </c>
      <c r="T5769" s="33">
        <v>46238</v>
      </c>
      <c r="U5769" s="34">
        <v>2026</v>
      </c>
      <c r="V5769" s="35" t="s">
        <v>2716</v>
      </c>
      <c r="W5769" s="35" t="s">
        <v>17</v>
      </c>
      <c r="X5769" s="37" t="s">
        <v>4339</v>
      </c>
      <c r="Y5769" s="36" t="s">
        <v>3982</v>
      </c>
      <c r="Z5769" s="30" t="s">
        <v>4341</v>
      </c>
      <c r="AA5769" s="30" t="s">
        <v>373</v>
      </c>
      <c r="AD5769" s="38">
        <v>50</v>
      </c>
      <c r="AF5769" s="76">
        <f t="shared" si="530"/>
        <v>234376.46999999855</v>
      </c>
    </row>
    <row r="5770" spans="9:32" ht="8.25" customHeight="1" x14ac:dyDescent="0.25">
      <c r="I5770" s="52">
        <v>43</v>
      </c>
      <c r="T5770" s="33">
        <v>46238</v>
      </c>
      <c r="U5770" s="34">
        <v>2026</v>
      </c>
      <c r="V5770" s="35" t="s">
        <v>2716</v>
      </c>
      <c r="W5770" s="35" t="s">
        <v>17</v>
      </c>
      <c r="X5770" s="37" t="s">
        <v>4342</v>
      </c>
      <c r="Y5770" s="36" t="s">
        <v>4343</v>
      </c>
      <c r="Z5770" s="30" t="s">
        <v>4341</v>
      </c>
      <c r="AA5770" s="30" t="s">
        <v>13</v>
      </c>
      <c r="AD5770" s="38">
        <v>4500</v>
      </c>
      <c r="AF5770" s="76">
        <f t="shared" si="530"/>
        <v>238876.46999999855</v>
      </c>
    </row>
    <row r="5771" spans="9:32" ht="8.25" customHeight="1" x14ac:dyDescent="0.25">
      <c r="I5771" s="52">
        <v>44</v>
      </c>
      <c r="T5771" s="33">
        <v>46238</v>
      </c>
      <c r="U5771" s="34">
        <v>2026</v>
      </c>
      <c r="V5771" s="35" t="s">
        <v>2716</v>
      </c>
      <c r="W5771" s="35" t="s">
        <v>17</v>
      </c>
      <c r="X5771" s="37" t="s">
        <v>4344</v>
      </c>
      <c r="Y5771" s="36" t="s">
        <v>3534</v>
      </c>
      <c r="Z5771" s="30" t="s">
        <v>1942</v>
      </c>
      <c r="AA5771" s="30" t="s">
        <v>13</v>
      </c>
      <c r="AD5771" s="38">
        <v>500</v>
      </c>
      <c r="AF5771" s="76">
        <f>AF5770+AD5771-AE5771</f>
        <v>239376.46999999855</v>
      </c>
    </row>
    <row r="5772" spans="9:32" ht="8.25" customHeight="1" x14ac:dyDescent="0.25">
      <c r="I5772" s="52">
        <v>45</v>
      </c>
      <c r="T5772" s="33">
        <v>46238</v>
      </c>
      <c r="U5772" s="34">
        <v>2026</v>
      </c>
      <c r="V5772" s="35" t="s">
        <v>2716</v>
      </c>
      <c r="W5772" s="35" t="s">
        <v>17</v>
      </c>
      <c r="X5772" s="37" t="s">
        <v>4352</v>
      </c>
      <c r="Y5772" s="36" t="s">
        <v>3601</v>
      </c>
      <c r="Z5772" s="30" t="s">
        <v>692</v>
      </c>
      <c r="AA5772" s="30" t="s">
        <v>13</v>
      </c>
      <c r="AD5772" s="38">
        <v>11000</v>
      </c>
      <c r="AF5772" s="76">
        <f t="shared" ref="AF5772:AF5791" si="531">AF5771+AD5772-AE5772</f>
        <v>250376.46999999855</v>
      </c>
    </row>
    <row r="5773" spans="9:32" ht="8.25" customHeight="1" x14ac:dyDescent="0.25">
      <c r="N5773" s="52">
        <v>119</v>
      </c>
      <c r="T5773" s="33">
        <v>46238</v>
      </c>
      <c r="U5773" s="34">
        <v>2026</v>
      </c>
      <c r="V5773" s="35" t="s">
        <v>2716</v>
      </c>
      <c r="W5773" s="35" t="s">
        <v>17</v>
      </c>
      <c r="X5773" s="37" t="s">
        <v>4353</v>
      </c>
      <c r="Y5773" s="36" t="s">
        <v>3721</v>
      </c>
      <c r="Z5773" s="30" t="s">
        <v>291</v>
      </c>
      <c r="AA5773" s="30" t="s">
        <v>3899</v>
      </c>
      <c r="AD5773" s="38">
        <v>2544.89</v>
      </c>
      <c r="AF5773" s="76">
        <f t="shared" si="531"/>
        <v>252921.35999999856</v>
      </c>
    </row>
    <row r="5774" spans="9:32" ht="8.25" customHeight="1" x14ac:dyDescent="0.25">
      <c r="N5774" s="52">
        <v>119</v>
      </c>
      <c r="T5774" s="33">
        <v>46238</v>
      </c>
      <c r="U5774" s="34">
        <v>2026</v>
      </c>
      <c r="V5774" s="35" t="s">
        <v>2716</v>
      </c>
      <c r="W5774" s="35" t="s">
        <v>17</v>
      </c>
      <c r="X5774" s="37" t="s">
        <v>4353</v>
      </c>
      <c r="Y5774" s="36" t="s">
        <v>3721</v>
      </c>
      <c r="Z5774" s="30" t="s">
        <v>291</v>
      </c>
      <c r="AA5774" s="30" t="s">
        <v>166</v>
      </c>
      <c r="AD5774" s="38">
        <v>740.11</v>
      </c>
      <c r="AF5774" s="76">
        <f t="shared" si="531"/>
        <v>253661.46999999855</v>
      </c>
    </row>
    <row r="5775" spans="9:32" ht="8.25" customHeight="1" x14ac:dyDescent="0.25">
      <c r="K5775" s="52">
        <v>14</v>
      </c>
      <c r="T5775" s="33">
        <v>46238</v>
      </c>
      <c r="U5775" s="34">
        <v>2026</v>
      </c>
      <c r="V5775" s="35" t="s">
        <v>2716</v>
      </c>
      <c r="W5775" s="35" t="s">
        <v>17</v>
      </c>
      <c r="X5775" s="37" t="s">
        <v>4354</v>
      </c>
      <c r="Y5775" s="36" t="s">
        <v>4356</v>
      </c>
      <c r="Z5775" s="30" t="s">
        <v>4357</v>
      </c>
      <c r="AA5775" s="30" t="s">
        <v>1787</v>
      </c>
      <c r="AD5775" s="38">
        <v>100</v>
      </c>
      <c r="AF5775" s="76">
        <f t="shared" si="531"/>
        <v>253761.46999999855</v>
      </c>
    </row>
    <row r="5776" spans="9:32" ht="8.25" customHeight="1" x14ac:dyDescent="0.25">
      <c r="L5776" s="52">
        <v>14</v>
      </c>
      <c r="T5776" s="33">
        <v>46238</v>
      </c>
      <c r="U5776" s="34">
        <v>2026</v>
      </c>
      <c r="V5776" s="35" t="s">
        <v>2716</v>
      </c>
      <c r="W5776" s="35" t="s">
        <v>17</v>
      </c>
      <c r="X5776" s="37" t="s">
        <v>4355</v>
      </c>
      <c r="Y5776" s="36" t="s">
        <v>3982</v>
      </c>
      <c r="Z5776" s="30" t="s">
        <v>4357</v>
      </c>
      <c r="AA5776" s="30" t="s">
        <v>373</v>
      </c>
      <c r="AD5776" s="38">
        <v>50</v>
      </c>
      <c r="AF5776" s="76">
        <f t="shared" si="531"/>
        <v>253811.46999999855</v>
      </c>
    </row>
    <row r="5777" spans="3:32" ht="8.25" customHeight="1" x14ac:dyDescent="0.25">
      <c r="N5777" s="52">
        <v>120</v>
      </c>
      <c r="T5777" s="33">
        <v>46238</v>
      </c>
      <c r="U5777" s="34">
        <v>2026</v>
      </c>
      <c r="V5777" s="35" t="s">
        <v>2716</v>
      </c>
      <c r="W5777" s="35" t="s">
        <v>17</v>
      </c>
      <c r="X5777" s="37" t="s">
        <v>4358</v>
      </c>
      <c r="Y5777" s="36" t="s">
        <v>3658</v>
      </c>
      <c r="Z5777" s="30" t="s">
        <v>973</v>
      </c>
      <c r="AA5777" s="30" t="s">
        <v>3708</v>
      </c>
      <c r="AD5777" s="38">
        <v>318.55</v>
      </c>
      <c r="AF5777" s="76">
        <f t="shared" si="531"/>
        <v>254130.01999999853</v>
      </c>
    </row>
    <row r="5778" spans="3:32" ht="8.25" customHeight="1" x14ac:dyDescent="0.25">
      <c r="N5778" s="52">
        <v>120</v>
      </c>
      <c r="T5778" s="33">
        <v>46238</v>
      </c>
      <c r="U5778" s="34">
        <v>2026</v>
      </c>
      <c r="V5778" s="35" t="s">
        <v>2716</v>
      </c>
      <c r="W5778" s="35" t="s">
        <v>17</v>
      </c>
      <c r="X5778" s="37" t="s">
        <v>4358</v>
      </c>
      <c r="Y5778" s="36" t="s">
        <v>3658</v>
      </c>
      <c r="Z5778" s="30" t="s">
        <v>973</v>
      </c>
      <c r="AA5778" s="30" t="s">
        <v>183</v>
      </c>
      <c r="AD5778" s="38">
        <v>104.45</v>
      </c>
      <c r="AF5778" s="76">
        <f t="shared" si="531"/>
        <v>254234.46999999855</v>
      </c>
    </row>
    <row r="5779" spans="3:32" ht="8.25" customHeight="1" x14ac:dyDescent="0.25">
      <c r="K5779" s="52">
        <v>15</v>
      </c>
      <c r="T5779" s="33">
        <v>46238</v>
      </c>
      <c r="U5779" s="34">
        <v>2026</v>
      </c>
      <c r="V5779" s="35" t="s">
        <v>2716</v>
      </c>
      <c r="W5779" s="35" t="s">
        <v>17</v>
      </c>
      <c r="X5779" s="37" t="s">
        <v>4359</v>
      </c>
      <c r="Y5779" s="36" t="s">
        <v>4361</v>
      </c>
      <c r="Z5779" s="30" t="s">
        <v>4362</v>
      </c>
      <c r="AA5779" s="30" t="s">
        <v>1787</v>
      </c>
      <c r="AD5779" s="38">
        <v>100</v>
      </c>
      <c r="AF5779" s="76">
        <f t="shared" si="531"/>
        <v>254334.46999999855</v>
      </c>
    </row>
    <row r="5780" spans="3:32" ht="8.25" customHeight="1" x14ac:dyDescent="0.25">
      <c r="L5780" s="52">
        <v>15</v>
      </c>
      <c r="T5780" s="33">
        <v>46238</v>
      </c>
      <c r="U5780" s="34">
        <v>2026</v>
      </c>
      <c r="V5780" s="35" t="s">
        <v>2716</v>
      </c>
      <c r="W5780" s="35" t="s">
        <v>17</v>
      </c>
      <c r="X5780" s="37" t="s">
        <v>4360</v>
      </c>
      <c r="Y5780" s="36" t="s">
        <v>3982</v>
      </c>
      <c r="Z5780" s="30" t="s">
        <v>4362</v>
      </c>
      <c r="AA5780" s="30" t="s">
        <v>373</v>
      </c>
      <c r="AD5780" s="38">
        <v>50</v>
      </c>
      <c r="AF5780" s="76">
        <f t="shared" si="531"/>
        <v>254384.46999999855</v>
      </c>
    </row>
    <row r="5781" spans="3:32" ht="8.25" customHeight="1" x14ac:dyDescent="0.25">
      <c r="T5781" s="33">
        <v>46238</v>
      </c>
      <c r="U5781" s="34">
        <v>2026</v>
      </c>
      <c r="V5781" s="35" t="s">
        <v>2716</v>
      </c>
      <c r="W5781" s="35" t="s">
        <v>17</v>
      </c>
      <c r="X5781" s="37" t="s">
        <v>4363</v>
      </c>
      <c r="Y5781" s="36" t="s">
        <v>3982</v>
      </c>
      <c r="Z5781" s="30" t="s">
        <v>850</v>
      </c>
      <c r="AA5781" s="30" t="s">
        <v>1195</v>
      </c>
      <c r="AD5781" s="38">
        <v>5</v>
      </c>
      <c r="AF5781" s="76">
        <f t="shared" si="531"/>
        <v>254389.46999999855</v>
      </c>
    </row>
    <row r="5782" spans="3:32" ht="8.25" customHeight="1" x14ac:dyDescent="0.25">
      <c r="C5782" s="52">
        <v>18</v>
      </c>
      <c r="T5782" s="33">
        <v>46238</v>
      </c>
      <c r="U5782" s="34">
        <v>2026</v>
      </c>
      <c r="V5782" s="35" t="s">
        <v>2716</v>
      </c>
      <c r="W5782" s="35" t="s">
        <v>3620</v>
      </c>
      <c r="X5782" s="37" t="s">
        <v>4350</v>
      </c>
      <c r="Y5782" s="36" t="s">
        <v>4351</v>
      </c>
      <c r="Z5782" s="30" t="s">
        <v>1860</v>
      </c>
      <c r="AA5782" s="30" t="s">
        <v>340</v>
      </c>
      <c r="AD5782" s="38">
        <v>130</v>
      </c>
      <c r="AF5782" s="76">
        <f t="shared" si="531"/>
        <v>254519.46999999855</v>
      </c>
    </row>
    <row r="5783" spans="3:32" ht="8.25" customHeight="1" x14ac:dyDescent="0.25">
      <c r="I5783" s="52">
        <v>46</v>
      </c>
      <c r="T5783" s="33">
        <v>46238</v>
      </c>
      <c r="U5783" s="34">
        <v>2026</v>
      </c>
      <c r="V5783" s="35" t="s">
        <v>2716</v>
      </c>
      <c r="W5783" s="35" t="s">
        <v>17</v>
      </c>
      <c r="X5783" s="37" t="s">
        <v>4369</v>
      </c>
      <c r="Y5783" s="36" t="s">
        <v>4371</v>
      </c>
      <c r="Z5783" s="30" t="s">
        <v>4322</v>
      </c>
      <c r="AA5783" s="30" t="s">
        <v>13</v>
      </c>
      <c r="AD5783" s="38">
        <v>34090.910000000003</v>
      </c>
      <c r="AF5783" s="76">
        <f t="shared" si="531"/>
        <v>288610.37999999855</v>
      </c>
    </row>
    <row r="5784" spans="3:32" ht="8.25" customHeight="1" x14ac:dyDescent="0.25">
      <c r="M5784" s="52">
        <v>11</v>
      </c>
      <c r="T5784" s="33">
        <v>46238</v>
      </c>
      <c r="U5784" s="34">
        <v>2026</v>
      </c>
      <c r="V5784" s="35" t="s">
        <v>2716</v>
      </c>
      <c r="W5784" s="35" t="s">
        <v>17</v>
      </c>
      <c r="X5784" s="37" t="s">
        <v>4370</v>
      </c>
      <c r="Y5784" s="36" t="s">
        <v>3982</v>
      </c>
      <c r="Z5784" s="30" t="s">
        <v>4322</v>
      </c>
      <c r="AA5784" s="30" t="s">
        <v>385</v>
      </c>
      <c r="AD5784" s="38">
        <v>6818.18</v>
      </c>
      <c r="AF5784" s="76">
        <f t="shared" si="531"/>
        <v>295428.55999999854</v>
      </c>
    </row>
    <row r="5785" spans="3:32" ht="8.25" customHeight="1" x14ac:dyDescent="0.25">
      <c r="G5785" s="53">
        <v>35</v>
      </c>
      <c r="T5785" s="33">
        <v>46238</v>
      </c>
      <c r="U5785" s="34">
        <v>2026</v>
      </c>
      <c r="V5785" s="35" t="s">
        <v>2716</v>
      </c>
      <c r="W5785" s="35" t="s">
        <v>3625</v>
      </c>
      <c r="X5785" s="37" t="s">
        <v>4335</v>
      </c>
      <c r="Y5785" s="36" t="s">
        <v>4336</v>
      </c>
      <c r="Z5785" s="30" t="s">
        <v>4337</v>
      </c>
      <c r="AA5785" s="30" t="s">
        <v>3945</v>
      </c>
      <c r="AE5785" s="38">
        <v>689.26</v>
      </c>
      <c r="AF5785" s="76">
        <f t="shared" si="531"/>
        <v>294739.29999999853</v>
      </c>
    </row>
    <row r="5786" spans="3:32" ht="8.25" customHeight="1" x14ac:dyDescent="0.25">
      <c r="R5786" s="53">
        <v>57</v>
      </c>
      <c r="T5786" s="33">
        <v>46238</v>
      </c>
      <c r="U5786" s="34">
        <v>2026</v>
      </c>
      <c r="V5786" s="35" t="s">
        <v>2716</v>
      </c>
      <c r="W5786" s="35" t="s">
        <v>5</v>
      </c>
      <c r="X5786" s="37" t="s">
        <v>4345</v>
      </c>
      <c r="Y5786" s="36" t="s">
        <v>3555</v>
      </c>
      <c r="Z5786" s="30" t="s">
        <v>429</v>
      </c>
      <c r="AA5786" s="30" t="s">
        <v>92</v>
      </c>
      <c r="AE5786" s="38">
        <v>2200</v>
      </c>
      <c r="AF5786" s="76">
        <f t="shared" si="531"/>
        <v>292539.29999999853</v>
      </c>
    </row>
    <row r="5787" spans="3:32" ht="8.25" customHeight="1" x14ac:dyDescent="0.25">
      <c r="G5787" s="53">
        <v>36</v>
      </c>
      <c r="T5787" s="33">
        <v>46238</v>
      </c>
      <c r="U5787" s="34">
        <v>2026</v>
      </c>
      <c r="V5787" s="35" t="s">
        <v>2716</v>
      </c>
      <c r="W5787" s="35" t="s">
        <v>3625</v>
      </c>
      <c r="X5787" s="37" t="s">
        <v>4346</v>
      </c>
      <c r="Y5787" s="36" t="s">
        <v>4347</v>
      </c>
      <c r="Z5787" s="30" t="s">
        <v>4348</v>
      </c>
      <c r="AA5787" s="30" t="s">
        <v>3945</v>
      </c>
      <c r="AE5787" s="38">
        <v>758.34</v>
      </c>
      <c r="AF5787" s="76">
        <f t="shared" si="531"/>
        <v>291780.95999999851</v>
      </c>
    </row>
    <row r="5788" spans="3:32" ht="8.25" customHeight="1" x14ac:dyDescent="0.25">
      <c r="T5788" s="33">
        <v>46238</v>
      </c>
      <c r="U5788" s="34">
        <v>2026</v>
      </c>
      <c r="V5788" s="35" t="s">
        <v>2716</v>
      </c>
      <c r="W5788" s="35" t="s">
        <v>3997</v>
      </c>
      <c r="X5788" s="37" t="s">
        <v>4349</v>
      </c>
      <c r="Y5788" s="36" t="s">
        <v>411</v>
      </c>
      <c r="Z5788" s="30" t="s">
        <v>3162</v>
      </c>
      <c r="AA5788" s="30" t="s">
        <v>618</v>
      </c>
      <c r="AE5788" s="38">
        <v>100000</v>
      </c>
      <c r="AF5788" s="76">
        <f t="shared" si="531"/>
        <v>191780.95999999851</v>
      </c>
    </row>
    <row r="5789" spans="3:32" ht="8.25" customHeight="1" x14ac:dyDescent="0.25">
      <c r="R5789" s="53">
        <v>58</v>
      </c>
      <c r="T5789" s="33">
        <v>46238</v>
      </c>
      <c r="U5789" s="34">
        <v>2026</v>
      </c>
      <c r="V5789" s="35" t="s">
        <v>2716</v>
      </c>
      <c r="W5789" s="35" t="s">
        <v>5</v>
      </c>
      <c r="X5789" s="37" t="s">
        <v>4364</v>
      </c>
      <c r="Y5789" s="36" t="s">
        <v>4365</v>
      </c>
      <c r="Z5789" s="30" t="s">
        <v>850</v>
      </c>
      <c r="AA5789" s="30" t="s">
        <v>92</v>
      </c>
      <c r="AE5789" s="38">
        <v>500</v>
      </c>
      <c r="AF5789" s="76">
        <f t="shared" si="531"/>
        <v>191280.95999999851</v>
      </c>
    </row>
    <row r="5790" spans="3:32" ht="8.25" customHeight="1" x14ac:dyDescent="0.25">
      <c r="T5790" s="33">
        <v>46238</v>
      </c>
      <c r="U5790" s="34">
        <v>2026</v>
      </c>
      <c r="V5790" s="35" t="s">
        <v>2716</v>
      </c>
      <c r="W5790" s="35" t="s">
        <v>3997</v>
      </c>
      <c r="X5790" s="37" t="s">
        <v>4372</v>
      </c>
      <c r="Y5790" s="36" t="s">
        <v>411</v>
      </c>
      <c r="Z5790" s="30" t="s">
        <v>4322</v>
      </c>
      <c r="AA5790" s="30" t="s">
        <v>2719</v>
      </c>
      <c r="AE5790" s="38">
        <v>34090.910000000003</v>
      </c>
      <c r="AF5790" s="76">
        <f t="shared" si="531"/>
        <v>157190.0499999985</v>
      </c>
    </row>
    <row r="5791" spans="3:32" ht="8.25" customHeight="1" x14ac:dyDescent="0.25">
      <c r="T5791" s="33">
        <v>46238</v>
      </c>
      <c r="U5791" s="34">
        <v>2026</v>
      </c>
      <c r="V5791" s="35" t="s">
        <v>2716</v>
      </c>
      <c r="W5791" s="35" t="s">
        <v>3997</v>
      </c>
      <c r="X5791" s="37" t="s">
        <v>4373</v>
      </c>
      <c r="Y5791" s="36" t="s">
        <v>411</v>
      </c>
      <c r="Z5791" s="30" t="s">
        <v>4322</v>
      </c>
      <c r="AA5791" s="30" t="s">
        <v>2719</v>
      </c>
      <c r="AE5791" s="38">
        <v>6818.18</v>
      </c>
      <c r="AF5791" s="76">
        <f t="shared" si="531"/>
        <v>150371.86999999851</v>
      </c>
    </row>
    <row r="5792" spans="3:32" ht="8.25" customHeight="1" thickBot="1" x14ac:dyDescent="0.3">
      <c r="AA5792" s="260" t="s">
        <v>2893</v>
      </c>
      <c r="AD5792" s="233">
        <f>SUM(AD5752:AD5784)</f>
        <v>133660.09</v>
      </c>
      <c r="AE5792" s="233">
        <f>SUM(AE5785:AE5791)</f>
        <v>145056.69</v>
      </c>
      <c r="AF5792" s="233">
        <f>AF5791</f>
        <v>150371.86999999851</v>
      </c>
    </row>
    <row r="5793" spans="24:32" ht="8.25" customHeight="1" thickTop="1" x14ac:dyDescent="0.25">
      <c r="AF5793" s="30"/>
    </row>
    <row r="5795" spans="24:32" ht="8.25" customHeight="1" x14ac:dyDescent="0.25">
      <c r="X5795" s="109"/>
      <c r="Y5795" s="67" t="s">
        <v>214</v>
      </c>
      <c r="Z5795" s="68"/>
      <c r="AA5795" s="75"/>
    </row>
    <row r="5796" spans="24:32" ht="8.25" customHeight="1" x14ac:dyDescent="0.25">
      <c r="X5796" s="110" t="s">
        <v>223</v>
      </c>
      <c r="Y5796" s="111">
        <v>200</v>
      </c>
      <c r="Z5796" s="111">
        <f t="shared" ref="Z5796:Z5801" si="532">X5796*Y5796</f>
        <v>600</v>
      </c>
      <c r="AA5796" s="112"/>
    </row>
    <row r="5797" spans="24:32" ht="8.25" customHeight="1" x14ac:dyDescent="0.25">
      <c r="X5797" s="110" t="s">
        <v>4367</v>
      </c>
      <c r="Y5797" s="111">
        <v>100</v>
      </c>
      <c r="Z5797" s="111">
        <f t="shared" si="532"/>
        <v>147700</v>
      </c>
      <c r="AA5797" s="112"/>
    </row>
    <row r="5798" spans="24:32" ht="8.25" customHeight="1" x14ac:dyDescent="0.25">
      <c r="X5798" s="110" t="s">
        <v>222</v>
      </c>
      <c r="Y5798" s="111">
        <v>50</v>
      </c>
      <c r="Z5798" s="111">
        <f t="shared" si="532"/>
        <v>50</v>
      </c>
      <c r="AA5798" s="76"/>
    </row>
    <row r="5799" spans="24:32" ht="8.25" customHeight="1" x14ac:dyDescent="0.25">
      <c r="X5799" s="110" t="s">
        <v>224</v>
      </c>
      <c r="Y5799" s="111">
        <v>20</v>
      </c>
      <c r="Z5799" s="111">
        <f t="shared" si="532"/>
        <v>40</v>
      </c>
      <c r="AA5799" s="38"/>
    </row>
    <row r="5800" spans="24:32" ht="8.25" customHeight="1" x14ac:dyDescent="0.25">
      <c r="X5800" s="110" t="s">
        <v>669</v>
      </c>
      <c r="Y5800" s="111">
        <v>10</v>
      </c>
      <c r="Z5800" s="111">
        <f t="shared" si="532"/>
        <v>190</v>
      </c>
      <c r="AA5800" s="112"/>
    </row>
    <row r="5801" spans="24:32" ht="8.25" customHeight="1" x14ac:dyDescent="0.25">
      <c r="X5801" s="110" t="s">
        <v>4366</v>
      </c>
      <c r="Y5801" s="111">
        <v>5</v>
      </c>
      <c r="Z5801" s="111">
        <f t="shared" si="532"/>
        <v>1480</v>
      </c>
      <c r="AA5801" s="112"/>
    </row>
    <row r="5802" spans="24:32" ht="8.25" customHeight="1" x14ac:dyDescent="0.25">
      <c r="X5802" s="269"/>
      <c r="Y5802" s="270"/>
      <c r="Z5802" s="271"/>
      <c r="AA5802" s="38"/>
    </row>
    <row r="5803" spans="24:32" ht="8.25" customHeight="1" x14ac:dyDescent="0.25">
      <c r="X5803" s="110" t="s">
        <v>4368</v>
      </c>
      <c r="Y5803" s="111">
        <v>1</v>
      </c>
      <c r="Z5803" s="111">
        <f t="shared" ref="Z5803:Z5808" si="533">X5803*Y5803</f>
        <v>249</v>
      </c>
      <c r="AA5803" s="76"/>
    </row>
    <row r="5804" spans="24:32" ht="8.25" customHeight="1" x14ac:dyDescent="0.25">
      <c r="X5804" s="110" t="s">
        <v>711</v>
      </c>
      <c r="Y5804" s="111">
        <v>0.5</v>
      </c>
      <c r="Z5804" s="111">
        <f t="shared" si="533"/>
        <v>25</v>
      </c>
      <c r="AA5804" s="112"/>
    </row>
    <row r="5805" spans="24:32" ht="8.25" customHeight="1" x14ac:dyDescent="0.25">
      <c r="X5805" s="110" t="s">
        <v>4208</v>
      </c>
      <c r="Y5805" s="111">
        <v>0.25</v>
      </c>
      <c r="Z5805" s="111">
        <f t="shared" si="533"/>
        <v>37.25</v>
      </c>
      <c r="AA5805" s="113" t="s">
        <v>1</v>
      </c>
    </row>
    <row r="5806" spans="24:32" ht="8.25" customHeight="1" x14ac:dyDescent="0.25">
      <c r="X5806" s="110" t="s">
        <v>402</v>
      </c>
      <c r="Y5806" s="111">
        <v>0.1</v>
      </c>
      <c r="Z5806" s="111">
        <f t="shared" si="533"/>
        <v>0.5</v>
      </c>
      <c r="AA5806" s="114" t="s">
        <v>219</v>
      </c>
    </row>
    <row r="5807" spans="24:32" ht="8.25" customHeight="1" thickBot="1" x14ac:dyDescent="0.3">
      <c r="X5807" s="110" t="s">
        <v>224</v>
      </c>
      <c r="Y5807" s="111">
        <v>0.05</v>
      </c>
      <c r="Z5807" s="111">
        <f t="shared" si="533"/>
        <v>0.1</v>
      </c>
      <c r="AA5807" s="115">
        <f>SUM(Z5796:Z5801)+Z5803+Z5804+Z5805+Z5806+Z5807+Z5808</f>
        <v>150371.87</v>
      </c>
    </row>
    <row r="5808" spans="24:32" ht="8.25" customHeight="1" thickTop="1" x14ac:dyDescent="0.25">
      <c r="X5808" s="110" t="s">
        <v>224</v>
      </c>
      <c r="Y5808" s="111">
        <v>0.01</v>
      </c>
      <c r="Z5808" s="111">
        <f t="shared" si="533"/>
        <v>0.02</v>
      </c>
    </row>
    <row r="5811" spans="9:32" ht="8.25" customHeight="1" x14ac:dyDescent="0.25">
      <c r="Z5811" s="231" t="s">
        <v>1376</v>
      </c>
      <c r="AF5811" s="76">
        <f>AF5792</f>
        <v>150371.86999999851</v>
      </c>
    </row>
    <row r="5812" spans="9:32" ht="8.25" customHeight="1" x14ac:dyDescent="0.25">
      <c r="N5812" s="52">
        <v>121</v>
      </c>
      <c r="T5812" s="33">
        <v>46239</v>
      </c>
      <c r="U5812" s="34">
        <v>2026</v>
      </c>
      <c r="V5812" s="35" t="s">
        <v>2716</v>
      </c>
      <c r="W5812" s="35" t="s">
        <v>17</v>
      </c>
      <c r="X5812" s="37" t="s">
        <v>4374</v>
      </c>
      <c r="Y5812" s="36" t="s">
        <v>3689</v>
      </c>
      <c r="Z5812" s="30" t="s">
        <v>454</v>
      </c>
      <c r="AA5812" s="30" t="s">
        <v>3899</v>
      </c>
      <c r="AD5812" s="38">
        <v>5302.32</v>
      </c>
      <c r="AF5812" s="76">
        <f>AF5811+AD5812-AE5812</f>
        <v>155674.18999999852</v>
      </c>
    </row>
    <row r="5813" spans="9:32" ht="8.25" customHeight="1" x14ac:dyDescent="0.25">
      <c r="N5813" s="52">
        <v>121</v>
      </c>
      <c r="T5813" s="33">
        <v>46239</v>
      </c>
      <c r="U5813" s="34">
        <v>2026</v>
      </c>
      <c r="V5813" s="35" t="s">
        <v>2716</v>
      </c>
      <c r="W5813" s="35" t="s">
        <v>17</v>
      </c>
      <c r="X5813" s="37" t="s">
        <v>4374</v>
      </c>
      <c r="Y5813" s="36" t="s">
        <v>3689</v>
      </c>
      <c r="Z5813" s="30" t="s">
        <v>454</v>
      </c>
      <c r="AA5813" s="30" t="s">
        <v>166</v>
      </c>
      <c r="AD5813" s="38">
        <v>6370.68</v>
      </c>
      <c r="AF5813" s="76">
        <f t="shared" ref="AF5813:AF5825" si="534">AF5812+AD5813-AE5813</f>
        <v>162044.86999999851</v>
      </c>
    </row>
    <row r="5814" spans="9:32" ht="8.25" customHeight="1" x14ac:dyDescent="0.25">
      <c r="N5814" s="52">
        <v>122</v>
      </c>
      <c r="T5814" s="33">
        <v>46239</v>
      </c>
      <c r="U5814" s="34">
        <v>2026</v>
      </c>
      <c r="V5814" s="35" t="s">
        <v>2716</v>
      </c>
      <c r="W5814" s="35" t="s">
        <v>17</v>
      </c>
      <c r="X5814" s="37" t="s">
        <v>4375</v>
      </c>
      <c r="Y5814" s="36" t="s">
        <v>4376</v>
      </c>
      <c r="Z5814" s="30" t="s">
        <v>703</v>
      </c>
      <c r="AA5814" s="30" t="s">
        <v>3899</v>
      </c>
      <c r="AD5814" s="38">
        <v>8858.94</v>
      </c>
      <c r="AF5814" s="76">
        <f t="shared" si="534"/>
        <v>170903.80999999851</v>
      </c>
    </row>
    <row r="5815" spans="9:32" ht="8.25" customHeight="1" x14ac:dyDescent="0.25">
      <c r="N5815" s="52">
        <v>122</v>
      </c>
      <c r="T5815" s="33">
        <v>46239</v>
      </c>
      <c r="U5815" s="34">
        <v>2026</v>
      </c>
      <c r="V5815" s="35" t="s">
        <v>2716</v>
      </c>
      <c r="W5815" s="35" t="s">
        <v>17</v>
      </c>
      <c r="X5815" s="37" t="s">
        <v>4375</v>
      </c>
      <c r="Y5815" s="36" t="s">
        <v>4376</v>
      </c>
      <c r="Z5815" s="30" t="s">
        <v>703</v>
      </c>
      <c r="AA5815" s="30" t="s">
        <v>166</v>
      </c>
      <c r="AD5815" s="38">
        <v>9909.42</v>
      </c>
      <c r="AF5815" s="76">
        <f t="shared" si="534"/>
        <v>180813.22999999853</v>
      </c>
    </row>
    <row r="5816" spans="9:32" ht="8.25" customHeight="1" x14ac:dyDescent="0.25">
      <c r="N5816" s="52">
        <v>122</v>
      </c>
      <c r="T5816" s="33">
        <v>46239</v>
      </c>
      <c r="U5816" s="34">
        <v>2026</v>
      </c>
      <c r="V5816" s="35" t="s">
        <v>2716</v>
      </c>
      <c r="W5816" s="35" t="s">
        <v>17</v>
      </c>
      <c r="X5816" s="37" t="s">
        <v>4375</v>
      </c>
      <c r="Y5816" s="36" t="s">
        <v>4376</v>
      </c>
      <c r="Z5816" s="30" t="s">
        <v>703</v>
      </c>
      <c r="AA5816" s="30" t="s">
        <v>3304</v>
      </c>
      <c r="AD5816" s="38">
        <v>195</v>
      </c>
      <c r="AF5816" s="76">
        <f t="shared" si="534"/>
        <v>181008.22999999853</v>
      </c>
    </row>
    <row r="5817" spans="9:32" ht="8.25" customHeight="1" x14ac:dyDescent="0.25">
      <c r="N5817" s="52">
        <v>123</v>
      </c>
      <c r="T5817" s="33">
        <v>46239</v>
      </c>
      <c r="U5817" s="34">
        <v>2026</v>
      </c>
      <c r="V5817" s="35" t="s">
        <v>2716</v>
      </c>
      <c r="W5817" s="35" t="s">
        <v>17</v>
      </c>
      <c r="X5817" s="37" t="s">
        <v>4383</v>
      </c>
      <c r="Y5817" s="36" t="s">
        <v>3672</v>
      </c>
      <c r="Z5817" s="30" t="s">
        <v>932</v>
      </c>
      <c r="AA5817" s="30" t="s">
        <v>3899</v>
      </c>
      <c r="AD5817" s="38">
        <v>3128.91</v>
      </c>
      <c r="AF5817" s="76">
        <f t="shared" si="534"/>
        <v>184137.13999999853</v>
      </c>
    </row>
    <row r="5818" spans="9:32" ht="8.25" customHeight="1" x14ac:dyDescent="0.25">
      <c r="N5818" s="52">
        <v>123</v>
      </c>
      <c r="T5818" s="33">
        <v>46239</v>
      </c>
      <c r="U5818" s="34">
        <v>2026</v>
      </c>
      <c r="V5818" s="35" t="s">
        <v>2716</v>
      </c>
      <c r="W5818" s="35" t="s">
        <v>17</v>
      </c>
      <c r="X5818" s="37" t="s">
        <v>4383</v>
      </c>
      <c r="Y5818" s="36" t="s">
        <v>4384</v>
      </c>
      <c r="Z5818" s="30" t="s">
        <v>932</v>
      </c>
      <c r="AA5818" s="30" t="s">
        <v>166</v>
      </c>
      <c r="AD5818" s="38">
        <v>1079.0899999999999</v>
      </c>
      <c r="AF5818" s="76">
        <f t="shared" si="534"/>
        <v>185216.22999999853</v>
      </c>
    </row>
    <row r="5819" spans="9:32" ht="8.25" customHeight="1" x14ac:dyDescent="0.25">
      <c r="I5819" s="52">
        <v>47</v>
      </c>
      <c r="T5819" s="33">
        <v>46239</v>
      </c>
      <c r="U5819" s="34">
        <v>2026</v>
      </c>
      <c r="V5819" s="35" t="s">
        <v>2716</v>
      </c>
      <c r="W5819" s="35" t="s">
        <v>17</v>
      </c>
      <c r="X5819" s="37" t="s">
        <v>4388</v>
      </c>
      <c r="Y5819" s="36" t="s">
        <v>4390</v>
      </c>
      <c r="Z5819" s="30" t="s">
        <v>4357</v>
      </c>
      <c r="AA5819" s="30" t="s">
        <v>13</v>
      </c>
      <c r="AD5819" s="38">
        <v>1147.73</v>
      </c>
      <c r="AF5819" s="76">
        <f t="shared" si="534"/>
        <v>186363.95999999854</v>
      </c>
    </row>
    <row r="5820" spans="9:32" ht="8.25" customHeight="1" x14ac:dyDescent="0.25">
      <c r="M5820" s="52">
        <v>12</v>
      </c>
      <c r="T5820" s="33">
        <v>46239</v>
      </c>
      <c r="U5820" s="34">
        <v>2026</v>
      </c>
      <c r="V5820" s="35" t="s">
        <v>2716</v>
      </c>
      <c r="W5820" s="35" t="s">
        <v>17</v>
      </c>
      <c r="X5820" s="37" t="s">
        <v>4389</v>
      </c>
      <c r="Y5820" s="36" t="s">
        <v>3982</v>
      </c>
      <c r="Z5820" s="30" t="s">
        <v>4357</v>
      </c>
      <c r="AA5820" s="30" t="s">
        <v>385</v>
      </c>
      <c r="AD5820" s="38">
        <v>229.54</v>
      </c>
      <c r="AF5820" s="76">
        <f t="shared" si="534"/>
        <v>186593.49999999854</v>
      </c>
    </row>
    <row r="5821" spans="9:32" ht="8.25" customHeight="1" x14ac:dyDescent="0.25">
      <c r="R5821" s="53">
        <v>59</v>
      </c>
      <c r="T5821" s="33">
        <v>46239</v>
      </c>
      <c r="U5821" s="34">
        <v>2026</v>
      </c>
      <c r="V5821" s="35" t="s">
        <v>2716</v>
      </c>
      <c r="W5821" s="35" t="s">
        <v>5</v>
      </c>
      <c r="X5821" s="37" t="s">
        <v>4377</v>
      </c>
      <c r="Y5821" s="36" t="s">
        <v>3586</v>
      </c>
      <c r="Z5821" s="30" t="s">
        <v>3587</v>
      </c>
      <c r="AA5821" s="30" t="s">
        <v>92</v>
      </c>
      <c r="AE5821" s="38">
        <v>700</v>
      </c>
      <c r="AF5821" s="76">
        <f t="shared" si="534"/>
        <v>185893.49999999854</v>
      </c>
    </row>
    <row r="5822" spans="9:32" ht="8.25" customHeight="1" x14ac:dyDescent="0.25">
      <c r="R5822" s="53">
        <v>60</v>
      </c>
      <c r="T5822" s="33">
        <v>46239</v>
      </c>
      <c r="U5822" s="34">
        <v>2026</v>
      </c>
      <c r="V5822" s="35" t="s">
        <v>2716</v>
      </c>
      <c r="W5822" s="35" t="s">
        <v>5</v>
      </c>
      <c r="X5822" s="37" t="s">
        <v>4378</v>
      </c>
      <c r="Y5822" s="36" t="s">
        <v>4379</v>
      </c>
      <c r="Z5822" s="30" t="s">
        <v>703</v>
      </c>
      <c r="AA5822" s="30" t="s">
        <v>92</v>
      </c>
      <c r="AE5822" s="38">
        <v>18963.36</v>
      </c>
      <c r="AF5822" s="76">
        <f t="shared" si="534"/>
        <v>166930.13999999856</v>
      </c>
    </row>
    <row r="5823" spans="9:32" ht="8.25" customHeight="1" x14ac:dyDescent="0.25">
      <c r="R5823" s="53">
        <v>61</v>
      </c>
      <c r="T5823" s="33">
        <v>46239</v>
      </c>
      <c r="U5823" s="34">
        <v>2026</v>
      </c>
      <c r="V5823" s="35" t="s">
        <v>2716</v>
      </c>
      <c r="W5823" s="35" t="s">
        <v>5</v>
      </c>
      <c r="X5823" s="37" t="s">
        <v>4380</v>
      </c>
      <c r="Y5823" s="36" t="s">
        <v>4381</v>
      </c>
      <c r="Z5823" s="30" t="s">
        <v>4382</v>
      </c>
      <c r="AA5823" s="30" t="s">
        <v>92</v>
      </c>
      <c r="AE5823" s="38">
        <v>300</v>
      </c>
      <c r="AF5823" s="76">
        <f t="shared" si="534"/>
        <v>166630.13999999856</v>
      </c>
    </row>
    <row r="5824" spans="9:32" ht="8.25" customHeight="1" x14ac:dyDescent="0.25">
      <c r="T5824" s="33">
        <v>46239</v>
      </c>
      <c r="U5824" s="34">
        <v>2026</v>
      </c>
      <c r="V5824" s="35" t="s">
        <v>2716</v>
      </c>
      <c r="W5824" s="35" t="s">
        <v>3997</v>
      </c>
      <c r="X5824" s="37" t="s">
        <v>4385</v>
      </c>
      <c r="Y5824" s="36" t="s">
        <v>411</v>
      </c>
      <c r="Z5824" s="30" t="s">
        <v>3162</v>
      </c>
      <c r="AA5824" s="30" t="s">
        <v>618</v>
      </c>
      <c r="AE5824" s="38">
        <v>100000</v>
      </c>
      <c r="AF5824" s="76">
        <f t="shared" si="534"/>
        <v>66630.139999998559</v>
      </c>
    </row>
    <row r="5825" spans="17:32" ht="8.25" customHeight="1" x14ac:dyDescent="0.25">
      <c r="Q5825" s="52">
        <v>7</v>
      </c>
      <c r="T5825" s="33">
        <v>46239</v>
      </c>
      <c r="U5825" s="34">
        <v>2026</v>
      </c>
      <c r="V5825" s="35" t="s">
        <v>2716</v>
      </c>
      <c r="W5825" s="35" t="s">
        <v>5</v>
      </c>
      <c r="X5825" s="37" t="s">
        <v>4387</v>
      </c>
      <c r="Y5825" s="36" t="s">
        <v>4386</v>
      </c>
      <c r="Z5825" s="30" t="s">
        <v>4357</v>
      </c>
      <c r="AA5825" s="30" t="s">
        <v>1063</v>
      </c>
      <c r="AE5825" s="38">
        <v>11477.27</v>
      </c>
      <c r="AF5825" s="76">
        <f t="shared" si="534"/>
        <v>55152.869999998555</v>
      </c>
    </row>
    <row r="5826" spans="17:32" ht="8.25" customHeight="1" thickBot="1" x14ac:dyDescent="0.3">
      <c r="AA5826" s="260" t="s">
        <v>2893</v>
      </c>
      <c r="AD5826" s="233">
        <f>SUM(AD5812:AD5820)</f>
        <v>36221.630000000005</v>
      </c>
      <c r="AE5826" s="233">
        <f>SUM(AE5821:AE5825)</f>
        <v>131440.63</v>
      </c>
      <c r="AF5826" s="233">
        <f>AF5825</f>
        <v>55152.869999998555</v>
      </c>
    </row>
    <row r="5827" spans="17:32" ht="8.25" customHeight="1" thickTop="1" x14ac:dyDescent="0.25">
      <c r="AA5827" s="260"/>
      <c r="AF5827" s="30"/>
    </row>
    <row r="5828" spans="17:32" ht="8.25" customHeight="1" x14ac:dyDescent="0.25">
      <c r="X5828" s="109"/>
      <c r="Y5828" s="67" t="s">
        <v>214</v>
      </c>
      <c r="Z5828" s="68"/>
    </row>
    <row r="5829" spans="17:32" ht="8.25" customHeight="1" x14ac:dyDescent="0.25">
      <c r="X5829" s="110" t="s">
        <v>402</v>
      </c>
      <c r="Y5829" s="111">
        <v>200</v>
      </c>
      <c r="Z5829" s="111">
        <f t="shared" ref="Z5829:Z5834" si="535">X5829*Y5829</f>
        <v>1000</v>
      </c>
      <c r="AA5829" s="112"/>
    </row>
    <row r="5830" spans="17:32" ht="8.25" customHeight="1" x14ac:dyDescent="0.25">
      <c r="X5830" s="110" t="s">
        <v>653</v>
      </c>
      <c r="Y5830" s="111">
        <v>100</v>
      </c>
      <c r="Z5830" s="111">
        <f t="shared" si="535"/>
        <v>52200</v>
      </c>
      <c r="AA5830" s="112"/>
    </row>
    <row r="5831" spans="17:32" ht="8.25" customHeight="1" x14ac:dyDescent="0.25">
      <c r="X5831" s="110" t="s">
        <v>222</v>
      </c>
      <c r="Y5831" s="111">
        <v>50</v>
      </c>
      <c r="Z5831" s="111">
        <f t="shared" si="535"/>
        <v>50</v>
      </c>
      <c r="AA5831" s="76"/>
    </row>
    <row r="5832" spans="17:32" ht="8.25" customHeight="1" x14ac:dyDescent="0.25">
      <c r="X5832" s="110" t="s">
        <v>120</v>
      </c>
      <c r="Y5832" s="111">
        <v>20</v>
      </c>
      <c r="Z5832" s="111">
        <f t="shared" si="535"/>
        <v>0</v>
      </c>
      <c r="AA5832" s="38"/>
    </row>
    <row r="5833" spans="17:32" ht="8.25" customHeight="1" x14ac:dyDescent="0.25">
      <c r="X5833" s="110" t="s">
        <v>91</v>
      </c>
      <c r="Y5833" s="111">
        <v>10</v>
      </c>
      <c r="Z5833" s="111">
        <f t="shared" si="535"/>
        <v>110</v>
      </c>
      <c r="AA5833" s="112"/>
    </row>
    <row r="5834" spans="17:32" ht="8.25" customHeight="1" x14ac:dyDescent="0.25">
      <c r="X5834" s="110" t="s">
        <v>607</v>
      </c>
      <c r="Y5834" s="111">
        <v>5</v>
      </c>
      <c r="Z5834" s="111">
        <f t="shared" si="535"/>
        <v>1485</v>
      </c>
      <c r="AA5834" s="112"/>
    </row>
    <row r="5835" spans="17:32" ht="8.25" customHeight="1" x14ac:dyDescent="0.25">
      <c r="X5835" s="269"/>
      <c r="Y5835" s="270"/>
      <c r="Z5835" s="271"/>
      <c r="AA5835" s="38"/>
    </row>
    <row r="5836" spans="17:32" ht="8.25" customHeight="1" x14ac:dyDescent="0.25">
      <c r="X5836" s="110" t="s">
        <v>3906</v>
      </c>
      <c r="Y5836" s="111">
        <v>1</v>
      </c>
      <c r="Z5836" s="111">
        <f t="shared" ref="Z5836:Z5841" si="536">X5836*Y5836</f>
        <v>245</v>
      </c>
      <c r="AA5836" s="76"/>
    </row>
    <row r="5837" spans="17:32" ht="8.25" customHeight="1" x14ac:dyDescent="0.25">
      <c r="X5837" s="110" t="s">
        <v>711</v>
      </c>
      <c r="Y5837" s="111">
        <v>0.5</v>
      </c>
      <c r="Z5837" s="111">
        <f t="shared" si="536"/>
        <v>25</v>
      </c>
      <c r="AA5837" s="112"/>
    </row>
    <row r="5838" spans="17:32" ht="8.25" customHeight="1" x14ac:dyDescent="0.25">
      <c r="X5838" s="110" t="s">
        <v>4208</v>
      </c>
      <c r="Y5838" s="111">
        <v>0.25</v>
      </c>
      <c r="Z5838" s="111">
        <f t="shared" si="536"/>
        <v>37.25</v>
      </c>
      <c r="AA5838" s="113" t="s">
        <v>1</v>
      </c>
    </row>
    <row r="5839" spans="17:32" ht="8.25" customHeight="1" x14ac:dyDescent="0.25">
      <c r="X5839" s="110" t="s">
        <v>402</v>
      </c>
      <c r="Y5839" s="111">
        <v>0.1</v>
      </c>
      <c r="Z5839" s="111">
        <f t="shared" si="536"/>
        <v>0.5</v>
      </c>
      <c r="AA5839" s="114" t="s">
        <v>219</v>
      </c>
    </row>
    <row r="5840" spans="17:32" ht="8.25" customHeight="1" thickBot="1" x14ac:dyDescent="0.3">
      <c r="X5840" s="110" t="s">
        <v>224</v>
      </c>
      <c r="Y5840" s="111">
        <v>0.05</v>
      </c>
      <c r="Z5840" s="111">
        <f t="shared" si="536"/>
        <v>0.1</v>
      </c>
      <c r="AA5840" s="115">
        <f>SUM(Z5829:Z5834)+Z5836+Z5837+Z5838+Z5839+Z5840+Z5841</f>
        <v>55152.869999999995</v>
      </c>
    </row>
    <row r="5841" spans="3:32" ht="8.25" customHeight="1" thickTop="1" x14ac:dyDescent="0.25">
      <c r="X5841" s="110" t="s">
        <v>224</v>
      </c>
      <c r="Y5841" s="111">
        <v>0.01</v>
      </c>
      <c r="Z5841" s="111">
        <f t="shared" si="536"/>
        <v>0.02</v>
      </c>
    </row>
    <row r="5844" spans="3:32" ht="8.25" customHeight="1" x14ac:dyDescent="0.25">
      <c r="Z5844" s="231" t="s">
        <v>1376</v>
      </c>
      <c r="AF5844" s="76">
        <f>AF5826</f>
        <v>55152.869999998555</v>
      </c>
    </row>
    <row r="5845" spans="3:32" ht="8.25" customHeight="1" x14ac:dyDescent="0.25">
      <c r="C5845" s="52">
        <v>19</v>
      </c>
      <c r="T5845" s="33">
        <v>46240</v>
      </c>
      <c r="U5845" s="34">
        <v>2026</v>
      </c>
      <c r="V5845" s="35" t="s">
        <v>2716</v>
      </c>
      <c r="W5845" s="35" t="s">
        <v>4397</v>
      </c>
      <c r="X5845" s="37" t="s">
        <v>4398</v>
      </c>
      <c r="Y5845" s="36" t="s">
        <v>4399</v>
      </c>
      <c r="Z5845" s="30" t="s">
        <v>1942</v>
      </c>
      <c r="AA5845" s="30" t="s">
        <v>340</v>
      </c>
      <c r="AD5845" s="38">
        <v>115</v>
      </c>
      <c r="AF5845" s="76">
        <f>AF5844+AD5845-AE5845</f>
        <v>55267.869999998555</v>
      </c>
    </row>
    <row r="5846" spans="3:32" ht="8.25" customHeight="1" x14ac:dyDescent="0.25">
      <c r="R5846" s="53">
        <v>62</v>
      </c>
      <c r="T5846" s="33">
        <v>46240</v>
      </c>
      <c r="U5846" s="34">
        <v>2026</v>
      </c>
      <c r="V5846" s="35" t="s">
        <v>2716</v>
      </c>
      <c r="W5846" s="35" t="s">
        <v>5</v>
      </c>
      <c r="X5846" s="37" t="s">
        <v>4391</v>
      </c>
      <c r="Y5846" s="36" t="s">
        <v>3511</v>
      </c>
      <c r="Z5846" s="30" t="s">
        <v>745</v>
      </c>
      <c r="AA5846" s="30" t="s">
        <v>92</v>
      </c>
      <c r="AE5846" s="38">
        <v>600</v>
      </c>
      <c r="AF5846" s="76">
        <f t="shared" ref="AF5846:AF5849" si="537">AF5845+AD5846-AE5846</f>
        <v>54667.869999998555</v>
      </c>
    </row>
    <row r="5847" spans="3:32" ht="8.25" customHeight="1" x14ac:dyDescent="0.25">
      <c r="R5847" s="53">
        <v>63</v>
      </c>
      <c r="T5847" s="33">
        <v>46240</v>
      </c>
      <c r="U5847" s="34">
        <v>2026</v>
      </c>
      <c r="V5847" s="35" t="s">
        <v>2716</v>
      </c>
      <c r="W5847" s="35" t="s">
        <v>5</v>
      </c>
      <c r="X5847" s="37" t="s">
        <v>4392</v>
      </c>
      <c r="Y5847" s="36" t="s">
        <v>4393</v>
      </c>
      <c r="Z5847" s="30" t="s">
        <v>841</v>
      </c>
      <c r="AA5847" s="30" t="s">
        <v>92</v>
      </c>
      <c r="AE5847" s="38">
        <v>200</v>
      </c>
      <c r="AF5847" s="76">
        <f t="shared" si="537"/>
        <v>54467.869999998555</v>
      </c>
    </row>
    <row r="5848" spans="3:32" ht="8.25" customHeight="1" x14ac:dyDescent="0.25">
      <c r="R5848" s="53">
        <v>64</v>
      </c>
      <c r="T5848" s="33">
        <v>46240</v>
      </c>
      <c r="U5848" s="34">
        <v>2026</v>
      </c>
      <c r="V5848" s="35" t="s">
        <v>2716</v>
      </c>
      <c r="W5848" s="35" t="s">
        <v>5</v>
      </c>
      <c r="X5848" s="37" t="s">
        <v>4394</v>
      </c>
      <c r="Y5848" s="36" t="s">
        <v>3534</v>
      </c>
      <c r="Z5848" s="30" t="s">
        <v>1942</v>
      </c>
      <c r="AA5848" s="30" t="s">
        <v>92</v>
      </c>
      <c r="AE5848" s="38">
        <v>115</v>
      </c>
      <c r="AF5848" s="76">
        <f t="shared" si="537"/>
        <v>54352.869999998555</v>
      </c>
    </row>
    <row r="5849" spans="3:32" ht="8.25" customHeight="1" x14ac:dyDescent="0.25">
      <c r="G5849" s="53">
        <v>37</v>
      </c>
      <c r="T5849" s="33">
        <v>46240</v>
      </c>
      <c r="U5849" s="34">
        <v>2026</v>
      </c>
      <c r="V5849" s="35" t="s">
        <v>2716</v>
      </c>
      <c r="W5849" s="35" t="s">
        <v>3625</v>
      </c>
      <c r="X5849" s="37" t="s">
        <v>4395</v>
      </c>
      <c r="Y5849" s="36" t="s">
        <v>4396</v>
      </c>
      <c r="Z5849" s="30" t="s">
        <v>2480</v>
      </c>
      <c r="AA5849" s="30" t="s">
        <v>3945</v>
      </c>
      <c r="AE5849" s="38">
        <v>2304</v>
      </c>
      <c r="AF5849" s="76">
        <f t="shared" si="537"/>
        <v>52048.869999998555</v>
      </c>
    </row>
    <row r="5850" spans="3:32" ht="8.25" customHeight="1" thickBot="1" x14ac:dyDescent="0.3">
      <c r="AA5850" s="260" t="s">
        <v>2893</v>
      </c>
      <c r="AD5850" s="233">
        <f>SUM(AD5845)</f>
        <v>115</v>
      </c>
      <c r="AE5850" s="233">
        <f>SUM(AE5846:AE5849)</f>
        <v>3219</v>
      </c>
      <c r="AF5850" s="233">
        <f>AF5849</f>
        <v>52048.869999998555</v>
      </c>
    </row>
    <row r="5851" spans="3:32" ht="8.25" customHeight="1" thickTop="1" x14ac:dyDescent="0.25"/>
    <row r="5852" spans="3:32" ht="8.25" customHeight="1" x14ac:dyDescent="0.25">
      <c r="X5852" s="109"/>
      <c r="Y5852" s="67" t="s">
        <v>214</v>
      </c>
      <c r="Z5852" s="68"/>
    </row>
    <row r="5853" spans="3:32" ht="8.25" customHeight="1" x14ac:dyDescent="0.25">
      <c r="X5853" s="110" t="s">
        <v>222</v>
      </c>
      <c r="Y5853" s="111">
        <v>200</v>
      </c>
      <c r="Z5853" s="111">
        <f t="shared" ref="Z5853:Z5858" si="538">X5853*Y5853</f>
        <v>200</v>
      </c>
      <c r="AA5853" s="112"/>
    </row>
    <row r="5854" spans="3:32" ht="8.25" customHeight="1" x14ac:dyDescent="0.25">
      <c r="X5854" s="110" t="s">
        <v>2760</v>
      </c>
      <c r="Y5854" s="111">
        <v>100</v>
      </c>
      <c r="Z5854" s="111">
        <f t="shared" si="538"/>
        <v>50000</v>
      </c>
      <c r="AA5854" s="112"/>
    </row>
    <row r="5855" spans="3:32" ht="8.25" customHeight="1" x14ac:dyDescent="0.25">
      <c r="X5855" s="110" t="s">
        <v>120</v>
      </c>
      <c r="Y5855" s="111">
        <v>50</v>
      </c>
      <c r="Z5855" s="111">
        <f t="shared" si="538"/>
        <v>0</v>
      </c>
      <c r="AA5855" s="76"/>
    </row>
    <row r="5856" spans="3:32" ht="8.25" customHeight="1" x14ac:dyDescent="0.25">
      <c r="X5856" s="110" t="s">
        <v>120</v>
      </c>
      <c r="Y5856" s="111">
        <v>20</v>
      </c>
      <c r="Z5856" s="111">
        <f t="shared" si="538"/>
        <v>0</v>
      </c>
      <c r="AA5856" s="38"/>
    </row>
    <row r="5857" spans="9:32" ht="8.25" customHeight="1" x14ac:dyDescent="0.25">
      <c r="X5857" s="110" t="s">
        <v>319</v>
      </c>
      <c r="Y5857" s="111">
        <v>10</v>
      </c>
      <c r="Z5857" s="111">
        <f t="shared" si="538"/>
        <v>60</v>
      </c>
      <c r="AA5857" s="112"/>
    </row>
    <row r="5858" spans="9:32" ht="8.25" customHeight="1" x14ac:dyDescent="0.25">
      <c r="X5858" s="110" t="s">
        <v>4366</v>
      </c>
      <c r="Y5858" s="111">
        <v>5</v>
      </c>
      <c r="Z5858" s="111">
        <f t="shared" si="538"/>
        <v>1480</v>
      </c>
      <c r="AA5858" s="112"/>
    </row>
    <row r="5859" spans="9:32" ht="8.25" customHeight="1" x14ac:dyDescent="0.25">
      <c r="X5859" s="269"/>
      <c r="Y5859" s="270"/>
      <c r="Z5859" s="271"/>
      <c r="AA5859" s="38"/>
    </row>
    <row r="5860" spans="9:32" ht="8.25" customHeight="1" x14ac:dyDescent="0.25">
      <c r="X5860" s="110" t="s">
        <v>1805</v>
      </c>
      <c r="Y5860" s="111">
        <v>1</v>
      </c>
      <c r="Z5860" s="111">
        <f t="shared" ref="Z5860:Z5865" si="539">X5860*Y5860</f>
        <v>246</v>
      </c>
      <c r="AA5860" s="76"/>
    </row>
    <row r="5861" spans="9:32" ht="8.25" customHeight="1" x14ac:dyDescent="0.25">
      <c r="X5861" s="110" t="s">
        <v>711</v>
      </c>
      <c r="Y5861" s="111">
        <v>0.5</v>
      </c>
      <c r="Z5861" s="111">
        <f t="shared" si="539"/>
        <v>25</v>
      </c>
      <c r="AA5861" s="112"/>
    </row>
    <row r="5862" spans="9:32" ht="8.25" customHeight="1" x14ac:dyDescent="0.25">
      <c r="X5862" s="110" t="s">
        <v>4208</v>
      </c>
      <c r="Y5862" s="111">
        <v>0.25</v>
      </c>
      <c r="Z5862" s="111">
        <f t="shared" si="539"/>
        <v>37.25</v>
      </c>
      <c r="AA5862" s="113" t="s">
        <v>1</v>
      </c>
    </row>
    <row r="5863" spans="9:32" ht="8.25" customHeight="1" x14ac:dyDescent="0.25">
      <c r="X5863" s="110" t="s">
        <v>402</v>
      </c>
      <c r="Y5863" s="111">
        <v>0.1</v>
      </c>
      <c r="Z5863" s="111">
        <f t="shared" si="539"/>
        <v>0.5</v>
      </c>
      <c r="AA5863" s="114" t="s">
        <v>219</v>
      </c>
    </row>
    <row r="5864" spans="9:32" ht="8.25" customHeight="1" thickBot="1" x14ac:dyDescent="0.3">
      <c r="X5864" s="110" t="s">
        <v>224</v>
      </c>
      <c r="Y5864" s="111">
        <v>0.05</v>
      </c>
      <c r="Z5864" s="111">
        <f t="shared" si="539"/>
        <v>0.1</v>
      </c>
      <c r="AA5864" s="115">
        <f>SUM(Z5853:Z5858)+Z5860+Z5861+Z5862+Z5863+Z5864+Z5865</f>
        <v>52048.869999999995</v>
      </c>
    </row>
    <row r="5865" spans="9:32" ht="8.25" customHeight="1" thickTop="1" x14ac:dyDescent="0.25">
      <c r="X5865" s="110" t="s">
        <v>224</v>
      </c>
      <c r="Y5865" s="111">
        <v>0.01</v>
      </c>
      <c r="Z5865" s="111">
        <f t="shared" si="539"/>
        <v>0.02</v>
      </c>
    </row>
    <row r="5867" spans="9:32" ht="8.25" customHeight="1" x14ac:dyDescent="0.25">
      <c r="Z5867" s="231" t="s">
        <v>1376</v>
      </c>
      <c r="AF5867" s="76">
        <f>AF5850</f>
        <v>52048.869999998555</v>
      </c>
    </row>
    <row r="5868" spans="9:32" ht="8.25" customHeight="1" x14ac:dyDescent="0.25">
      <c r="I5868" s="52">
        <v>48</v>
      </c>
      <c r="T5868" s="33">
        <v>46241</v>
      </c>
      <c r="U5868" s="34">
        <v>2026</v>
      </c>
      <c r="V5868" s="35" t="s">
        <v>2716</v>
      </c>
      <c r="W5868" s="35" t="s">
        <v>17</v>
      </c>
      <c r="X5868" s="37" t="s">
        <v>4400</v>
      </c>
      <c r="Y5868" s="36" t="s">
        <v>3597</v>
      </c>
      <c r="Z5868" s="30" t="s">
        <v>365</v>
      </c>
      <c r="AA5868" s="30" t="s">
        <v>13</v>
      </c>
      <c r="AD5868" s="38">
        <v>5000</v>
      </c>
      <c r="AF5868" s="76">
        <f>AF5867+AD5868-AE5868</f>
        <v>57048.869999998555</v>
      </c>
    </row>
    <row r="5869" spans="9:32" ht="8.25" customHeight="1" x14ac:dyDescent="0.25">
      <c r="N5869" s="52">
        <v>124</v>
      </c>
      <c r="T5869" s="33">
        <v>46241</v>
      </c>
      <c r="U5869" s="34">
        <v>2026</v>
      </c>
      <c r="V5869" s="35" t="s">
        <v>2716</v>
      </c>
      <c r="W5869" s="35" t="s">
        <v>17</v>
      </c>
      <c r="X5869" s="37" t="s">
        <v>4401</v>
      </c>
      <c r="Y5869" s="36" t="s">
        <v>3681</v>
      </c>
      <c r="Z5869" s="30" t="s">
        <v>3682</v>
      </c>
      <c r="AA5869" s="30" t="s">
        <v>3899</v>
      </c>
      <c r="AD5869" s="38">
        <v>1420.73</v>
      </c>
      <c r="AF5869" s="76">
        <f t="shared" ref="AF5869:AF5882" si="540">AF5868+AD5869-AE5869</f>
        <v>58469.599999998558</v>
      </c>
    </row>
    <row r="5870" spans="9:32" ht="8.25" customHeight="1" x14ac:dyDescent="0.25">
      <c r="N5870" s="52">
        <v>124</v>
      </c>
      <c r="T5870" s="33">
        <v>46241</v>
      </c>
      <c r="U5870" s="34">
        <v>2026</v>
      </c>
      <c r="V5870" s="35" t="s">
        <v>2716</v>
      </c>
      <c r="W5870" s="35" t="s">
        <v>17</v>
      </c>
      <c r="X5870" s="37" t="s">
        <v>4401</v>
      </c>
      <c r="Y5870" s="36" t="s">
        <v>3681</v>
      </c>
      <c r="Z5870" s="30" t="s">
        <v>3682</v>
      </c>
      <c r="AA5870" s="30" t="s">
        <v>166</v>
      </c>
      <c r="AD5870" s="38">
        <v>1708.27</v>
      </c>
      <c r="AF5870" s="76">
        <f t="shared" si="540"/>
        <v>60177.869999998555</v>
      </c>
    </row>
    <row r="5871" spans="9:32" ht="8.25" customHeight="1" x14ac:dyDescent="0.25">
      <c r="N5871" s="52">
        <v>125</v>
      </c>
      <c r="T5871" s="33">
        <v>46241</v>
      </c>
      <c r="U5871" s="34">
        <v>2026</v>
      </c>
      <c r="V5871" s="35" t="s">
        <v>2716</v>
      </c>
      <c r="W5871" s="35" t="s">
        <v>17</v>
      </c>
      <c r="X5871" s="37" t="s">
        <v>4402</v>
      </c>
      <c r="Y5871" s="36" t="s">
        <v>3715</v>
      </c>
      <c r="Z5871" s="30" t="s">
        <v>323</v>
      </c>
      <c r="AA5871" s="30" t="s">
        <v>3899</v>
      </c>
      <c r="AD5871" s="38">
        <v>9600.15</v>
      </c>
      <c r="AF5871" s="76">
        <f t="shared" si="540"/>
        <v>69778.019999998549</v>
      </c>
    </row>
    <row r="5872" spans="9:32" ht="8.25" customHeight="1" x14ac:dyDescent="0.25">
      <c r="N5872" s="52">
        <v>125</v>
      </c>
      <c r="T5872" s="33">
        <v>46241</v>
      </c>
      <c r="U5872" s="34">
        <v>2026</v>
      </c>
      <c r="V5872" s="35" t="s">
        <v>2716</v>
      </c>
      <c r="W5872" s="35" t="s">
        <v>17</v>
      </c>
      <c r="X5872" s="37" t="s">
        <v>4402</v>
      </c>
      <c r="Y5872" s="36" t="s">
        <v>3715</v>
      </c>
      <c r="Z5872" s="30" t="s">
        <v>323</v>
      </c>
      <c r="AA5872" s="30" t="s">
        <v>166</v>
      </c>
      <c r="AD5872" s="38">
        <v>7599.85</v>
      </c>
      <c r="AF5872" s="76">
        <f t="shared" si="540"/>
        <v>77377.869999998555</v>
      </c>
    </row>
    <row r="5873" spans="7:32" ht="8.25" customHeight="1" x14ac:dyDescent="0.25">
      <c r="N5873" s="52">
        <v>126</v>
      </c>
      <c r="T5873" s="33">
        <v>46241</v>
      </c>
      <c r="U5873" s="34">
        <v>2026</v>
      </c>
      <c r="V5873" s="35" t="s">
        <v>2716</v>
      </c>
      <c r="W5873" s="35" t="s">
        <v>17</v>
      </c>
      <c r="X5873" s="37" t="s">
        <v>4403</v>
      </c>
      <c r="Y5873" s="36" t="s">
        <v>3688</v>
      </c>
      <c r="Z5873" s="30" t="s">
        <v>804</v>
      </c>
      <c r="AA5873" s="30" t="s">
        <v>3899</v>
      </c>
      <c r="AD5873" s="38">
        <v>5932.97</v>
      </c>
      <c r="AF5873" s="76">
        <f t="shared" si="540"/>
        <v>83310.839999998556</v>
      </c>
    </row>
    <row r="5874" spans="7:32" ht="8.25" customHeight="1" x14ac:dyDescent="0.25">
      <c r="N5874" s="52">
        <v>126</v>
      </c>
      <c r="T5874" s="33">
        <v>46241</v>
      </c>
      <c r="U5874" s="34">
        <v>2026</v>
      </c>
      <c r="V5874" s="35" t="s">
        <v>2716</v>
      </c>
      <c r="W5874" s="35" t="s">
        <v>17</v>
      </c>
      <c r="X5874" s="37" t="s">
        <v>4403</v>
      </c>
      <c r="Y5874" s="36" t="s">
        <v>3688</v>
      </c>
      <c r="Z5874" s="30" t="s">
        <v>804</v>
      </c>
      <c r="AA5874" s="30" t="s">
        <v>166</v>
      </c>
      <c r="AD5874" s="38">
        <v>4067.03</v>
      </c>
      <c r="AF5874" s="76">
        <f t="shared" si="540"/>
        <v>87377.869999998555</v>
      </c>
    </row>
    <row r="5875" spans="7:32" ht="8.25" customHeight="1" x14ac:dyDescent="0.25">
      <c r="N5875" s="52">
        <v>127</v>
      </c>
      <c r="T5875" s="33">
        <v>46241</v>
      </c>
      <c r="U5875" s="34">
        <v>2026</v>
      </c>
      <c r="V5875" s="35" t="s">
        <v>2716</v>
      </c>
      <c r="W5875" s="35" t="s">
        <v>17</v>
      </c>
      <c r="X5875" s="37" t="s">
        <v>4404</v>
      </c>
      <c r="Y5875" s="36" t="s">
        <v>3704</v>
      </c>
      <c r="Z5875" s="30" t="s">
        <v>3698</v>
      </c>
      <c r="AA5875" s="30" t="s">
        <v>3899</v>
      </c>
      <c r="AD5875" s="38">
        <v>4741.84</v>
      </c>
      <c r="AF5875" s="76">
        <f t="shared" si="540"/>
        <v>92119.709999998551</v>
      </c>
    </row>
    <row r="5876" spans="7:32" ht="8.25" customHeight="1" x14ac:dyDescent="0.25">
      <c r="N5876" s="52">
        <v>127</v>
      </c>
      <c r="T5876" s="33">
        <v>46241</v>
      </c>
      <c r="U5876" s="34">
        <v>2026</v>
      </c>
      <c r="V5876" s="35" t="s">
        <v>2716</v>
      </c>
      <c r="W5876" s="35" t="s">
        <v>17</v>
      </c>
      <c r="X5876" s="37" t="s">
        <v>4404</v>
      </c>
      <c r="Y5876" s="36" t="s">
        <v>3704</v>
      </c>
      <c r="Z5876" s="30" t="s">
        <v>3698</v>
      </c>
      <c r="AA5876" s="30" t="s">
        <v>166</v>
      </c>
      <c r="AD5876" s="38">
        <v>1158.1600000000001</v>
      </c>
      <c r="AF5876" s="76">
        <f t="shared" si="540"/>
        <v>93277.869999998555</v>
      </c>
    </row>
    <row r="5877" spans="7:32" ht="8.25" customHeight="1" x14ac:dyDescent="0.25">
      <c r="I5877" s="52">
        <v>49</v>
      </c>
      <c r="T5877" s="33">
        <v>46241</v>
      </c>
      <c r="U5877" s="34">
        <v>2026</v>
      </c>
      <c r="V5877" s="35" t="s">
        <v>2716</v>
      </c>
      <c r="W5877" s="35" t="s">
        <v>17</v>
      </c>
      <c r="X5877" s="37" t="s">
        <v>4405</v>
      </c>
      <c r="Y5877" s="36" t="s">
        <v>3597</v>
      </c>
      <c r="Z5877" s="30" t="s">
        <v>365</v>
      </c>
      <c r="AA5877" s="30" t="s">
        <v>13</v>
      </c>
      <c r="AD5877" s="38">
        <v>1200</v>
      </c>
      <c r="AF5877" s="76">
        <f t="shared" si="540"/>
        <v>94477.869999998555</v>
      </c>
    </row>
    <row r="5878" spans="7:32" ht="8.25" customHeight="1" x14ac:dyDescent="0.25">
      <c r="N5878" s="52">
        <v>128</v>
      </c>
      <c r="T5878" s="33">
        <v>46241</v>
      </c>
      <c r="U5878" s="34">
        <v>2026</v>
      </c>
      <c r="V5878" s="35" t="s">
        <v>2716</v>
      </c>
      <c r="W5878" s="35" t="s">
        <v>17</v>
      </c>
      <c r="X5878" s="37" t="s">
        <v>4411</v>
      </c>
      <c r="Y5878" s="36" t="s">
        <v>3151</v>
      </c>
      <c r="Z5878" s="30" t="s">
        <v>3709</v>
      </c>
      <c r="AA5878" s="30" t="s">
        <v>3708</v>
      </c>
      <c r="AD5878" s="38">
        <v>958.69</v>
      </c>
      <c r="AF5878" s="76">
        <f t="shared" si="540"/>
        <v>95436.559999998557</v>
      </c>
    </row>
    <row r="5879" spans="7:32" ht="8.25" customHeight="1" x14ac:dyDescent="0.25">
      <c r="N5879" s="52">
        <v>128</v>
      </c>
      <c r="T5879" s="33">
        <v>46241</v>
      </c>
      <c r="U5879" s="34">
        <v>2026</v>
      </c>
      <c r="V5879" s="35" t="s">
        <v>2716</v>
      </c>
      <c r="W5879" s="35" t="s">
        <v>17</v>
      </c>
      <c r="X5879" s="37" t="s">
        <v>4411</v>
      </c>
      <c r="Y5879" s="36" t="s">
        <v>3151</v>
      </c>
      <c r="Z5879" s="30" t="s">
        <v>3709</v>
      </c>
      <c r="AA5879" s="30" t="s">
        <v>183</v>
      </c>
      <c r="AD5879" s="38">
        <v>212.31</v>
      </c>
      <c r="AF5879" s="76">
        <f t="shared" si="540"/>
        <v>95648.869999998555</v>
      </c>
    </row>
    <row r="5880" spans="7:32" ht="8.25" customHeight="1" x14ac:dyDescent="0.25">
      <c r="R5880" s="53">
        <v>65</v>
      </c>
      <c r="T5880" s="33">
        <v>46241</v>
      </c>
      <c r="U5880" s="34">
        <v>2026</v>
      </c>
      <c r="V5880" s="35" t="s">
        <v>2716</v>
      </c>
      <c r="W5880" s="35" t="s">
        <v>5</v>
      </c>
      <c r="X5880" s="37" t="s">
        <v>4406</v>
      </c>
      <c r="Y5880" s="36" t="s">
        <v>4407</v>
      </c>
      <c r="Z5880" s="30" t="s">
        <v>740</v>
      </c>
      <c r="AA5880" s="30" t="s">
        <v>92</v>
      </c>
      <c r="AE5880" s="38">
        <v>1700</v>
      </c>
      <c r="AF5880" s="76">
        <f t="shared" si="540"/>
        <v>93948.869999998555</v>
      </c>
    </row>
    <row r="5881" spans="7:32" ht="8.25" customHeight="1" x14ac:dyDescent="0.25">
      <c r="G5881" s="53">
        <v>38</v>
      </c>
      <c r="T5881" s="33">
        <v>46241</v>
      </c>
      <c r="U5881" s="34">
        <v>2026</v>
      </c>
      <c r="V5881" s="35" t="s">
        <v>2716</v>
      </c>
      <c r="W5881" s="35" t="s">
        <v>3625</v>
      </c>
      <c r="X5881" s="37" t="s">
        <v>4408</v>
      </c>
      <c r="Y5881" s="36" t="s">
        <v>4409</v>
      </c>
      <c r="Z5881" s="30" t="s">
        <v>4410</v>
      </c>
      <c r="AA5881" s="30" t="s">
        <v>3945</v>
      </c>
      <c r="AE5881" s="38">
        <v>3777.16</v>
      </c>
      <c r="AF5881" s="76">
        <f t="shared" si="540"/>
        <v>90171.709999998551</v>
      </c>
    </row>
    <row r="5882" spans="7:32" ht="8.25" customHeight="1" x14ac:dyDescent="0.25">
      <c r="G5882" s="53">
        <v>39</v>
      </c>
      <c r="T5882" s="33">
        <v>46241</v>
      </c>
      <c r="U5882" s="34">
        <v>2026</v>
      </c>
      <c r="V5882" s="35" t="s">
        <v>2716</v>
      </c>
      <c r="W5882" s="35" t="s">
        <v>3625</v>
      </c>
      <c r="X5882" s="37" t="s">
        <v>4412</v>
      </c>
      <c r="Y5882" s="36" t="s">
        <v>4413</v>
      </c>
      <c r="Z5882" s="30" t="s">
        <v>316</v>
      </c>
      <c r="AA5882" s="30" t="s">
        <v>3945</v>
      </c>
      <c r="AE5882" s="38">
        <v>2534.04</v>
      </c>
      <c r="AF5882" s="76">
        <f t="shared" si="540"/>
        <v>87637.669999998558</v>
      </c>
    </row>
    <row r="5883" spans="7:32" ht="8.25" customHeight="1" thickBot="1" x14ac:dyDescent="0.3">
      <c r="AA5883" s="260" t="s">
        <v>2893</v>
      </c>
      <c r="AD5883" s="233">
        <f>SUM(AD5868:AD5879)</f>
        <v>43600</v>
      </c>
      <c r="AE5883" s="233">
        <f>SUM(AE5880:AE5882)</f>
        <v>8011.2</v>
      </c>
      <c r="AF5883" s="233">
        <f>AF5882</f>
        <v>87637.669999998558</v>
      </c>
    </row>
    <row r="5884" spans="7:32" ht="8.25" customHeight="1" thickTop="1" x14ac:dyDescent="0.25">
      <c r="AF5884" s="30"/>
    </row>
    <row r="5887" spans="7:32" ht="8.25" customHeight="1" x14ac:dyDescent="0.25">
      <c r="X5887" s="109"/>
      <c r="Y5887" s="67" t="s">
        <v>214</v>
      </c>
      <c r="Z5887" s="68"/>
    </row>
    <row r="5888" spans="7:32" ht="8.25" customHeight="1" x14ac:dyDescent="0.25">
      <c r="X5888" s="110" t="s">
        <v>221</v>
      </c>
      <c r="Y5888" s="111">
        <v>200</v>
      </c>
      <c r="Z5888" s="111">
        <f t="shared" ref="Z5888:Z5893" si="541">X5888*Y5888</f>
        <v>1400</v>
      </c>
      <c r="AA5888" s="112"/>
    </row>
    <row r="5889" spans="9:32" ht="8.25" customHeight="1" x14ac:dyDescent="0.25">
      <c r="X5889" s="110" t="s">
        <v>3858</v>
      </c>
      <c r="Y5889" s="111">
        <v>100</v>
      </c>
      <c r="Z5889" s="111">
        <f t="shared" si="541"/>
        <v>84600</v>
      </c>
      <c r="AA5889" s="112"/>
    </row>
    <row r="5890" spans="9:32" ht="8.25" customHeight="1" x14ac:dyDescent="0.25">
      <c r="X5890" s="110" t="s">
        <v>120</v>
      </c>
      <c r="Y5890" s="111">
        <v>50</v>
      </c>
      <c r="Z5890" s="111">
        <f t="shared" si="541"/>
        <v>0</v>
      </c>
      <c r="AA5890" s="76"/>
    </row>
    <row r="5891" spans="9:32" ht="8.25" customHeight="1" x14ac:dyDescent="0.25">
      <c r="X5891" s="110" t="s">
        <v>120</v>
      </c>
      <c r="Y5891" s="111">
        <v>20</v>
      </c>
      <c r="Z5891" s="111">
        <f t="shared" si="541"/>
        <v>0</v>
      </c>
      <c r="AA5891" s="38"/>
    </row>
    <row r="5892" spans="9:32" ht="8.25" customHeight="1" x14ac:dyDescent="0.25">
      <c r="X5892" s="110" t="s">
        <v>120</v>
      </c>
      <c r="Y5892" s="111">
        <v>10</v>
      </c>
      <c r="Z5892" s="111">
        <f t="shared" si="541"/>
        <v>0</v>
      </c>
      <c r="AA5892" s="112"/>
    </row>
    <row r="5893" spans="9:32" ht="8.25" customHeight="1" x14ac:dyDescent="0.25">
      <c r="X5893" s="110" t="s">
        <v>4274</v>
      </c>
      <c r="Y5893" s="111">
        <v>5</v>
      </c>
      <c r="Z5893" s="111">
        <f t="shared" si="541"/>
        <v>1340</v>
      </c>
      <c r="AA5893" s="112"/>
    </row>
    <row r="5894" spans="9:32" ht="8.25" customHeight="1" x14ac:dyDescent="0.25">
      <c r="X5894" s="269"/>
      <c r="Y5894" s="270"/>
      <c r="Z5894" s="271"/>
      <c r="AA5894" s="38"/>
    </row>
    <row r="5895" spans="9:32" ht="8.25" customHeight="1" x14ac:dyDescent="0.25">
      <c r="X5895" s="110" t="s">
        <v>4414</v>
      </c>
      <c r="Y5895" s="111">
        <v>1</v>
      </c>
      <c r="Z5895" s="111">
        <f t="shared" ref="Z5895:Z5900" si="542">X5895*Y5895</f>
        <v>234</v>
      </c>
      <c r="AA5895" s="76"/>
    </row>
    <row r="5896" spans="9:32" ht="8.25" customHeight="1" x14ac:dyDescent="0.25">
      <c r="X5896" s="110" t="s">
        <v>797</v>
      </c>
      <c r="Y5896" s="111">
        <v>0.5</v>
      </c>
      <c r="Z5896" s="111">
        <f t="shared" si="542"/>
        <v>25.5</v>
      </c>
      <c r="AA5896" s="112"/>
    </row>
    <row r="5897" spans="9:32" ht="8.25" customHeight="1" x14ac:dyDescent="0.25">
      <c r="X5897" s="110" t="s">
        <v>873</v>
      </c>
      <c r="Y5897" s="111">
        <v>0.25</v>
      </c>
      <c r="Z5897" s="111">
        <f t="shared" si="542"/>
        <v>37.5</v>
      </c>
      <c r="AA5897" s="113" t="s">
        <v>1</v>
      </c>
    </row>
    <row r="5898" spans="9:32" ht="8.25" customHeight="1" x14ac:dyDescent="0.25">
      <c r="X5898" s="110" t="s">
        <v>402</v>
      </c>
      <c r="Y5898" s="111">
        <v>0.1</v>
      </c>
      <c r="Z5898" s="111">
        <f t="shared" si="542"/>
        <v>0.5</v>
      </c>
      <c r="AA5898" s="114" t="s">
        <v>219</v>
      </c>
    </row>
    <row r="5899" spans="9:32" ht="8.25" customHeight="1" thickBot="1" x14ac:dyDescent="0.3">
      <c r="X5899" s="110" t="s">
        <v>223</v>
      </c>
      <c r="Y5899" s="111">
        <v>0.05</v>
      </c>
      <c r="Z5899" s="111">
        <f t="shared" si="542"/>
        <v>0.15000000000000002</v>
      </c>
      <c r="AA5899" s="115">
        <f>SUM(Z5888:Z5893)+Z5895+Z5896+Z5897+Z5898+Z5899+Z5900</f>
        <v>87637.67</v>
      </c>
    </row>
    <row r="5900" spans="9:32" ht="8.25" customHeight="1" thickTop="1" x14ac:dyDescent="0.25">
      <c r="X5900" s="110" t="s">
        <v>224</v>
      </c>
      <c r="Y5900" s="111">
        <v>0.01</v>
      </c>
      <c r="Z5900" s="111">
        <f t="shared" si="542"/>
        <v>0.02</v>
      </c>
    </row>
    <row r="5903" spans="9:32" ht="8.25" customHeight="1" x14ac:dyDescent="0.25">
      <c r="Z5903" s="231" t="s">
        <v>1376</v>
      </c>
      <c r="AF5903" s="76">
        <f>AF5883</f>
        <v>87637.669999998558</v>
      </c>
    </row>
    <row r="5904" spans="9:32" ht="8.25" customHeight="1" x14ac:dyDescent="0.25">
      <c r="I5904" s="52">
        <v>50</v>
      </c>
      <c r="T5904" s="33">
        <v>46242</v>
      </c>
      <c r="U5904" s="34">
        <v>2026</v>
      </c>
      <c r="V5904" s="35" t="s">
        <v>2716</v>
      </c>
      <c r="W5904" s="35" t="s">
        <v>17</v>
      </c>
      <c r="X5904" s="37" t="s">
        <v>4415</v>
      </c>
      <c r="Y5904" s="36" t="s">
        <v>4416</v>
      </c>
      <c r="Z5904" s="30" t="s">
        <v>578</v>
      </c>
      <c r="AA5904" s="30" t="s">
        <v>13</v>
      </c>
      <c r="AD5904" s="38">
        <v>4000</v>
      </c>
      <c r="AF5904" s="76">
        <f>AF5903+AD5904-AE5904</f>
        <v>91637.669999998558</v>
      </c>
    </row>
    <row r="5905" spans="3:32" ht="8.25" customHeight="1" x14ac:dyDescent="0.25">
      <c r="I5905" s="52">
        <v>51</v>
      </c>
      <c r="T5905" s="33">
        <v>46242</v>
      </c>
      <c r="U5905" s="34">
        <v>2026</v>
      </c>
      <c r="V5905" s="35" t="s">
        <v>2716</v>
      </c>
      <c r="W5905" s="35" t="s">
        <v>17</v>
      </c>
      <c r="X5905" s="37" t="s">
        <v>4417</v>
      </c>
      <c r="Y5905" s="36" t="s">
        <v>3505</v>
      </c>
      <c r="Z5905" s="30" t="s">
        <v>2634</v>
      </c>
      <c r="AA5905" s="30" t="s">
        <v>13</v>
      </c>
      <c r="AD5905" s="38">
        <v>325</v>
      </c>
      <c r="AF5905" s="76">
        <f t="shared" ref="AF5905:AF5907" si="543">AF5904+AD5905-AE5905</f>
        <v>91962.669999998558</v>
      </c>
    </row>
    <row r="5906" spans="3:32" ht="8.25" customHeight="1" x14ac:dyDescent="0.25">
      <c r="C5906" s="52">
        <v>20</v>
      </c>
      <c r="T5906" s="33">
        <v>46242</v>
      </c>
      <c r="U5906" s="34">
        <v>2026</v>
      </c>
      <c r="V5906" s="35" t="s">
        <v>2716</v>
      </c>
      <c r="W5906" s="35" t="s">
        <v>3620</v>
      </c>
      <c r="X5906" s="37" t="s">
        <v>4441</v>
      </c>
      <c r="Y5906" s="36" t="s">
        <v>4419</v>
      </c>
      <c r="Z5906" s="30" t="s">
        <v>2634</v>
      </c>
      <c r="AA5906" s="30" t="s">
        <v>340</v>
      </c>
      <c r="AD5906" s="38">
        <v>537.30999999999995</v>
      </c>
      <c r="AF5906" s="76">
        <f t="shared" si="543"/>
        <v>92499.979999998555</v>
      </c>
    </row>
    <row r="5907" spans="3:32" ht="8.25" customHeight="1" x14ac:dyDescent="0.25">
      <c r="R5907" s="53">
        <v>66</v>
      </c>
      <c r="T5907" s="33">
        <v>46242</v>
      </c>
      <c r="U5907" s="34">
        <v>2026</v>
      </c>
      <c r="V5907" s="35" t="s">
        <v>2716</v>
      </c>
      <c r="W5907" s="35" t="s">
        <v>5</v>
      </c>
      <c r="X5907" s="37" t="s">
        <v>4418</v>
      </c>
      <c r="Y5907" s="36" t="s">
        <v>3534</v>
      </c>
      <c r="Z5907" s="30" t="s">
        <v>1942</v>
      </c>
      <c r="AA5907" s="30" t="s">
        <v>92</v>
      </c>
      <c r="AE5907" s="38">
        <v>700</v>
      </c>
      <c r="AF5907" s="76">
        <f t="shared" si="543"/>
        <v>91799.979999998555</v>
      </c>
    </row>
    <row r="5908" spans="3:32" ht="8.25" customHeight="1" thickBot="1" x14ac:dyDescent="0.3">
      <c r="AA5908" s="260" t="s">
        <v>2893</v>
      </c>
      <c r="AD5908" s="233">
        <f>SUM(AD5904:AD5906)</f>
        <v>4862.3099999999995</v>
      </c>
      <c r="AE5908" s="233">
        <f>SUM(AE5907:AE5907)</f>
        <v>700</v>
      </c>
      <c r="AF5908" s="233">
        <f>AF5907</f>
        <v>91799.979999998555</v>
      </c>
    </row>
    <row r="5909" spans="3:32" ht="8.25" customHeight="1" thickTop="1" x14ac:dyDescent="0.25"/>
    <row r="5910" spans="3:32" ht="8.25" customHeight="1" x14ac:dyDescent="0.25">
      <c r="X5910" s="109"/>
      <c r="Y5910" s="67" t="s">
        <v>214</v>
      </c>
      <c r="Z5910" s="68"/>
      <c r="AF5910" s="30"/>
    </row>
    <row r="5911" spans="3:32" ht="8.25" customHeight="1" x14ac:dyDescent="0.25">
      <c r="X5911" s="110" t="s">
        <v>652</v>
      </c>
      <c r="Y5911" s="111">
        <v>200</v>
      </c>
      <c r="Z5911" s="111">
        <f t="shared" ref="Z5911:Z5916" si="544">X5911*Y5911</f>
        <v>1600</v>
      </c>
      <c r="AA5911" s="112"/>
    </row>
    <row r="5912" spans="3:32" ht="8.25" customHeight="1" x14ac:dyDescent="0.25">
      <c r="X5912" s="110" t="s">
        <v>4442</v>
      </c>
      <c r="Y5912" s="111">
        <v>100</v>
      </c>
      <c r="Z5912" s="111">
        <f t="shared" si="544"/>
        <v>88600</v>
      </c>
      <c r="AA5912" s="112"/>
    </row>
    <row r="5913" spans="3:32" ht="8.25" customHeight="1" x14ac:dyDescent="0.25">
      <c r="X5913" s="110" t="s">
        <v>120</v>
      </c>
      <c r="Y5913" s="111">
        <v>50</v>
      </c>
      <c r="Z5913" s="111">
        <f t="shared" si="544"/>
        <v>0</v>
      </c>
      <c r="AA5913" s="76"/>
    </row>
    <row r="5914" spans="3:32" ht="8.25" customHeight="1" x14ac:dyDescent="0.25">
      <c r="X5914" s="110" t="s">
        <v>222</v>
      </c>
      <c r="Y5914" s="111">
        <v>20</v>
      </c>
      <c r="Z5914" s="111">
        <f t="shared" si="544"/>
        <v>20</v>
      </c>
      <c r="AA5914" s="38"/>
    </row>
    <row r="5915" spans="3:32" ht="8.25" customHeight="1" x14ac:dyDescent="0.25">
      <c r="X5915" s="110" t="s">
        <v>120</v>
      </c>
      <c r="Y5915" s="111">
        <v>10</v>
      </c>
      <c r="Z5915" s="111">
        <f t="shared" si="544"/>
        <v>0</v>
      </c>
      <c r="AA5915" s="112"/>
    </row>
    <row r="5916" spans="3:32" ht="8.25" customHeight="1" x14ac:dyDescent="0.25">
      <c r="X5916" s="110" t="s">
        <v>3271</v>
      </c>
      <c r="Y5916" s="111">
        <v>5</v>
      </c>
      <c r="Z5916" s="111">
        <f t="shared" si="544"/>
        <v>1285</v>
      </c>
      <c r="AA5916" s="112"/>
    </row>
    <row r="5917" spans="3:32" ht="8.25" customHeight="1" x14ac:dyDescent="0.25">
      <c r="X5917" s="269"/>
      <c r="Y5917" s="270"/>
      <c r="Z5917" s="271"/>
      <c r="AA5917" s="38"/>
    </row>
    <row r="5918" spans="3:32" ht="8.25" customHeight="1" x14ac:dyDescent="0.25">
      <c r="X5918" s="110" t="s">
        <v>4421</v>
      </c>
      <c r="Y5918" s="111">
        <v>1</v>
      </c>
      <c r="Z5918" s="111">
        <f t="shared" ref="Z5918:Z5923" si="545">X5918*Y5918</f>
        <v>232</v>
      </c>
      <c r="AA5918" s="76"/>
    </row>
    <row r="5919" spans="3:32" ht="8.25" customHeight="1" x14ac:dyDescent="0.25">
      <c r="X5919" s="110" t="s">
        <v>1012</v>
      </c>
      <c r="Y5919" s="111">
        <v>0.5</v>
      </c>
      <c r="Z5919" s="111">
        <f t="shared" si="545"/>
        <v>24.5</v>
      </c>
      <c r="AA5919" s="112"/>
    </row>
    <row r="5920" spans="3:32" ht="8.25" customHeight="1" x14ac:dyDescent="0.25">
      <c r="X5920" s="110" t="s">
        <v>4420</v>
      </c>
      <c r="Y5920" s="111">
        <v>0.25</v>
      </c>
      <c r="Z5920" s="111">
        <f t="shared" si="545"/>
        <v>38.25</v>
      </c>
      <c r="AA5920" s="113" t="s">
        <v>1</v>
      </c>
    </row>
    <row r="5921" spans="9:32" ht="8.25" customHeight="1" x14ac:dyDescent="0.25">
      <c r="X5921" s="110" t="s">
        <v>224</v>
      </c>
      <c r="Y5921" s="111">
        <v>0.1</v>
      </c>
      <c r="Z5921" s="111">
        <f t="shared" si="545"/>
        <v>0.2</v>
      </c>
      <c r="AA5921" s="114" t="s">
        <v>219</v>
      </c>
    </row>
    <row r="5922" spans="9:32" ht="8.25" customHeight="1" thickBot="1" x14ac:dyDescent="0.3">
      <c r="X5922" s="110" t="s">
        <v>120</v>
      </c>
      <c r="Y5922" s="111">
        <v>0.05</v>
      </c>
      <c r="Z5922" s="111">
        <f t="shared" si="545"/>
        <v>0</v>
      </c>
      <c r="AA5922" s="115">
        <f>SUM(Z5911:Z5916)+Z5918+Z5919+Z5920+Z5921+Z5922+Z5923</f>
        <v>91799.98</v>
      </c>
    </row>
    <row r="5923" spans="9:32" ht="8.25" customHeight="1" thickTop="1" x14ac:dyDescent="0.25">
      <c r="X5923" s="110" t="s">
        <v>223</v>
      </c>
      <c r="Y5923" s="111">
        <v>0.01</v>
      </c>
      <c r="Z5923" s="111">
        <f t="shared" si="545"/>
        <v>0.03</v>
      </c>
    </row>
    <row r="5926" spans="9:32" ht="8.25" customHeight="1" x14ac:dyDescent="0.25">
      <c r="Z5926" s="231" t="s">
        <v>1376</v>
      </c>
      <c r="AF5926" s="76">
        <f>AF5908</f>
        <v>91799.979999998555</v>
      </c>
    </row>
    <row r="5927" spans="9:32" ht="8.25" customHeight="1" x14ac:dyDescent="0.25">
      <c r="N5927" s="52">
        <v>129</v>
      </c>
      <c r="T5927" s="33">
        <v>46244</v>
      </c>
      <c r="U5927" s="34">
        <v>2026</v>
      </c>
      <c r="V5927" s="35" t="s">
        <v>2716</v>
      </c>
      <c r="W5927" s="35" t="s">
        <v>17</v>
      </c>
      <c r="X5927" s="37" t="s">
        <v>4422</v>
      </c>
      <c r="Y5927" s="36" t="s">
        <v>3961</v>
      </c>
      <c r="Z5927" s="30" t="s">
        <v>352</v>
      </c>
      <c r="AA5927" s="30" t="s">
        <v>3899</v>
      </c>
      <c r="AD5927" s="38">
        <v>1647.77</v>
      </c>
      <c r="AF5927" s="76">
        <f>AF5926+AD5927-AE5927</f>
        <v>93447.749999998559</v>
      </c>
    </row>
    <row r="5928" spans="9:32" ht="8.25" customHeight="1" x14ac:dyDescent="0.25">
      <c r="N5928" s="52">
        <v>129</v>
      </c>
      <c r="T5928" s="33">
        <v>46244</v>
      </c>
      <c r="U5928" s="34">
        <v>2026</v>
      </c>
      <c r="V5928" s="35" t="s">
        <v>2716</v>
      </c>
      <c r="W5928" s="35" t="s">
        <v>17</v>
      </c>
      <c r="X5928" s="37" t="s">
        <v>4422</v>
      </c>
      <c r="Y5928" s="36" t="s">
        <v>3961</v>
      </c>
      <c r="Z5928" s="30" t="s">
        <v>352</v>
      </c>
      <c r="AA5928" s="30" t="s">
        <v>166</v>
      </c>
      <c r="AD5928" s="38">
        <v>352.23</v>
      </c>
      <c r="AF5928" s="76">
        <f t="shared" ref="AF5928:AF5942" si="546">AF5927+AD5928-AE5928</f>
        <v>93799.979999998555</v>
      </c>
    </row>
    <row r="5929" spans="9:32" ht="8.25" customHeight="1" x14ac:dyDescent="0.25">
      <c r="K5929" s="52">
        <v>16</v>
      </c>
      <c r="T5929" s="33">
        <v>46244</v>
      </c>
      <c r="U5929" s="34">
        <v>2026</v>
      </c>
      <c r="V5929" s="35" t="s">
        <v>2716</v>
      </c>
      <c r="W5929" s="35" t="s">
        <v>17</v>
      </c>
      <c r="X5929" s="37" t="s">
        <v>4423</v>
      </c>
      <c r="Y5929" s="36" t="s">
        <v>4424</v>
      </c>
      <c r="Z5929" s="30" t="s">
        <v>4425</v>
      </c>
      <c r="AA5929" s="30" t="s">
        <v>1787</v>
      </c>
      <c r="AD5929" s="38">
        <v>100</v>
      </c>
      <c r="AF5929" s="76">
        <f t="shared" si="546"/>
        <v>93899.979999998555</v>
      </c>
    </row>
    <row r="5930" spans="9:32" ht="8.25" customHeight="1" x14ac:dyDescent="0.25">
      <c r="L5930" s="52">
        <v>16</v>
      </c>
      <c r="T5930" s="33">
        <v>46244</v>
      </c>
      <c r="U5930" s="34">
        <v>2026</v>
      </c>
      <c r="V5930" s="35" t="s">
        <v>2716</v>
      </c>
      <c r="W5930" s="35" t="s">
        <v>17</v>
      </c>
      <c r="X5930" s="37" t="s">
        <v>4426</v>
      </c>
      <c r="Y5930" s="36" t="s">
        <v>3982</v>
      </c>
      <c r="Z5930" s="30" t="s">
        <v>4425</v>
      </c>
      <c r="AA5930" s="30" t="s">
        <v>373</v>
      </c>
      <c r="AD5930" s="38">
        <v>50</v>
      </c>
      <c r="AF5930" s="76">
        <f t="shared" si="546"/>
        <v>93949.979999998555</v>
      </c>
    </row>
    <row r="5931" spans="9:32" ht="8.25" customHeight="1" x14ac:dyDescent="0.25">
      <c r="I5931" s="52">
        <v>52</v>
      </c>
      <c r="T5931" s="33">
        <v>46244</v>
      </c>
      <c r="U5931" s="34">
        <v>2026</v>
      </c>
      <c r="V5931" s="35" t="s">
        <v>2716</v>
      </c>
      <c r="W5931" s="35" t="s">
        <v>17</v>
      </c>
      <c r="X5931" s="37" t="s">
        <v>4427</v>
      </c>
      <c r="Y5931" s="36" t="s">
        <v>4428</v>
      </c>
      <c r="Z5931" s="30" t="s">
        <v>4425</v>
      </c>
      <c r="AA5931" s="30" t="s">
        <v>13</v>
      </c>
      <c r="AD5931" s="38">
        <v>7850</v>
      </c>
      <c r="AF5931" s="76">
        <f t="shared" si="546"/>
        <v>101799.97999999856</v>
      </c>
    </row>
    <row r="5932" spans="9:32" ht="8.25" customHeight="1" x14ac:dyDescent="0.25">
      <c r="I5932" s="52">
        <v>53</v>
      </c>
      <c r="T5932" s="33">
        <v>46244</v>
      </c>
      <c r="U5932" s="34">
        <v>2026</v>
      </c>
      <c r="V5932" s="35" t="s">
        <v>2716</v>
      </c>
      <c r="W5932" s="35" t="s">
        <v>17</v>
      </c>
      <c r="X5932" s="37" t="s">
        <v>4429</v>
      </c>
      <c r="Y5932" s="36" t="s">
        <v>3597</v>
      </c>
      <c r="Z5932" s="30" t="s">
        <v>365</v>
      </c>
      <c r="AA5932" s="30" t="s">
        <v>13</v>
      </c>
      <c r="AD5932" s="38">
        <v>800</v>
      </c>
      <c r="AF5932" s="76">
        <f t="shared" si="546"/>
        <v>102599.97999999856</v>
      </c>
    </row>
    <row r="5933" spans="9:32" ht="8.25" customHeight="1" x14ac:dyDescent="0.25">
      <c r="N5933" s="52">
        <v>130</v>
      </c>
      <c r="T5933" s="33">
        <v>46244</v>
      </c>
      <c r="U5933" s="34">
        <v>2026</v>
      </c>
      <c r="V5933" s="35" t="s">
        <v>2716</v>
      </c>
      <c r="W5933" s="35" t="s">
        <v>17</v>
      </c>
      <c r="X5933" s="37" t="s">
        <v>4438</v>
      </c>
      <c r="Y5933" s="36" t="s">
        <v>3158</v>
      </c>
      <c r="Z5933" s="30" t="s">
        <v>3707</v>
      </c>
      <c r="AA5933" s="30" t="s">
        <v>3708</v>
      </c>
      <c r="AD5933" s="38">
        <v>988.69</v>
      </c>
      <c r="AF5933" s="76">
        <f t="shared" si="546"/>
        <v>103588.66999999856</v>
      </c>
    </row>
    <row r="5934" spans="9:32" ht="8.25" customHeight="1" x14ac:dyDescent="0.25">
      <c r="N5934" s="52">
        <v>130</v>
      </c>
      <c r="T5934" s="33">
        <v>46244</v>
      </c>
      <c r="U5934" s="34">
        <v>2026</v>
      </c>
      <c r="V5934" s="35" t="s">
        <v>2716</v>
      </c>
      <c r="W5934" s="35" t="s">
        <v>17</v>
      </c>
      <c r="X5934" s="37" t="s">
        <v>4438</v>
      </c>
      <c r="Y5934" s="36" t="s">
        <v>3158</v>
      </c>
      <c r="Z5934" s="30" t="s">
        <v>3707</v>
      </c>
      <c r="AA5934" s="30" t="s">
        <v>183</v>
      </c>
      <c r="AD5934" s="38">
        <v>212.31</v>
      </c>
      <c r="AF5934" s="76">
        <f t="shared" si="546"/>
        <v>103800.97999999856</v>
      </c>
    </row>
    <row r="5935" spans="9:32" ht="8.25" customHeight="1" x14ac:dyDescent="0.25">
      <c r="N5935" s="52">
        <v>131</v>
      </c>
      <c r="T5935" s="33">
        <v>46244</v>
      </c>
      <c r="U5935" s="34">
        <v>2026</v>
      </c>
      <c r="V5935" s="35" t="s">
        <v>2716</v>
      </c>
      <c r="W5935" s="35" t="s">
        <v>17</v>
      </c>
      <c r="X5935" s="37" t="s">
        <v>4439</v>
      </c>
      <c r="Y5935" s="36" t="s">
        <v>3755</v>
      </c>
      <c r="Z5935" s="30" t="s">
        <v>3735</v>
      </c>
      <c r="AA5935" s="30" t="s">
        <v>3708</v>
      </c>
      <c r="AD5935" s="38">
        <v>948.37</v>
      </c>
      <c r="AF5935" s="76">
        <f t="shared" si="546"/>
        <v>104749.34999999855</v>
      </c>
    </row>
    <row r="5936" spans="9:32" ht="8.25" customHeight="1" x14ac:dyDescent="0.25">
      <c r="N5936" s="52">
        <v>131</v>
      </c>
      <c r="T5936" s="33">
        <v>46244</v>
      </c>
      <c r="U5936" s="34">
        <v>2026</v>
      </c>
      <c r="V5936" s="35" t="s">
        <v>2716</v>
      </c>
      <c r="W5936" s="35" t="s">
        <v>17</v>
      </c>
      <c r="X5936" s="37" t="s">
        <v>4439</v>
      </c>
      <c r="Y5936" s="36" t="s">
        <v>3755</v>
      </c>
      <c r="Z5936" s="30" t="s">
        <v>3735</v>
      </c>
      <c r="AA5936" s="30" t="s">
        <v>183</v>
      </c>
      <c r="AD5936" s="38">
        <v>231.63</v>
      </c>
      <c r="AF5936" s="76">
        <f t="shared" si="546"/>
        <v>104980.97999999856</v>
      </c>
    </row>
    <row r="5937" spans="6:32" ht="8.25" customHeight="1" x14ac:dyDescent="0.25">
      <c r="N5937" s="52">
        <v>132</v>
      </c>
      <c r="T5937" s="33">
        <v>46244</v>
      </c>
      <c r="U5937" s="34">
        <v>2026</v>
      </c>
      <c r="V5937" s="35" t="s">
        <v>2716</v>
      </c>
      <c r="W5937" s="35" t="s">
        <v>17</v>
      </c>
      <c r="X5937" s="37" t="s">
        <v>4444</v>
      </c>
      <c r="Y5937" s="36" t="s">
        <v>3794</v>
      </c>
      <c r="Z5937" s="30" t="s">
        <v>3795</v>
      </c>
      <c r="AA5937" s="30" t="s">
        <v>3899</v>
      </c>
      <c r="AD5937" s="38">
        <v>6500.21</v>
      </c>
      <c r="AF5937" s="76">
        <f t="shared" si="546"/>
        <v>111481.18999999856</v>
      </c>
    </row>
    <row r="5938" spans="6:32" ht="8.25" customHeight="1" x14ac:dyDescent="0.25">
      <c r="N5938" s="52">
        <v>132</v>
      </c>
      <c r="T5938" s="33">
        <v>46244</v>
      </c>
      <c r="U5938" s="34">
        <v>2026</v>
      </c>
      <c r="V5938" s="35" t="s">
        <v>2716</v>
      </c>
      <c r="W5938" s="35" t="s">
        <v>17</v>
      </c>
      <c r="X5938" s="37" t="s">
        <v>4444</v>
      </c>
      <c r="Y5938" s="36" t="s">
        <v>3794</v>
      </c>
      <c r="Z5938" s="30" t="s">
        <v>3795</v>
      </c>
      <c r="AA5938" s="30" t="s">
        <v>166</v>
      </c>
      <c r="AD5938" s="38">
        <v>4499.79</v>
      </c>
      <c r="AF5938" s="76">
        <f t="shared" si="546"/>
        <v>115980.97999999856</v>
      </c>
    </row>
    <row r="5939" spans="6:32" ht="8.25" customHeight="1" x14ac:dyDescent="0.25">
      <c r="R5939" s="53">
        <v>67</v>
      </c>
      <c r="T5939" s="33">
        <v>46244</v>
      </c>
      <c r="U5939" s="34">
        <v>2026</v>
      </c>
      <c r="V5939" s="35" t="s">
        <v>2716</v>
      </c>
      <c r="W5939" s="35" t="s">
        <v>5</v>
      </c>
      <c r="X5939" s="37" t="s">
        <v>4430</v>
      </c>
      <c r="Y5939" s="36" t="s">
        <v>4431</v>
      </c>
      <c r="Z5939" s="30" t="s">
        <v>630</v>
      </c>
      <c r="AA5939" s="30" t="s">
        <v>92</v>
      </c>
      <c r="AE5939" s="38">
        <v>100</v>
      </c>
      <c r="AF5939" s="76">
        <f t="shared" si="546"/>
        <v>115880.97999999856</v>
      </c>
    </row>
    <row r="5940" spans="6:32" ht="8.25" customHeight="1" x14ac:dyDescent="0.25">
      <c r="F5940" s="53">
        <v>17</v>
      </c>
      <c r="T5940" s="33">
        <v>46244</v>
      </c>
      <c r="U5940" s="34">
        <v>2026</v>
      </c>
      <c r="V5940" s="35" t="s">
        <v>2716</v>
      </c>
      <c r="W5940" s="35" t="s">
        <v>3625</v>
      </c>
      <c r="X5940" s="37" t="s">
        <v>4432</v>
      </c>
      <c r="Z5940" s="30" t="s">
        <v>4433</v>
      </c>
      <c r="AA5940" s="30" t="s">
        <v>3939</v>
      </c>
      <c r="AE5940" s="38">
        <v>100</v>
      </c>
      <c r="AF5940" s="76">
        <f t="shared" si="546"/>
        <v>115780.97999999856</v>
      </c>
    </row>
    <row r="5941" spans="6:32" ht="8.25" customHeight="1" x14ac:dyDescent="0.25">
      <c r="G5941" s="53">
        <v>40</v>
      </c>
      <c r="T5941" s="33">
        <v>46244</v>
      </c>
      <c r="U5941" s="34">
        <v>2026</v>
      </c>
      <c r="V5941" s="35" t="s">
        <v>2716</v>
      </c>
      <c r="W5941" s="35" t="s">
        <v>3625</v>
      </c>
      <c r="X5941" s="37" t="s">
        <v>4434</v>
      </c>
      <c r="Y5941" s="36" t="s">
        <v>4435</v>
      </c>
      <c r="Z5941" s="30" t="s">
        <v>578</v>
      </c>
      <c r="AA5941" s="30" t="s">
        <v>3945</v>
      </c>
      <c r="AE5941" s="38">
        <v>680.72</v>
      </c>
      <c r="AF5941" s="76">
        <f t="shared" si="546"/>
        <v>115100.25999999855</v>
      </c>
    </row>
    <row r="5942" spans="6:32" ht="8.25" customHeight="1" x14ac:dyDescent="0.25">
      <c r="G5942" s="53">
        <v>41</v>
      </c>
      <c r="T5942" s="33">
        <v>46244</v>
      </c>
      <c r="U5942" s="34">
        <v>2026</v>
      </c>
      <c r="V5942" s="35" t="s">
        <v>2716</v>
      </c>
      <c r="W5942" s="35" t="s">
        <v>3625</v>
      </c>
      <c r="X5942" s="37" t="s">
        <v>4436</v>
      </c>
      <c r="Y5942" s="36" t="s">
        <v>4437</v>
      </c>
      <c r="Z5942" s="30" t="s">
        <v>2480</v>
      </c>
      <c r="AA5942" s="30" t="s">
        <v>3945</v>
      </c>
      <c r="AE5942" s="38">
        <v>6128</v>
      </c>
      <c r="AF5942" s="76">
        <f t="shared" si="546"/>
        <v>108972.25999999855</v>
      </c>
    </row>
    <row r="5943" spans="6:32" ht="8.25" customHeight="1" thickBot="1" x14ac:dyDescent="0.3">
      <c r="AA5943" s="260" t="s">
        <v>2893</v>
      </c>
      <c r="AD5943" s="264">
        <f>SUM(AD5927:AD5938)</f>
        <v>24181</v>
      </c>
      <c r="AE5943" s="264">
        <f>SUM(AE5939:AE5942)</f>
        <v>7008.72</v>
      </c>
      <c r="AF5943" s="233">
        <f>AF5942</f>
        <v>108972.25999999855</v>
      </c>
    </row>
    <row r="5944" spans="6:32" ht="8.25" customHeight="1" thickTop="1" x14ac:dyDescent="0.25"/>
    <row r="5946" spans="6:32" ht="8.25" customHeight="1" x14ac:dyDescent="0.25">
      <c r="X5946" s="109"/>
      <c r="Y5946" s="67" t="s">
        <v>214</v>
      </c>
      <c r="Z5946" s="68"/>
    </row>
    <row r="5947" spans="6:32" ht="8.25" customHeight="1" x14ac:dyDescent="0.25">
      <c r="X5947" s="110" t="s">
        <v>669</v>
      </c>
      <c r="Y5947" s="111">
        <v>200</v>
      </c>
      <c r="Z5947" s="111">
        <f t="shared" ref="Z5947:Z5952" si="547">X5947*Y5947</f>
        <v>3800</v>
      </c>
      <c r="AA5947" s="112"/>
    </row>
    <row r="5948" spans="6:32" ht="8.25" customHeight="1" x14ac:dyDescent="0.25">
      <c r="X5948" s="110" t="s">
        <v>4443</v>
      </c>
      <c r="Y5948" s="111">
        <v>100</v>
      </c>
      <c r="Z5948" s="111">
        <f t="shared" si="547"/>
        <v>103600</v>
      </c>
      <c r="AA5948" s="112"/>
    </row>
    <row r="5949" spans="6:32" ht="8.25" customHeight="1" x14ac:dyDescent="0.25">
      <c r="X5949" s="110" t="s">
        <v>222</v>
      </c>
      <c r="Y5949" s="111">
        <v>50</v>
      </c>
      <c r="Z5949" s="111">
        <f t="shared" si="547"/>
        <v>50</v>
      </c>
      <c r="AA5949" s="76"/>
    </row>
    <row r="5950" spans="6:32" ht="8.25" customHeight="1" x14ac:dyDescent="0.25">
      <c r="X5950" s="110" t="s">
        <v>222</v>
      </c>
      <c r="Y5950" s="111">
        <v>20</v>
      </c>
      <c r="Z5950" s="111">
        <f t="shared" si="547"/>
        <v>20</v>
      </c>
      <c r="AA5950" s="38"/>
    </row>
    <row r="5951" spans="6:32" ht="8.25" customHeight="1" x14ac:dyDescent="0.25">
      <c r="X5951" s="110" t="s">
        <v>222</v>
      </c>
      <c r="Y5951" s="111">
        <v>10</v>
      </c>
      <c r="Z5951" s="111">
        <f t="shared" si="547"/>
        <v>10</v>
      </c>
      <c r="AA5951" s="112"/>
    </row>
    <row r="5952" spans="6:32" ht="8.25" customHeight="1" x14ac:dyDescent="0.25">
      <c r="X5952" s="110" t="s">
        <v>286</v>
      </c>
      <c r="Y5952" s="111">
        <v>5</v>
      </c>
      <c r="Z5952" s="111">
        <f t="shared" si="547"/>
        <v>1200</v>
      </c>
      <c r="AA5952" s="112"/>
    </row>
    <row r="5953" spans="11:32" ht="8.25" customHeight="1" x14ac:dyDescent="0.25">
      <c r="X5953" s="269"/>
      <c r="Y5953" s="270"/>
      <c r="Z5953" s="271"/>
      <c r="AA5953" s="38"/>
    </row>
    <row r="5954" spans="11:32" ht="8.25" customHeight="1" x14ac:dyDescent="0.25">
      <c r="X5954" s="110" t="s">
        <v>4440</v>
      </c>
      <c r="Y5954" s="111">
        <v>1</v>
      </c>
      <c r="Z5954" s="111">
        <f t="shared" ref="Z5954:Z5959" si="548">X5954*Y5954</f>
        <v>231</v>
      </c>
      <c r="AA5954" s="76"/>
    </row>
    <row r="5955" spans="11:32" ht="8.25" customHeight="1" x14ac:dyDescent="0.25">
      <c r="X5955" s="110" t="s">
        <v>231</v>
      </c>
      <c r="Y5955" s="111">
        <v>0.5</v>
      </c>
      <c r="Z5955" s="111">
        <f t="shared" si="548"/>
        <v>23</v>
      </c>
      <c r="AA5955" s="112"/>
    </row>
    <row r="5956" spans="11:32" ht="8.25" customHeight="1" x14ac:dyDescent="0.25">
      <c r="X5956" s="110" t="s">
        <v>4420</v>
      </c>
      <c r="Y5956" s="111">
        <v>0.25</v>
      </c>
      <c r="Z5956" s="111">
        <f t="shared" si="548"/>
        <v>38.25</v>
      </c>
      <c r="AA5956" s="113" t="s">
        <v>1</v>
      </c>
    </row>
    <row r="5957" spans="11:32" ht="8.25" customHeight="1" x14ac:dyDescent="0.25">
      <c r="X5957" s="110" t="s">
        <v>120</v>
      </c>
      <c r="Y5957" s="111">
        <v>0.1</v>
      </c>
      <c r="Z5957" s="111">
        <f t="shared" si="548"/>
        <v>0</v>
      </c>
      <c r="AA5957" s="114" t="s">
        <v>219</v>
      </c>
    </row>
    <row r="5958" spans="11:32" ht="8.25" customHeight="1" thickBot="1" x14ac:dyDescent="0.3">
      <c r="X5958" s="110" t="s">
        <v>120</v>
      </c>
      <c r="Y5958" s="111">
        <v>0.05</v>
      </c>
      <c r="Z5958" s="111">
        <f t="shared" si="548"/>
        <v>0</v>
      </c>
      <c r="AA5958" s="115">
        <f>SUM(Z5947:Z5952)+Z5954+Z5955+Z5956+Z5957+Z5958+Z5959</f>
        <v>108972.26</v>
      </c>
    </row>
    <row r="5959" spans="11:32" ht="8.25" customHeight="1" thickTop="1" x14ac:dyDescent="0.25">
      <c r="X5959" s="110" t="s">
        <v>222</v>
      </c>
      <c r="Y5959" s="111">
        <v>0.01</v>
      </c>
      <c r="Z5959" s="111">
        <f t="shared" si="548"/>
        <v>0.01</v>
      </c>
    </row>
    <row r="5962" spans="11:32" ht="8.25" customHeight="1" x14ac:dyDescent="0.25">
      <c r="Z5962" s="231" t="s">
        <v>1376</v>
      </c>
      <c r="AF5962" s="76">
        <f>AF5943</f>
        <v>108972.25999999855</v>
      </c>
    </row>
    <row r="5963" spans="11:32" ht="8.25" customHeight="1" x14ac:dyDescent="0.25">
      <c r="N5963" s="52">
        <v>133</v>
      </c>
      <c r="T5963" s="33">
        <v>46245</v>
      </c>
      <c r="U5963" s="34">
        <v>2026</v>
      </c>
      <c r="V5963" s="35" t="s">
        <v>2716</v>
      </c>
      <c r="W5963" s="35" t="s">
        <v>17</v>
      </c>
      <c r="X5963" s="37" t="s">
        <v>4445</v>
      </c>
      <c r="Y5963" s="36" t="s">
        <v>3742</v>
      </c>
      <c r="Z5963" s="30" t="s">
        <v>443</v>
      </c>
      <c r="AA5963" s="30" t="s">
        <v>3899</v>
      </c>
      <c r="AD5963" s="38">
        <v>6055.54</v>
      </c>
      <c r="AF5963" s="76">
        <f>AF5962+AD5963-AE5963</f>
        <v>115027.79999999855</v>
      </c>
    </row>
    <row r="5964" spans="11:32" ht="8.25" customHeight="1" x14ac:dyDescent="0.25">
      <c r="N5964" s="52">
        <v>133</v>
      </c>
      <c r="T5964" s="33">
        <v>46245</v>
      </c>
      <c r="U5964" s="34">
        <v>2026</v>
      </c>
      <c r="V5964" s="35" t="s">
        <v>2716</v>
      </c>
      <c r="W5964" s="35" t="s">
        <v>17</v>
      </c>
      <c r="X5964" s="37" t="s">
        <v>4445</v>
      </c>
      <c r="Y5964" s="36" t="s">
        <v>3742</v>
      </c>
      <c r="Z5964" s="30" t="s">
        <v>443</v>
      </c>
      <c r="AA5964" s="30" t="s">
        <v>166</v>
      </c>
      <c r="AD5964" s="38">
        <v>3944.46</v>
      </c>
      <c r="AF5964" s="76">
        <f t="shared" ref="AF5964:AF5995" si="549">AF5963+AD5964-AE5964</f>
        <v>118972.25999999855</v>
      </c>
    </row>
    <row r="5965" spans="11:32" ht="8.25" customHeight="1" x14ac:dyDescent="0.25">
      <c r="K5965" s="52">
        <v>17</v>
      </c>
      <c r="T5965" s="33">
        <v>46245</v>
      </c>
      <c r="U5965" s="34">
        <v>2026</v>
      </c>
      <c r="V5965" s="35" t="s">
        <v>2716</v>
      </c>
      <c r="W5965" s="35" t="s">
        <v>17</v>
      </c>
      <c r="X5965" s="37" t="s">
        <v>4446</v>
      </c>
      <c r="Y5965" s="36" t="s">
        <v>4448</v>
      </c>
      <c r="Z5965" s="30" t="s">
        <v>4449</v>
      </c>
      <c r="AA5965" s="30" t="s">
        <v>1787</v>
      </c>
      <c r="AD5965" s="38">
        <v>100</v>
      </c>
      <c r="AF5965" s="76">
        <f t="shared" si="549"/>
        <v>119072.25999999855</v>
      </c>
    </row>
    <row r="5966" spans="11:32" ht="8.25" customHeight="1" x14ac:dyDescent="0.25">
      <c r="L5966" s="52">
        <v>17</v>
      </c>
      <c r="T5966" s="33">
        <v>46245</v>
      </c>
      <c r="U5966" s="34">
        <v>2026</v>
      </c>
      <c r="V5966" s="35" t="s">
        <v>2716</v>
      </c>
      <c r="W5966" s="35" t="s">
        <v>17</v>
      </c>
      <c r="X5966" s="37" t="s">
        <v>4447</v>
      </c>
      <c r="Y5966" s="36" t="s">
        <v>3982</v>
      </c>
      <c r="Z5966" s="30" t="s">
        <v>4449</v>
      </c>
      <c r="AA5966" s="30" t="s">
        <v>373</v>
      </c>
      <c r="AD5966" s="38">
        <v>50</v>
      </c>
      <c r="AF5966" s="76">
        <f t="shared" si="549"/>
        <v>119122.25999999855</v>
      </c>
    </row>
    <row r="5967" spans="11:32" ht="8.25" customHeight="1" x14ac:dyDescent="0.25">
      <c r="N5967" s="52">
        <v>134</v>
      </c>
      <c r="T5967" s="33">
        <v>46245</v>
      </c>
      <c r="U5967" s="34">
        <v>2026</v>
      </c>
      <c r="V5967" s="35" t="s">
        <v>2716</v>
      </c>
      <c r="W5967" s="35" t="s">
        <v>17</v>
      </c>
      <c r="X5967" s="37" t="s">
        <v>4450</v>
      </c>
      <c r="Y5967" s="36" t="s">
        <v>3738</v>
      </c>
      <c r="Z5967" s="30" t="s">
        <v>686</v>
      </c>
      <c r="AA5967" s="30" t="s">
        <v>3899</v>
      </c>
      <c r="AD5967" s="38">
        <v>17058.09</v>
      </c>
      <c r="AF5967" s="76">
        <f t="shared" si="549"/>
        <v>136180.34999999855</v>
      </c>
    </row>
    <row r="5968" spans="11:32" ht="8.25" customHeight="1" x14ac:dyDescent="0.25">
      <c r="N5968" s="52">
        <v>134</v>
      </c>
      <c r="T5968" s="33">
        <v>46245</v>
      </c>
      <c r="U5968" s="34">
        <v>2026</v>
      </c>
      <c r="V5968" s="35" t="s">
        <v>2716</v>
      </c>
      <c r="W5968" s="35" t="s">
        <v>17</v>
      </c>
      <c r="X5968" s="37" t="s">
        <v>4450</v>
      </c>
      <c r="Y5968" s="36" t="s">
        <v>3738</v>
      </c>
      <c r="Z5968" s="30" t="s">
        <v>686</v>
      </c>
      <c r="AA5968" s="30" t="s">
        <v>166</v>
      </c>
      <c r="AD5968" s="38">
        <v>12941.91</v>
      </c>
      <c r="AF5968" s="76">
        <f t="shared" si="549"/>
        <v>149122.25999999855</v>
      </c>
    </row>
    <row r="5969" spans="11:32" ht="8.25" customHeight="1" x14ac:dyDescent="0.25">
      <c r="N5969" s="52">
        <v>135</v>
      </c>
      <c r="T5969" s="33">
        <v>46245</v>
      </c>
      <c r="U5969" s="34">
        <v>2026</v>
      </c>
      <c r="V5969" s="35" t="s">
        <v>2716</v>
      </c>
      <c r="W5969" s="35" t="s">
        <v>17</v>
      </c>
      <c r="X5969" s="37" t="s">
        <v>4451</v>
      </c>
      <c r="Y5969" s="36" t="s">
        <v>3744</v>
      </c>
      <c r="Z5969" s="30" t="s">
        <v>415</v>
      </c>
      <c r="AA5969" s="30" t="s">
        <v>3899</v>
      </c>
      <c r="AD5969" s="38">
        <v>5685.13</v>
      </c>
      <c r="AF5969" s="76">
        <f t="shared" si="549"/>
        <v>154807.38999999856</v>
      </c>
    </row>
    <row r="5970" spans="11:32" ht="8.25" customHeight="1" x14ac:dyDescent="0.25">
      <c r="N5970" s="52">
        <v>135</v>
      </c>
      <c r="T5970" s="33">
        <v>46245</v>
      </c>
      <c r="U5970" s="34">
        <v>2026</v>
      </c>
      <c r="V5970" s="35" t="s">
        <v>2716</v>
      </c>
      <c r="W5970" s="35" t="s">
        <v>17</v>
      </c>
      <c r="X5970" s="37" t="s">
        <v>4451</v>
      </c>
      <c r="Y5970" s="36" t="s">
        <v>3744</v>
      </c>
      <c r="Z5970" s="30" t="s">
        <v>415</v>
      </c>
      <c r="AA5970" s="30" t="s">
        <v>166</v>
      </c>
      <c r="AD5970" s="38">
        <v>9314.8700000000008</v>
      </c>
      <c r="AF5970" s="76">
        <f t="shared" si="549"/>
        <v>164122.25999999855</v>
      </c>
    </row>
    <row r="5971" spans="11:32" ht="8.25" customHeight="1" x14ac:dyDescent="0.25">
      <c r="N5971" s="52">
        <v>136</v>
      </c>
      <c r="T5971" s="33">
        <v>46245</v>
      </c>
      <c r="U5971" s="34">
        <v>2026</v>
      </c>
      <c r="V5971" s="35" t="s">
        <v>2716</v>
      </c>
      <c r="W5971" s="35" t="s">
        <v>17</v>
      </c>
      <c r="X5971" s="37" t="s">
        <v>4452</v>
      </c>
      <c r="Y5971" s="36" t="s">
        <v>3740</v>
      </c>
      <c r="Z5971" s="30" t="s">
        <v>440</v>
      </c>
      <c r="AA5971" s="30" t="s">
        <v>3899</v>
      </c>
      <c r="AD5971" s="38">
        <v>6027.31</v>
      </c>
      <c r="AF5971" s="76">
        <f t="shared" si="549"/>
        <v>170149.56999999855</v>
      </c>
    </row>
    <row r="5972" spans="11:32" ht="8.25" customHeight="1" x14ac:dyDescent="0.25">
      <c r="N5972" s="52">
        <v>136</v>
      </c>
      <c r="T5972" s="33">
        <v>46245</v>
      </c>
      <c r="U5972" s="34">
        <v>2026</v>
      </c>
      <c r="V5972" s="35" t="s">
        <v>2716</v>
      </c>
      <c r="W5972" s="35" t="s">
        <v>17</v>
      </c>
      <c r="X5972" s="37" t="s">
        <v>4452</v>
      </c>
      <c r="Y5972" s="36" t="s">
        <v>3740</v>
      </c>
      <c r="Z5972" s="30" t="s">
        <v>440</v>
      </c>
      <c r="AA5972" s="30" t="s">
        <v>166</v>
      </c>
      <c r="AD5972" s="38">
        <v>3972.69</v>
      </c>
      <c r="AF5972" s="76">
        <f t="shared" si="549"/>
        <v>174122.25999999855</v>
      </c>
    </row>
    <row r="5973" spans="11:32" ht="8.25" customHeight="1" x14ac:dyDescent="0.25">
      <c r="K5973" s="52">
        <v>18</v>
      </c>
      <c r="T5973" s="33">
        <v>46245</v>
      </c>
      <c r="U5973" s="34">
        <v>2026</v>
      </c>
      <c r="V5973" s="35" t="s">
        <v>2716</v>
      </c>
      <c r="W5973" s="35" t="s">
        <v>17</v>
      </c>
      <c r="X5973" s="37" t="s">
        <v>4453</v>
      </c>
      <c r="Y5973" s="36" t="s">
        <v>4455</v>
      </c>
      <c r="Z5973" s="30" t="s">
        <v>4456</v>
      </c>
      <c r="AA5973" s="30" t="s">
        <v>1787</v>
      </c>
      <c r="AD5973" s="38">
        <v>100</v>
      </c>
      <c r="AF5973" s="76">
        <f t="shared" si="549"/>
        <v>174222.25999999855</v>
      </c>
    </row>
    <row r="5974" spans="11:32" ht="8.25" customHeight="1" x14ac:dyDescent="0.25">
      <c r="L5974" s="52">
        <v>18</v>
      </c>
      <c r="T5974" s="33">
        <v>46245</v>
      </c>
      <c r="U5974" s="34">
        <v>2026</v>
      </c>
      <c r="V5974" s="35" t="s">
        <v>2716</v>
      </c>
      <c r="W5974" s="35" t="s">
        <v>17</v>
      </c>
      <c r="X5974" s="37" t="s">
        <v>4454</v>
      </c>
      <c r="Y5974" s="36" t="s">
        <v>3982</v>
      </c>
      <c r="Z5974" s="30" t="s">
        <v>4456</v>
      </c>
      <c r="AA5974" s="30" t="s">
        <v>373</v>
      </c>
      <c r="AD5974" s="38">
        <v>50</v>
      </c>
      <c r="AF5974" s="76">
        <f t="shared" si="549"/>
        <v>174272.25999999855</v>
      </c>
    </row>
    <row r="5975" spans="11:32" ht="8.25" customHeight="1" x14ac:dyDescent="0.25">
      <c r="N5975" s="52">
        <v>137</v>
      </c>
      <c r="T5975" s="33">
        <v>46245</v>
      </c>
      <c r="U5975" s="34">
        <v>2026</v>
      </c>
      <c r="V5975" s="35" t="s">
        <v>2716</v>
      </c>
      <c r="W5975" s="35" t="s">
        <v>17</v>
      </c>
      <c r="X5975" s="37" t="s">
        <v>4457</v>
      </c>
      <c r="Y5975" s="36" t="s">
        <v>3713</v>
      </c>
      <c r="Z5975" s="30" t="s">
        <v>303</v>
      </c>
      <c r="AA5975" s="30" t="s">
        <v>3899</v>
      </c>
      <c r="AD5975" s="38">
        <v>6518.24</v>
      </c>
      <c r="AF5975" s="76">
        <f t="shared" si="549"/>
        <v>180790.49999999854</v>
      </c>
    </row>
    <row r="5976" spans="11:32" ht="8.25" customHeight="1" x14ac:dyDescent="0.25">
      <c r="N5976" s="52">
        <v>137</v>
      </c>
      <c r="T5976" s="33">
        <v>46245</v>
      </c>
      <c r="U5976" s="34">
        <v>2026</v>
      </c>
      <c r="V5976" s="35" t="s">
        <v>2716</v>
      </c>
      <c r="W5976" s="35" t="s">
        <v>17</v>
      </c>
      <c r="X5976" s="37" t="s">
        <v>4457</v>
      </c>
      <c r="Y5976" s="36" t="s">
        <v>3713</v>
      </c>
      <c r="Z5976" s="30" t="s">
        <v>303</v>
      </c>
      <c r="AA5976" s="30" t="s">
        <v>166</v>
      </c>
      <c r="AD5976" s="38">
        <v>6456.76</v>
      </c>
      <c r="AF5976" s="76">
        <f t="shared" si="549"/>
        <v>187247.25999999855</v>
      </c>
    </row>
    <row r="5977" spans="11:32" ht="8.25" customHeight="1" x14ac:dyDescent="0.25">
      <c r="N5977" s="52">
        <v>137</v>
      </c>
      <c r="T5977" s="33">
        <v>46245</v>
      </c>
      <c r="U5977" s="34">
        <v>2026</v>
      </c>
      <c r="V5977" s="35" t="s">
        <v>2716</v>
      </c>
      <c r="W5977" s="35" t="s">
        <v>17</v>
      </c>
      <c r="X5977" s="37" t="s">
        <v>4457</v>
      </c>
      <c r="Y5977" s="36" t="s">
        <v>3713</v>
      </c>
      <c r="Z5977" s="30" t="s">
        <v>303</v>
      </c>
      <c r="AA5977" s="30" t="s">
        <v>3304</v>
      </c>
      <c r="AD5977" s="38">
        <v>25</v>
      </c>
      <c r="AF5977" s="76">
        <f t="shared" si="549"/>
        <v>187272.25999999855</v>
      </c>
    </row>
    <row r="5978" spans="11:32" ht="8.25" customHeight="1" x14ac:dyDescent="0.25">
      <c r="N5978" s="52">
        <v>138</v>
      </c>
      <c r="T5978" s="33">
        <v>46245</v>
      </c>
      <c r="U5978" s="34">
        <v>2026</v>
      </c>
      <c r="V5978" s="35" t="s">
        <v>2716</v>
      </c>
      <c r="W5978" s="35" t="s">
        <v>17</v>
      </c>
      <c r="X5978" s="37" t="s">
        <v>4458</v>
      </c>
      <c r="Y5978" s="36" t="s">
        <v>3711</v>
      </c>
      <c r="Z5978" s="30" t="s">
        <v>307</v>
      </c>
      <c r="AA5978" s="30" t="s">
        <v>3899</v>
      </c>
      <c r="AD5978" s="38">
        <v>9234.66</v>
      </c>
      <c r="AF5978" s="76">
        <f t="shared" si="549"/>
        <v>196506.91999999856</v>
      </c>
    </row>
    <row r="5979" spans="11:32" ht="8.25" customHeight="1" x14ac:dyDescent="0.25">
      <c r="N5979" s="52">
        <v>138</v>
      </c>
      <c r="T5979" s="33">
        <v>46245</v>
      </c>
      <c r="U5979" s="34">
        <v>2026</v>
      </c>
      <c r="V5979" s="35" t="s">
        <v>2716</v>
      </c>
      <c r="W5979" s="35" t="s">
        <v>17</v>
      </c>
      <c r="X5979" s="37" t="s">
        <v>4458</v>
      </c>
      <c r="Y5979" s="36" t="s">
        <v>3711</v>
      </c>
      <c r="Z5979" s="30" t="s">
        <v>307</v>
      </c>
      <c r="AA5979" s="30" t="s">
        <v>166</v>
      </c>
      <c r="AD5979" s="38">
        <v>10765.34</v>
      </c>
      <c r="AF5979" s="76">
        <f t="shared" si="549"/>
        <v>207272.25999999855</v>
      </c>
    </row>
    <row r="5980" spans="11:32" ht="8.25" customHeight="1" x14ac:dyDescent="0.25">
      <c r="T5980" s="33">
        <v>46245</v>
      </c>
      <c r="U5980" s="34">
        <v>2026</v>
      </c>
      <c r="V5980" s="35" t="s">
        <v>2716</v>
      </c>
      <c r="W5980" s="35" t="s">
        <v>17</v>
      </c>
      <c r="X5980" s="37" t="s">
        <v>4459</v>
      </c>
      <c r="Y5980" s="36" t="s">
        <v>3982</v>
      </c>
      <c r="Z5980" s="30" t="s">
        <v>420</v>
      </c>
      <c r="AA5980" s="30" t="s">
        <v>1195</v>
      </c>
      <c r="AD5980" s="38">
        <v>5</v>
      </c>
      <c r="AF5980" s="76">
        <f t="shared" si="549"/>
        <v>207277.25999999855</v>
      </c>
    </row>
    <row r="5981" spans="11:32" ht="8.25" customHeight="1" x14ac:dyDescent="0.25">
      <c r="N5981" s="52">
        <v>139</v>
      </c>
      <c r="T5981" s="33">
        <v>46245</v>
      </c>
      <c r="U5981" s="34">
        <v>2026</v>
      </c>
      <c r="V5981" s="35" t="s">
        <v>2716</v>
      </c>
      <c r="W5981" s="35" t="s">
        <v>17</v>
      </c>
      <c r="X5981" s="37" t="s">
        <v>4460</v>
      </c>
      <c r="Y5981" s="36" t="s">
        <v>3714</v>
      </c>
      <c r="Z5981" s="30" t="s">
        <v>305</v>
      </c>
      <c r="AA5981" s="30" t="s">
        <v>3899</v>
      </c>
      <c r="AD5981" s="38">
        <v>6337.69</v>
      </c>
      <c r="AF5981" s="76">
        <f t="shared" si="549"/>
        <v>213614.94999999856</v>
      </c>
    </row>
    <row r="5982" spans="11:32" ht="8.25" customHeight="1" x14ac:dyDescent="0.25">
      <c r="N5982" s="52">
        <v>139</v>
      </c>
      <c r="T5982" s="33">
        <v>46245</v>
      </c>
      <c r="U5982" s="34">
        <v>2026</v>
      </c>
      <c r="V5982" s="35" t="s">
        <v>2716</v>
      </c>
      <c r="W5982" s="35" t="s">
        <v>17</v>
      </c>
      <c r="X5982" s="37" t="s">
        <v>4460</v>
      </c>
      <c r="Y5982" s="36" t="s">
        <v>3714</v>
      </c>
      <c r="Z5982" s="30" t="s">
        <v>305</v>
      </c>
      <c r="AA5982" s="30" t="s">
        <v>166</v>
      </c>
      <c r="AD5982" s="38">
        <v>4662.3100000000004</v>
      </c>
      <c r="AF5982" s="76">
        <f t="shared" si="549"/>
        <v>218277.25999999855</v>
      </c>
    </row>
    <row r="5983" spans="11:32" ht="8.25" customHeight="1" x14ac:dyDescent="0.25">
      <c r="K5983" s="52">
        <v>19</v>
      </c>
      <c r="T5983" s="33">
        <v>46245</v>
      </c>
      <c r="U5983" s="34">
        <v>2026</v>
      </c>
      <c r="V5983" s="35" t="s">
        <v>2716</v>
      </c>
      <c r="W5983" s="35" t="s">
        <v>17</v>
      </c>
      <c r="X5983" s="37" t="s">
        <v>4471</v>
      </c>
      <c r="Y5983" s="36" t="s">
        <v>4473</v>
      </c>
      <c r="Z5983" s="30" t="s">
        <v>4474</v>
      </c>
      <c r="AA5983" s="30" t="s">
        <v>1787</v>
      </c>
      <c r="AD5983" s="38">
        <v>100</v>
      </c>
      <c r="AF5983" s="76">
        <f t="shared" si="549"/>
        <v>218377.25999999855</v>
      </c>
    </row>
    <row r="5984" spans="11:32" ht="8.25" customHeight="1" x14ac:dyDescent="0.25">
      <c r="L5984" s="52">
        <v>19</v>
      </c>
      <c r="T5984" s="33">
        <v>46245</v>
      </c>
      <c r="U5984" s="34">
        <v>2026</v>
      </c>
      <c r="V5984" s="35" t="s">
        <v>2716</v>
      </c>
      <c r="W5984" s="35" t="s">
        <v>17</v>
      </c>
      <c r="X5984" s="37" t="s">
        <v>4472</v>
      </c>
      <c r="Y5984" s="36" t="s">
        <v>3982</v>
      </c>
      <c r="Z5984" s="30" t="s">
        <v>4474</v>
      </c>
      <c r="AA5984" s="30" t="s">
        <v>373</v>
      </c>
      <c r="AD5984" s="38">
        <v>50</v>
      </c>
      <c r="AF5984" s="76">
        <f t="shared" si="549"/>
        <v>218427.25999999855</v>
      </c>
    </row>
    <row r="5985" spans="3:32" ht="8.25" customHeight="1" x14ac:dyDescent="0.25">
      <c r="D5985" s="52">
        <v>11</v>
      </c>
      <c r="T5985" s="33">
        <v>46245</v>
      </c>
      <c r="U5985" s="34">
        <v>2026</v>
      </c>
      <c r="V5985" s="35" t="s">
        <v>2716</v>
      </c>
      <c r="W5985" s="35" t="s">
        <v>3620</v>
      </c>
      <c r="X5985" s="37" t="s">
        <v>4461</v>
      </c>
      <c r="Y5985" s="36" t="s">
        <v>2490</v>
      </c>
      <c r="Z5985" s="30" t="s">
        <v>4462</v>
      </c>
      <c r="AA5985" s="30" t="s">
        <v>256</v>
      </c>
      <c r="AD5985" s="38">
        <v>700</v>
      </c>
      <c r="AF5985" s="76">
        <f t="shared" si="549"/>
        <v>219127.25999999855</v>
      </c>
    </row>
    <row r="5986" spans="3:32" ht="8.25" customHeight="1" x14ac:dyDescent="0.25">
      <c r="C5986" s="52">
        <v>21</v>
      </c>
      <c r="T5986" s="33">
        <v>46245</v>
      </c>
      <c r="U5986" s="34">
        <v>2026</v>
      </c>
      <c r="V5986" s="35" t="s">
        <v>2716</v>
      </c>
      <c r="W5986" s="35" t="s">
        <v>3620</v>
      </c>
      <c r="X5986" s="37" t="s">
        <v>4475</v>
      </c>
      <c r="Y5986" s="36" t="s">
        <v>3328</v>
      </c>
      <c r="Z5986" s="30" t="s">
        <v>425</v>
      </c>
      <c r="AA5986" s="30" t="s">
        <v>340</v>
      </c>
      <c r="AD5986" s="38">
        <v>47</v>
      </c>
      <c r="AF5986" s="76">
        <f t="shared" si="549"/>
        <v>219174.25999999855</v>
      </c>
    </row>
    <row r="5987" spans="3:32" ht="8.25" customHeight="1" x14ac:dyDescent="0.25">
      <c r="C5987" s="52">
        <v>22</v>
      </c>
      <c r="T5987" s="33">
        <v>46245</v>
      </c>
      <c r="U5987" s="34">
        <v>2026</v>
      </c>
      <c r="V5987" s="35" t="s">
        <v>2716</v>
      </c>
      <c r="W5987" s="35" t="s">
        <v>3620</v>
      </c>
      <c r="X5987" s="37" t="s">
        <v>4480</v>
      </c>
      <c r="Y5987" s="36" t="s">
        <v>2807</v>
      </c>
      <c r="Z5987" s="30" t="s">
        <v>3797</v>
      </c>
      <c r="AA5987" s="30" t="s">
        <v>340</v>
      </c>
      <c r="AD5987" s="38">
        <v>90</v>
      </c>
      <c r="AF5987" s="76">
        <f t="shared" si="549"/>
        <v>219264.25999999855</v>
      </c>
    </row>
    <row r="5988" spans="3:32" ht="8.25" customHeight="1" x14ac:dyDescent="0.25">
      <c r="R5988" s="53">
        <v>68</v>
      </c>
      <c r="T5988" s="33">
        <v>46245</v>
      </c>
      <c r="U5988" s="34">
        <v>2026</v>
      </c>
      <c r="V5988" s="35" t="s">
        <v>2716</v>
      </c>
      <c r="W5988" s="35" t="s">
        <v>5</v>
      </c>
      <c r="X5988" s="37" t="s">
        <v>4463</v>
      </c>
      <c r="Y5988" s="36" t="s">
        <v>3535</v>
      </c>
      <c r="Z5988" s="30" t="s">
        <v>4464</v>
      </c>
      <c r="AA5988" s="30" t="s">
        <v>92</v>
      </c>
      <c r="AE5988" s="38">
        <v>1000</v>
      </c>
      <c r="AF5988" s="76">
        <f t="shared" si="549"/>
        <v>218264.25999999855</v>
      </c>
    </row>
    <row r="5989" spans="3:32" ht="8.25" customHeight="1" x14ac:dyDescent="0.25">
      <c r="R5989" s="53">
        <v>69</v>
      </c>
      <c r="T5989" s="33">
        <v>46245</v>
      </c>
      <c r="U5989" s="34">
        <v>2026</v>
      </c>
      <c r="V5989" s="35" t="s">
        <v>2716</v>
      </c>
      <c r="W5989" s="35" t="s">
        <v>5</v>
      </c>
      <c r="X5989" s="37" t="s">
        <v>4465</v>
      </c>
      <c r="Y5989" s="36" t="s">
        <v>3684</v>
      </c>
      <c r="Z5989" s="30" t="s">
        <v>420</v>
      </c>
      <c r="AA5989" s="30" t="s">
        <v>92</v>
      </c>
      <c r="AE5989" s="38">
        <v>3000</v>
      </c>
      <c r="AF5989" s="76">
        <f t="shared" si="549"/>
        <v>215264.25999999855</v>
      </c>
    </row>
    <row r="5990" spans="3:32" ht="8.25" customHeight="1" x14ac:dyDescent="0.25">
      <c r="F5990" s="53">
        <v>18</v>
      </c>
      <c r="T5990" s="33">
        <v>46245</v>
      </c>
      <c r="U5990" s="34">
        <v>2026</v>
      </c>
      <c r="V5990" s="35" t="s">
        <v>2716</v>
      </c>
      <c r="W5990" s="35" t="s">
        <v>3625</v>
      </c>
      <c r="X5990" s="37" t="s">
        <v>4466</v>
      </c>
      <c r="Z5990" s="30" t="s">
        <v>4433</v>
      </c>
      <c r="AA5990" s="30" t="s">
        <v>3939</v>
      </c>
      <c r="AE5990" s="38">
        <v>100</v>
      </c>
      <c r="AF5990" s="76">
        <f t="shared" si="549"/>
        <v>215164.25999999855</v>
      </c>
    </row>
    <row r="5991" spans="3:32" ht="8.25" customHeight="1" x14ac:dyDescent="0.25">
      <c r="R5991" s="53">
        <v>70</v>
      </c>
      <c r="T5991" s="33">
        <v>46245</v>
      </c>
      <c r="U5991" s="34">
        <v>2026</v>
      </c>
      <c r="V5991" s="35" t="s">
        <v>2716</v>
      </c>
      <c r="W5991" s="35" t="s">
        <v>5</v>
      </c>
      <c r="X5991" s="37" t="s">
        <v>4467</v>
      </c>
      <c r="Y5991" s="36" t="s">
        <v>3586</v>
      </c>
      <c r="Z5991" s="30" t="s">
        <v>3587</v>
      </c>
      <c r="AA5991" s="30" t="s">
        <v>92</v>
      </c>
      <c r="AE5991" s="38">
        <v>700</v>
      </c>
      <c r="AF5991" s="76">
        <f t="shared" si="549"/>
        <v>214464.25999999855</v>
      </c>
    </row>
    <row r="5992" spans="3:32" ht="8.25" customHeight="1" x14ac:dyDescent="0.25">
      <c r="R5992" s="53">
        <v>71</v>
      </c>
      <c r="T5992" s="33">
        <v>46245</v>
      </c>
      <c r="U5992" s="34">
        <v>2026</v>
      </c>
      <c r="V5992" s="35" t="s">
        <v>2716</v>
      </c>
      <c r="W5992" s="35" t="s">
        <v>3625</v>
      </c>
      <c r="X5992" s="37" t="s">
        <v>4468</v>
      </c>
      <c r="Z5992" s="30" t="s">
        <v>4469</v>
      </c>
      <c r="AA5992" s="30" t="s">
        <v>3939</v>
      </c>
      <c r="AE5992" s="38">
        <v>1000</v>
      </c>
      <c r="AF5992" s="76">
        <f t="shared" si="549"/>
        <v>213464.25999999855</v>
      </c>
    </row>
    <row r="5993" spans="3:32" ht="8.25" customHeight="1" x14ac:dyDescent="0.25">
      <c r="T5993" s="33">
        <v>46245</v>
      </c>
      <c r="U5993" s="34">
        <v>2026</v>
      </c>
      <c r="V5993" s="35" t="s">
        <v>2716</v>
      </c>
      <c r="W5993" s="35" t="s">
        <v>3997</v>
      </c>
      <c r="X5993" s="37" t="s">
        <v>4470</v>
      </c>
      <c r="Y5993" s="36" t="s">
        <v>411</v>
      </c>
      <c r="Z5993" s="30" t="s">
        <v>3162</v>
      </c>
      <c r="AA5993" s="30" t="s">
        <v>618</v>
      </c>
      <c r="AE5993" s="38">
        <v>70000</v>
      </c>
      <c r="AF5993" s="76">
        <f t="shared" si="549"/>
        <v>143464.25999999855</v>
      </c>
    </row>
    <row r="5994" spans="3:32" ht="8.25" customHeight="1" x14ac:dyDescent="0.25">
      <c r="G5994" s="53">
        <v>42</v>
      </c>
      <c r="T5994" s="33">
        <v>46245</v>
      </c>
      <c r="U5994" s="34">
        <v>2026</v>
      </c>
      <c r="V5994" s="35" t="s">
        <v>2716</v>
      </c>
      <c r="W5994" s="35" t="s">
        <v>3625</v>
      </c>
      <c r="X5994" s="37" t="s">
        <v>4476</v>
      </c>
      <c r="Y5994" s="36" t="s">
        <v>4477</v>
      </c>
      <c r="Z5994" s="30" t="s">
        <v>4478</v>
      </c>
      <c r="AA5994" s="30" t="s">
        <v>3945</v>
      </c>
      <c r="AE5994" s="38">
        <v>2004.3</v>
      </c>
      <c r="AF5994" s="76">
        <f t="shared" si="549"/>
        <v>141459.95999999857</v>
      </c>
    </row>
    <row r="5995" spans="3:32" ht="8.25" customHeight="1" x14ac:dyDescent="0.25">
      <c r="G5995" s="53">
        <v>43</v>
      </c>
      <c r="T5995" s="33">
        <v>46245</v>
      </c>
      <c r="U5995" s="34">
        <v>2026</v>
      </c>
      <c r="V5995" s="35" t="s">
        <v>2716</v>
      </c>
      <c r="W5995" s="35" t="s">
        <v>3625</v>
      </c>
      <c r="X5995" s="37" t="s">
        <v>4481</v>
      </c>
      <c r="Y5995" s="36" t="s">
        <v>4482</v>
      </c>
      <c r="Z5995" s="30" t="s">
        <v>1860</v>
      </c>
      <c r="AA5995" s="30" t="s">
        <v>3945</v>
      </c>
      <c r="AE5995" s="38">
        <v>76.099999999999994</v>
      </c>
      <c r="AF5995" s="76">
        <f t="shared" si="549"/>
        <v>141383.85999999856</v>
      </c>
    </row>
    <row r="5996" spans="3:32" ht="8.25" customHeight="1" thickBot="1" x14ac:dyDescent="0.3">
      <c r="AA5996" s="260" t="s">
        <v>2893</v>
      </c>
      <c r="AD5996" s="233">
        <f>SUM(AD5963:AD5987)</f>
        <v>110292</v>
      </c>
      <c r="AE5996" s="233">
        <f>SUM(AE5988:AE5995)</f>
        <v>77880.400000000009</v>
      </c>
      <c r="AF5996" s="233">
        <f>AF5995</f>
        <v>141383.85999999856</v>
      </c>
    </row>
    <row r="5997" spans="3:32" ht="8.25" customHeight="1" thickTop="1" x14ac:dyDescent="0.25"/>
    <row r="6001" spans="24:32" ht="8.25" customHeight="1" x14ac:dyDescent="0.25">
      <c r="X6001" s="109"/>
      <c r="Y6001" s="67" t="s">
        <v>214</v>
      </c>
      <c r="Z6001" s="68"/>
    </row>
    <row r="6002" spans="24:32" ht="8.25" customHeight="1" x14ac:dyDescent="0.25">
      <c r="X6002" s="110" t="s">
        <v>800</v>
      </c>
      <c r="Y6002" s="111">
        <v>200</v>
      </c>
      <c r="Z6002" s="111">
        <f t="shared" ref="Z6002:Z6007" si="550">X6002*Y6002</f>
        <v>7600</v>
      </c>
      <c r="AA6002" s="112"/>
    </row>
    <row r="6003" spans="24:32" ht="8.25" customHeight="1" x14ac:dyDescent="0.25">
      <c r="X6003" s="110" t="s">
        <v>4479</v>
      </c>
      <c r="Y6003" s="111">
        <v>100</v>
      </c>
      <c r="Z6003" s="111">
        <f t="shared" si="550"/>
        <v>132500</v>
      </c>
      <c r="AA6003" s="112"/>
    </row>
    <row r="6004" spans="24:32" ht="8.25" customHeight="1" x14ac:dyDescent="0.25">
      <c r="X6004" s="110" t="s">
        <v>120</v>
      </c>
      <c r="Y6004" s="111">
        <v>50</v>
      </c>
      <c r="Z6004" s="111">
        <f t="shared" si="550"/>
        <v>0</v>
      </c>
      <c r="AA6004" s="76"/>
    </row>
    <row r="6005" spans="24:32" ht="8.25" customHeight="1" x14ac:dyDescent="0.25">
      <c r="X6005" s="110" t="s">
        <v>120</v>
      </c>
      <c r="Y6005" s="111">
        <v>20</v>
      </c>
      <c r="Z6005" s="111">
        <f t="shared" si="550"/>
        <v>0</v>
      </c>
      <c r="AA6005" s="38"/>
    </row>
    <row r="6006" spans="24:32" ht="8.25" customHeight="1" x14ac:dyDescent="0.25">
      <c r="X6006" s="110" t="s">
        <v>120</v>
      </c>
      <c r="Y6006" s="111">
        <v>10</v>
      </c>
      <c r="Z6006" s="111">
        <f t="shared" si="550"/>
        <v>0</v>
      </c>
      <c r="AA6006" s="112"/>
    </row>
    <row r="6007" spans="24:32" ht="8.25" customHeight="1" x14ac:dyDescent="0.25">
      <c r="X6007" s="110" t="s">
        <v>2073</v>
      </c>
      <c r="Y6007" s="111">
        <v>5</v>
      </c>
      <c r="Z6007" s="111">
        <f t="shared" si="550"/>
        <v>1000</v>
      </c>
      <c r="AA6007" s="112"/>
    </row>
    <row r="6008" spans="24:32" ht="8.25" customHeight="1" x14ac:dyDescent="0.25">
      <c r="X6008" s="269"/>
      <c r="Y6008" s="270"/>
      <c r="Z6008" s="271"/>
      <c r="AA6008" s="38"/>
    </row>
    <row r="6009" spans="24:32" ht="8.25" customHeight="1" x14ac:dyDescent="0.25">
      <c r="X6009" s="110" t="s">
        <v>4483</v>
      </c>
      <c r="Y6009" s="111">
        <v>1</v>
      </c>
      <c r="Z6009" s="111">
        <f t="shared" ref="Z6009:Z6014" si="551">X6009*Y6009</f>
        <v>223</v>
      </c>
      <c r="AA6009" s="76"/>
    </row>
    <row r="6010" spans="24:32" ht="8.25" customHeight="1" x14ac:dyDescent="0.25">
      <c r="X6010" s="110" t="s">
        <v>431</v>
      </c>
      <c r="Y6010" s="111">
        <v>0.5</v>
      </c>
      <c r="Z6010" s="111">
        <f t="shared" si="551"/>
        <v>22.5</v>
      </c>
      <c r="AA6010" s="112"/>
    </row>
    <row r="6011" spans="24:32" ht="8.25" customHeight="1" x14ac:dyDescent="0.25">
      <c r="X6011" s="110" t="s">
        <v>4484</v>
      </c>
      <c r="Y6011" s="111">
        <v>0.25</v>
      </c>
      <c r="Z6011" s="111">
        <f t="shared" si="551"/>
        <v>38</v>
      </c>
      <c r="AA6011" s="113" t="s">
        <v>1</v>
      </c>
    </row>
    <row r="6012" spans="24:32" ht="8.25" customHeight="1" x14ac:dyDescent="0.25">
      <c r="X6012" s="110" t="s">
        <v>223</v>
      </c>
      <c r="Y6012" s="111">
        <v>0.1</v>
      </c>
      <c r="Z6012" s="111">
        <f t="shared" si="551"/>
        <v>0.30000000000000004</v>
      </c>
      <c r="AA6012" s="114" t="s">
        <v>219</v>
      </c>
    </row>
    <row r="6013" spans="24:32" ht="8.25" customHeight="1" thickBot="1" x14ac:dyDescent="0.3">
      <c r="X6013" s="110" t="s">
        <v>222</v>
      </c>
      <c r="Y6013" s="111">
        <v>0.05</v>
      </c>
      <c r="Z6013" s="111">
        <f t="shared" si="551"/>
        <v>0.05</v>
      </c>
      <c r="AA6013" s="115">
        <f>SUM(Z6002:Z6007)+Z6009+Z6010+Z6011+Z6012+Z6013+Z6014</f>
        <v>141383.85999999999</v>
      </c>
    </row>
    <row r="6014" spans="24:32" ht="8.25" customHeight="1" thickTop="1" x14ac:dyDescent="0.25">
      <c r="X6014" s="110" t="s">
        <v>222</v>
      </c>
      <c r="Y6014" s="111">
        <v>0.01</v>
      </c>
      <c r="Z6014" s="111">
        <f t="shared" si="551"/>
        <v>0.01</v>
      </c>
    </row>
    <row r="6016" spans="24:32" ht="8.25" customHeight="1" x14ac:dyDescent="0.25">
      <c r="Z6016" s="231" t="s">
        <v>1376</v>
      </c>
      <c r="AF6016" s="76">
        <f>AF5996</f>
        <v>141383.85999999856</v>
      </c>
    </row>
    <row r="6017" spans="6:32" ht="8.25" customHeight="1" x14ac:dyDescent="0.25">
      <c r="N6017" s="52">
        <v>140</v>
      </c>
      <c r="T6017" s="33">
        <v>46246</v>
      </c>
      <c r="U6017" s="34">
        <v>2026</v>
      </c>
      <c r="V6017" s="35" t="s">
        <v>2716</v>
      </c>
      <c r="W6017" s="35" t="s">
        <v>17</v>
      </c>
      <c r="X6017" s="37" t="s">
        <v>4486</v>
      </c>
      <c r="Y6017" s="36" t="s">
        <v>3845</v>
      </c>
      <c r="Z6017" s="30" t="s">
        <v>434</v>
      </c>
      <c r="AA6017" s="30" t="s">
        <v>3899</v>
      </c>
      <c r="AD6017" s="38">
        <v>7911.22</v>
      </c>
      <c r="AF6017" s="76">
        <f>AF6016+AD6017-AE6017</f>
        <v>149295.07999999856</v>
      </c>
    </row>
    <row r="6018" spans="6:32" ht="8.25" customHeight="1" x14ac:dyDescent="0.25">
      <c r="N6018" s="52">
        <v>140</v>
      </c>
      <c r="T6018" s="33">
        <v>46246</v>
      </c>
      <c r="U6018" s="34">
        <v>2026</v>
      </c>
      <c r="V6018" s="35" t="s">
        <v>2716</v>
      </c>
      <c r="W6018" s="35" t="s">
        <v>17</v>
      </c>
      <c r="X6018" s="37" t="s">
        <v>4486</v>
      </c>
      <c r="Y6018" s="36" t="s">
        <v>3845</v>
      </c>
      <c r="Z6018" s="30" t="s">
        <v>434</v>
      </c>
      <c r="AA6018" s="30" t="s">
        <v>166</v>
      </c>
      <c r="AD6018" s="38">
        <v>2665.78</v>
      </c>
      <c r="AF6018" s="76">
        <f t="shared" ref="AF6018:AF6033" si="552">AF6017+AD6018-AE6018</f>
        <v>151960.85999999856</v>
      </c>
    </row>
    <row r="6019" spans="6:32" ht="8.25" customHeight="1" x14ac:dyDescent="0.25">
      <c r="N6019" s="52">
        <v>141</v>
      </c>
      <c r="T6019" s="33">
        <v>46246</v>
      </c>
      <c r="U6019" s="34">
        <v>2026</v>
      </c>
      <c r="V6019" s="35" t="s">
        <v>2716</v>
      </c>
      <c r="W6019" s="35" t="s">
        <v>17</v>
      </c>
      <c r="X6019" s="37" t="s">
        <v>4485</v>
      </c>
      <c r="Y6019" s="36" t="s">
        <v>3774</v>
      </c>
      <c r="Z6019" s="30" t="s">
        <v>1615</v>
      </c>
      <c r="AA6019" s="30" t="s">
        <v>3899</v>
      </c>
      <c r="AD6019" s="38">
        <v>9937.91</v>
      </c>
      <c r="AF6019" s="76">
        <f t="shared" si="552"/>
        <v>161898.76999999856</v>
      </c>
    </row>
    <row r="6020" spans="6:32" ht="8.25" customHeight="1" x14ac:dyDescent="0.25">
      <c r="N6020" s="52">
        <v>141</v>
      </c>
      <c r="T6020" s="33">
        <v>46246</v>
      </c>
      <c r="U6020" s="34">
        <v>2026</v>
      </c>
      <c r="V6020" s="35" t="s">
        <v>2716</v>
      </c>
      <c r="W6020" s="35" t="s">
        <v>17</v>
      </c>
      <c r="X6020" s="37" t="s">
        <v>4485</v>
      </c>
      <c r="Y6020" s="36" t="s">
        <v>3774</v>
      </c>
      <c r="Z6020" s="30" t="s">
        <v>1615</v>
      </c>
      <c r="AA6020" s="30" t="s">
        <v>166</v>
      </c>
      <c r="AD6020" s="38">
        <v>4562.09</v>
      </c>
      <c r="AF6020" s="76">
        <f t="shared" si="552"/>
        <v>166460.85999999856</v>
      </c>
    </row>
    <row r="6021" spans="6:32" ht="8.25" customHeight="1" x14ac:dyDescent="0.25">
      <c r="N6021" s="52">
        <v>142</v>
      </c>
      <c r="T6021" s="33">
        <v>46246</v>
      </c>
      <c r="U6021" s="34">
        <v>2026</v>
      </c>
      <c r="V6021" s="35" t="s">
        <v>2716</v>
      </c>
      <c r="W6021" s="35" t="s">
        <v>17</v>
      </c>
      <c r="X6021" s="37" t="s">
        <v>4487</v>
      </c>
      <c r="Y6021" s="36" t="s">
        <v>3475</v>
      </c>
      <c r="Z6021" s="30" t="s">
        <v>584</v>
      </c>
      <c r="AA6021" s="30" t="s">
        <v>3899</v>
      </c>
      <c r="AD6021" s="38">
        <v>7839.43</v>
      </c>
      <c r="AF6021" s="76">
        <f t="shared" si="552"/>
        <v>174300.28999999855</v>
      </c>
    </row>
    <row r="6022" spans="6:32" ht="8.25" customHeight="1" x14ac:dyDescent="0.25">
      <c r="N6022" s="52">
        <v>142</v>
      </c>
      <c r="T6022" s="33">
        <v>46246</v>
      </c>
      <c r="U6022" s="34">
        <v>2026</v>
      </c>
      <c r="V6022" s="35" t="s">
        <v>2716</v>
      </c>
      <c r="W6022" s="35" t="s">
        <v>17</v>
      </c>
      <c r="X6022" s="37" t="s">
        <v>4487</v>
      </c>
      <c r="Y6022" s="36" t="s">
        <v>3475</v>
      </c>
      <c r="Z6022" s="30" t="s">
        <v>584</v>
      </c>
      <c r="AA6022" s="30" t="s">
        <v>166</v>
      </c>
      <c r="AD6022" s="38">
        <v>3060.57</v>
      </c>
      <c r="AF6022" s="76">
        <f t="shared" si="552"/>
        <v>177360.85999999856</v>
      </c>
    </row>
    <row r="6023" spans="6:32" ht="8.25" customHeight="1" x14ac:dyDescent="0.25">
      <c r="I6023" s="52">
        <v>54</v>
      </c>
      <c r="T6023" s="33">
        <v>46246</v>
      </c>
      <c r="U6023" s="34">
        <v>2026</v>
      </c>
      <c r="V6023" s="35" t="s">
        <v>2716</v>
      </c>
      <c r="W6023" s="35" t="s">
        <v>17</v>
      </c>
      <c r="X6023" s="37" t="s">
        <v>4494</v>
      </c>
      <c r="Y6023" s="36" t="s">
        <v>4495</v>
      </c>
      <c r="Z6023" s="30" t="s">
        <v>4474</v>
      </c>
      <c r="AA6023" s="30" t="s">
        <v>13</v>
      </c>
      <c r="AD6023" s="38">
        <v>56818.14</v>
      </c>
      <c r="AF6023" s="76">
        <f t="shared" si="552"/>
        <v>234178.99999999854</v>
      </c>
    </row>
    <row r="6024" spans="6:32" ht="8.25" customHeight="1" x14ac:dyDescent="0.25">
      <c r="I6024" s="52">
        <v>55</v>
      </c>
      <c r="T6024" s="33">
        <v>46246</v>
      </c>
      <c r="U6024" s="34">
        <v>2026</v>
      </c>
      <c r="V6024" s="35" t="s">
        <v>2716</v>
      </c>
      <c r="W6024" s="35" t="s">
        <v>17</v>
      </c>
      <c r="X6024" s="37" t="s">
        <v>4496</v>
      </c>
      <c r="Y6024" s="36" t="s">
        <v>4495</v>
      </c>
      <c r="Z6024" s="30" t="s">
        <v>4474</v>
      </c>
      <c r="AA6024" s="30" t="s">
        <v>13</v>
      </c>
      <c r="AD6024" s="38">
        <v>0.04</v>
      </c>
      <c r="AF6024" s="76">
        <f t="shared" si="552"/>
        <v>234179.03999999855</v>
      </c>
    </row>
    <row r="6025" spans="6:32" ht="8.25" customHeight="1" x14ac:dyDescent="0.25">
      <c r="M6025" s="52">
        <v>13</v>
      </c>
      <c r="T6025" s="33">
        <v>46246</v>
      </c>
      <c r="U6025" s="34">
        <v>2026</v>
      </c>
      <c r="V6025" s="35" t="s">
        <v>2716</v>
      </c>
      <c r="W6025" s="35" t="s">
        <v>17</v>
      </c>
      <c r="X6025" s="37" t="s">
        <v>4497</v>
      </c>
      <c r="Y6025" s="36" t="s">
        <v>3982</v>
      </c>
      <c r="Z6025" s="30" t="s">
        <v>4474</v>
      </c>
      <c r="AA6025" s="30" t="s">
        <v>385</v>
      </c>
      <c r="AD6025" s="38">
        <v>11363.64</v>
      </c>
      <c r="AF6025" s="76">
        <f t="shared" si="552"/>
        <v>245542.67999999854</v>
      </c>
    </row>
    <row r="6026" spans="6:32" ht="8.25" customHeight="1" x14ac:dyDescent="0.25">
      <c r="T6026" s="33">
        <v>46246</v>
      </c>
      <c r="U6026" s="34">
        <v>2026</v>
      </c>
      <c r="V6026" s="35" t="s">
        <v>2716</v>
      </c>
      <c r="W6026" s="35" t="s">
        <v>17</v>
      </c>
      <c r="X6026" s="37" t="s">
        <v>4498</v>
      </c>
      <c r="Y6026" s="36" t="s">
        <v>3982</v>
      </c>
      <c r="Z6026" s="30" t="s">
        <v>645</v>
      </c>
      <c r="AA6026" s="30" t="s">
        <v>1195</v>
      </c>
      <c r="AD6026" s="38">
        <v>5</v>
      </c>
      <c r="AF6026" s="76">
        <f t="shared" si="552"/>
        <v>245547.67999999854</v>
      </c>
    </row>
    <row r="6027" spans="6:32" ht="8.25" customHeight="1" x14ac:dyDescent="0.25">
      <c r="R6027" s="53">
        <v>72</v>
      </c>
      <c r="T6027" s="33">
        <v>46246</v>
      </c>
      <c r="U6027" s="34">
        <v>2026</v>
      </c>
      <c r="V6027" s="35" t="s">
        <v>2716</v>
      </c>
      <c r="W6027" s="35" t="s">
        <v>5</v>
      </c>
      <c r="X6027" s="37" t="s">
        <v>4488</v>
      </c>
      <c r="Y6027" s="36" t="s">
        <v>3534</v>
      </c>
      <c r="Z6027" s="30" t="s">
        <v>1942</v>
      </c>
      <c r="AA6027" s="30" t="s">
        <v>92</v>
      </c>
      <c r="AE6027" s="38">
        <v>500</v>
      </c>
      <c r="AF6027" s="76">
        <f t="shared" si="552"/>
        <v>245047.67999999854</v>
      </c>
    </row>
    <row r="6028" spans="6:32" ht="8.25" customHeight="1" x14ac:dyDescent="0.25">
      <c r="F6028" s="53">
        <v>19</v>
      </c>
      <c r="T6028" s="33">
        <v>46246</v>
      </c>
      <c r="U6028" s="34">
        <v>2026</v>
      </c>
      <c r="V6028" s="35" t="s">
        <v>2716</v>
      </c>
      <c r="W6028" s="35" t="s">
        <v>3625</v>
      </c>
      <c r="X6028" s="37" t="s">
        <v>4489</v>
      </c>
      <c r="Z6028" s="30" t="s">
        <v>4433</v>
      </c>
      <c r="AA6028" s="30" t="s">
        <v>3939</v>
      </c>
      <c r="AE6028" s="38">
        <v>200</v>
      </c>
      <c r="AF6028" s="76">
        <f t="shared" si="552"/>
        <v>244847.67999999854</v>
      </c>
    </row>
    <row r="6029" spans="6:32" ht="8.25" customHeight="1" x14ac:dyDescent="0.25">
      <c r="T6029" s="33">
        <v>46246</v>
      </c>
      <c r="U6029" s="34">
        <v>2026</v>
      </c>
      <c r="V6029" s="35" t="s">
        <v>2716</v>
      </c>
      <c r="W6029" s="35" t="s">
        <v>3997</v>
      </c>
      <c r="X6029" s="37" t="s">
        <v>4491</v>
      </c>
      <c r="Y6029" s="36" t="s">
        <v>411</v>
      </c>
      <c r="Z6029" s="30" t="s">
        <v>3162</v>
      </c>
      <c r="AA6029" s="30" t="s">
        <v>618</v>
      </c>
      <c r="AE6029" s="38">
        <v>100000</v>
      </c>
      <c r="AF6029" s="76">
        <f t="shared" si="552"/>
        <v>144847.67999999854</v>
      </c>
    </row>
    <row r="6030" spans="6:32" ht="8.25" customHeight="1" x14ac:dyDescent="0.25">
      <c r="R6030" s="53">
        <v>73</v>
      </c>
      <c r="T6030" s="33">
        <v>46246</v>
      </c>
      <c r="U6030" s="34">
        <v>2026</v>
      </c>
      <c r="V6030" s="35" t="s">
        <v>2716</v>
      </c>
      <c r="W6030" s="35" t="s">
        <v>5</v>
      </c>
      <c r="X6030" s="37" t="s">
        <v>4492</v>
      </c>
      <c r="Y6030" s="36" t="s">
        <v>3597</v>
      </c>
      <c r="Z6030" s="30" t="s">
        <v>365</v>
      </c>
      <c r="AA6030" s="30" t="s">
        <v>92</v>
      </c>
      <c r="AE6030" s="38">
        <v>200</v>
      </c>
      <c r="AF6030" s="76">
        <f t="shared" si="552"/>
        <v>144647.67999999854</v>
      </c>
    </row>
    <row r="6031" spans="6:32" ht="8.25" customHeight="1" x14ac:dyDescent="0.25">
      <c r="T6031" s="33">
        <v>46246</v>
      </c>
      <c r="U6031" s="34">
        <v>2026</v>
      </c>
      <c r="V6031" s="35" t="s">
        <v>2716</v>
      </c>
      <c r="W6031" s="35" t="s">
        <v>3997</v>
      </c>
      <c r="X6031" s="37" t="s">
        <v>4499</v>
      </c>
      <c r="Y6031" s="36" t="s">
        <v>411</v>
      </c>
      <c r="Z6031" s="30" t="s">
        <v>4474</v>
      </c>
      <c r="AA6031" s="30" t="s">
        <v>2719</v>
      </c>
      <c r="AE6031" s="38">
        <v>56818.14</v>
      </c>
      <c r="AF6031" s="76">
        <f t="shared" si="552"/>
        <v>87829.539999998538</v>
      </c>
    </row>
    <row r="6032" spans="6:32" ht="8.25" customHeight="1" x14ac:dyDescent="0.25">
      <c r="T6032" s="33">
        <v>46246</v>
      </c>
      <c r="U6032" s="34">
        <v>2026</v>
      </c>
      <c r="V6032" s="35" t="s">
        <v>2716</v>
      </c>
      <c r="W6032" s="35" t="s">
        <v>3997</v>
      </c>
      <c r="X6032" s="37" t="s">
        <v>4500</v>
      </c>
      <c r="Y6032" s="36" t="s">
        <v>411</v>
      </c>
      <c r="Z6032" s="30" t="s">
        <v>4474</v>
      </c>
      <c r="AA6032" s="30" t="s">
        <v>2719</v>
      </c>
      <c r="AE6032" s="38">
        <v>0.04</v>
      </c>
      <c r="AF6032" s="76">
        <f t="shared" si="552"/>
        <v>87829.499999998545</v>
      </c>
    </row>
    <row r="6033" spans="20:32" ht="8.25" customHeight="1" x14ac:dyDescent="0.25">
      <c r="T6033" s="33">
        <v>46246</v>
      </c>
      <c r="U6033" s="34">
        <v>2026</v>
      </c>
      <c r="V6033" s="35" t="s">
        <v>2716</v>
      </c>
      <c r="W6033" s="35" t="s">
        <v>3997</v>
      </c>
      <c r="X6033" s="37" t="s">
        <v>4501</v>
      </c>
      <c r="Y6033" s="36" t="s">
        <v>411</v>
      </c>
      <c r="Z6033" s="30" t="s">
        <v>4474</v>
      </c>
      <c r="AA6033" s="30" t="s">
        <v>2719</v>
      </c>
      <c r="AE6033" s="38">
        <v>11363.64</v>
      </c>
      <c r="AF6033" s="76">
        <f t="shared" si="552"/>
        <v>76465.859999998545</v>
      </c>
    </row>
    <row r="6034" spans="20:32" ht="8.25" customHeight="1" thickBot="1" x14ac:dyDescent="0.3">
      <c r="AA6034" s="260" t="s">
        <v>2893</v>
      </c>
      <c r="AD6034" s="233">
        <f>SUM(AD6017:AD6026)</f>
        <v>104163.81999999999</v>
      </c>
      <c r="AE6034" s="233">
        <f>SUM(AE6027:AE6033)</f>
        <v>169081.82</v>
      </c>
      <c r="AF6034" s="233">
        <f>AF6033</f>
        <v>76465.859999998545</v>
      </c>
    </row>
    <row r="6035" spans="20:32" ht="8.25" customHeight="1" thickTop="1" x14ac:dyDescent="0.25">
      <c r="AF6035" s="30"/>
    </row>
    <row r="6037" spans="20:32" ht="8.25" customHeight="1" x14ac:dyDescent="0.25">
      <c r="X6037" s="109"/>
      <c r="Y6037" s="67" t="s">
        <v>214</v>
      </c>
      <c r="Z6037" s="68"/>
    </row>
    <row r="6038" spans="20:32" ht="8.25" customHeight="1" x14ac:dyDescent="0.25">
      <c r="X6038" s="110" t="s">
        <v>711</v>
      </c>
      <c r="Y6038" s="111">
        <v>200</v>
      </c>
      <c r="Z6038" s="111">
        <f t="shared" ref="Z6038:Z6043" si="553">X6038*Y6038</f>
        <v>10000</v>
      </c>
      <c r="AA6038" s="112"/>
    </row>
    <row r="6039" spans="20:32" ht="8.25" customHeight="1" x14ac:dyDescent="0.25">
      <c r="X6039" s="110" t="s">
        <v>4493</v>
      </c>
      <c r="Y6039" s="111">
        <v>100</v>
      </c>
      <c r="Z6039" s="111">
        <f t="shared" si="553"/>
        <v>65200</v>
      </c>
      <c r="AA6039" s="112"/>
    </row>
    <row r="6040" spans="20:32" ht="8.25" customHeight="1" x14ac:dyDescent="0.25">
      <c r="X6040" s="110" t="s">
        <v>222</v>
      </c>
      <c r="Y6040" s="111">
        <v>50</v>
      </c>
      <c r="Z6040" s="111">
        <f t="shared" si="553"/>
        <v>50</v>
      </c>
      <c r="AA6040" s="76"/>
    </row>
    <row r="6041" spans="20:32" ht="8.25" customHeight="1" x14ac:dyDescent="0.25">
      <c r="X6041" s="110" t="s">
        <v>120</v>
      </c>
      <c r="Y6041" s="111">
        <v>20</v>
      </c>
      <c r="Z6041" s="111">
        <f t="shared" si="553"/>
        <v>0</v>
      </c>
      <c r="AA6041" s="38"/>
    </row>
    <row r="6042" spans="20:32" ht="8.25" customHeight="1" x14ac:dyDescent="0.25">
      <c r="X6042" s="110" t="s">
        <v>120</v>
      </c>
      <c r="Y6042" s="111">
        <v>10</v>
      </c>
      <c r="Z6042" s="111">
        <f t="shared" si="553"/>
        <v>0</v>
      </c>
      <c r="AA6042" s="112"/>
    </row>
    <row r="6043" spans="20:32" ht="8.25" customHeight="1" x14ac:dyDescent="0.25">
      <c r="X6043" s="110" t="s">
        <v>4502</v>
      </c>
      <c r="Y6043" s="111">
        <v>5</v>
      </c>
      <c r="Z6043" s="111">
        <f t="shared" si="553"/>
        <v>935</v>
      </c>
      <c r="AA6043" s="112"/>
    </row>
    <row r="6044" spans="20:32" ht="8.25" customHeight="1" x14ac:dyDescent="0.25">
      <c r="X6044" s="269"/>
      <c r="Y6044" s="270"/>
      <c r="Z6044" s="271"/>
      <c r="AA6044" s="38"/>
    </row>
    <row r="6045" spans="20:32" ht="8.25" customHeight="1" x14ac:dyDescent="0.25">
      <c r="X6045" s="110" t="s">
        <v>4490</v>
      </c>
      <c r="Y6045" s="111">
        <v>1</v>
      </c>
      <c r="Z6045" s="111">
        <f t="shared" ref="Z6045:Z6050" si="554">X6045*Y6045</f>
        <v>220</v>
      </c>
      <c r="AA6045" s="76"/>
    </row>
    <row r="6046" spans="20:32" ht="8.25" customHeight="1" x14ac:dyDescent="0.25">
      <c r="X6046" s="110" t="s">
        <v>431</v>
      </c>
      <c r="Y6046" s="111">
        <v>0.5</v>
      </c>
      <c r="Z6046" s="111">
        <f t="shared" si="554"/>
        <v>22.5</v>
      </c>
      <c r="AA6046" s="112"/>
    </row>
    <row r="6047" spans="20:32" ht="8.25" customHeight="1" x14ac:dyDescent="0.25">
      <c r="X6047" s="110" t="s">
        <v>4484</v>
      </c>
      <c r="Y6047" s="111">
        <v>0.25</v>
      </c>
      <c r="Z6047" s="111">
        <f t="shared" si="554"/>
        <v>38</v>
      </c>
      <c r="AA6047" s="113" t="s">
        <v>1</v>
      </c>
    </row>
    <row r="6048" spans="20:32" ht="8.25" customHeight="1" x14ac:dyDescent="0.25">
      <c r="X6048" s="110" t="s">
        <v>223</v>
      </c>
      <c r="Y6048" s="111">
        <v>0.1</v>
      </c>
      <c r="Z6048" s="111">
        <f t="shared" si="554"/>
        <v>0.30000000000000004</v>
      </c>
      <c r="AA6048" s="114" t="s">
        <v>219</v>
      </c>
    </row>
    <row r="6049" spans="9:32" ht="8.25" customHeight="1" thickBot="1" x14ac:dyDescent="0.3">
      <c r="X6049" s="110" t="s">
        <v>222</v>
      </c>
      <c r="Y6049" s="111">
        <v>0.05</v>
      </c>
      <c r="Z6049" s="111">
        <f t="shared" si="554"/>
        <v>0.05</v>
      </c>
      <c r="AA6049" s="115">
        <f>SUM(Z6038:Z6043)+Z6045+Z6046+Z6047+Z6048+Z6049+Z6050</f>
        <v>76465.86</v>
      </c>
    </row>
    <row r="6050" spans="9:32" ht="8.25" customHeight="1" thickTop="1" x14ac:dyDescent="0.25">
      <c r="X6050" s="110" t="s">
        <v>222</v>
      </c>
      <c r="Y6050" s="111">
        <v>0.01</v>
      </c>
      <c r="Z6050" s="111">
        <f t="shared" si="554"/>
        <v>0.01</v>
      </c>
    </row>
    <row r="6053" spans="9:32" ht="8.25" customHeight="1" x14ac:dyDescent="0.25">
      <c r="Z6053" s="231" t="s">
        <v>1376</v>
      </c>
      <c r="AF6053" s="76">
        <f>AF6034</f>
        <v>76465.859999998545</v>
      </c>
    </row>
    <row r="6054" spans="9:32" ht="8.25" customHeight="1" x14ac:dyDescent="0.25">
      <c r="N6054" s="52">
        <v>143</v>
      </c>
      <c r="T6054" s="33">
        <v>46247</v>
      </c>
      <c r="U6054" s="34">
        <v>2026</v>
      </c>
      <c r="V6054" s="35" t="s">
        <v>2716</v>
      </c>
      <c r="W6054" s="35" t="s">
        <v>17</v>
      </c>
      <c r="X6054" s="37" t="s">
        <v>4503</v>
      </c>
      <c r="Y6054" s="36" t="s">
        <v>3776</v>
      </c>
      <c r="Z6054" s="30" t="s">
        <v>917</v>
      </c>
      <c r="AA6054" s="30" t="s">
        <v>3899</v>
      </c>
      <c r="AD6054" s="38">
        <v>4891.2299999999996</v>
      </c>
      <c r="AF6054" s="76">
        <f>AF6053+AD6054-AE6054</f>
        <v>81357.089999998541</v>
      </c>
    </row>
    <row r="6055" spans="9:32" ht="8.25" customHeight="1" x14ac:dyDescent="0.25">
      <c r="N6055" s="52">
        <v>143</v>
      </c>
      <c r="T6055" s="33">
        <v>46247</v>
      </c>
      <c r="U6055" s="34">
        <v>2026</v>
      </c>
      <c r="V6055" s="35" t="s">
        <v>2716</v>
      </c>
      <c r="W6055" s="35" t="s">
        <v>17</v>
      </c>
      <c r="X6055" s="37" t="s">
        <v>4503</v>
      </c>
      <c r="Y6055" s="36" t="s">
        <v>3776</v>
      </c>
      <c r="Z6055" s="30" t="s">
        <v>917</v>
      </c>
      <c r="AA6055" s="30" t="s">
        <v>166</v>
      </c>
      <c r="AD6055" s="38">
        <v>4108.7700000000004</v>
      </c>
      <c r="AF6055" s="76">
        <f t="shared" ref="AF6055:AF6082" si="555">AF6054+AD6055-AE6055</f>
        <v>85465.859999998545</v>
      </c>
    </row>
    <row r="6056" spans="9:32" ht="8.25" customHeight="1" x14ac:dyDescent="0.25">
      <c r="N6056" s="52">
        <v>144</v>
      </c>
      <c r="T6056" s="33">
        <v>46247</v>
      </c>
      <c r="U6056" s="34">
        <v>2026</v>
      </c>
      <c r="V6056" s="35" t="s">
        <v>2716</v>
      </c>
      <c r="W6056" s="35" t="s">
        <v>17</v>
      </c>
      <c r="X6056" s="37" t="s">
        <v>4504</v>
      </c>
      <c r="Y6056" s="36" t="s">
        <v>3807</v>
      </c>
      <c r="Z6056" s="30" t="s">
        <v>1641</v>
      </c>
      <c r="AA6056" s="30" t="s">
        <v>3899</v>
      </c>
      <c r="AD6056" s="38">
        <v>8069.81</v>
      </c>
      <c r="AF6056" s="76">
        <f t="shared" si="555"/>
        <v>93535.669999998543</v>
      </c>
    </row>
    <row r="6057" spans="9:32" ht="8.25" customHeight="1" x14ac:dyDescent="0.25">
      <c r="N6057" s="52">
        <v>144</v>
      </c>
      <c r="T6057" s="33">
        <v>46247</v>
      </c>
      <c r="U6057" s="34">
        <v>2026</v>
      </c>
      <c r="V6057" s="35" t="s">
        <v>2716</v>
      </c>
      <c r="W6057" s="35" t="s">
        <v>17</v>
      </c>
      <c r="X6057" s="37" t="s">
        <v>4504</v>
      </c>
      <c r="Y6057" s="36" t="s">
        <v>3807</v>
      </c>
      <c r="Z6057" s="30" t="s">
        <v>1641</v>
      </c>
      <c r="AA6057" s="30" t="s">
        <v>166</v>
      </c>
      <c r="AD6057" s="38">
        <v>6330.19</v>
      </c>
      <c r="AF6057" s="76">
        <f t="shared" si="555"/>
        <v>99865.859999998545</v>
      </c>
    </row>
    <row r="6058" spans="9:32" ht="8.25" customHeight="1" x14ac:dyDescent="0.25">
      <c r="N6058" s="52">
        <v>145</v>
      </c>
      <c r="T6058" s="33">
        <v>46247</v>
      </c>
      <c r="U6058" s="34">
        <v>2026</v>
      </c>
      <c r="V6058" s="35" t="s">
        <v>2716</v>
      </c>
      <c r="W6058" s="35" t="s">
        <v>17</v>
      </c>
      <c r="X6058" s="37" t="s">
        <v>4505</v>
      </c>
      <c r="Y6058" s="36" t="s">
        <v>3877</v>
      </c>
      <c r="Z6058" s="30" t="s">
        <v>447</v>
      </c>
      <c r="AA6058" s="30" t="s">
        <v>3899</v>
      </c>
      <c r="AD6058" s="38">
        <v>7237.24</v>
      </c>
      <c r="AF6058" s="76">
        <f t="shared" si="555"/>
        <v>107103.09999999855</v>
      </c>
    </row>
    <row r="6059" spans="9:32" ht="8.25" customHeight="1" x14ac:dyDescent="0.25">
      <c r="N6059" s="52">
        <v>145</v>
      </c>
      <c r="T6059" s="33">
        <v>46247</v>
      </c>
      <c r="U6059" s="34">
        <v>2026</v>
      </c>
      <c r="V6059" s="35" t="s">
        <v>2716</v>
      </c>
      <c r="W6059" s="35" t="s">
        <v>17</v>
      </c>
      <c r="X6059" s="37" t="s">
        <v>4505</v>
      </c>
      <c r="Y6059" s="36" t="s">
        <v>3877</v>
      </c>
      <c r="Z6059" s="30" t="s">
        <v>447</v>
      </c>
      <c r="AA6059" s="30" t="s">
        <v>166</v>
      </c>
      <c r="AD6059" s="38">
        <v>6062.76</v>
      </c>
      <c r="AF6059" s="76">
        <f t="shared" si="555"/>
        <v>113165.85999999855</v>
      </c>
    </row>
    <row r="6060" spans="9:32" ht="8.25" customHeight="1" x14ac:dyDescent="0.25">
      <c r="N6060" s="52">
        <v>146</v>
      </c>
      <c r="T6060" s="33">
        <v>46247</v>
      </c>
      <c r="U6060" s="34">
        <v>2026</v>
      </c>
      <c r="V6060" s="35" t="s">
        <v>2716</v>
      </c>
      <c r="W6060" s="35" t="s">
        <v>17</v>
      </c>
      <c r="X6060" s="37" t="s">
        <v>4506</v>
      </c>
      <c r="Y6060" s="36" t="s">
        <v>3478</v>
      </c>
      <c r="Z6060" s="30" t="s">
        <v>508</v>
      </c>
      <c r="AA6060" s="30" t="s">
        <v>3899</v>
      </c>
      <c r="AD6060" s="38">
        <v>7994.4</v>
      </c>
      <c r="AF6060" s="76">
        <f t="shared" si="555"/>
        <v>121160.25999999854</v>
      </c>
    </row>
    <row r="6061" spans="9:32" ht="8.25" customHeight="1" x14ac:dyDescent="0.25">
      <c r="N6061" s="52">
        <v>146</v>
      </c>
      <c r="T6061" s="33">
        <v>46247</v>
      </c>
      <c r="U6061" s="34">
        <v>2026</v>
      </c>
      <c r="V6061" s="35" t="s">
        <v>2716</v>
      </c>
      <c r="W6061" s="35" t="s">
        <v>17</v>
      </c>
      <c r="X6061" s="37" t="s">
        <v>4506</v>
      </c>
      <c r="Y6061" s="36" t="s">
        <v>3478</v>
      </c>
      <c r="Z6061" s="30" t="s">
        <v>508</v>
      </c>
      <c r="AA6061" s="30" t="s">
        <v>166</v>
      </c>
      <c r="AD6061" s="38">
        <v>4905.6000000000004</v>
      </c>
      <c r="AF6061" s="76">
        <f t="shared" si="555"/>
        <v>126065.85999999855</v>
      </c>
    </row>
    <row r="6062" spans="9:32" ht="8.25" customHeight="1" x14ac:dyDescent="0.25">
      <c r="N6062" s="52">
        <v>147</v>
      </c>
      <c r="T6062" s="33">
        <v>46247</v>
      </c>
      <c r="U6062" s="34">
        <v>2026</v>
      </c>
      <c r="V6062" s="35" t="s">
        <v>2716</v>
      </c>
      <c r="W6062" s="35" t="s">
        <v>17</v>
      </c>
      <c r="X6062" s="37" t="s">
        <v>4507</v>
      </c>
      <c r="Y6062" s="36" t="s">
        <v>3875</v>
      </c>
      <c r="Z6062" s="30" t="s">
        <v>437</v>
      </c>
      <c r="AA6062" s="30" t="s">
        <v>3899</v>
      </c>
      <c r="AD6062" s="38">
        <v>4633.2299999999996</v>
      </c>
      <c r="AF6062" s="76">
        <f t="shared" si="555"/>
        <v>130699.08999999854</v>
      </c>
    </row>
    <row r="6063" spans="9:32" ht="8.25" customHeight="1" x14ac:dyDescent="0.25">
      <c r="N6063" s="52">
        <v>147</v>
      </c>
      <c r="T6063" s="33">
        <v>46247</v>
      </c>
      <c r="U6063" s="34">
        <v>2026</v>
      </c>
      <c r="V6063" s="35" t="s">
        <v>2716</v>
      </c>
      <c r="W6063" s="35" t="s">
        <v>17</v>
      </c>
      <c r="X6063" s="37" t="s">
        <v>4507</v>
      </c>
      <c r="Y6063" s="36" t="s">
        <v>3875</v>
      </c>
      <c r="Z6063" s="30" t="s">
        <v>437</v>
      </c>
      <c r="AA6063" s="30" t="s">
        <v>166</v>
      </c>
      <c r="AD6063" s="38">
        <v>5766.77</v>
      </c>
      <c r="AF6063" s="76">
        <f t="shared" si="555"/>
        <v>136465.85999999853</v>
      </c>
    </row>
    <row r="6064" spans="9:32" ht="8.25" customHeight="1" x14ac:dyDescent="0.25">
      <c r="I6064" s="52">
        <v>56</v>
      </c>
      <c r="T6064" s="33">
        <v>46247</v>
      </c>
      <c r="U6064" s="34">
        <v>2026</v>
      </c>
      <c r="V6064" s="35" t="s">
        <v>2716</v>
      </c>
      <c r="W6064" s="35" t="s">
        <v>17</v>
      </c>
      <c r="X6064" s="37" t="s">
        <v>4509</v>
      </c>
      <c r="Y6064" s="36" t="s">
        <v>4510</v>
      </c>
      <c r="Z6064" s="30" t="s">
        <v>317</v>
      </c>
      <c r="AA6064" s="30" t="s">
        <v>13</v>
      </c>
      <c r="AD6064" s="38">
        <v>55000</v>
      </c>
      <c r="AF6064" s="76">
        <f t="shared" si="555"/>
        <v>191465.85999999853</v>
      </c>
    </row>
    <row r="6065" spans="3:32" ht="8.25" customHeight="1" x14ac:dyDescent="0.25">
      <c r="D6065" s="52">
        <v>12</v>
      </c>
      <c r="T6065" s="33">
        <v>46247</v>
      </c>
      <c r="U6065" s="34">
        <v>2026</v>
      </c>
      <c r="V6065" s="35" t="s">
        <v>2716</v>
      </c>
      <c r="W6065" s="35" t="s">
        <v>3620</v>
      </c>
      <c r="X6065" s="37" t="s">
        <v>4511</v>
      </c>
      <c r="Y6065" s="36" t="s">
        <v>2380</v>
      </c>
      <c r="Z6065" s="30" t="s">
        <v>317</v>
      </c>
      <c r="AA6065" s="30" t="s">
        <v>256</v>
      </c>
      <c r="AD6065" s="38">
        <v>5000</v>
      </c>
      <c r="AF6065" s="76">
        <f t="shared" si="555"/>
        <v>196465.85999999853</v>
      </c>
    </row>
    <row r="6066" spans="3:32" ht="8.25" customHeight="1" x14ac:dyDescent="0.25">
      <c r="C6066" s="52">
        <v>23</v>
      </c>
      <c r="T6066" s="33">
        <v>46247</v>
      </c>
      <c r="U6066" s="34">
        <v>2026</v>
      </c>
      <c r="V6066" s="35" t="s">
        <v>2716</v>
      </c>
      <c r="W6066" s="35" t="s">
        <v>3620</v>
      </c>
      <c r="X6066" s="37" t="s">
        <v>4508</v>
      </c>
      <c r="Y6066" s="36" t="s">
        <v>3817</v>
      </c>
      <c r="Z6066" s="30" t="s">
        <v>3815</v>
      </c>
      <c r="AA6066" s="30" t="s">
        <v>340</v>
      </c>
      <c r="AD6066" s="38">
        <v>60</v>
      </c>
      <c r="AF6066" s="76">
        <f t="shared" si="555"/>
        <v>196525.85999999853</v>
      </c>
    </row>
    <row r="6067" spans="3:32" ht="8.25" customHeight="1" x14ac:dyDescent="0.25">
      <c r="N6067" s="52">
        <v>148</v>
      </c>
      <c r="T6067" s="33">
        <v>46247</v>
      </c>
      <c r="U6067" s="34">
        <v>2026</v>
      </c>
      <c r="V6067" s="35" t="s">
        <v>2716</v>
      </c>
      <c r="W6067" s="35" t="s">
        <v>17</v>
      </c>
      <c r="X6067" s="37" t="s">
        <v>4512</v>
      </c>
      <c r="Y6067" s="36" t="s">
        <v>4513</v>
      </c>
      <c r="Z6067" s="30" t="s">
        <v>505</v>
      </c>
      <c r="AA6067" s="30" t="s">
        <v>3899</v>
      </c>
      <c r="AD6067" s="38">
        <v>26856.35</v>
      </c>
      <c r="AF6067" s="76">
        <f t="shared" si="555"/>
        <v>223382.20999999854</v>
      </c>
    </row>
    <row r="6068" spans="3:32" ht="8.25" customHeight="1" x14ac:dyDescent="0.25">
      <c r="N6068" s="52">
        <v>148</v>
      </c>
      <c r="T6068" s="33">
        <v>46247</v>
      </c>
      <c r="U6068" s="34">
        <v>2026</v>
      </c>
      <c r="V6068" s="35" t="s">
        <v>2716</v>
      </c>
      <c r="W6068" s="35" t="s">
        <v>17</v>
      </c>
      <c r="X6068" s="37" t="s">
        <v>4512</v>
      </c>
      <c r="Y6068" s="36" t="s">
        <v>4513</v>
      </c>
      <c r="Z6068" s="30" t="s">
        <v>505</v>
      </c>
      <c r="AA6068" s="30" t="s">
        <v>166</v>
      </c>
      <c r="AD6068" s="38">
        <v>20603.650000000001</v>
      </c>
      <c r="AF6068" s="76">
        <f t="shared" si="555"/>
        <v>243985.85999999853</v>
      </c>
    </row>
    <row r="6069" spans="3:32" ht="8.25" customHeight="1" x14ac:dyDescent="0.25">
      <c r="N6069" s="52">
        <v>148</v>
      </c>
      <c r="T6069" s="33">
        <v>46247</v>
      </c>
      <c r="U6069" s="34">
        <v>2026</v>
      </c>
      <c r="V6069" s="35" t="s">
        <v>2716</v>
      </c>
      <c r="W6069" s="35" t="s">
        <v>17</v>
      </c>
      <c r="X6069" s="37" t="s">
        <v>4512</v>
      </c>
      <c r="Y6069" s="36" t="s">
        <v>4513</v>
      </c>
      <c r="Z6069" s="30" t="s">
        <v>505</v>
      </c>
      <c r="AA6069" s="30" t="s">
        <v>3304</v>
      </c>
      <c r="AD6069" s="38">
        <v>440</v>
      </c>
      <c r="AF6069" s="76">
        <f t="shared" si="555"/>
        <v>244425.85999999853</v>
      </c>
    </row>
    <row r="6070" spans="3:32" ht="8.25" customHeight="1" x14ac:dyDescent="0.25">
      <c r="C6070" s="52">
        <v>24</v>
      </c>
      <c r="T6070" s="33">
        <v>46247</v>
      </c>
      <c r="U6070" s="34">
        <v>2026</v>
      </c>
      <c r="V6070" s="35" t="s">
        <v>2716</v>
      </c>
      <c r="W6070" s="35" t="s">
        <v>3620</v>
      </c>
      <c r="X6070" s="37" t="s">
        <v>4525</v>
      </c>
      <c r="Y6070" s="36" t="s">
        <v>4526</v>
      </c>
      <c r="Z6070" s="30" t="s">
        <v>4527</v>
      </c>
      <c r="AA6070" s="30" t="s">
        <v>340</v>
      </c>
      <c r="AD6070" s="38">
        <v>503</v>
      </c>
      <c r="AF6070" s="76">
        <f t="shared" si="555"/>
        <v>244928.85999999853</v>
      </c>
    </row>
    <row r="6071" spans="3:32" ht="8.25" customHeight="1" x14ac:dyDescent="0.25">
      <c r="N6071" s="52">
        <v>149</v>
      </c>
      <c r="T6071" s="33">
        <v>46247</v>
      </c>
      <c r="U6071" s="34">
        <v>2026</v>
      </c>
      <c r="V6071" s="35" t="s">
        <v>2716</v>
      </c>
      <c r="W6071" s="35" t="s">
        <v>17</v>
      </c>
      <c r="X6071" s="37" t="s">
        <v>4516</v>
      </c>
      <c r="Y6071" s="36" t="s">
        <v>4517</v>
      </c>
      <c r="Z6071" s="30" t="s">
        <v>958</v>
      </c>
      <c r="AA6071" s="30" t="s">
        <v>3899</v>
      </c>
      <c r="AD6071" s="38">
        <v>4735.63</v>
      </c>
      <c r="AF6071" s="76">
        <f t="shared" si="555"/>
        <v>249664.48999999854</v>
      </c>
    </row>
    <row r="6072" spans="3:32" ht="8.25" customHeight="1" x14ac:dyDescent="0.25">
      <c r="N6072" s="52">
        <v>149</v>
      </c>
      <c r="T6072" s="33">
        <v>46247</v>
      </c>
      <c r="U6072" s="34">
        <v>2026</v>
      </c>
      <c r="V6072" s="35" t="s">
        <v>2716</v>
      </c>
      <c r="W6072" s="35" t="s">
        <v>17</v>
      </c>
      <c r="X6072" s="37" t="s">
        <v>4516</v>
      </c>
      <c r="Y6072" s="36" t="s">
        <v>4517</v>
      </c>
      <c r="Z6072" s="30" t="s">
        <v>958</v>
      </c>
      <c r="AA6072" s="30" t="s">
        <v>166</v>
      </c>
      <c r="AD6072" s="38">
        <v>6466.37</v>
      </c>
      <c r="AF6072" s="76">
        <f t="shared" si="555"/>
        <v>256130.85999999853</v>
      </c>
    </row>
    <row r="6073" spans="3:32" ht="8.25" customHeight="1" x14ac:dyDescent="0.25">
      <c r="N6073" s="52">
        <v>150</v>
      </c>
      <c r="T6073" s="33">
        <v>46247</v>
      </c>
      <c r="U6073" s="34">
        <v>2026</v>
      </c>
      <c r="V6073" s="35" t="s">
        <v>2716</v>
      </c>
      <c r="W6073" s="35" t="s">
        <v>17</v>
      </c>
      <c r="X6073" s="37" t="s">
        <v>4518</v>
      </c>
      <c r="Y6073" s="36" t="s">
        <v>3690</v>
      </c>
      <c r="Z6073" s="30" t="s">
        <v>885</v>
      </c>
      <c r="AA6073" s="30" t="s">
        <v>3899</v>
      </c>
      <c r="AD6073" s="38">
        <v>14194.71</v>
      </c>
      <c r="AF6073" s="76">
        <f t="shared" si="555"/>
        <v>270325.56999999855</v>
      </c>
    </row>
    <row r="6074" spans="3:32" ht="8.25" customHeight="1" x14ac:dyDescent="0.25">
      <c r="N6074" s="52">
        <v>150</v>
      </c>
      <c r="T6074" s="33">
        <v>46247</v>
      </c>
      <c r="U6074" s="34">
        <v>2026</v>
      </c>
      <c r="V6074" s="35" t="s">
        <v>2716</v>
      </c>
      <c r="W6074" s="35" t="s">
        <v>17</v>
      </c>
      <c r="X6074" s="37" t="s">
        <v>4518</v>
      </c>
      <c r="Y6074" s="36" t="s">
        <v>3690</v>
      </c>
      <c r="Z6074" s="30" t="s">
        <v>885</v>
      </c>
      <c r="AA6074" s="30" t="s">
        <v>166</v>
      </c>
      <c r="AD6074" s="38">
        <v>354.67</v>
      </c>
      <c r="AF6074" s="76">
        <f t="shared" si="555"/>
        <v>270680.23999999854</v>
      </c>
    </row>
    <row r="6075" spans="3:32" ht="8.25" customHeight="1" x14ac:dyDescent="0.25">
      <c r="I6075" s="52">
        <v>57</v>
      </c>
      <c r="T6075" s="33">
        <v>46247</v>
      </c>
      <c r="U6075" s="34">
        <v>2026</v>
      </c>
      <c r="V6075" s="35" t="s">
        <v>2716</v>
      </c>
      <c r="W6075" s="35" t="s">
        <v>17</v>
      </c>
      <c r="X6075" s="37" t="s">
        <v>4519</v>
      </c>
      <c r="Y6075" s="36" t="s">
        <v>4520</v>
      </c>
      <c r="Z6075" s="30" t="s">
        <v>4521</v>
      </c>
      <c r="AA6075" s="30" t="s">
        <v>13</v>
      </c>
      <c r="AD6075" s="38">
        <v>300</v>
      </c>
      <c r="AF6075" s="76">
        <f t="shared" si="555"/>
        <v>270980.23999999854</v>
      </c>
    </row>
    <row r="6076" spans="3:32" ht="8.25" customHeight="1" x14ac:dyDescent="0.25">
      <c r="I6076" s="52">
        <v>58</v>
      </c>
      <c r="T6076" s="33">
        <v>46247</v>
      </c>
      <c r="U6076" s="34">
        <v>2026</v>
      </c>
      <c r="V6076" s="35" t="s">
        <v>2716</v>
      </c>
      <c r="W6076" s="35" t="s">
        <v>17</v>
      </c>
      <c r="X6076" s="37" t="s">
        <v>4522</v>
      </c>
      <c r="Y6076" s="36" t="s">
        <v>4523</v>
      </c>
      <c r="Z6076" s="30" t="s">
        <v>4449</v>
      </c>
      <c r="AA6076" s="30" t="s">
        <v>13</v>
      </c>
      <c r="AD6076" s="38">
        <v>45454.54</v>
      </c>
      <c r="AF6076" s="76">
        <f t="shared" si="555"/>
        <v>316434.77999999851</v>
      </c>
    </row>
    <row r="6077" spans="3:32" ht="8.25" customHeight="1" x14ac:dyDescent="0.25">
      <c r="M6077" s="52">
        <v>14</v>
      </c>
      <c r="T6077" s="33">
        <v>46247</v>
      </c>
      <c r="U6077" s="34">
        <v>2026</v>
      </c>
      <c r="V6077" s="35" t="s">
        <v>2716</v>
      </c>
      <c r="W6077" s="35" t="s">
        <v>17</v>
      </c>
      <c r="X6077" s="37" t="s">
        <v>4524</v>
      </c>
      <c r="Y6077" s="36" t="s">
        <v>3982</v>
      </c>
      <c r="Z6077" s="30" t="s">
        <v>4449</v>
      </c>
      <c r="AA6077" s="30" t="s">
        <v>385</v>
      </c>
      <c r="AD6077" s="38">
        <v>9090.91</v>
      </c>
      <c r="AF6077" s="76">
        <f t="shared" si="555"/>
        <v>325525.68999999849</v>
      </c>
    </row>
    <row r="6078" spans="3:32" ht="8.25" customHeight="1" x14ac:dyDescent="0.25">
      <c r="R6078" s="53">
        <v>74</v>
      </c>
      <c r="T6078" s="33">
        <v>46247</v>
      </c>
      <c r="U6078" s="34">
        <v>2026</v>
      </c>
      <c r="V6078" s="35" t="s">
        <v>2716</v>
      </c>
      <c r="W6078" s="35" t="s">
        <v>5</v>
      </c>
      <c r="X6078" s="37" t="s">
        <v>4528</v>
      </c>
      <c r="Y6078" s="36" t="s">
        <v>4520</v>
      </c>
      <c r="Z6078" s="30" t="s">
        <v>4521</v>
      </c>
      <c r="AA6078" s="30" t="s">
        <v>92</v>
      </c>
      <c r="AE6078" s="38">
        <v>9000</v>
      </c>
      <c r="AF6078" s="76">
        <f t="shared" si="555"/>
        <v>316525.68999999849</v>
      </c>
    </row>
    <row r="6079" spans="3:32" ht="8.25" customHeight="1" x14ac:dyDescent="0.25">
      <c r="R6079" s="53">
        <v>75</v>
      </c>
      <c r="T6079" s="33">
        <v>46247</v>
      </c>
      <c r="U6079" s="34">
        <v>2026</v>
      </c>
      <c r="V6079" s="35" t="s">
        <v>2716</v>
      </c>
      <c r="W6079" s="35" t="s">
        <v>5</v>
      </c>
      <c r="X6079" s="37" t="s">
        <v>4529</v>
      </c>
      <c r="Y6079" s="36" t="s">
        <v>3555</v>
      </c>
      <c r="Z6079" s="30" t="s">
        <v>429</v>
      </c>
      <c r="AA6079" s="30" t="s">
        <v>92</v>
      </c>
      <c r="AE6079" s="38">
        <v>200</v>
      </c>
      <c r="AF6079" s="76">
        <f t="shared" si="555"/>
        <v>316325.68999999849</v>
      </c>
    </row>
    <row r="6080" spans="3:32" ht="8.25" customHeight="1" x14ac:dyDescent="0.25">
      <c r="T6080" s="33">
        <v>46247</v>
      </c>
      <c r="U6080" s="34">
        <v>2026</v>
      </c>
      <c r="V6080" s="35" t="s">
        <v>2716</v>
      </c>
      <c r="W6080" s="35" t="s">
        <v>3997</v>
      </c>
      <c r="X6080" s="37" t="s">
        <v>4530</v>
      </c>
      <c r="Y6080" s="36" t="s">
        <v>411</v>
      </c>
      <c r="Z6080" s="30" t="s">
        <v>4449</v>
      </c>
      <c r="AA6080" s="30" t="s">
        <v>2719</v>
      </c>
      <c r="AE6080" s="38">
        <v>45454.54</v>
      </c>
      <c r="AF6080" s="76">
        <f t="shared" si="555"/>
        <v>270871.14999999851</v>
      </c>
    </row>
    <row r="6081" spans="20:32" ht="8.25" customHeight="1" x14ac:dyDescent="0.25">
      <c r="T6081" s="33">
        <v>46247</v>
      </c>
      <c r="U6081" s="34">
        <v>2026</v>
      </c>
      <c r="V6081" s="35" t="s">
        <v>2716</v>
      </c>
      <c r="W6081" s="35" t="s">
        <v>3997</v>
      </c>
      <c r="X6081" s="37" t="s">
        <v>4532</v>
      </c>
      <c r="Y6081" s="36" t="s">
        <v>411</v>
      </c>
      <c r="Z6081" s="30" t="s">
        <v>4449</v>
      </c>
      <c r="AA6081" s="30" t="s">
        <v>2719</v>
      </c>
      <c r="AE6081" s="38">
        <v>9090.91</v>
      </c>
      <c r="AF6081" s="76">
        <f t="shared" si="555"/>
        <v>261780.23999999851</v>
      </c>
    </row>
    <row r="6082" spans="20:32" ht="8.25" customHeight="1" x14ac:dyDescent="0.25">
      <c r="T6082" s="33">
        <v>46247</v>
      </c>
      <c r="U6082" s="34">
        <v>2026</v>
      </c>
      <c r="V6082" s="35" t="s">
        <v>2716</v>
      </c>
      <c r="W6082" s="35" t="s">
        <v>3997</v>
      </c>
      <c r="X6082" s="37" t="s">
        <v>4531</v>
      </c>
      <c r="Y6082" s="36" t="s">
        <v>411</v>
      </c>
      <c r="Z6082" s="30" t="s">
        <v>3162</v>
      </c>
      <c r="AA6082" s="30" t="s">
        <v>618</v>
      </c>
      <c r="AE6082" s="38">
        <v>70000</v>
      </c>
      <c r="AF6082" s="76">
        <f t="shared" si="555"/>
        <v>191780.23999999851</v>
      </c>
    </row>
    <row r="6083" spans="20:32" ht="8.25" customHeight="1" thickBot="1" x14ac:dyDescent="0.3">
      <c r="AA6083" s="260" t="s">
        <v>2893</v>
      </c>
      <c r="AD6083" s="233">
        <f>SUM(AD6054:AD6077)</f>
        <v>249059.83000000002</v>
      </c>
      <c r="AE6083" s="233">
        <f>SUM(AE6078:AE6082)</f>
        <v>133745.45000000001</v>
      </c>
      <c r="AF6083" s="233">
        <f>AF6082</f>
        <v>191780.23999999851</v>
      </c>
    </row>
    <row r="6084" spans="20:32" ht="8.25" customHeight="1" thickTop="1" x14ac:dyDescent="0.25"/>
    <row r="6086" spans="20:32" ht="8.25" customHeight="1" x14ac:dyDescent="0.25">
      <c r="X6086" s="109"/>
      <c r="Y6086" s="67" t="s">
        <v>214</v>
      </c>
      <c r="Z6086" s="68"/>
    </row>
    <row r="6087" spans="20:32" ht="8.25" customHeight="1" x14ac:dyDescent="0.25">
      <c r="X6087" s="110" t="s">
        <v>711</v>
      </c>
      <c r="Y6087" s="111">
        <v>200</v>
      </c>
      <c r="Z6087" s="111">
        <f t="shared" ref="Z6087:Z6092" si="556">X6087*Y6087</f>
        <v>10000</v>
      </c>
      <c r="AA6087" s="112"/>
    </row>
    <row r="6088" spans="20:32" ht="8.25" customHeight="1" x14ac:dyDescent="0.25">
      <c r="X6088" s="110" t="s">
        <v>4533</v>
      </c>
      <c r="Y6088" s="111">
        <v>100</v>
      </c>
      <c r="Z6088" s="111">
        <f t="shared" si="556"/>
        <v>180600</v>
      </c>
      <c r="AA6088" s="112"/>
    </row>
    <row r="6089" spans="20:32" ht="8.25" customHeight="1" x14ac:dyDescent="0.25">
      <c r="X6089" s="110" t="s">
        <v>120</v>
      </c>
      <c r="Y6089" s="111">
        <v>50</v>
      </c>
      <c r="Z6089" s="111">
        <f t="shared" si="556"/>
        <v>0</v>
      </c>
      <c r="AA6089" s="76"/>
    </row>
    <row r="6090" spans="20:32" ht="8.25" customHeight="1" x14ac:dyDescent="0.25">
      <c r="X6090" s="110" t="s">
        <v>120</v>
      </c>
      <c r="Y6090" s="111">
        <v>20</v>
      </c>
      <c r="Z6090" s="111">
        <f t="shared" si="556"/>
        <v>0</v>
      </c>
      <c r="AA6090" s="38"/>
    </row>
    <row r="6091" spans="20:32" ht="8.25" customHeight="1" x14ac:dyDescent="0.25">
      <c r="X6091" s="110" t="s">
        <v>120</v>
      </c>
      <c r="Y6091" s="111">
        <v>10</v>
      </c>
      <c r="Z6091" s="111">
        <f t="shared" si="556"/>
        <v>0</v>
      </c>
      <c r="AA6091" s="112"/>
    </row>
    <row r="6092" spans="20:32" ht="8.25" customHeight="1" x14ac:dyDescent="0.25">
      <c r="X6092" s="110" t="s">
        <v>1878</v>
      </c>
      <c r="Y6092" s="111">
        <v>5</v>
      </c>
      <c r="Z6092" s="111">
        <f t="shared" si="556"/>
        <v>900</v>
      </c>
      <c r="AA6092" s="112"/>
    </row>
    <row r="6093" spans="20:32" ht="8.25" customHeight="1" x14ac:dyDescent="0.25">
      <c r="X6093" s="269"/>
      <c r="Y6093" s="270"/>
      <c r="Z6093" s="271"/>
      <c r="AA6093" s="38"/>
    </row>
    <row r="6094" spans="20:32" ht="8.25" customHeight="1" x14ac:dyDescent="0.25">
      <c r="X6094" s="110" t="s">
        <v>4490</v>
      </c>
      <c r="Y6094" s="111">
        <v>1</v>
      </c>
      <c r="Z6094" s="111">
        <f t="shared" ref="Z6094:Z6099" si="557">X6094*Y6094</f>
        <v>220</v>
      </c>
      <c r="AA6094" s="76"/>
    </row>
    <row r="6095" spans="20:32" ht="8.25" customHeight="1" x14ac:dyDescent="0.25">
      <c r="X6095" s="110" t="s">
        <v>748</v>
      </c>
      <c r="Y6095" s="111">
        <v>0.5</v>
      </c>
      <c r="Z6095" s="111">
        <f t="shared" si="557"/>
        <v>22</v>
      </c>
      <c r="AA6095" s="112"/>
    </row>
    <row r="6096" spans="20:32" ht="8.25" customHeight="1" x14ac:dyDescent="0.25">
      <c r="X6096" s="110" t="s">
        <v>4484</v>
      </c>
      <c r="Y6096" s="111">
        <v>0.25</v>
      </c>
      <c r="Z6096" s="111">
        <f t="shared" si="557"/>
        <v>38</v>
      </c>
      <c r="AA6096" s="113" t="s">
        <v>1</v>
      </c>
    </row>
    <row r="6097" spans="9:32" ht="8.25" customHeight="1" x14ac:dyDescent="0.25">
      <c r="X6097" s="110" t="s">
        <v>224</v>
      </c>
      <c r="Y6097" s="111">
        <v>0.1</v>
      </c>
      <c r="Z6097" s="111">
        <f t="shared" si="557"/>
        <v>0.2</v>
      </c>
      <c r="AA6097" s="114" t="s">
        <v>219</v>
      </c>
    </row>
    <row r="6098" spans="9:32" ht="8.25" customHeight="1" thickBot="1" x14ac:dyDescent="0.3">
      <c r="X6098" s="110" t="s">
        <v>120</v>
      </c>
      <c r="Y6098" s="111">
        <v>0.05</v>
      </c>
      <c r="Z6098" s="111">
        <f t="shared" si="557"/>
        <v>0</v>
      </c>
      <c r="AA6098" s="115">
        <f>SUM(Z6087:Z6092)+Z6094+Z6095+Z6096+Z6097+Z6098+Z6099</f>
        <v>191780.24000000002</v>
      </c>
    </row>
    <row r="6099" spans="9:32" ht="8.25" customHeight="1" thickTop="1" x14ac:dyDescent="0.25">
      <c r="X6099" s="110" t="s">
        <v>299</v>
      </c>
      <c r="Y6099" s="111">
        <v>0.01</v>
      </c>
      <c r="Z6099" s="111">
        <f t="shared" si="557"/>
        <v>0.04</v>
      </c>
    </row>
    <row r="6101" spans="9:32" ht="8.25" customHeight="1" x14ac:dyDescent="0.25">
      <c r="Z6101" s="231" t="s">
        <v>1376</v>
      </c>
      <c r="AF6101" s="76">
        <f>AF6083</f>
        <v>191780.23999999851</v>
      </c>
    </row>
    <row r="6102" spans="9:32" ht="8.25" customHeight="1" x14ac:dyDescent="0.25">
      <c r="N6102" s="52">
        <v>151</v>
      </c>
      <c r="T6102" s="33">
        <v>46248</v>
      </c>
      <c r="U6102" s="34">
        <v>2026</v>
      </c>
      <c r="V6102" s="35" t="s">
        <v>2716</v>
      </c>
      <c r="W6102" s="35" t="s">
        <v>17</v>
      </c>
      <c r="X6102" s="37" t="s">
        <v>4534</v>
      </c>
      <c r="Y6102" s="36" t="s">
        <v>3819</v>
      </c>
      <c r="Z6102" s="30" t="s">
        <v>3820</v>
      </c>
      <c r="AA6102" s="30" t="s">
        <v>3899</v>
      </c>
      <c r="AD6102" s="38">
        <v>3334.59</v>
      </c>
      <c r="AF6102" s="76">
        <f>AF6101+AD6102-AE6102</f>
        <v>195114.8299999985</v>
      </c>
    </row>
    <row r="6103" spans="9:32" ht="8.25" customHeight="1" x14ac:dyDescent="0.25">
      <c r="N6103" s="52">
        <v>151</v>
      </c>
      <c r="T6103" s="33">
        <v>46248</v>
      </c>
      <c r="U6103" s="34">
        <v>2026</v>
      </c>
      <c r="V6103" s="35" t="s">
        <v>2716</v>
      </c>
      <c r="W6103" s="35" t="s">
        <v>17</v>
      </c>
      <c r="X6103" s="37" t="s">
        <v>4534</v>
      </c>
      <c r="Y6103" s="36" t="s">
        <v>3819</v>
      </c>
      <c r="Z6103" s="30" t="s">
        <v>3820</v>
      </c>
      <c r="AA6103" s="30" t="s">
        <v>166</v>
      </c>
      <c r="AD6103" s="38">
        <v>3804.41</v>
      </c>
      <c r="AF6103" s="76">
        <f>AF6102+AD6103-AE6103</f>
        <v>198919.23999999851</v>
      </c>
    </row>
    <row r="6104" spans="9:32" ht="8.25" customHeight="1" x14ac:dyDescent="0.25">
      <c r="N6104" s="52">
        <v>152</v>
      </c>
      <c r="T6104" s="33">
        <v>46248</v>
      </c>
      <c r="U6104" s="34">
        <v>2026</v>
      </c>
      <c r="V6104" s="35" t="s">
        <v>2716</v>
      </c>
      <c r="W6104" s="35" t="s">
        <v>17</v>
      </c>
      <c r="X6104" s="37" t="s">
        <v>4535</v>
      </c>
      <c r="Y6104" s="36" t="s">
        <v>3814</v>
      </c>
      <c r="Z6104" s="30" t="s">
        <v>332</v>
      </c>
      <c r="AA6104" s="30" t="s">
        <v>3899</v>
      </c>
      <c r="AD6104" s="38">
        <v>2210.9499999999998</v>
      </c>
      <c r="AF6104" s="76">
        <f t="shared" ref="AF6104:AF6116" si="558">AF6103+AD6104-AE6104</f>
        <v>201130.18999999852</v>
      </c>
    </row>
    <row r="6105" spans="9:32" ht="8.25" customHeight="1" x14ac:dyDescent="0.25">
      <c r="N6105" s="52">
        <v>152</v>
      </c>
      <c r="T6105" s="33">
        <v>46248</v>
      </c>
      <c r="U6105" s="34">
        <v>2026</v>
      </c>
      <c r="V6105" s="35" t="s">
        <v>2716</v>
      </c>
      <c r="W6105" s="35" t="s">
        <v>17</v>
      </c>
      <c r="X6105" s="37" t="s">
        <v>4535</v>
      </c>
      <c r="Y6105" s="36" t="s">
        <v>3814</v>
      </c>
      <c r="Z6105" s="30" t="s">
        <v>332</v>
      </c>
      <c r="AA6105" s="30" t="s">
        <v>166</v>
      </c>
      <c r="AD6105" s="38">
        <v>5089.05</v>
      </c>
      <c r="AF6105" s="76">
        <f t="shared" si="558"/>
        <v>206219.23999999851</v>
      </c>
    </row>
    <row r="6106" spans="9:32" ht="8.25" customHeight="1" x14ac:dyDescent="0.25">
      <c r="K6106" s="52">
        <v>20</v>
      </c>
      <c r="T6106" s="33">
        <v>46248</v>
      </c>
      <c r="U6106" s="34">
        <v>2026</v>
      </c>
      <c r="V6106" s="35" t="s">
        <v>2716</v>
      </c>
      <c r="W6106" s="35" t="s">
        <v>17</v>
      </c>
      <c r="X6106" s="37" t="s">
        <v>4536</v>
      </c>
      <c r="Y6106" s="36" t="s">
        <v>4538</v>
      </c>
      <c r="Z6106" s="30" t="s">
        <v>4539</v>
      </c>
      <c r="AA6106" s="30" t="s">
        <v>1787</v>
      </c>
      <c r="AD6106" s="38">
        <v>100</v>
      </c>
      <c r="AF6106" s="76">
        <f t="shared" si="558"/>
        <v>206319.23999999851</v>
      </c>
    </row>
    <row r="6107" spans="9:32" ht="8.25" customHeight="1" x14ac:dyDescent="0.25">
      <c r="L6107" s="52">
        <v>20</v>
      </c>
      <c r="T6107" s="33">
        <v>46248</v>
      </c>
      <c r="U6107" s="34">
        <v>2026</v>
      </c>
      <c r="V6107" s="35" t="s">
        <v>2716</v>
      </c>
      <c r="W6107" s="35" t="s">
        <v>17</v>
      </c>
      <c r="X6107" s="37" t="s">
        <v>4537</v>
      </c>
      <c r="Y6107" s="36" t="s">
        <v>3982</v>
      </c>
      <c r="Z6107" s="30" t="s">
        <v>4539</v>
      </c>
      <c r="AA6107" s="30" t="s">
        <v>373</v>
      </c>
      <c r="AD6107" s="38">
        <v>50</v>
      </c>
      <c r="AF6107" s="76">
        <f t="shared" si="558"/>
        <v>206369.23999999851</v>
      </c>
    </row>
    <row r="6108" spans="9:32" ht="8.25" customHeight="1" x14ac:dyDescent="0.25">
      <c r="T6108" s="33">
        <v>46248</v>
      </c>
      <c r="U6108" s="34">
        <v>2026</v>
      </c>
      <c r="V6108" s="35" t="s">
        <v>2716</v>
      </c>
      <c r="W6108" s="35" t="s">
        <v>17</v>
      </c>
      <c r="X6108" s="37" t="s">
        <v>4540</v>
      </c>
      <c r="Y6108" s="36" t="s">
        <v>3597</v>
      </c>
      <c r="Z6108" s="30" t="s">
        <v>365</v>
      </c>
      <c r="AA6108" s="30" t="s">
        <v>13</v>
      </c>
      <c r="AD6108" s="38">
        <v>300</v>
      </c>
      <c r="AF6108" s="76">
        <f t="shared" si="558"/>
        <v>206669.23999999851</v>
      </c>
    </row>
    <row r="6109" spans="9:32" ht="8.25" customHeight="1" x14ac:dyDescent="0.25">
      <c r="I6109" s="52">
        <v>59</v>
      </c>
      <c r="T6109" s="33">
        <v>46248</v>
      </c>
      <c r="U6109" s="34">
        <v>2026</v>
      </c>
      <c r="V6109" s="35" t="s">
        <v>2716</v>
      </c>
      <c r="W6109" s="35" t="s">
        <v>17</v>
      </c>
      <c r="X6109" s="37" t="s">
        <v>4550</v>
      </c>
      <c r="Y6109" s="36" t="s">
        <v>4551</v>
      </c>
      <c r="Z6109" s="30" t="s">
        <v>4539</v>
      </c>
      <c r="AA6109" s="30" t="s">
        <v>13</v>
      </c>
      <c r="AD6109" s="38">
        <v>1144.8900000000001</v>
      </c>
      <c r="AF6109" s="76">
        <f t="shared" si="558"/>
        <v>207814.12999999852</v>
      </c>
    </row>
    <row r="6110" spans="9:32" ht="8.25" customHeight="1" x14ac:dyDescent="0.25">
      <c r="M6110" s="52">
        <v>15</v>
      </c>
      <c r="T6110" s="33">
        <v>46248</v>
      </c>
      <c r="U6110" s="34">
        <v>2026</v>
      </c>
      <c r="V6110" s="35" t="s">
        <v>2716</v>
      </c>
      <c r="W6110" s="35" t="s">
        <v>17</v>
      </c>
      <c r="X6110" s="37" t="s">
        <v>4552</v>
      </c>
      <c r="Y6110" s="36" t="s">
        <v>3982</v>
      </c>
      <c r="Z6110" s="30" t="s">
        <v>4539</v>
      </c>
      <c r="AA6110" s="30" t="s">
        <v>385</v>
      </c>
      <c r="AD6110" s="38">
        <v>228.97</v>
      </c>
      <c r="AF6110" s="76">
        <f t="shared" si="558"/>
        <v>208043.09999999852</v>
      </c>
    </row>
    <row r="6111" spans="9:32" ht="8.25" customHeight="1" x14ac:dyDescent="0.25">
      <c r="N6111" s="52">
        <v>153</v>
      </c>
      <c r="T6111" s="33">
        <v>46248</v>
      </c>
      <c r="U6111" s="34">
        <v>2026</v>
      </c>
      <c r="V6111" s="35" t="s">
        <v>2716</v>
      </c>
      <c r="W6111" s="35" t="s">
        <v>17</v>
      </c>
      <c r="X6111" s="37" t="s">
        <v>4553</v>
      </c>
      <c r="Y6111" s="36" t="s">
        <v>3812</v>
      </c>
      <c r="Z6111" s="30" t="s">
        <v>560</v>
      </c>
      <c r="AA6111" s="30" t="s">
        <v>3899</v>
      </c>
      <c r="AD6111" s="38">
        <v>4233.42</v>
      </c>
      <c r="AF6111" s="76">
        <f t="shared" si="558"/>
        <v>212276.51999999853</v>
      </c>
    </row>
    <row r="6112" spans="9:32" ht="8.25" customHeight="1" x14ac:dyDescent="0.25">
      <c r="N6112" s="52">
        <v>153</v>
      </c>
      <c r="T6112" s="33">
        <v>46248</v>
      </c>
      <c r="U6112" s="34">
        <v>2026</v>
      </c>
      <c r="V6112" s="35" t="s">
        <v>2716</v>
      </c>
      <c r="W6112" s="35" t="s">
        <v>17</v>
      </c>
      <c r="X6112" s="37" t="s">
        <v>4553</v>
      </c>
      <c r="Y6112" s="36" t="s">
        <v>3812</v>
      </c>
      <c r="Z6112" s="30" t="s">
        <v>560</v>
      </c>
      <c r="AA6112" s="30" t="s">
        <v>166</v>
      </c>
      <c r="AD6112" s="38">
        <v>822.58</v>
      </c>
      <c r="AF6112" s="76">
        <f t="shared" si="558"/>
        <v>213099.09999999852</v>
      </c>
    </row>
    <row r="6113" spans="7:32" ht="8.25" customHeight="1" x14ac:dyDescent="0.25">
      <c r="G6113" s="53">
        <v>44</v>
      </c>
      <c r="T6113" s="33">
        <v>46248</v>
      </c>
      <c r="U6113" s="34">
        <v>2026</v>
      </c>
      <c r="V6113" s="35" t="s">
        <v>2716</v>
      </c>
      <c r="W6113" s="35" t="s">
        <v>3625</v>
      </c>
      <c r="X6113" s="37" t="s">
        <v>4541</v>
      </c>
      <c r="Y6113" s="36" t="s">
        <v>4542</v>
      </c>
      <c r="Z6113" s="30" t="s">
        <v>835</v>
      </c>
      <c r="AA6113" s="30" t="s">
        <v>3945</v>
      </c>
      <c r="AE6113" s="38">
        <v>1459.81</v>
      </c>
      <c r="AF6113" s="76">
        <f t="shared" si="558"/>
        <v>211639.28999999852</v>
      </c>
    </row>
    <row r="6114" spans="7:32" ht="8.25" customHeight="1" x14ac:dyDescent="0.25">
      <c r="R6114" s="53">
        <v>76</v>
      </c>
      <c r="T6114" s="33">
        <v>46248</v>
      </c>
      <c r="U6114" s="34">
        <v>2026</v>
      </c>
      <c r="V6114" s="35" t="s">
        <v>2716</v>
      </c>
      <c r="W6114" s="35" t="s">
        <v>5</v>
      </c>
      <c r="X6114" s="37" t="s">
        <v>4544</v>
      </c>
      <c r="Y6114" s="36" t="s">
        <v>4548</v>
      </c>
      <c r="Z6114" s="30" t="s">
        <v>4549</v>
      </c>
      <c r="AA6114" s="30" t="s">
        <v>92</v>
      </c>
      <c r="AE6114" s="38">
        <v>51000</v>
      </c>
      <c r="AF6114" s="76">
        <f t="shared" si="558"/>
        <v>160639.28999999852</v>
      </c>
    </row>
    <row r="6115" spans="7:32" ht="8.25" customHeight="1" x14ac:dyDescent="0.25">
      <c r="Q6115" s="52">
        <v>8</v>
      </c>
      <c r="T6115" s="33">
        <v>46248</v>
      </c>
      <c r="U6115" s="34">
        <v>2026</v>
      </c>
      <c r="V6115" s="35" t="s">
        <v>2716</v>
      </c>
      <c r="W6115" s="35" t="s">
        <v>5</v>
      </c>
      <c r="X6115" s="37" t="s">
        <v>4554</v>
      </c>
      <c r="Y6115" s="36" t="s">
        <v>4555</v>
      </c>
      <c r="Z6115" s="30" t="s">
        <v>4539</v>
      </c>
      <c r="AA6115" s="30" t="s">
        <v>1063</v>
      </c>
      <c r="AE6115" s="38">
        <v>11448.86</v>
      </c>
      <c r="AF6115" s="76">
        <f t="shared" si="558"/>
        <v>149190.42999999854</v>
      </c>
    </row>
    <row r="6116" spans="7:32" ht="8.25" customHeight="1" x14ac:dyDescent="0.25">
      <c r="R6116" s="53">
        <v>77</v>
      </c>
      <c r="T6116" s="33">
        <v>46248</v>
      </c>
      <c r="U6116" s="34">
        <v>2026</v>
      </c>
      <c r="V6116" s="35" t="s">
        <v>2716</v>
      </c>
      <c r="W6116" s="35" t="s">
        <v>5</v>
      </c>
      <c r="X6116" s="37" t="s">
        <v>4558</v>
      </c>
      <c r="Y6116" s="36" t="s">
        <v>3873</v>
      </c>
      <c r="Z6116" s="30" t="s">
        <v>3867</v>
      </c>
      <c r="AA6116" s="30" t="s">
        <v>92</v>
      </c>
      <c r="AE6116" s="38">
        <v>200</v>
      </c>
      <c r="AF6116" s="76">
        <f t="shared" si="558"/>
        <v>148990.42999999854</v>
      </c>
    </row>
    <row r="6117" spans="7:32" ht="8.25" customHeight="1" thickBot="1" x14ac:dyDescent="0.3">
      <c r="AA6117" s="260" t="s">
        <v>2893</v>
      </c>
      <c r="AD6117" s="233">
        <f>SUM(AD6102:AD6112)</f>
        <v>21318.86</v>
      </c>
      <c r="AE6117" s="233">
        <f>SUM(AE6113:AE6116)</f>
        <v>64108.67</v>
      </c>
      <c r="AF6117" s="233">
        <f>AF6116</f>
        <v>148990.42999999854</v>
      </c>
    </row>
    <row r="6118" spans="7:32" ht="8.25" customHeight="1" thickTop="1" x14ac:dyDescent="0.25"/>
    <row r="6121" spans="7:32" ht="8.25" customHeight="1" x14ac:dyDescent="0.25">
      <c r="X6121" s="109"/>
      <c r="Y6121" s="67" t="s">
        <v>214</v>
      </c>
      <c r="Z6121" s="68"/>
    </row>
    <row r="6122" spans="7:32" ht="8.25" customHeight="1" x14ac:dyDescent="0.25">
      <c r="X6122" s="110" t="s">
        <v>299</v>
      </c>
      <c r="Y6122" s="111">
        <v>200</v>
      </c>
      <c r="Z6122" s="111">
        <f t="shared" ref="Z6122:Z6127" si="559">X6122*Y6122</f>
        <v>800</v>
      </c>
      <c r="AA6122" s="112"/>
    </row>
    <row r="6123" spans="7:32" ht="8.25" customHeight="1" x14ac:dyDescent="0.25">
      <c r="X6123" s="110" t="s">
        <v>4559</v>
      </c>
      <c r="Y6123" s="111">
        <v>100</v>
      </c>
      <c r="Z6123" s="111">
        <f t="shared" si="559"/>
        <v>147100</v>
      </c>
      <c r="AA6123" s="112"/>
    </row>
    <row r="6124" spans="7:32" ht="8.25" customHeight="1" x14ac:dyDescent="0.25">
      <c r="X6124" s="110" t="s">
        <v>222</v>
      </c>
      <c r="Y6124" s="111">
        <v>50</v>
      </c>
      <c r="Z6124" s="111">
        <f t="shared" si="559"/>
        <v>50</v>
      </c>
      <c r="AA6124" s="76"/>
    </row>
    <row r="6125" spans="7:32" ht="8.25" customHeight="1" x14ac:dyDescent="0.25">
      <c r="X6125" s="110" t="s">
        <v>222</v>
      </c>
      <c r="Y6125" s="111">
        <v>20</v>
      </c>
      <c r="Z6125" s="111">
        <f t="shared" si="559"/>
        <v>20</v>
      </c>
      <c r="AA6125" s="38"/>
    </row>
    <row r="6126" spans="7:32" ht="8.25" customHeight="1" x14ac:dyDescent="0.25">
      <c r="X6126" s="110" t="s">
        <v>222</v>
      </c>
      <c r="Y6126" s="111">
        <v>10</v>
      </c>
      <c r="Z6126" s="111">
        <f t="shared" si="559"/>
        <v>10</v>
      </c>
      <c r="AA6126" s="112"/>
    </row>
    <row r="6127" spans="7:32" ht="8.25" customHeight="1" x14ac:dyDescent="0.25">
      <c r="X6127" s="110" t="s">
        <v>4556</v>
      </c>
      <c r="Y6127" s="111">
        <v>5</v>
      </c>
      <c r="Z6127" s="111">
        <f t="shared" si="559"/>
        <v>740</v>
      </c>
      <c r="AA6127" s="112"/>
    </row>
    <row r="6128" spans="7:32" ht="8.25" customHeight="1" x14ac:dyDescent="0.25">
      <c r="X6128" s="269"/>
      <c r="Y6128" s="270"/>
      <c r="Z6128" s="271"/>
      <c r="AA6128" s="38"/>
    </row>
    <row r="6129" spans="7:32" ht="8.25" customHeight="1" x14ac:dyDescent="0.25">
      <c r="X6129" s="110" t="s">
        <v>4557</v>
      </c>
      <c r="Y6129" s="111">
        <v>1</v>
      </c>
      <c r="Z6129" s="111">
        <f t="shared" ref="Z6129:Z6134" si="560">X6129*Y6129</f>
        <v>211</v>
      </c>
      <c r="AA6129" s="76"/>
    </row>
    <row r="6130" spans="7:32" ht="8.25" customHeight="1" x14ac:dyDescent="0.25">
      <c r="X6130" s="110" t="s">
        <v>3781</v>
      </c>
      <c r="Y6130" s="111">
        <v>0.5</v>
      </c>
      <c r="Z6130" s="111">
        <f t="shared" si="560"/>
        <v>21.5</v>
      </c>
      <c r="AA6130" s="112"/>
    </row>
    <row r="6131" spans="7:32" ht="8.25" customHeight="1" x14ac:dyDescent="0.25">
      <c r="X6131" s="110" t="s">
        <v>4543</v>
      </c>
      <c r="Y6131" s="111">
        <v>0.25</v>
      </c>
      <c r="Z6131" s="111">
        <f t="shared" si="560"/>
        <v>37.75</v>
      </c>
      <c r="AA6131" s="113" t="s">
        <v>1</v>
      </c>
    </row>
    <row r="6132" spans="7:32" ht="8.25" customHeight="1" x14ac:dyDescent="0.25">
      <c r="X6132" s="110" t="s">
        <v>222</v>
      </c>
      <c r="Y6132" s="111">
        <v>0.1</v>
      </c>
      <c r="Z6132" s="111">
        <f t="shared" si="560"/>
        <v>0.1</v>
      </c>
      <c r="AA6132" s="114" t="s">
        <v>219</v>
      </c>
    </row>
    <row r="6133" spans="7:32" ht="8.25" customHeight="1" thickBot="1" x14ac:dyDescent="0.3">
      <c r="X6133" s="110" t="s">
        <v>222</v>
      </c>
      <c r="Y6133" s="111">
        <v>0.05</v>
      </c>
      <c r="Z6133" s="111">
        <f t="shared" si="560"/>
        <v>0.05</v>
      </c>
      <c r="AA6133" s="115">
        <f>SUM(Z6122:Z6127)+Z6129+Z6130+Z6131+Z6132+Z6133+Z6134</f>
        <v>148990.43</v>
      </c>
    </row>
    <row r="6134" spans="7:32" ht="8.25" customHeight="1" thickTop="1" x14ac:dyDescent="0.25">
      <c r="X6134" s="110" t="s">
        <v>223</v>
      </c>
      <c r="Y6134" s="111">
        <v>0.01</v>
      </c>
      <c r="Z6134" s="111">
        <f t="shared" si="560"/>
        <v>0.03</v>
      </c>
    </row>
    <row r="6136" spans="7:32" ht="8.25" customHeight="1" x14ac:dyDescent="0.25">
      <c r="Z6136" s="231" t="s">
        <v>1376</v>
      </c>
      <c r="AF6136" s="76">
        <f>AF6117</f>
        <v>148990.42999999854</v>
      </c>
    </row>
    <row r="6137" spans="7:32" ht="8.25" customHeight="1" x14ac:dyDescent="0.25">
      <c r="N6137" s="52">
        <v>154</v>
      </c>
      <c r="T6137" s="33">
        <v>46249</v>
      </c>
      <c r="U6137" s="34">
        <v>2026</v>
      </c>
      <c r="V6137" s="35" t="s">
        <v>2716</v>
      </c>
      <c r="W6137" s="35" t="s">
        <v>17</v>
      </c>
      <c r="X6137" s="37" t="s">
        <v>4560</v>
      </c>
      <c r="Y6137" s="36" t="s">
        <v>3879</v>
      </c>
      <c r="Z6137" s="30" t="s">
        <v>3880</v>
      </c>
      <c r="AA6137" s="30" t="s">
        <v>3899</v>
      </c>
      <c r="AD6137" s="38">
        <v>2500.31</v>
      </c>
      <c r="AF6137" s="76">
        <f>AF6136+AD6137-AE6137</f>
        <v>151490.73999999854</v>
      </c>
    </row>
    <row r="6138" spans="7:32" ht="8.25" customHeight="1" x14ac:dyDescent="0.25">
      <c r="N6138" s="52">
        <v>154</v>
      </c>
      <c r="T6138" s="33">
        <v>46249</v>
      </c>
      <c r="U6138" s="34">
        <v>2026</v>
      </c>
      <c r="V6138" s="35" t="s">
        <v>2716</v>
      </c>
      <c r="W6138" s="35" t="s">
        <v>17</v>
      </c>
      <c r="X6138" s="37" t="s">
        <v>4560</v>
      </c>
      <c r="Y6138" s="36" t="s">
        <v>3879</v>
      </c>
      <c r="Z6138" s="30" t="s">
        <v>3880</v>
      </c>
      <c r="AA6138" s="30" t="s">
        <v>166</v>
      </c>
      <c r="AD6138" s="38">
        <v>2853.69</v>
      </c>
      <c r="AF6138" s="76">
        <f t="shared" ref="AF6138:AF6144" si="561">AF6137+AD6138-AE6138</f>
        <v>154344.42999999854</v>
      </c>
    </row>
    <row r="6139" spans="7:32" ht="8.25" customHeight="1" x14ac:dyDescent="0.25">
      <c r="R6139" s="53">
        <v>78</v>
      </c>
      <c r="T6139" s="33">
        <v>46249</v>
      </c>
      <c r="U6139" s="34">
        <v>2026</v>
      </c>
      <c r="V6139" s="35" t="s">
        <v>2716</v>
      </c>
      <c r="W6139" s="35" t="s">
        <v>5</v>
      </c>
      <c r="X6139" s="37" t="s">
        <v>4561</v>
      </c>
      <c r="Y6139" s="36" t="s">
        <v>3889</v>
      </c>
      <c r="Z6139" s="30" t="s">
        <v>3880</v>
      </c>
      <c r="AA6139" s="30" t="s">
        <v>92</v>
      </c>
      <c r="AE6139" s="38">
        <v>5354</v>
      </c>
      <c r="AF6139" s="76">
        <f t="shared" si="561"/>
        <v>148990.42999999854</v>
      </c>
    </row>
    <row r="6140" spans="7:32" ht="8.25" customHeight="1" x14ac:dyDescent="0.25">
      <c r="R6140" s="53">
        <v>79</v>
      </c>
      <c r="T6140" s="33">
        <v>46249</v>
      </c>
      <c r="U6140" s="34">
        <v>2026</v>
      </c>
      <c r="V6140" s="35" t="s">
        <v>2716</v>
      </c>
      <c r="W6140" s="35" t="s">
        <v>5</v>
      </c>
      <c r="X6140" s="37" t="s">
        <v>4562</v>
      </c>
      <c r="Y6140" s="36" t="s">
        <v>3873</v>
      </c>
      <c r="Z6140" s="30" t="s">
        <v>3867</v>
      </c>
      <c r="AA6140" s="30" t="s">
        <v>92</v>
      </c>
      <c r="AE6140" s="38">
        <v>1200</v>
      </c>
      <c r="AF6140" s="76">
        <f t="shared" si="561"/>
        <v>147790.42999999854</v>
      </c>
    </row>
    <row r="6141" spans="7:32" ht="8.25" customHeight="1" x14ac:dyDescent="0.25">
      <c r="G6141" s="53">
        <v>45</v>
      </c>
      <c r="T6141" s="33">
        <v>46249</v>
      </c>
      <c r="U6141" s="34">
        <v>2026</v>
      </c>
      <c r="V6141" s="35" t="s">
        <v>2716</v>
      </c>
      <c r="W6141" s="35" t="s">
        <v>3625</v>
      </c>
      <c r="X6141" s="37" t="s">
        <v>4563</v>
      </c>
      <c r="Y6141" s="36" t="s">
        <v>4565</v>
      </c>
      <c r="Z6141" s="30" t="s">
        <v>2665</v>
      </c>
      <c r="AA6141" s="30" t="s">
        <v>3945</v>
      </c>
      <c r="AE6141" s="38">
        <v>5327</v>
      </c>
      <c r="AF6141" s="76">
        <f t="shared" si="561"/>
        <v>142463.42999999854</v>
      </c>
    </row>
    <row r="6142" spans="7:32" ht="8.25" customHeight="1" x14ac:dyDescent="0.25">
      <c r="G6142" s="53">
        <v>46</v>
      </c>
      <c r="T6142" s="33">
        <v>46249</v>
      </c>
      <c r="U6142" s="34">
        <v>2026</v>
      </c>
      <c r="V6142" s="35" t="s">
        <v>2716</v>
      </c>
      <c r="W6142" s="35" t="s">
        <v>3625</v>
      </c>
      <c r="X6142" s="37" t="s">
        <v>4566</v>
      </c>
      <c r="Y6142" s="36" t="s">
        <v>4567</v>
      </c>
      <c r="Z6142" s="30" t="s">
        <v>3637</v>
      </c>
      <c r="AA6142" s="30" t="s">
        <v>3945</v>
      </c>
      <c r="AE6142" s="38">
        <v>4500.8</v>
      </c>
      <c r="AF6142" s="76">
        <f t="shared" si="561"/>
        <v>137962.62999999855</v>
      </c>
    </row>
    <row r="6143" spans="7:32" ht="8.25" customHeight="1" x14ac:dyDescent="0.25">
      <c r="R6143" s="53">
        <v>80</v>
      </c>
      <c r="T6143" s="33">
        <v>46249</v>
      </c>
      <c r="U6143" s="34">
        <v>2026</v>
      </c>
      <c r="V6143" s="35" t="s">
        <v>2716</v>
      </c>
      <c r="W6143" s="35" t="s">
        <v>5</v>
      </c>
      <c r="X6143" s="37" t="s">
        <v>4568</v>
      </c>
      <c r="Y6143" s="36" t="s">
        <v>4569</v>
      </c>
      <c r="Z6143" s="30" t="s">
        <v>261</v>
      </c>
      <c r="AA6143" s="30" t="s">
        <v>92</v>
      </c>
      <c r="AE6143" s="38">
        <v>4500</v>
      </c>
      <c r="AF6143" s="76">
        <f t="shared" si="561"/>
        <v>133462.62999999855</v>
      </c>
    </row>
    <row r="6144" spans="7:32" ht="8.25" customHeight="1" x14ac:dyDescent="0.25">
      <c r="R6144" s="53">
        <v>81</v>
      </c>
      <c r="T6144" s="33">
        <v>46249</v>
      </c>
      <c r="U6144" s="34">
        <v>2026</v>
      </c>
      <c r="V6144" s="35" t="s">
        <v>2716</v>
      </c>
      <c r="W6144" s="35" t="s">
        <v>5</v>
      </c>
      <c r="X6144" s="37" t="s">
        <v>4570</v>
      </c>
      <c r="Y6144" s="36" t="s">
        <v>3903</v>
      </c>
      <c r="Z6144" s="30" t="s">
        <v>16</v>
      </c>
      <c r="AA6144" s="30" t="s">
        <v>92</v>
      </c>
      <c r="AE6144" s="38">
        <v>1000</v>
      </c>
      <c r="AF6144" s="76">
        <f t="shared" si="561"/>
        <v>132462.62999999855</v>
      </c>
    </row>
    <row r="6145" spans="24:32" ht="8.25" customHeight="1" thickBot="1" x14ac:dyDescent="0.3">
      <c r="AA6145" s="260" t="s">
        <v>2893</v>
      </c>
      <c r="AD6145" s="233">
        <f>SUM(AD6137:AD6138)</f>
        <v>5354</v>
      </c>
      <c r="AE6145" s="233">
        <f>SUM(AE6139:AE6144)</f>
        <v>21881.8</v>
      </c>
      <c r="AF6145" s="233">
        <f>AF6144</f>
        <v>132462.62999999855</v>
      </c>
    </row>
    <row r="6146" spans="24:32" ht="8.25" customHeight="1" thickTop="1" x14ac:dyDescent="0.25">
      <c r="AF6146" s="30"/>
    </row>
    <row r="6147" spans="24:32" ht="8.25" customHeight="1" x14ac:dyDescent="0.25">
      <c r="X6147" s="109"/>
      <c r="Y6147" s="67" t="s">
        <v>214</v>
      </c>
      <c r="Z6147" s="68"/>
    </row>
    <row r="6148" spans="24:32" ht="8.25" customHeight="1" x14ac:dyDescent="0.25">
      <c r="X6148" s="110" t="s">
        <v>299</v>
      </c>
      <c r="Y6148" s="111">
        <v>200</v>
      </c>
      <c r="Z6148" s="111">
        <f t="shared" ref="Z6148:Z6153" si="562">X6148*Y6148</f>
        <v>800</v>
      </c>
      <c r="AA6148" s="112"/>
    </row>
    <row r="6149" spans="24:32" ht="8.25" customHeight="1" x14ac:dyDescent="0.25">
      <c r="X6149" s="110" t="s">
        <v>4571</v>
      </c>
      <c r="Y6149" s="111">
        <v>100</v>
      </c>
      <c r="Z6149" s="111">
        <f t="shared" si="562"/>
        <v>130600</v>
      </c>
      <c r="AA6149" s="112"/>
    </row>
    <row r="6150" spans="24:32" ht="8.25" customHeight="1" x14ac:dyDescent="0.25">
      <c r="X6150" s="110" t="s">
        <v>222</v>
      </c>
      <c r="Y6150" s="111">
        <v>50</v>
      </c>
      <c r="Z6150" s="111">
        <f t="shared" si="562"/>
        <v>50</v>
      </c>
      <c r="AA6150" s="76"/>
    </row>
    <row r="6151" spans="24:32" ht="8.25" customHeight="1" x14ac:dyDescent="0.25">
      <c r="X6151" s="110" t="s">
        <v>120</v>
      </c>
      <c r="Y6151" s="111">
        <v>20</v>
      </c>
      <c r="Z6151" s="111">
        <f t="shared" si="562"/>
        <v>0</v>
      </c>
      <c r="AA6151" s="38"/>
    </row>
    <row r="6152" spans="24:32" ht="8.25" customHeight="1" x14ac:dyDescent="0.25">
      <c r="X6152" s="110" t="s">
        <v>222</v>
      </c>
      <c r="Y6152" s="111">
        <v>10</v>
      </c>
      <c r="Z6152" s="111">
        <f t="shared" si="562"/>
        <v>10</v>
      </c>
      <c r="AA6152" s="112"/>
    </row>
    <row r="6153" spans="24:32" ht="8.25" customHeight="1" x14ac:dyDescent="0.25">
      <c r="X6153" s="110" t="s">
        <v>4564</v>
      </c>
      <c r="Y6153" s="111">
        <v>5</v>
      </c>
      <c r="Z6153" s="111">
        <f t="shared" si="562"/>
        <v>735</v>
      </c>
      <c r="AA6153" s="112"/>
    </row>
    <row r="6154" spans="24:32" ht="8.25" customHeight="1" x14ac:dyDescent="0.25">
      <c r="X6154" s="269"/>
      <c r="Y6154" s="270"/>
      <c r="Z6154" s="271"/>
      <c r="AA6154" s="38"/>
    </row>
    <row r="6155" spans="24:32" ht="8.25" customHeight="1" x14ac:dyDescent="0.25">
      <c r="X6155" s="110" t="s">
        <v>1880</v>
      </c>
      <c r="Y6155" s="111">
        <v>1</v>
      </c>
      <c r="Z6155" s="111">
        <f t="shared" ref="Z6155:Z6160" si="563">X6155*Y6155</f>
        <v>210</v>
      </c>
      <c r="AA6155" s="76"/>
    </row>
    <row r="6156" spans="24:32" ht="8.25" customHeight="1" x14ac:dyDescent="0.25">
      <c r="X6156" s="110" t="s">
        <v>4572</v>
      </c>
      <c r="Y6156" s="111">
        <v>0.5</v>
      </c>
      <c r="Z6156" s="111">
        <f t="shared" si="563"/>
        <v>20</v>
      </c>
      <c r="AA6156" s="112"/>
    </row>
    <row r="6157" spans="24:32" ht="8.25" customHeight="1" x14ac:dyDescent="0.25">
      <c r="X6157" s="110" t="s">
        <v>873</v>
      </c>
      <c r="Y6157" s="111">
        <v>0.25</v>
      </c>
      <c r="Z6157" s="111">
        <f t="shared" si="563"/>
        <v>37.5</v>
      </c>
      <c r="AA6157" s="113" t="s">
        <v>1</v>
      </c>
    </row>
    <row r="6158" spans="24:32" ht="8.25" customHeight="1" x14ac:dyDescent="0.25">
      <c r="X6158" s="110" t="s">
        <v>222</v>
      </c>
      <c r="Y6158" s="111">
        <v>0.1</v>
      </c>
      <c r="Z6158" s="111">
        <f t="shared" si="563"/>
        <v>0.1</v>
      </c>
      <c r="AA6158" s="114" t="s">
        <v>219</v>
      </c>
    </row>
    <row r="6159" spans="24:32" ht="8.25" customHeight="1" thickBot="1" x14ac:dyDescent="0.3">
      <c r="X6159" s="110" t="s">
        <v>120</v>
      </c>
      <c r="Y6159" s="111">
        <v>0.05</v>
      </c>
      <c r="Z6159" s="111">
        <f t="shared" si="563"/>
        <v>0</v>
      </c>
      <c r="AA6159" s="115">
        <f>SUM(Z6148:Z6153)+Z6155+Z6156+Z6157+Z6158+Z6159+Z6160</f>
        <v>132462.63</v>
      </c>
    </row>
    <row r="6160" spans="24:32" ht="8.25" customHeight="1" thickTop="1" x14ac:dyDescent="0.25">
      <c r="X6160" s="110" t="s">
        <v>223</v>
      </c>
      <c r="Y6160" s="111">
        <v>0.01</v>
      </c>
      <c r="Z6160" s="111">
        <f t="shared" si="563"/>
        <v>0.03</v>
      </c>
    </row>
  </sheetData>
  <mergeCells count="185">
    <mergeCell ref="X6154:Z6154"/>
    <mergeCell ref="X1087:Z1087"/>
    <mergeCell ref="X1637:Z1637"/>
    <mergeCell ref="X1607:Z1607"/>
    <mergeCell ref="X1562:Z1562"/>
    <mergeCell ref="I3:R3"/>
    <mergeCell ref="X34:Z34"/>
    <mergeCell ref="X52:Z52"/>
    <mergeCell ref="X73:Z73"/>
    <mergeCell ref="X105:Z105"/>
    <mergeCell ref="X438:Z438"/>
    <mergeCell ref="X853:Z853"/>
    <mergeCell ref="X533:Z533"/>
    <mergeCell ref="X508:Z508"/>
    <mergeCell ref="X692:Z692"/>
    <mergeCell ref="X717:Z717"/>
    <mergeCell ref="X650:Z650"/>
    <mergeCell ref="X571:Z571"/>
    <mergeCell ref="X596:Z596"/>
    <mergeCell ref="X751:Z751"/>
    <mergeCell ref="X828:Z828"/>
    <mergeCell ref="X462:Z462"/>
    <mergeCell ref="X620:Z620"/>
    <mergeCell ref="X799:Z799"/>
    <mergeCell ref="AD1382:AE1382"/>
    <mergeCell ref="X139:Z139"/>
    <mergeCell ref="X180:Z180"/>
    <mergeCell ref="X211:Z211"/>
    <mergeCell ref="X381:Z381"/>
    <mergeCell ref="X357:Z357"/>
    <mergeCell ref="X325:Z325"/>
    <mergeCell ref="X292:Z292"/>
    <mergeCell ref="X270:Z270"/>
    <mergeCell ref="X251:Z251"/>
    <mergeCell ref="X775:Z775"/>
    <mergeCell ref="X408:Z408"/>
    <mergeCell ref="X923:Z923"/>
    <mergeCell ref="X482:Z482"/>
    <mergeCell ref="X1121:Z1121"/>
    <mergeCell ref="X893:Z893"/>
    <mergeCell ref="X1144:Z1144"/>
    <mergeCell ref="X1015:Z1015"/>
    <mergeCell ref="X1178:Z1178"/>
    <mergeCell ref="X988:Z988"/>
    <mergeCell ref="X1052:Z1052"/>
    <mergeCell ref="X952:Z952"/>
    <mergeCell ref="X1206:Z1206"/>
    <mergeCell ref="X1239:Z1239"/>
    <mergeCell ref="X1659:Z1659"/>
    <mergeCell ref="X1425:Z1425"/>
    <mergeCell ref="X1271:Z1271"/>
    <mergeCell ref="X1513:Z1513"/>
    <mergeCell ref="X1481:Z1481"/>
    <mergeCell ref="X1452:Z1452"/>
    <mergeCell ref="X1541:Z1541"/>
    <mergeCell ref="X1389:Z1389"/>
    <mergeCell ref="X1307:Z1307"/>
    <mergeCell ref="X1770:Z1770"/>
    <mergeCell ref="X1696:Z1696"/>
    <mergeCell ref="X1752:Z1752"/>
    <mergeCell ref="X1832:Z1832"/>
    <mergeCell ref="X1802:Z1802"/>
    <mergeCell ref="X1873:Z1873"/>
    <mergeCell ref="X2219:Z2219"/>
    <mergeCell ref="X2182:Z2182"/>
    <mergeCell ref="X2156:Z2156"/>
    <mergeCell ref="X2046:Z2046"/>
    <mergeCell ref="X2099:Z2099"/>
    <mergeCell ref="X2072:Z2072"/>
    <mergeCell ref="X1989:Z1989"/>
    <mergeCell ref="X1953:Z1953"/>
    <mergeCell ref="X1933:Z1933"/>
    <mergeCell ref="X2512:Z2512"/>
    <mergeCell ref="X2484:Z2484"/>
    <mergeCell ref="X2373:Z2373"/>
    <mergeCell ref="X2334:Z2334"/>
    <mergeCell ref="X2650:Z2650"/>
    <mergeCell ref="X2717:Z2717"/>
    <mergeCell ref="X2400:Z2400"/>
    <mergeCell ref="X2447:Z2447"/>
    <mergeCell ref="X1898:Z1898"/>
    <mergeCell ref="X2262:Z2262"/>
    <mergeCell ref="X2284:Z2284"/>
    <mergeCell ref="X2571:Z2571"/>
    <mergeCell ref="X2603:Z2603"/>
    <mergeCell ref="X2629:Z2629"/>
    <mergeCell ref="X2670:Z2670"/>
    <mergeCell ref="X3035:Z3035"/>
    <mergeCell ref="X2957:Z2957"/>
    <mergeCell ref="X2998:Z2998"/>
    <mergeCell ref="X2821:Z2821"/>
    <mergeCell ref="X2857:Z2857"/>
    <mergeCell ref="X2893:Z2893"/>
    <mergeCell ref="X2927:Z2927"/>
    <mergeCell ref="X3231:Z3231"/>
    <mergeCell ref="X4002:Z4002"/>
    <mergeCell ref="X3920:Z3920"/>
    <mergeCell ref="X3661:Z3661"/>
    <mergeCell ref="X3555:Z3555"/>
    <mergeCell ref="X3535:Z3535"/>
    <mergeCell ref="X3503:Z3503"/>
    <mergeCell ref="X3469:Z3469"/>
    <mergeCell ref="X3883:Z3883"/>
    <mergeCell ref="X3944:Z3944"/>
    <mergeCell ref="X3808:Z3808"/>
    <mergeCell ref="X3769:Z3769"/>
    <mergeCell ref="X3832:Z3832"/>
    <mergeCell ref="X3855:Z3855"/>
    <mergeCell ref="X4215:Z4215"/>
    <mergeCell ref="X4187:Z4187"/>
    <mergeCell ref="X4093:Z4093"/>
    <mergeCell ref="X4149:Z4149"/>
    <mergeCell ref="X4058:Z4058"/>
    <mergeCell ref="X2743:Z2743"/>
    <mergeCell ref="X4037:Z4037"/>
    <mergeCell ref="X3206:Z3206"/>
    <mergeCell ref="X3169:Z3169"/>
    <mergeCell ref="X2796:Z2796"/>
    <mergeCell ref="Z2763:AC2763"/>
    <mergeCell ref="X3724:Z3724"/>
    <mergeCell ref="X3694:Z3694"/>
    <mergeCell ref="X3627:Z3627"/>
    <mergeCell ref="X3604:Z3604"/>
    <mergeCell ref="X3583:Z3583"/>
    <mergeCell ref="X3445:Z3445"/>
    <mergeCell ref="X3392:Z3392"/>
    <mergeCell ref="X3353:Z3353"/>
    <mergeCell ref="X3303:Z3303"/>
    <mergeCell ref="X3112:Z3112"/>
    <mergeCell ref="X2771:Z2771"/>
    <mergeCell ref="X3268:Z3268"/>
    <mergeCell ref="X3078:Z3078"/>
    <mergeCell ref="X4243:Z4243"/>
    <mergeCell ref="X4496:Z4496"/>
    <mergeCell ref="X4794:Z4794"/>
    <mergeCell ref="X4735:Z4735"/>
    <mergeCell ref="X4698:Z4698"/>
    <mergeCell ref="X4611:Z4611"/>
    <mergeCell ref="X4565:Z4565"/>
    <mergeCell ref="X4530:Z4530"/>
    <mergeCell ref="X4469:Z4469"/>
    <mergeCell ref="X4449:Z4449"/>
    <mergeCell ref="X4371:Z4371"/>
    <mergeCell ref="X4663:Z4663"/>
    <mergeCell ref="X4284:Z4284"/>
    <mergeCell ref="X4422:Z4422"/>
    <mergeCell ref="X4765:Z4765"/>
    <mergeCell ref="X4394:Z4394"/>
    <mergeCell ref="X4326:Z4326"/>
    <mergeCell ref="X5953:Z5953"/>
    <mergeCell ref="X4819:Z4819"/>
    <mergeCell ref="X4927:Z4927"/>
    <mergeCell ref="X4904:Z4904"/>
    <mergeCell ref="X5205:Z5205"/>
    <mergeCell ref="X5180:Z5180"/>
    <mergeCell ref="X5106:Z5106"/>
    <mergeCell ref="X5028:Z5028"/>
    <mergeCell ref="X4947:Z4947"/>
    <mergeCell ref="X4863:Z4863"/>
    <mergeCell ref="X5058:Z5058"/>
    <mergeCell ref="X5132:Z5132"/>
    <mergeCell ref="X6128:Z6128"/>
    <mergeCell ref="X6093:Z6093"/>
    <mergeCell ref="X5917:Z5917"/>
    <mergeCell ref="X5894:Z5894"/>
    <mergeCell ref="X5835:Z5835"/>
    <mergeCell ref="X5672:Z5672"/>
    <mergeCell ref="X5634:Z5634"/>
    <mergeCell ref="X4996:Z4996"/>
    <mergeCell ref="X5228:Z5228"/>
    <mergeCell ref="X5310:Z5310"/>
    <mergeCell ref="X5468:Z5468"/>
    <mergeCell ref="X5537:Z5537"/>
    <mergeCell ref="X5802:Z5802"/>
    <mergeCell ref="X5743:Z5743"/>
    <mergeCell ref="X5693:Z5693"/>
    <mergeCell ref="X5598:Z5598"/>
    <mergeCell ref="X5572:Z5572"/>
    <mergeCell ref="X5494:Z5494"/>
    <mergeCell ref="X5380:Z5380"/>
    <mergeCell ref="X5340:Z5340"/>
    <mergeCell ref="X5267:Z5267"/>
    <mergeCell ref="X5859:Z5859"/>
    <mergeCell ref="X6044:Z6044"/>
    <mergeCell ref="X6008:Z6008"/>
  </mergeCells>
  <phoneticPr fontId="23" type="noConversion"/>
  <conditionalFormatting sqref="A1185:S1212 X5828:Z5828 X5829:AA5841">
    <cfRule type="expression" dxfId="563" priority="1133">
      <formula>ROW()=CELL("fila")</formula>
    </cfRule>
  </conditionalFormatting>
  <conditionalFormatting sqref="A20:AE22 AA23:AA25">
    <cfRule type="expression" dxfId="562" priority="15">
      <formula>ROW()=CELL("fila")</formula>
    </cfRule>
  </conditionalFormatting>
  <conditionalFormatting sqref="A766:AE766">
    <cfRule type="expression" dxfId="561" priority="1000">
      <formula>ROW()=CELL("fila")</formula>
    </cfRule>
  </conditionalFormatting>
  <conditionalFormatting sqref="A1432:AE1433 X1434:AE1441">
    <cfRule type="expression" dxfId="560" priority="803">
      <formula>ROW()=CELL("fila")</formula>
    </cfRule>
  </conditionalFormatting>
  <conditionalFormatting sqref="A1:AF17 A18:Z19 AB18:AE19 A23:Z24 AB23:AE24 A25:AE25 A26:AF62 A63:Z63 AB63:AF63 A64:AF80 T81:AF83 A81:S258 T84:Z84 AB84:AF84 T85:AF93 T94:Z95 AB94:AF95 T96:AF113 T114:AE125 T126:Z126 T127:AE127 T128:Z129 AB128:AE129 T130:AE131 T132:AA145 T146:AF167 T168:Z168 AB168:AF168 T169:AF196 T197:Z201 AB197:AF201 T202:AF226 T227:Z227 AB227:AF227 T228:AF240 T241:Z241 AB241:AF241 T242:AF258 A259:AE259 A260:Z261 AB260:AE261 A262:AE262 A263:AC276 AD265:XFD276 A277:XFD298 A299:AE302 AF299:XFD316 A303:V318 AA312 W317:AA317 AB317:XFD331 W318 X318:AA331 A319:W331 A332:XFD344 A345:Z346 AB345:XFD346 A347:XFD394 A395:Z395 AB395:XFD395 A396:XFD396 A397:Z398 AB397:XFD398 A399:XFD428 A429:Z429 AB429:XFD429 A430:XFD497 A498:Z498 AB498:XFD498 A499:XFD517 A518:Z518 AB518:XFD518 A519:XFD519 A520:Z521 AB520:XFD521 A522:XFD560 A561:Z561 AB561:XFD561 A562:XFD585 A586:Z586 AB586:XFD586 A587:XFD634 A635:Z635 AB635:XFD635 A636:XFD636 A637:Z638 AB637:XFD638 A639:XFD678 A679:Z679 AB679:XFD679 A680:XFD734 A735:Z735 AB735:XFD735 A736:XFD739 A740:Z741 AB740:XFD741 A742:XFD759 A760:AE760 AF760:XFD766 W761:AE763 A761:V765 W764:Z765 AB764:AE765 A767:XFD783 A784:Z786 AB784:XFD786 A787:XFD807 AB808:AD808 AF808:XFD808 AE808:AE813 A808:Z814 AB809:XFD814 A815:XFD836 A837:Z839 AB837:XFD839 A840:XFD842 A843:Z843 AB843:XFD843 A844:XFD901 A902:Z902 AB902:XFD904 W903:Z904 A903:V912 W905:XFD912 A913:XFD935 A936:Z936 AB936:XFD936 A937:XFD941 A942:Z942 AB942:XFD942 A943:XFD996 A997:Z997 AB997:XFD997 A998:XFD1029 A1030:Z1030 AB1030:XFD1030 A1031:XFD1040 A1041:Z1043 AB1041:XFD1043 A1044:XFD1073 A1074:Z1075 AB1074:XFD1075 A1076:XFD1095 A1096:Z1096 AB1096:XFD1096 A1097:XFD1097 A1098:Z1098 AB1098:XFD1098 A1099:XFD1099 A1100:Z1100 AB1100:XFD1100 A1101:XFD1133 A1134:Z1134 AB1134:XFD1134 A1135:XFD1152 W1153:Z1153 AB1153:XFD1153 A1153:V1184 W1154:XFD1184 T1187:W1197 T1198:AA1212 A1213:X1214 AA1214:XFD1216 A1215:W1230 X1217:XFD1220 AB1221:XFD1223 AF1224:XFD1231 A1231:AE1231 A1232:XFD1248 A1249:Z1250 AB1249:XFD1250 A1251:XFD1258 A1259:Z1260 AB1259:XFD1260 A1261:XFD1277 Y1278:XFD1278 A1278:X1280 AF1279:XFD1298 A1281:W1296 A1297:X1299 Y1299:XFD1299 A1300:XFD1313 A1314:X1315 Y1314:XFD1351 Y1352:Z1354 AB1352:XFD1354 Y1355:XFD1355 Y1356:Z1356 AB1356:XFD1356 Y1357:XFD1357 Y1358:Z1358 AB1358:XFD1358 Y1359:XFD1362 X1363:XFD1365 AB1366:XFD1366 AF1368:XFD1385 A1377:AE1381 A1382:AA1395 AB1386:XFD1395 A1396:AE1397 A1398:AF1398 A1399:W1416 AF1399:XFD1417 A1417:AE1417 A1418:AF1431 A1434:W1442 A1443:AE1444 A1445:XFD1458 Y1459:XFD1459 A1459:X1473 AF1460:XFD1474 A1474:AA1487 AB1475:XFD1487 A1488:X1490 AF1489:AF1505 A1491:W1504 A1505:AE1505 A1506:AF1506 A1550:Z1553 AB1550:XFD1553 A1554:XFD1593 A1594:Z1599 AB1594:XFD1599 A1626:Z1628 AB1626:XFD1628 A1629:XFD1643 Y1644:XFD1644 A1644:X1651 AA1645:XFD1645 Y1646:XFD1651 A1652:AF1665 A1666:X1688 A1689:AF1740 A1741:Z1742 AB1741:AF1742 A1786:Z1792 AB1786:AF1792 A1793:AB1793 AD1793:XFD1793 A1794:AC1794 AF1794:XFD1794 A1795:XFD1816 A1817:Z1817 AB1817:XFD1817 A1818:XFD1819 A1820:Z1822 AB1820:XFD1822 A1823:XFD1856 A1857:Z1858 AB1857:XFD1858 A1859:XFD1864 W1865:XFD1865 W1866:AC1866 AE1866:XFD1866 W1867:XFD1880 Y1881:XFD1884 W1881:X1889 Y1885:Z1885 AB1885:XFD1885 Y1886:XFD1886 AB1887:XFD1888 A1889:XFD1904 A1905:X1907 A1908:V1924 AA1915:XFD1921 AB1922:XFD1924 A1960:X1981 AF1964:XFD1980 AA1974 Y1981:XFD1981 A1982:XFD2006 A2007:Z2007 AB2007:XFD2007 A2008:XFD2022 A2023:Z2023 AB2023:XFD2023 A2024:XFD2026 A2027:Z2027 AB2027:XFD2027 A2035:Z2037 AB2035:XFD2037 A2038:XFD2053 A2054:X2064 AF2057:XFD2066 A2065:AA2078 AB2067:XFD2078 Y2079:XFD2080 A2079:X2091 AF2081:XFD2092 A2092:AA2105 AB2093:XFD2105 Y2106:XFD2114 A2106:X2146 Y2115:Z2115 AB2115:XFD2115 Y2116:XFD2133 AB2134:XFD2134 AF2135:XFD2148 W2147:AE2148 W2149 X2149:XFD2163 A2150:W2163 Y2164:XFD2166 A2164:X2174 AF2167:XFD2175 A2175:AA2188 AF2177:XFD2178 AB2179:XFD2188 A2189:XFD2193 A2194:Z2194 AB2194:XFD2194 A2195:XFD2198 A2199:Z2199 AB2199:XFD2199 A2200:XFD2200 A2201:Z2209 AB2201:XFD2209 A2249:Z2252 AB2249:XFD2252 A2253:XFD2268 Y2269:XFD2270 A2269:X2276 AB2271:XFD2275 A2277:AA2290 A2291:X2326 A2454:X2457 X2458:X2461 W2458:W2470 A2458:V2475 X2462:Z2463 X2467:X2470 Y2467:Z2472 W2471:Z2474 AB2471:AE2474 AF2472:AF2476 W2475:X2475 Y2475:AE2476 A2476:X2476 A2520:X2521 Y2521:AA2521 AB2521:AF2527 AG2521:XFD2560 X2522:Z2532 A2522:W2561 AF2528:AF2560 X2533:X2541 X2542:AE2542 X2543:X2561 A2562:X2563 A2564:XFD2577 A2578:X2580 AB2580:AF2583 AG2580:XFD2609 X2581:X2582 W2581:W2583 A2581:V2594 A2595:AF2609 A2610:XFD2619 A2620:Z2620 AB2620:XFD2620 A2621:XFD2637 W2639 AA2698 W2700:W2701 W2732:W2733 W2757 Z2763 W2809 W2914:W2915 W2980 W3130 AA3192 X3200:AA3212 AA3215:AA3216 W3216 W3253 AA3253 W3287 AA3287:AA3289 W3289 AA3424:AA3427 W3426 W3457 W3519:W3522 W3570:W3571 AA3570:AA3572 AA3709:AA3710 W3710 AA3984 X3990:Z3993 AA4138 AA4177 W4200 AA4200 AA4234 W4310 W4356 W4518 AA4521 W4553 AA4600 W4645:W4646 W4681:W4682 AA4688 AA4713 W4753 AA4804 AA4831 AA4833 AA4835 AA4837 AA4842 AA4876 AA4881 AA4886 AA4888 AA4913 AA4956 AA4961 AA4963 AA4965 AA4967 AA5005 AA5007 AA5009 AA5011 AA5015 AA5038 AA5040 AA5042 AA5044:AA5045 AA5048 AA5067 AA5071 AA5075 AA5077 AA5079:AA5080 AA5083 AA5086 AA5088:AA5090 AA5115 AA5117 AA5141 AA5143 AA5145 AA5151 AA5153 AA5155 AA5157 AA5159:AA5160 AA5191:AA5192">
    <cfRule type="expression" dxfId="559" priority="1124">
      <formula>ROW()=CELL("fila")</formula>
    </cfRule>
  </conditionalFormatting>
  <conditionalFormatting sqref="A1507:XFD1549 AA1550:AA1551 A1600:XFD1625 A1743:AF1785 AA1922:AA1923 AA2060:AA2062 Y2090:AA2091 AA2144">
    <cfRule type="expression" dxfId="558" priority="14">
      <formula>ROW()=CELL("fila")</formula>
    </cfRule>
  </conditionalFormatting>
  <conditionalFormatting sqref="A2327:XFD2359 A2360:Z2363 AB2360:XFD2363 A2364:XFD2387 A2388:Z2390 AB2388:XFD2390 A2391:XFD2436 A2437:Z2438 AB2437:XFD2438 A2439:XFD2453">
    <cfRule type="expression" dxfId="557" priority="549">
      <formula>ROW()=CELL("fila")</formula>
    </cfRule>
  </conditionalFormatting>
  <conditionalFormatting sqref="A2477:XFD2501 A2502:Z2502 AB2502:XFD2502 A2503:XFD2519">
    <cfRule type="expression" dxfId="556" priority="524">
      <formula>ROW()=CELL("fila")</formula>
    </cfRule>
  </conditionalFormatting>
  <conditionalFormatting sqref="T1185:AF1186">
    <cfRule type="expression" dxfId="555" priority="958">
      <formula>ROW()=CELL("fila")</formula>
    </cfRule>
  </conditionalFormatting>
  <conditionalFormatting sqref="W303:AE310 W311:Z315 AB311:AE315 W316:AE316">
    <cfRule type="expression" dxfId="554" priority="1098">
      <formula>ROW()=CELL("fila")</formula>
    </cfRule>
  </conditionalFormatting>
  <conditionalFormatting sqref="W2584:AF2594">
    <cfRule type="expression" dxfId="553" priority="488">
      <formula>ROW()=CELL("fila")</formula>
    </cfRule>
  </conditionalFormatting>
  <conditionalFormatting sqref="X1316:X1362">
    <cfRule type="expression" dxfId="552" priority="932">
      <formula>ROW()=CELL("fila")</formula>
    </cfRule>
  </conditionalFormatting>
  <conditionalFormatting sqref="X1215:Z1216">
    <cfRule type="expression" dxfId="551" priority="944">
      <formula>ROW()=CELL("fila")</formula>
    </cfRule>
  </conditionalFormatting>
  <conditionalFormatting sqref="X1221:Z1228 AB1224:AE1228 X1229:AE1230">
    <cfRule type="expression" dxfId="550" priority="942">
      <formula>ROW()=CELL("fila")</formula>
    </cfRule>
  </conditionalFormatting>
  <conditionalFormatting sqref="X1399:Z1399 X1400:AD1401">
    <cfRule type="expression" dxfId="549" priority="914">
      <formula>ROW()=CELL("fila")</formula>
    </cfRule>
  </conditionalFormatting>
  <conditionalFormatting sqref="X1915:Z1920 W1921:Z1924">
    <cfRule type="expression" dxfId="548" priority="739">
      <formula>ROW()=CELL("fila")</formula>
    </cfRule>
  </conditionalFormatting>
  <conditionalFormatting sqref="X2583:Z2583">
    <cfRule type="expression" dxfId="547" priority="513">
      <formula>ROW()=CELL("fila")</formula>
    </cfRule>
  </conditionalFormatting>
  <conditionalFormatting sqref="X5852:Z5852 X5853:AA5865">
    <cfRule type="expression" dxfId="546" priority="11">
      <formula>ROW()=CELL("fila")</formula>
    </cfRule>
  </conditionalFormatting>
  <conditionalFormatting sqref="X5887:Z5887 X5888:AA5900">
    <cfRule type="expression" dxfId="545" priority="10">
      <formula>ROW()=CELL("fila")</formula>
    </cfRule>
  </conditionalFormatting>
  <conditionalFormatting sqref="X5910:Z5910 X5911:AA5923">
    <cfRule type="expression" dxfId="544" priority="9">
      <formula>ROW()=CELL("fila")</formula>
    </cfRule>
  </conditionalFormatting>
  <conditionalFormatting sqref="X5946:Z5946 X5947:AA5959">
    <cfRule type="expression" dxfId="543" priority="8">
      <formula>ROW()=CELL("fila")</formula>
    </cfRule>
  </conditionalFormatting>
  <conditionalFormatting sqref="X6001:Z6001 X6002:AA6014">
    <cfRule type="expression" dxfId="542" priority="7">
      <formula>ROW()=CELL("fila")</formula>
    </cfRule>
  </conditionalFormatting>
  <conditionalFormatting sqref="X6037:Z6037 X6038:AA6050">
    <cfRule type="expression" dxfId="541" priority="6">
      <formula>ROW()=CELL("fila")</formula>
    </cfRule>
  </conditionalFormatting>
  <conditionalFormatting sqref="X6086:Z6086 X6087:AA6099">
    <cfRule type="expression" dxfId="540" priority="5">
      <formula>ROW()=CELL("fila")</formula>
    </cfRule>
  </conditionalFormatting>
  <conditionalFormatting sqref="X6121:Z6121 X6122:AA6134">
    <cfRule type="expression" dxfId="539" priority="2">
      <formula>ROW()=CELL("fila")</formula>
    </cfRule>
  </conditionalFormatting>
  <conditionalFormatting sqref="X6147:Z6147 X6148:AA6160">
    <cfRule type="expression" dxfId="538" priority="1">
      <formula>ROW()=CELL("fila")</formula>
    </cfRule>
  </conditionalFormatting>
  <conditionalFormatting sqref="X2643:AA2656">
    <cfRule type="expression" dxfId="537" priority="497">
      <formula>ROW()=CELL("fila")</formula>
    </cfRule>
  </conditionalFormatting>
  <conditionalFormatting sqref="X2663:AA2676">
    <cfRule type="expression" dxfId="536" priority="484">
      <formula>ROW()=CELL("fila")</formula>
    </cfRule>
  </conditionalFormatting>
  <conditionalFormatting sqref="X2710:AA2723">
    <cfRule type="expression" dxfId="535" priority="481">
      <formula>ROW()=CELL("fila")</formula>
    </cfRule>
  </conditionalFormatting>
  <conditionalFormatting sqref="X2736:AA2749">
    <cfRule type="expression" dxfId="534" priority="475">
      <formula>ROW()=CELL("fila")</formula>
    </cfRule>
  </conditionalFormatting>
  <conditionalFormatting sqref="X2764:AA2777">
    <cfRule type="expression" dxfId="533" priority="462">
      <formula>ROW()=CELL("fila")</formula>
    </cfRule>
  </conditionalFormatting>
  <conditionalFormatting sqref="X2789:AA2802">
    <cfRule type="expression" dxfId="532" priority="459">
      <formula>ROW()=CELL("fila")</formula>
    </cfRule>
  </conditionalFormatting>
  <conditionalFormatting sqref="X2814:AA2827">
    <cfRule type="expression" dxfId="531" priority="451">
      <formula>ROW()=CELL("fila")</formula>
    </cfRule>
  </conditionalFormatting>
  <conditionalFormatting sqref="X2850:AA2863">
    <cfRule type="expression" dxfId="530" priority="440">
      <formula>ROW()=CELL("fila")</formula>
    </cfRule>
  </conditionalFormatting>
  <conditionalFormatting sqref="X2886:AA2899">
    <cfRule type="expression" dxfId="529" priority="436">
      <formula>ROW()=CELL("fila")</formula>
    </cfRule>
  </conditionalFormatting>
  <conditionalFormatting sqref="X2920:AA2933">
    <cfRule type="expression" dxfId="528" priority="429">
      <formula>ROW()=CELL("fila")</formula>
    </cfRule>
  </conditionalFormatting>
  <conditionalFormatting sqref="X2950:AA2963">
    <cfRule type="expression" dxfId="527" priority="422">
      <formula>ROW()=CELL("fila")</formula>
    </cfRule>
  </conditionalFormatting>
  <conditionalFormatting sqref="X2991:AA3004">
    <cfRule type="expression" dxfId="526" priority="410">
      <formula>ROW()=CELL("fila")</formula>
    </cfRule>
  </conditionalFormatting>
  <conditionalFormatting sqref="X3028:AA3041">
    <cfRule type="expression" dxfId="525" priority="406">
      <formula>ROW()=CELL("fila")</formula>
    </cfRule>
  </conditionalFormatting>
  <conditionalFormatting sqref="X3071:AA3084">
    <cfRule type="expression" dxfId="524" priority="390">
      <formula>ROW()=CELL("fila")</formula>
    </cfRule>
  </conditionalFormatting>
  <conditionalFormatting sqref="X3105:AA3118">
    <cfRule type="expression" dxfId="523" priority="384">
      <formula>ROW()=CELL("fila")</formula>
    </cfRule>
  </conditionalFormatting>
  <conditionalFormatting sqref="X3162:AA3175">
    <cfRule type="expression" dxfId="522" priority="379">
      <formula>ROW()=CELL("fila")</formula>
    </cfRule>
  </conditionalFormatting>
  <conditionalFormatting sqref="X3224:AA3237">
    <cfRule type="expression" dxfId="521" priority="359">
      <formula>ROW()=CELL("fila")</formula>
    </cfRule>
  </conditionalFormatting>
  <conditionalFormatting sqref="X3261:AA3274">
    <cfRule type="expression" dxfId="520" priority="356">
      <formula>ROW()=CELL("fila")</formula>
    </cfRule>
  </conditionalFormatting>
  <conditionalFormatting sqref="X3296:AA3309">
    <cfRule type="expression" dxfId="519" priority="348">
      <formula>ROW()=CELL("fila")</formula>
    </cfRule>
  </conditionalFormatting>
  <conditionalFormatting sqref="X3346:AA3359">
    <cfRule type="expression" dxfId="518" priority="338">
      <formula>ROW()=CELL("fila")</formula>
    </cfRule>
  </conditionalFormatting>
  <conditionalFormatting sqref="X3385:AA3398">
    <cfRule type="expression" dxfId="517" priority="325">
      <formula>ROW()=CELL("fila")</formula>
    </cfRule>
  </conditionalFormatting>
  <conditionalFormatting sqref="X3438:AA3451">
    <cfRule type="expression" dxfId="516" priority="314">
      <formula>ROW()=CELL("fila")</formula>
    </cfRule>
  </conditionalFormatting>
  <conditionalFormatting sqref="X3462:AA3475">
    <cfRule type="expression" dxfId="515" priority="304">
      <formula>ROW()=CELL("fila")</formula>
    </cfRule>
  </conditionalFormatting>
  <conditionalFormatting sqref="X3496:AA3509">
    <cfRule type="expression" dxfId="514" priority="298">
      <formula>ROW()=CELL("fila")</formula>
    </cfRule>
  </conditionalFormatting>
  <conditionalFormatting sqref="X3528:AA3541">
    <cfRule type="expression" dxfId="513" priority="292">
      <formula>ROW()=CELL("fila")</formula>
    </cfRule>
  </conditionalFormatting>
  <conditionalFormatting sqref="X3548:AA3561">
    <cfRule type="expression" dxfId="512" priority="288">
      <formula>ROW()=CELL("fila")</formula>
    </cfRule>
  </conditionalFormatting>
  <conditionalFormatting sqref="X3576:AA3589">
    <cfRule type="expression" dxfId="511" priority="285">
      <formula>ROW()=CELL("fila")</formula>
    </cfRule>
  </conditionalFormatting>
  <conditionalFormatting sqref="X3597:AA3610">
    <cfRule type="expression" dxfId="510" priority="282">
      <formula>ROW()=CELL("fila")</formula>
    </cfRule>
  </conditionalFormatting>
  <conditionalFormatting sqref="X3620:AA3633">
    <cfRule type="expression" dxfId="509" priority="276">
      <formula>ROW()=CELL("fila")</formula>
    </cfRule>
  </conditionalFormatting>
  <conditionalFormatting sqref="X3654:AA3667">
    <cfRule type="expression" dxfId="508" priority="271">
      <formula>ROW()=CELL("fila")</formula>
    </cfRule>
  </conditionalFormatting>
  <conditionalFormatting sqref="X3687:AA3700">
    <cfRule type="expression" dxfId="507" priority="268">
      <formula>ROW()=CELL("fila")</formula>
    </cfRule>
  </conditionalFormatting>
  <conditionalFormatting sqref="X3717:AA3730">
    <cfRule type="expression" dxfId="506" priority="264">
      <formula>ROW()=CELL("fila")</formula>
    </cfRule>
  </conditionalFormatting>
  <conditionalFormatting sqref="X3762:AA3775">
    <cfRule type="expression" dxfId="505" priority="259">
      <formula>ROW()=CELL("fila")</formula>
    </cfRule>
  </conditionalFormatting>
  <conditionalFormatting sqref="X3801:AA3814">
    <cfRule type="expression" dxfId="504" priority="246">
      <formula>ROW()=CELL("fila")</formula>
    </cfRule>
  </conditionalFormatting>
  <conditionalFormatting sqref="X3825:AA3838">
    <cfRule type="expression" dxfId="503" priority="241">
      <formula>ROW()=CELL("fila")</formula>
    </cfRule>
  </conditionalFormatting>
  <conditionalFormatting sqref="X3848:AA3861">
    <cfRule type="expression" dxfId="502" priority="234">
      <formula>ROW()=CELL("fila")</formula>
    </cfRule>
  </conditionalFormatting>
  <conditionalFormatting sqref="X3876:AA3889">
    <cfRule type="expression" dxfId="501" priority="231">
      <formula>ROW()=CELL("fila")</formula>
    </cfRule>
  </conditionalFormatting>
  <conditionalFormatting sqref="X3913:AA3926">
    <cfRule type="expression" dxfId="500" priority="226">
      <formula>ROW()=CELL("fila")</formula>
    </cfRule>
  </conditionalFormatting>
  <conditionalFormatting sqref="X3937:AA3950">
    <cfRule type="expression" dxfId="499" priority="220">
      <formula>ROW()=CELL("fila")</formula>
    </cfRule>
  </conditionalFormatting>
  <conditionalFormatting sqref="X3995:AA4008">
    <cfRule type="expression" dxfId="498" priority="214">
      <formula>ROW()=CELL("fila")</formula>
    </cfRule>
  </conditionalFormatting>
  <conditionalFormatting sqref="X4030:AA4043">
    <cfRule type="expression" dxfId="497" priority="213">
      <formula>ROW()=CELL("fila")</formula>
    </cfRule>
  </conditionalFormatting>
  <conditionalFormatting sqref="X4051:AA4064">
    <cfRule type="expression" dxfId="496" priority="209">
      <formula>ROW()=CELL("fila")</formula>
    </cfRule>
  </conditionalFormatting>
  <conditionalFormatting sqref="X4086:AA4099">
    <cfRule type="expression" dxfId="495" priority="207">
      <formula>ROW()=CELL("fila")</formula>
    </cfRule>
  </conditionalFormatting>
  <conditionalFormatting sqref="X4142:AA4155">
    <cfRule type="expression" dxfId="494" priority="187">
      <formula>ROW()=CELL("fila")</formula>
    </cfRule>
  </conditionalFormatting>
  <conditionalFormatting sqref="X4180:AA4193">
    <cfRule type="expression" dxfId="493" priority="181">
      <formula>ROW()=CELL("fila")</formula>
    </cfRule>
  </conditionalFormatting>
  <conditionalFormatting sqref="X4208:AA4221">
    <cfRule type="expression" dxfId="492" priority="176">
      <formula>ROW()=CELL("fila")</formula>
    </cfRule>
  </conditionalFormatting>
  <conditionalFormatting sqref="X4236:AA4249">
    <cfRule type="expression" dxfId="491" priority="171">
      <formula>ROW()=CELL("fila")</formula>
    </cfRule>
  </conditionalFormatting>
  <conditionalFormatting sqref="X4277:AA4290">
    <cfRule type="expression" dxfId="490" priority="167">
      <formula>ROW()=CELL("fila")</formula>
    </cfRule>
  </conditionalFormatting>
  <conditionalFormatting sqref="X4319:AA4332">
    <cfRule type="expression" dxfId="489" priority="148">
      <formula>ROW()=CELL("fila")</formula>
    </cfRule>
  </conditionalFormatting>
  <conditionalFormatting sqref="X4364:AA4377">
    <cfRule type="expression" dxfId="488" priority="136">
      <formula>ROW()=CELL("fila")</formula>
    </cfRule>
  </conditionalFormatting>
  <conditionalFormatting sqref="X4387:AA4400">
    <cfRule type="expression" dxfId="487" priority="133">
      <formula>ROW()=CELL("fila")</formula>
    </cfRule>
  </conditionalFormatting>
  <conditionalFormatting sqref="X4415:AA4428">
    <cfRule type="expression" dxfId="486" priority="129">
      <formula>ROW()=CELL("fila")</formula>
    </cfRule>
  </conditionalFormatting>
  <conditionalFormatting sqref="X4442:AA4455">
    <cfRule type="expression" dxfId="485" priority="123">
      <formula>ROW()=CELL("fila")</formula>
    </cfRule>
  </conditionalFormatting>
  <conditionalFormatting sqref="X4462:AA4475">
    <cfRule type="expression" dxfId="484" priority="119">
      <formula>ROW()=CELL("fila")</formula>
    </cfRule>
  </conditionalFormatting>
  <conditionalFormatting sqref="X4489:AA4502">
    <cfRule type="expression" dxfId="483" priority="113">
      <formula>ROW()=CELL("fila")</formula>
    </cfRule>
  </conditionalFormatting>
  <conditionalFormatting sqref="X4523:AA4536">
    <cfRule type="expression" dxfId="482" priority="108">
      <formula>ROW()=CELL("fila")</formula>
    </cfRule>
  </conditionalFormatting>
  <conditionalFormatting sqref="X4558:AA4571">
    <cfRule type="expression" dxfId="481" priority="102">
      <formula>ROW()=CELL("fila")</formula>
    </cfRule>
  </conditionalFormatting>
  <conditionalFormatting sqref="X4604:AA4617">
    <cfRule type="expression" dxfId="480" priority="97">
      <formula>ROW()=CELL("fila")</formula>
    </cfRule>
  </conditionalFormatting>
  <conditionalFormatting sqref="X4656:AA4669">
    <cfRule type="expression" dxfId="479" priority="85">
      <formula>ROW()=CELL("fila")</formula>
    </cfRule>
  </conditionalFormatting>
  <conditionalFormatting sqref="X4691:AA4704">
    <cfRule type="expression" dxfId="478" priority="83">
      <formula>ROW()=CELL("fila")</formula>
    </cfRule>
  </conditionalFormatting>
  <conditionalFormatting sqref="X4728:AA4741">
    <cfRule type="expression" dxfId="477" priority="78">
      <formula>ROW()=CELL("fila")</formula>
    </cfRule>
  </conditionalFormatting>
  <conditionalFormatting sqref="X4758:AA4771">
    <cfRule type="expression" dxfId="476" priority="73">
      <formula>ROW()=CELL("fila")</formula>
    </cfRule>
  </conditionalFormatting>
  <conditionalFormatting sqref="X4787:AA4800">
    <cfRule type="expression" dxfId="475" priority="70">
      <formula>ROW()=CELL("fila")</formula>
    </cfRule>
  </conditionalFormatting>
  <conditionalFormatting sqref="X4812:AA4825">
    <cfRule type="expression" dxfId="474" priority="65">
      <formula>ROW()=CELL("fila")</formula>
    </cfRule>
  </conditionalFormatting>
  <conditionalFormatting sqref="X4856:AA4869">
    <cfRule type="expression" dxfId="473" priority="56">
      <formula>ROW()=CELL("fila")</formula>
    </cfRule>
  </conditionalFormatting>
  <conditionalFormatting sqref="X4897:AA4910">
    <cfRule type="expression" dxfId="472" priority="53">
      <formula>ROW()=CELL("fila")</formula>
    </cfRule>
  </conditionalFormatting>
  <conditionalFormatting sqref="X4920:AA4933">
    <cfRule type="expression" dxfId="471" priority="51">
      <formula>ROW()=CELL("fila")</formula>
    </cfRule>
  </conditionalFormatting>
  <conditionalFormatting sqref="X4940:AA4953">
    <cfRule type="expression" dxfId="470" priority="48">
      <formula>ROW()=CELL("fila")</formula>
    </cfRule>
  </conditionalFormatting>
  <conditionalFormatting sqref="X4989:AA5002">
    <cfRule type="expression" dxfId="469" priority="46">
      <formula>ROW()=CELL("fila")</formula>
    </cfRule>
  </conditionalFormatting>
  <conditionalFormatting sqref="X5021:AA5034">
    <cfRule type="expression" dxfId="468" priority="42">
      <formula>ROW()=CELL("fila")</formula>
    </cfRule>
  </conditionalFormatting>
  <conditionalFormatting sqref="X5051:AA5064">
    <cfRule type="expression" dxfId="467" priority="39">
      <formula>ROW()=CELL("fila")</formula>
    </cfRule>
  </conditionalFormatting>
  <conditionalFormatting sqref="X5099:AA5112">
    <cfRule type="expression" dxfId="466" priority="37">
      <formula>ROW()=CELL("fila")</formula>
    </cfRule>
  </conditionalFormatting>
  <conditionalFormatting sqref="X5125:AA5138">
    <cfRule type="expression" dxfId="465" priority="35">
      <formula>ROW()=CELL("fila")</formula>
    </cfRule>
  </conditionalFormatting>
  <conditionalFormatting sqref="X5173:AA5186">
    <cfRule type="expression" dxfId="464" priority="34">
      <formula>ROW()=CELL("fila")</formula>
    </cfRule>
  </conditionalFormatting>
  <conditionalFormatting sqref="X5198:AA5211">
    <cfRule type="expression" dxfId="463" priority="33">
      <formula>ROW()=CELL("fila")</formula>
    </cfRule>
  </conditionalFormatting>
  <conditionalFormatting sqref="X5221:AA5234">
    <cfRule type="expression" dxfId="462" priority="32">
      <formula>ROW()=CELL("fila")</formula>
    </cfRule>
  </conditionalFormatting>
  <conditionalFormatting sqref="X5260:AA5273">
    <cfRule type="expression" dxfId="461" priority="29">
      <formula>ROW()=CELL("fila")</formula>
    </cfRule>
  </conditionalFormatting>
  <conditionalFormatting sqref="X5303:AA5316">
    <cfRule type="expression" dxfId="460" priority="28">
      <formula>ROW()=CELL("fila")</formula>
    </cfRule>
  </conditionalFormatting>
  <conditionalFormatting sqref="X5333:AA5346">
    <cfRule type="expression" dxfId="459" priority="27">
      <formula>ROW()=CELL("fila")</formula>
    </cfRule>
  </conditionalFormatting>
  <conditionalFormatting sqref="X5373:AA5386">
    <cfRule type="expression" dxfId="458" priority="26">
      <formula>ROW()=CELL("fila")</formula>
    </cfRule>
  </conditionalFormatting>
  <conditionalFormatting sqref="X5461:AA5474">
    <cfRule type="expression" dxfId="457" priority="25">
      <formula>ROW()=CELL("fila")</formula>
    </cfRule>
  </conditionalFormatting>
  <conditionalFormatting sqref="X5487:AA5500">
    <cfRule type="expression" dxfId="456" priority="23">
      <formula>ROW()=CELL("fila")</formula>
    </cfRule>
  </conditionalFormatting>
  <conditionalFormatting sqref="X5530:AA5543">
    <cfRule type="expression" dxfId="455" priority="22">
      <formula>ROW()=CELL("fila")</formula>
    </cfRule>
  </conditionalFormatting>
  <conditionalFormatting sqref="X5565:AA5578">
    <cfRule type="expression" dxfId="454" priority="21">
      <formula>ROW()=CELL("fila")</formula>
    </cfRule>
  </conditionalFormatting>
  <conditionalFormatting sqref="X5591:AA5604">
    <cfRule type="expression" dxfId="453" priority="20">
      <formula>ROW()=CELL("fila")</formula>
    </cfRule>
  </conditionalFormatting>
  <conditionalFormatting sqref="X5627:AA5640">
    <cfRule type="expression" dxfId="452" priority="19">
      <formula>ROW()=CELL("fila")</formula>
    </cfRule>
  </conditionalFormatting>
  <conditionalFormatting sqref="X5665:AA5678">
    <cfRule type="expression" dxfId="451" priority="18">
      <formula>ROW()=CELL("fila")</formula>
    </cfRule>
  </conditionalFormatting>
  <conditionalFormatting sqref="X5686:AA5699">
    <cfRule type="expression" dxfId="450" priority="17">
      <formula>ROW()=CELL("fila")</formula>
    </cfRule>
  </conditionalFormatting>
  <conditionalFormatting sqref="X5736:AA5749">
    <cfRule type="expression" dxfId="449" priority="16">
      <formula>ROW()=CELL("fila")</formula>
    </cfRule>
  </conditionalFormatting>
  <conditionalFormatting sqref="X5795:AA5808">
    <cfRule type="expression" dxfId="448" priority="13">
      <formula>ROW()=CELL("fila")</formula>
    </cfRule>
  </conditionalFormatting>
  <conditionalFormatting sqref="X1194:AE1196 X1197:Z1197 AB1197:AE1199">
    <cfRule type="expression" dxfId="447" priority="956">
      <formula>ROW()=CELL("fila")</formula>
    </cfRule>
  </conditionalFormatting>
  <conditionalFormatting sqref="X1368:AE1371 X1372:Z1373 AB1372:AE1373 X1374:AE1376">
    <cfRule type="expression" dxfId="446" priority="764">
      <formula>ROW()=CELL("fila")</formula>
    </cfRule>
  </conditionalFormatting>
  <conditionalFormatting sqref="X1401:AE1412 X1413:Z1415 AB1413:AE1415 X1416:AE1416">
    <cfRule type="expression" dxfId="445" priority="902">
      <formula>ROW()=CELL("fila")</formula>
    </cfRule>
  </conditionalFormatting>
  <conditionalFormatting sqref="X1187:AF1193">
    <cfRule type="expression" dxfId="444" priority="701">
      <formula>ROW()=CELL("fila")</formula>
    </cfRule>
  </conditionalFormatting>
  <conditionalFormatting sqref="X2464:AF2465 AG2464:XFD2476 X2466:Z2466 AB2466:AF2471">
    <cfRule type="expression" dxfId="443" priority="541">
      <formula>ROW()=CELL("fila")</formula>
    </cfRule>
  </conditionalFormatting>
  <conditionalFormatting sqref="Y1645 AB1668:AF1687 Y1688:AE1688">
    <cfRule type="expression" dxfId="442" priority="874">
      <formula>ROW()=CELL("fila")</formula>
    </cfRule>
  </conditionalFormatting>
  <conditionalFormatting sqref="Y1668:Z1687">
    <cfRule type="expression" dxfId="441" priority="799">
      <formula>ROW()=CELL("fila")</formula>
    </cfRule>
  </conditionalFormatting>
  <conditionalFormatting sqref="Y1974:Z1980">
    <cfRule type="expression" dxfId="440" priority="727">
      <formula>ROW()=CELL("fila")</formula>
    </cfRule>
  </conditionalFormatting>
  <conditionalFormatting sqref="Y2457:Z2461">
    <cfRule type="expression" dxfId="439" priority="580">
      <formula>ROW()=CELL("fila")</formula>
    </cfRule>
  </conditionalFormatting>
  <conditionalFormatting sqref="Y2580:Z2582">
    <cfRule type="expression" dxfId="438" priority="507">
      <formula>ROW()=CELL("fila")</formula>
    </cfRule>
  </conditionalFormatting>
  <conditionalFormatting sqref="Y2786:Z2786">
    <cfRule type="expression" dxfId="437" priority="457">
      <formula>ROW()=CELL("fila")</formula>
    </cfRule>
  </conditionalFormatting>
  <conditionalFormatting sqref="Y2916:Z2916">
    <cfRule type="expression" dxfId="436" priority="424">
      <formula>ROW()=CELL("fila")</formula>
    </cfRule>
  </conditionalFormatting>
  <conditionalFormatting sqref="Y2944:Z2944">
    <cfRule type="expression" dxfId="435" priority="418">
      <formula>ROW()=CELL("fila")</formula>
    </cfRule>
  </conditionalFormatting>
  <conditionalFormatting sqref="Y3289:Z3289">
    <cfRule type="expression" dxfId="434" priority="343">
      <formula>ROW()=CELL("fila")</formula>
    </cfRule>
  </conditionalFormatting>
  <conditionalFormatting sqref="Y3292:Z3292 Y3293 Y3294:Z3295">
    <cfRule type="expression" dxfId="433" priority="346">
      <formula>ROW()=CELL("fila")</formula>
    </cfRule>
  </conditionalFormatting>
  <conditionalFormatting sqref="Y1214:AA1214 X1292:X1296 X1297:AE1297">
    <cfRule type="expression" dxfId="432" priority="953">
      <formula>ROW()=CELL("fila")</formula>
    </cfRule>
  </conditionalFormatting>
  <conditionalFormatting sqref="Y1887:AA1889">
    <cfRule type="expression" dxfId="431" priority="744">
      <formula>ROW()=CELL("fila")</formula>
    </cfRule>
  </conditionalFormatting>
  <conditionalFormatting sqref="Y2063:AA2064">
    <cfRule type="expression" dxfId="430" priority="640">
      <formula>ROW()=CELL("fila")</formula>
    </cfRule>
  </conditionalFormatting>
  <conditionalFormatting sqref="Y2134:AA2135 AB2135:AE2135 Y2136:AE2139 Y2140:Z2146 AB2140:AE2146">
    <cfRule type="expression" dxfId="429" priority="565">
      <formula>ROW()=CELL("fila")</formula>
    </cfRule>
  </conditionalFormatting>
  <conditionalFormatting sqref="Y2174:AA2174">
    <cfRule type="expression" dxfId="428" priority="646">
      <formula>ROW()=CELL("fila")</formula>
    </cfRule>
  </conditionalFormatting>
  <conditionalFormatting sqref="Y2271:AA2276">
    <cfRule type="expression" dxfId="427" priority="537">
      <formula>ROW()=CELL("fila")</formula>
    </cfRule>
  </conditionalFormatting>
  <conditionalFormatting sqref="Y2293:AA2299 AB2296:AE2299 Y2300:AE2319 Y2320:Z2324 AB2320:AE2324">
    <cfRule type="expression" dxfId="426" priority="582">
      <formula>ROW()=CELL("fila")</formula>
    </cfRule>
  </conditionalFormatting>
  <conditionalFormatting sqref="Y2708:AA2708">
    <cfRule type="expression" dxfId="425" priority="477">
      <formula>ROW()=CELL("fila")</formula>
    </cfRule>
  </conditionalFormatting>
  <conditionalFormatting sqref="Y2917:AA2917">
    <cfRule type="expression" dxfId="424" priority="427">
      <formula>ROW()=CELL("fila")</formula>
    </cfRule>
  </conditionalFormatting>
  <conditionalFormatting sqref="Y1279:AE1280 X1281:AE1291">
    <cfRule type="expression" dxfId="423" priority="939">
      <formula>ROW()=CELL("fila")</formula>
    </cfRule>
  </conditionalFormatting>
  <conditionalFormatting sqref="Y1292:AE1293 X1294:Z1294 AB1294:AE1294 X1295:AE1295 X1296:Z1296 AB1296:AE1296 Y1297:AE1298">
    <cfRule type="expression" dxfId="422" priority="926">
      <formula>ROW()=CELL("fila")</formula>
    </cfRule>
  </conditionalFormatting>
  <conditionalFormatting sqref="Y1460:AE1465 Y1466:Z1466 AB1466:AE1466 Y1467:AE1473 X1502:AE1504 AA1594 AA1681:AA1682 AA1741 AA1787 AA1792 AA1857 A1925:XFD1959 A2028:XFD2034 AA2140:AA2142 AA2146 AA2206:AA2209 A2210:XFD2248 AA2360 AA2388 AA2437 AA2556:AA2557 AA2580:AA2581 AA2705 AA2726:AA2728">
    <cfRule type="expression" dxfId="421" priority="606">
      <formula>ROW()=CELL("fila")</formula>
    </cfRule>
  </conditionalFormatting>
  <conditionalFormatting sqref="Y1489:AE1497">
    <cfRule type="expression" dxfId="420" priority="880">
      <formula>ROW()=CELL("fila")</formula>
    </cfRule>
  </conditionalFormatting>
  <conditionalFormatting sqref="Y2057:AE2058 Y2059:Z2062 AB2059:AE2066">
    <cfRule type="expression" dxfId="419" priority="679">
      <formula>ROW()=CELL("fila")</formula>
    </cfRule>
  </conditionalFormatting>
  <conditionalFormatting sqref="Y2081:AE2084 Y2085:Z2085 AB2085:AE2085 Y2086:AE2089 AB2090:AE2092">
    <cfRule type="expression" dxfId="418" priority="170">
      <formula>ROW()=CELL("fila")</formula>
    </cfRule>
  </conditionalFormatting>
  <conditionalFormatting sqref="Y2543:AE2555 Y2556:Z2560 AB2556:AE2560">
    <cfRule type="expression" dxfId="417" priority="508">
      <formula>ROW()=CELL("fila")</formula>
    </cfRule>
  </conditionalFormatting>
  <conditionalFormatting sqref="Y1666:AF1667">
    <cfRule type="expression" dxfId="416" priority="832">
      <formula>ROW()=CELL("fila")</formula>
    </cfRule>
  </conditionalFormatting>
  <conditionalFormatting sqref="Y1905:XFD1914">
    <cfRule type="expression" dxfId="415" priority="165">
      <formula>ROW()=CELL("fila")</formula>
    </cfRule>
  </conditionalFormatting>
  <conditionalFormatting sqref="Y2054:XFD2056">
    <cfRule type="expression" dxfId="414" priority="680">
      <formula>ROW()=CELL("fila")</formula>
    </cfRule>
  </conditionalFormatting>
  <conditionalFormatting sqref="Y2454:XFD2456">
    <cfRule type="expression" dxfId="413" priority="548">
      <formula>ROW()=CELL("fila")</formula>
    </cfRule>
  </conditionalFormatting>
  <conditionalFormatting sqref="Y2520:XFD2520">
    <cfRule type="expression" dxfId="412" priority="530">
      <formula>ROW()=CELL("fila")</formula>
    </cfRule>
  </conditionalFormatting>
  <conditionalFormatting sqref="Y2561:XFD2563">
    <cfRule type="expression" dxfId="411" priority="518">
      <formula>ROW()=CELL("fila")</formula>
    </cfRule>
  </conditionalFormatting>
  <conditionalFormatting sqref="Y2578:XFD2579">
    <cfRule type="expression" dxfId="410" priority="517">
      <formula>ROW()=CELL("fila")</formula>
    </cfRule>
  </conditionalFormatting>
  <conditionalFormatting sqref="Z1491:Z1492">
    <cfRule type="expression" dxfId="409" priority="885">
      <formula>ROW()=CELL("fila")</formula>
    </cfRule>
  </conditionalFormatting>
  <conditionalFormatting sqref="Z1646">
    <cfRule type="expression" dxfId="408" priority="834">
      <formula>ROW()=CELL("fila")</formula>
    </cfRule>
  </conditionalFormatting>
  <conditionalFormatting sqref="Z2658">
    <cfRule type="expression" dxfId="407" priority="487">
      <formula>ROW()=CELL("fila")</formula>
    </cfRule>
  </conditionalFormatting>
  <conditionalFormatting sqref="Z2678">
    <cfRule type="expression" dxfId="406" priority="483">
      <formula>ROW()=CELL("fila")</formula>
    </cfRule>
  </conditionalFormatting>
  <conditionalFormatting sqref="Z2725">
    <cfRule type="expression" dxfId="405" priority="476">
      <formula>ROW()=CELL("fila")</formula>
    </cfRule>
  </conditionalFormatting>
  <conditionalFormatting sqref="Z2751">
    <cfRule type="expression" dxfId="404" priority="472">
      <formula>ROW()=CELL("fila")</formula>
    </cfRule>
  </conditionalFormatting>
  <conditionalFormatting sqref="Z2779">
    <cfRule type="expression" dxfId="403" priority="461">
      <formula>ROW()=CELL("fila")</formula>
    </cfRule>
  </conditionalFormatting>
  <conditionalFormatting sqref="Z2804">
    <cfRule type="expression" dxfId="402" priority="456">
      <formula>ROW()=CELL("fila")</formula>
    </cfRule>
  </conditionalFormatting>
  <conditionalFormatting sqref="Z2829">
    <cfRule type="expression" dxfId="401" priority="450">
      <formula>ROW()=CELL("fila")</formula>
    </cfRule>
  </conditionalFormatting>
  <conditionalFormatting sqref="Z2840:Z2841">
    <cfRule type="expression" dxfId="400" priority="443">
      <formula>ROW()=CELL("fila")</formula>
    </cfRule>
  </conditionalFormatting>
  <conditionalFormatting sqref="Z2865">
    <cfRule type="expression" dxfId="399" priority="439">
      <formula>ROW()=CELL("fila")</formula>
    </cfRule>
  </conditionalFormatting>
  <conditionalFormatting sqref="Z2901">
    <cfRule type="expression" dxfId="398" priority="432">
      <formula>ROW()=CELL("fila")</formula>
    </cfRule>
  </conditionalFormatting>
  <conditionalFormatting sqref="Z2935">
    <cfRule type="expression" dxfId="397" priority="421">
      <formula>ROW()=CELL("fila")</formula>
    </cfRule>
  </conditionalFormatting>
  <conditionalFormatting sqref="Z2965">
    <cfRule type="expression" dxfId="396" priority="415">
      <formula>ROW()=CELL("fila")</formula>
    </cfRule>
  </conditionalFormatting>
  <conditionalFormatting sqref="Z3006">
    <cfRule type="expression" dxfId="395" priority="409">
      <formula>ROW()=CELL("fila")</formula>
    </cfRule>
  </conditionalFormatting>
  <conditionalFormatting sqref="Z3043">
    <cfRule type="expression" dxfId="394" priority="397">
      <formula>ROW()=CELL("fila")</formula>
    </cfRule>
  </conditionalFormatting>
  <conditionalFormatting sqref="Z3086">
    <cfRule type="expression" dxfId="393" priority="387">
      <formula>ROW()=CELL("fila")</formula>
    </cfRule>
  </conditionalFormatting>
  <conditionalFormatting sqref="Z3120">
    <cfRule type="expression" dxfId="392" priority="380">
      <formula>ROW()=CELL("fila")</formula>
    </cfRule>
  </conditionalFormatting>
  <conditionalFormatting sqref="Z3149:Z3150">
    <cfRule type="expression" dxfId="391" priority="368">
      <formula>ROW()=CELL("fila")</formula>
    </cfRule>
  </conditionalFormatting>
  <conditionalFormatting sqref="Z3177">
    <cfRule type="expression" dxfId="390" priority="367">
      <formula>ROW()=CELL("fila")</formula>
    </cfRule>
  </conditionalFormatting>
  <conditionalFormatting sqref="Z3213:Z3214">
    <cfRule type="expression" dxfId="389" priority="361">
      <formula>ROW()=CELL("fila")</formula>
    </cfRule>
  </conditionalFormatting>
  <conditionalFormatting sqref="Z3239">
    <cfRule type="expression" dxfId="388" priority="358">
      <formula>ROW()=CELL("fila")</formula>
    </cfRule>
  </conditionalFormatting>
  <conditionalFormatting sqref="Z3252">
    <cfRule type="expression" dxfId="387" priority="350">
      <formula>ROW()=CELL("fila")</formula>
    </cfRule>
  </conditionalFormatting>
  <conditionalFormatting sqref="Z3276">
    <cfRule type="expression" dxfId="386" priority="349">
      <formula>ROW()=CELL("fila")</formula>
    </cfRule>
  </conditionalFormatting>
  <conditionalFormatting sqref="Z3286">
    <cfRule type="expression" dxfId="385" priority="344">
      <formula>ROW()=CELL("fila")</formula>
    </cfRule>
  </conditionalFormatting>
  <conditionalFormatting sqref="Z3288">
    <cfRule type="expression" dxfId="384" priority="345">
      <formula>ROW()=CELL("fila")</formula>
    </cfRule>
  </conditionalFormatting>
  <conditionalFormatting sqref="Z3311">
    <cfRule type="expression" dxfId="383" priority="340">
      <formula>ROW()=CELL("fila")</formula>
    </cfRule>
  </conditionalFormatting>
  <conditionalFormatting sqref="Z3333">
    <cfRule type="expression" dxfId="382" priority="332">
      <formula>ROW()=CELL("fila")</formula>
    </cfRule>
  </conditionalFormatting>
  <conditionalFormatting sqref="Z3361">
    <cfRule type="expression" dxfId="381" priority="328">
      <formula>ROW()=CELL("fila")</formula>
    </cfRule>
  </conditionalFormatting>
  <conditionalFormatting sqref="Z3376:Z3377">
    <cfRule type="expression" dxfId="380" priority="318">
      <formula>ROW()=CELL("fila")</formula>
    </cfRule>
  </conditionalFormatting>
  <conditionalFormatting sqref="Z3380:Z3381">
    <cfRule type="expression" dxfId="379" priority="316">
      <formula>ROW()=CELL("fila")</formula>
    </cfRule>
  </conditionalFormatting>
  <conditionalFormatting sqref="Z3400">
    <cfRule type="expression" dxfId="378" priority="313">
      <formula>ROW()=CELL("fila")</formula>
    </cfRule>
  </conditionalFormatting>
  <conditionalFormatting sqref="Z3454">
    <cfRule type="expression" dxfId="377" priority="305">
      <formula>ROW()=CELL("fila")</formula>
    </cfRule>
  </conditionalFormatting>
  <conditionalFormatting sqref="Z3460">
    <cfRule type="expression" dxfId="376" priority="302">
      <formula>ROW()=CELL("fila")</formula>
    </cfRule>
  </conditionalFormatting>
  <conditionalFormatting sqref="Z3477">
    <cfRule type="expression" dxfId="375" priority="301">
      <formula>ROW()=CELL("fila")</formula>
    </cfRule>
  </conditionalFormatting>
  <conditionalFormatting sqref="Z3511">
    <cfRule type="expression" dxfId="374" priority="294">
      <formula>ROW()=CELL("fila")</formula>
    </cfRule>
  </conditionalFormatting>
  <conditionalFormatting sqref="Z3525">
    <cfRule type="expression" dxfId="373" priority="290">
      <formula>ROW()=CELL("fila")</formula>
    </cfRule>
  </conditionalFormatting>
  <conditionalFormatting sqref="Z3543">
    <cfRule type="expression" dxfId="372" priority="289">
      <formula>ROW()=CELL("fila")</formula>
    </cfRule>
  </conditionalFormatting>
  <conditionalFormatting sqref="Z3563">
    <cfRule type="expression" dxfId="371" priority="287">
      <formula>ROW()=CELL("fila")</formula>
    </cfRule>
  </conditionalFormatting>
  <conditionalFormatting sqref="Z3569">
    <cfRule type="expression" dxfId="370" priority="284">
      <formula>ROW()=CELL("fila")</formula>
    </cfRule>
  </conditionalFormatting>
  <conditionalFormatting sqref="Z3591:Z3592">
    <cfRule type="expression" dxfId="369" priority="281">
      <formula>ROW()=CELL("fila")</formula>
    </cfRule>
  </conditionalFormatting>
  <conditionalFormatting sqref="Z3612">
    <cfRule type="expression" dxfId="368" priority="279">
      <formula>ROW()=CELL("fila")</formula>
    </cfRule>
  </conditionalFormatting>
  <conditionalFormatting sqref="Z3635">
    <cfRule type="expression" dxfId="367" priority="275">
      <formula>ROW()=CELL("fila")</formula>
    </cfRule>
  </conditionalFormatting>
  <conditionalFormatting sqref="Z3669">
    <cfRule type="expression" dxfId="366" priority="270">
      <formula>ROW()=CELL("fila")</formula>
    </cfRule>
  </conditionalFormatting>
  <conditionalFormatting sqref="Z3702">
    <cfRule type="expression" dxfId="365" priority="267">
      <formula>ROW()=CELL("fila")</formula>
    </cfRule>
  </conditionalFormatting>
  <conditionalFormatting sqref="Z3732">
    <cfRule type="expression" dxfId="364" priority="262">
      <formula>ROW()=CELL("fila")</formula>
    </cfRule>
  </conditionalFormatting>
  <conditionalFormatting sqref="Z3752">
    <cfRule type="expression" dxfId="363" priority="260">
      <formula>ROW()=CELL("fila")</formula>
    </cfRule>
  </conditionalFormatting>
  <conditionalFormatting sqref="Z3759:Z3760">
    <cfRule type="expression" dxfId="362" priority="254">
      <formula>ROW()=CELL("fila")</formula>
    </cfRule>
  </conditionalFormatting>
  <conditionalFormatting sqref="Z3777">
    <cfRule type="expression" dxfId="361" priority="251">
      <formula>ROW()=CELL("fila")</formula>
    </cfRule>
  </conditionalFormatting>
  <conditionalFormatting sqref="Z3799:Z3800">
    <cfRule type="expression" dxfId="360" priority="243">
      <formula>ROW()=CELL("fila")</formula>
    </cfRule>
  </conditionalFormatting>
  <conditionalFormatting sqref="Z3816">
    <cfRule type="expression" dxfId="359" priority="242">
      <formula>ROW()=CELL("fila")</formula>
    </cfRule>
  </conditionalFormatting>
  <conditionalFormatting sqref="Z3821:Z3822">
    <cfRule type="expression" dxfId="358" priority="239">
      <formula>ROW()=CELL("fila")</formula>
    </cfRule>
  </conditionalFormatting>
  <conditionalFormatting sqref="Z3840">
    <cfRule type="expression" dxfId="357" priority="237">
      <formula>ROW()=CELL("fila")</formula>
    </cfRule>
  </conditionalFormatting>
  <conditionalFormatting sqref="Z3863">
    <cfRule type="expression" dxfId="356" priority="233">
      <formula>ROW()=CELL("fila")</formula>
    </cfRule>
  </conditionalFormatting>
  <conditionalFormatting sqref="Z3871">
    <cfRule type="expression" dxfId="355" priority="229">
      <formula>ROW()=CELL("fila")</formula>
    </cfRule>
  </conditionalFormatting>
  <conditionalFormatting sqref="Z3874">
    <cfRule type="expression" dxfId="354" priority="228">
      <formula>ROW()=CELL("fila")</formula>
    </cfRule>
  </conditionalFormatting>
  <conditionalFormatting sqref="Z3891">
    <cfRule type="expression" dxfId="353" priority="227">
      <formula>ROW()=CELL("fila")</formula>
    </cfRule>
  </conditionalFormatting>
  <conditionalFormatting sqref="Z3905">
    <cfRule type="expression" dxfId="352" priority="222">
      <formula>ROW()=CELL("fila")</formula>
    </cfRule>
  </conditionalFormatting>
  <conditionalFormatting sqref="Z3907">
    <cfRule type="expression" dxfId="351" priority="221">
      <formula>ROW()=CELL("fila")</formula>
    </cfRule>
  </conditionalFormatting>
  <conditionalFormatting sqref="Z3928">
    <cfRule type="expression" dxfId="350" priority="219">
      <formula>ROW()=CELL("fila")</formula>
    </cfRule>
  </conditionalFormatting>
  <conditionalFormatting sqref="Z3952:Z3953">
    <cfRule type="expression" dxfId="349" priority="217">
      <formula>ROW()=CELL("fila")</formula>
    </cfRule>
  </conditionalFormatting>
  <conditionalFormatting sqref="Z4010">
    <cfRule type="expression" dxfId="348" priority="212">
      <formula>ROW()=CELL("fila")</formula>
    </cfRule>
  </conditionalFormatting>
  <conditionalFormatting sqref="Z4045">
    <cfRule type="expression" dxfId="347" priority="210">
      <formula>ROW()=CELL("fila")</formula>
    </cfRule>
  </conditionalFormatting>
  <conditionalFormatting sqref="Z4066">
    <cfRule type="expression" dxfId="346" priority="208">
      <formula>ROW()=CELL("fila")</formula>
    </cfRule>
  </conditionalFormatting>
  <conditionalFormatting sqref="Z4101">
    <cfRule type="expression" dxfId="345" priority="204">
      <formula>ROW()=CELL("fila")</formula>
    </cfRule>
  </conditionalFormatting>
  <conditionalFormatting sqref="Z4157">
    <cfRule type="expression" dxfId="344" priority="186">
      <formula>ROW()=CELL("fila")</formula>
    </cfRule>
  </conditionalFormatting>
  <conditionalFormatting sqref="Z4195">
    <cfRule type="expression" dxfId="343" priority="179">
      <formula>ROW()=CELL("fila")</formula>
    </cfRule>
  </conditionalFormatting>
  <conditionalFormatting sqref="Z4223">
    <cfRule type="expression" dxfId="342" priority="175">
      <formula>ROW()=CELL("fila")</formula>
    </cfRule>
  </conditionalFormatting>
  <conditionalFormatting sqref="Z4251">
    <cfRule type="expression" dxfId="341" priority="169">
      <formula>ROW()=CELL("fila")</formula>
    </cfRule>
  </conditionalFormatting>
  <conditionalFormatting sqref="Z4292">
    <cfRule type="expression" dxfId="340" priority="166">
      <formula>ROW()=CELL("fila")</formula>
    </cfRule>
  </conditionalFormatting>
  <conditionalFormatting sqref="Z4334">
    <cfRule type="expression" dxfId="339" priority="146">
      <formula>ROW()=CELL("fila")</formula>
    </cfRule>
  </conditionalFormatting>
  <conditionalFormatting sqref="Z4379">
    <cfRule type="expression" dxfId="338" priority="135">
      <formula>ROW()=CELL("fila")</formula>
    </cfRule>
  </conditionalFormatting>
  <conditionalFormatting sqref="Z4402">
    <cfRule type="expression" dxfId="337" priority="132">
      <formula>ROW()=CELL("fila")</formula>
    </cfRule>
  </conditionalFormatting>
  <conditionalFormatting sqref="Z4430">
    <cfRule type="expression" dxfId="336" priority="127">
      <formula>ROW()=CELL("fila")</formula>
    </cfRule>
  </conditionalFormatting>
  <conditionalFormatting sqref="Z4458">
    <cfRule type="expression" dxfId="335" priority="120">
      <formula>ROW()=CELL("fila")</formula>
    </cfRule>
  </conditionalFormatting>
  <conditionalFormatting sqref="Z4477:Z4478">
    <cfRule type="expression" dxfId="334" priority="117">
      <formula>ROW()=CELL("fila")</formula>
    </cfRule>
  </conditionalFormatting>
  <conditionalFormatting sqref="Z4504">
    <cfRule type="expression" dxfId="333" priority="112">
      <formula>ROW()=CELL("fila")</formula>
    </cfRule>
  </conditionalFormatting>
  <conditionalFormatting sqref="Z4538">
    <cfRule type="expression" dxfId="332" priority="106">
      <formula>ROW()=CELL("fila")</formula>
    </cfRule>
  </conditionalFormatting>
  <conditionalFormatting sqref="Z4573">
    <cfRule type="expression" dxfId="331" priority="100">
      <formula>ROW()=CELL("fila")</formula>
    </cfRule>
  </conditionalFormatting>
  <conditionalFormatting sqref="Z4619">
    <cfRule type="expression" dxfId="330" priority="91">
      <formula>ROW()=CELL("fila")</formula>
    </cfRule>
  </conditionalFormatting>
  <conditionalFormatting sqref="Z4671">
    <cfRule type="expression" dxfId="329" priority="84">
      <formula>ROW()=CELL("fila")</formula>
    </cfRule>
  </conditionalFormatting>
  <conditionalFormatting sqref="Z4706">
    <cfRule type="expression" dxfId="328" priority="79">
      <formula>ROW()=CELL("fila")</formula>
    </cfRule>
  </conditionalFormatting>
  <conditionalFormatting sqref="Z4743">
    <cfRule type="expression" dxfId="327" priority="74">
      <formula>ROW()=CELL("fila")</formula>
    </cfRule>
  </conditionalFormatting>
  <conditionalFormatting sqref="Z4773">
    <cfRule type="expression" dxfId="326" priority="71">
      <formula>ROW()=CELL("fila")</formula>
    </cfRule>
  </conditionalFormatting>
  <conditionalFormatting sqref="Z4803">
    <cfRule type="expression" dxfId="325" priority="67">
      <formula>ROW()=CELL("fila")</formula>
    </cfRule>
  </conditionalFormatting>
  <conditionalFormatting sqref="Z4830">
    <cfRule type="expression" dxfId="324" priority="64">
      <formula>ROW()=CELL("fila")</formula>
    </cfRule>
  </conditionalFormatting>
  <conditionalFormatting sqref="Z4871">
    <cfRule type="expression" dxfId="323" priority="60">
      <formula>ROW()=CELL("fila")</formula>
    </cfRule>
  </conditionalFormatting>
  <conditionalFormatting sqref="Z4912">
    <cfRule type="expression" dxfId="322" priority="52">
      <formula>ROW()=CELL("fila")</formula>
    </cfRule>
  </conditionalFormatting>
  <conditionalFormatting sqref="Z4935">
    <cfRule type="expression" dxfId="321" priority="49">
      <formula>ROW()=CELL("fila")</formula>
    </cfRule>
  </conditionalFormatting>
  <conditionalFormatting sqref="Z4955">
    <cfRule type="expression" dxfId="320" priority="47">
      <formula>ROW()=CELL("fila")</formula>
    </cfRule>
  </conditionalFormatting>
  <conditionalFormatting sqref="Z5004">
    <cfRule type="expression" dxfId="319" priority="43">
      <formula>ROW()=CELL("fila")</formula>
    </cfRule>
  </conditionalFormatting>
  <conditionalFormatting sqref="Z5036">
    <cfRule type="expression" dxfId="318" priority="40">
      <formula>ROW()=CELL("fila")</formula>
    </cfRule>
  </conditionalFormatting>
  <conditionalFormatting sqref="Z5066">
    <cfRule type="expression" dxfId="317" priority="38">
      <formula>ROW()=CELL("fila")</formula>
    </cfRule>
  </conditionalFormatting>
  <conditionalFormatting sqref="Z5114">
    <cfRule type="expression" dxfId="316" priority="36">
      <formula>ROW()=CELL("fila")</formula>
    </cfRule>
  </conditionalFormatting>
  <conditionalFormatting sqref="Z2830:AA2830">
    <cfRule type="expression" dxfId="315" priority="449">
      <formula>ROW()=CELL("fila")</formula>
    </cfRule>
  </conditionalFormatting>
  <conditionalFormatting sqref="Z3101:AA3101 AA3381 AA3592 AA3759 AA3991">
    <cfRule type="expression" dxfId="314" priority="383">
      <formula>ROW()=CELL("fila")</formula>
    </cfRule>
  </conditionalFormatting>
  <conditionalFormatting sqref="Z3714:AA3714">
    <cfRule type="expression" dxfId="313" priority="263">
      <formula>ROW()=CELL("fila")</formula>
    </cfRule>
  </conditionalFormatting>
  <conditionalFormatting sqref="Z3846:AA3846">
    <cfRule type="expression" dxfId="312" priority="235">
      <formula>ROW()=CELL("fila")</formula>
    </cfRule>
  </conditionalFormatting>
  <conditionalFormatting sqref="AA10:AA11 AA279 AA281 AA301 AA368 AA390 AA417 AA450 AA544 AA546 AA548 AA550 AA552 AA630 AA666 AA670 AA728 AA733 AA841 AA864 AA866 AA868 AA870 AA872 AA874 AA876 AA878 AA880 AA906 AA934 AA939 AA963 AA965 AA967 AA1025 AA1031 AA1063 AA1065 AA1067 AA1069 AA1071 AA1156 AA1158 AA1316 AA1571 AA1573 AA1575 AA1577 AA1579 AA1581 AA1583 AA1590 AA1616 AA1618 AA1622 AA1705 AA1707 AA1709 AA1711 AA1713 AA1715 AA1718 AA1721 AA1779 AA1781 AA1811 AA1813 AA1815 AA1841 AA1843 AA1846 AA1855 AA1862 AA1883 AA1916 AA1999 AA2001 AA2003 AA2005 AA2011 AA2014 AA2021 AA2108 AA2110 AA2112 AA2116 AA2118 AA2120 AA2126 AA2128 AA2192 AA2195 AA2228 AA2230 AA2235 AA2343 AA2348 AA2350 AA2382 AA2385 AA2613 AA2615 AA2617">
    <cfRule type="expression" dxfId="311" priority="1231">
      <formula>ROW()=CELL("fila")</formula>
    </cfRule>
  </conditionalFormatting>
  <conditionalFormatting sqref="AA13:AA14 AA632 AA1076 AA1734 AA1736 AA1853 AA2009 AA2018 AA2238">
    <cfRule type="expression" dxfId="310" priority="1230">
      <formula>ROW()=CELL("fila")</formula>
    </cfRule>
  </conditionalFormatting>
  <conditionalFormatting sqref="AA16:AA17">
    <cfRule type="expression" dxfId="309" priority="1229">
      <formula>ROW()=CELL("fila")</formula>
    </cfRule>
  </conditionalFormatting>
  <conditionalFormatting sqref="AA29:AA30">
    <cfRule type="expression" dxfId="308" priority="1227">
      <formula>ROW()=CELL("fila")</formula>
    </cfRule>
  </conditionalFormatting>
  <conditionalFormatting sqref="AA41:AA44">
    <cfRule type="expression" dxfId="307" priority="1225">
      <formula>ROW()=CELL("fila")</formula>
    </cfRule>
  </conditionalFormatting>
  <conditionalFormatting sqref="AA47:AA50">
    <cfRule type="expression" dxfId="306" priority="1180">
      <formula>ROW()=CELL("fila")</formula>
    </cfRule>
  </conditionalFormatting>
  <conditionalFormatting sqref="AA60:AA62">
    <cfRule type="expression" dxfId="305" priority="1177">
      <formula>ROW()=CELL("fila")</formula>
    </cfRule>
  </conditionalFormatting>
  <conditionalFormatting sqref="AA68:AA69">
    <cfRule type="expression" dxfId="304" priority="1175">
      <formula>ROW()=CELL("fila")</formula>
    </cfRule>
  </conditionalFormatting>
  <conditionalFormatting sqref="AA80:AA83">
    <cfRule type="expression" dxfId="303" priority="1166">
      <formula>ROW()=CELL("fila")</formula>
    </cfRule>
  </conditionalFormatting>
  <conditionalFormatting sqref="AA85:AA90">
    <cfRule type="expression" dxfId="302" priority="1165">
      <formula>ROW()=CELL("fila")</formula>
    </cfRule>
  </conditionalFormatting>
  <conditionalFormatting sqref="AA100:AA101">
    <cfRule type="expression" dxfId="301" priority="1163">
      <formula>ROW()=CELL("fila")</formula>
    </cfRule>
  </conditionalFormatting>
  <conditionalFormatting sqref="AA113:AA117">
    <cfRule type="expression" dxfId="300" priority="1162">
      <formula>ROW()=CELL("fila")</formula>
    </cfRule>
  </conditionalFormatting>
  <conditionalFormatting sqref="AA119:AA124">
    <cfRule type="expression" dxfId="299" priority="1161">
      <formula>ROW()=CELL("fila")</formula>
    </cfRule>
  </conditionalFormatting>
  <conditionalFormatting sqref="AA126:AA127">
    <cfRule type="expression" dxfId="298" priority="1160">
      <formula>ROW()=CELL("fila")</formula>
    </cfRule>
  </conditionalFormatting>
  <conditionalFormatting sqref="AA134:AA135">
    <cfRule type="expression" dxfId="297" priority="1159">
      <formula>ROW()=CELL("fila")</formula>
    </cfRule>
  </conditionalFormatting>
  <conditionalFormatting sqref="AA147:AA149">
    <cfRule type="expression" dxfId="296" priority="1158">
      <formula>ROW()=CELL("fila")</formula>
    </cfRule>
  </conditionalFormatting>
  <conditionalFormatting sqref="AA154">
    <cfRule type="expression" dxfId="295" priority="1170">
      <formula>ROW()=CELL("fila")</formula>
    </cfRule>
  </conditionalFormatting>
  <conditionalFormatting sqref="AA162:AA163">
    <cfRule type="expression" dxfId="294" priority="1157">
      <formula>ROW()=CELL("fila")</formula>
    </cfRule>
  </conditionalFormatting>
  <conditionalFormatting sqref="AA175:AA176">
    <cfRule type="expression" dxfId="293" priority="1156">
      <formula>ROW()=CELL("fila")</formula>
    </cfRule>
  </conditionalFormatting>
  <conditionalFormatting sqref="AA179:AA180">
    <cfRule type="expression" dxfId="292" priority="1169">
      <formula>ROW()=CELL("fila")</formula>
    </cfRule>
  </conditionalFormatting>
  <conditionalFormatting sqref="AA182:AA183">
    <cfRule type="expression" dxfId="291" priority="1168">
      <formula>ROW()=CELL("fila")</formula>
    </cfRule>
  </conditionalFormatting>
  <conditionalFormatting sqref="AA185:AA186">
    <cfRule type="expression" dxfId="290" priority="1167">
      <formula>ROW()=CELL("fila")</formula>
    </cfRule>
  </conditionalFormatting>
  <conditionalFormatting sqref="AA188">
    <cfRule type="expression" dxfId="289" priority="1155">
      <formula>ROW()=CELL("fila")</formula>
    </cfRule>
  </conditionalFormatting>
  <conditionalFormatting sqref="AA191:AA192">
    <cfRule type="expression" dxfId="288" priority="1154">
      <formula>ROW()=CELL("fila")</formula>
    </cfRule>
  </conditionalFormatting>
  <conditionalFormatting sqref="AA194:AA200">
    <cfRule type="expression" dxfId="287" priority="1153">
      <formula>ROW()=CELL("fila")</formula>
    </cfRule>
  </conditionalFormatting>
  <conditionalFormatting sqref="AA206:AA207">
    <cfRule type="expression" dxfId="286" priority="1150">
      <formula>ROW()=CELL("fila")</formula>
    </cfRule>
  </conditionalFormatting>
  <conditionalFormatting sqref="AA210:AA211">
    <cfRule type="expression" dxfId="285" priority="1152">
      <formula>ROW()=CELL("fila")</formula>
    </cfRule>
  </conditionalFormatting>
  <conditionalFormatting sqref="AA213:AA214">
    <cfRule type="expression" dxfId="284" priority="1151">
      <formula>ROW()=CELL("fila")</formula>
    </cfRule>
  </conditionalFormatting>
  <conditionalFormatting sqref="AA216:AA227">
    <cfRule type="expression" dxfId="283" priority="789">
      <formula>ROW()=CELL("fila")</formula>
    </cfRule>
  </conditionalFormatting>
  <conditionalFormatting sqref="AA229:AA234">
    <cfRule type="expression" dxfId="282" priority="1147">
      <formula>ROW()=CELL("fila")</formula>
    </cfRule>
  </conditionalFormatting>
  <conditionalFormatting sqref="AA246:AA247">
    <cfRule type="expression" dxfId="281" priority="1142">
      <formula>ROW()=CELL("fila")</formula>
    </cfRule>
  </conditionalFormatting>
  <conditionalFormatting sqref="AA250:AA251">
    <cfRule type="expression" dxfId="280" priority="1145">
      <formula>ROW()=CELL("fila")</formula>
    </cfRule>
  </conditionalFormatting>
  <conditionalFormatting sqref="AA253:AA254">
    <cfRule type="expression" dxfId="279" priority="1144">
      <formula>ROW()=CELL("fila")</formula>
    </cfRule>
  </conditionalFormatting>
  <conditionalFormatting sqref="AA256:AA257">
    <cfRule type="expression" dxfId="278" priority="1143">
      <formula>ROW()=CELL("fila")</formula>
    </cfRule>
  </conditionalFormatting>
  <conditionalFormatting sqref="AA265:AA266">
    <cfRule type="expression" dxfId="277" priority="1129">
      <formula>ROW()=CELL("fila")</formula>
    </cfRule>
  </conditionalFormatting>
  <conditionalFormatting sqref="AA269:AA270">
    <cfRule type="expression" dxfId="276" priority="1132">
      <formula>ROW()=CELL("fila")</formula>
    </cfRule>
  </conditionalFormatting>
  <conditionalFormatting sqref="AA272:AA273">
    <cfRule type="expression" dxfId="275" priority="1131">
      <formula>ROW()=CELL("fila")</formula>
    </cfRule>
  </conditionalFormatting>
  <conditionalFormatting sqref="AA275:AA276">
    <cfRule type="expression" dxfId="274" priority="1130">
      <formula>ROW()=CELL("fila")</formula>
    </cfRule>
  </conditionalFormatting>
  <conditionalFormatting sqref="AA287:AA288">
    <cfRule type="expression" dxfId="273" priority="1120">
      <formula>ROW()=CELL("fila")</formula>
    </cfRule>
  </conditionalFormatting>
  <conditionalFormatting sqref="AA291:AA292">
    <cfRule type="expression" dxfId="272" priority="1123">
      <formula>ROW()=CELL("fila")</formula>
    </cfRule>
  </conditionalFormatting>
  <conditionalFormatting sqref="AA294:AA295">
    <cfRule type="expression" dxfId="271" priority="1122">
      <formula>ROW()=CELL("fila")</formula>
    </cfRule>
  </conditionalFormatting>
  <conditionalFormatting sqref="AA297:AA298">
    <cfRule type="expression" dxfId="270" priority="1121">
      <formula>ROW()=CELL("fila")</formula>
    </cfRule>
  </conditionalFormatting>
  <conditionalFormatting sqref="AA320:AA321">
    <cfRule type="expression" dxfId="269" priority="1093">
      <formula>ROW()=CELL("fila")</formula>
    </cfRule>
  </conditionalFormatting>
  <conditionalFormatting sqref="AA324:AA325">
    <cfRule type="expression" dxfId="268" priority="1096">
      <formula>ROW()=CELL("fila")</formula>
    </cfRule>
  </conditionalFormatting>
  <conditionalFormatting sqref="AA327:AA328">
    <cfRule type="expression" dxfId="267" priority="1095">
      <formula>ROW()=CELL("fila")</formula>
    </cfRule>
  </conditionalFormatting>
  <conditionalFormatting sqref="AA330:AA331">
    <cfRule type="expression" dxfId="266" priority="1094">
      <formula>ROW()=CELL("fila")</formula>
    </cfRule>
  </conditionalFormatting>
  <conditionalFormatting sqref="AA352:AA353">
    <cfRule type="expression" dxfId="265" priority="1080">
      <formula>ROW()=CELL("fila")</formula>
    </cfRule>
  </conditionalFormatting>
  <conditionalFormatting sqref="AA356:AA357">
    <cfRule type="expression" dxfId="264" priority="1083">
      <formula>ROW()=CELL("fila")</formula>
    </cfRule>
  </conditionalFormatting>
  <conditionalFormatting sqref="AA359:AA360">
    <cfRule type="expression" dxfId="263" priority="1082">
      <formula>ROW()=CELL("fila")</formula>
    </cfRule>
  </conditionalFormatting>
  <conditionalFormatting sqref="AA362:AA363">
    <cfRule type="expression" dxfId="262" priority="1081">
      <formula>ROW()=CELL("fila")</formula>
    </cfRule>
  </conditionalFormatting>
  <conditionalFormatting sqref="AA376:AA377">
    <cfRule type="expression" dxfId="261" priority="1074">
      <formula>ROW()=CELL("fila")</formula>
    </cfRule>
  </conditionalFormatting>
  <conditionalFormatting sqref="AA380:AA381">
    <cfRule type="expression" dxfId="260" priority="1077">
      <formula>ROW()=CELL("fila")</formula>
    </cfRule>
  </conditionalFormatting>
  <conditionalFormatting sqref="AA383:AA384">
    <cfRule type="expression" dxfId="259" priority="1076">
      <formula>ROW()=CELL("fila")</formula>
    </cfRule>
  </conditionalFormatting>
  <conditionalFormatting sqref="AA386:AA387">
    <cfRule type="expression" dxfId="258" priority="1075">
      <formula>ROW()=CELL("fila")</formula>
    </cfRule>
  </conditionalFormatting>
  <conditionalFormatting sqref="AA403:AA404">
    <cfRule type="expression" dxfId="257" priority="1070">
      <formula>ROW()=CELL("fila")</formula>
    </cfRule>
  </conditionalFormatting>
  <conditionalFormatting sqref="AA407:AA408">
    <cfRule type="expression" dxfId="256" priority="1073">
      <formula>ROW()=CELL("fila")</formula>
    </cfRule>
  </conditionalFormatting>
  <conditionalFormatting sqref="AA410:AA411">
    <cfRule type="expression" dxfId="255" priority="1072">
      <formula>ROW()=CELL("fila")</formula>
    </cfRule>
  </conditionalFormatting>
  <conditionalFormatting sqref="AA413:AA414">
    <cfRule type="expression" dxfId="254" priority="1071">
      <formula>ROW()=CELL("fila")</formula>
    </cfRule>
  </conditionalFormatting>
  <conditionalFormatting sqref="AA433:AA434">
    <cfRule type="expression" dxfId="253" priority="1066">
      <formula>ROW()=CELL("fila")</formula>
    </cfRule>
  </conditionalFormatting>
  <conditionalFormatting sqref="AA437:AA438">
    <cfRule type="expression" dxfId="252" priority="1069">
      <formula>ROW()=CELL("fila")</formula>
    </cfRule>
  </conditionalFormatting>
  <conditionalFormatting sqref="AA440:AA441">
    <cfRule type="expression" dxfId="251" priority="1068">
      <formula>ROW()=CELL("fila")</formula>
    </cfRule>
  </conditionalFormatting>
  <conditionalFormatting sqref="AA443:AA445">
    <cfRule type="expression" dxfId="250" priority="1067">
      <formula>ROW()=CELL("fila")</formula>
    </cfRule>
  </conditionalFormatting>
  <conditionalFormatting sqref="AA457:AA458">
    <cfRule type="expression" dxfId="249" priority="1062">
      <formula>ROW()=CELL("fila")</formula>
    </cfRule>
  </conditionalFormatting>
  <conditionalFormatting sqref="AA461:AA462">
    <cfRule type="expression" dxfId="248" priority="1065">
      <formula>ROW()=CELL("fila")</formula>
    </cfRule>
  </conditionalFormatting>
  <conditionalFormatting sqref="AA464:AA465">
    <cfRule type="expression" dxfId="247" priority="1064">
      <formula>ROW()=CELL("fila")</formula>
    </cfRule>
  </conditionalFormatting>
  <conditionalFormatting sqref="AA467:AA468">
    <cfRule type="expression" dxfId="246" priority="1063">
      <formula>ROW()=CELL("fila")</formula>
    </cfRule>
  </conditionalFormatting>
  <conditionalFormatting sqref="AA470">
    <cfRule type="expression" dxfId="245" priority="1061">
      <formula>ROW()=CELL("fila")</formula>
    </cfRule>
  </conditionalFormatting>
  <conditionalFormatting sqref="AA477:AA478">
    <cfRule type="expression" dxfId="244" priority="1057">
      <formula>ROW()=CELL("fila")</formula>
    </cfRule>
  </conditionalFormatting>
  <conditionalFormatting sqref="AA481:AA482">
    <cfRule type="expression" dxfId="243" priority="1060">
      <formula>ROW()=CELL("fila")</formula>
    </cfRule>
  </conditionalFormatting>
  <conditionalFormatting sqref="AA484:AA485">
    <cfRule type="expression" dxfId="242" priority="1059">
      <formula>ROW()=CELL("fila")</formula>
    </cfRule>
  </conditionalFormatting>
  <conditionalFormatting sqref="AA487:AA488">
    <cfRule type="expression" dxfId="241" priority="1058">
      <formula>ROW()=CELL("fila")</formula>
    </cfRule>
  </conditionalFormatting>
  <conditionalFormatting sqref="AA490:AA491">
    <cfRule type="expression" dxfId="240" priority="1056">
      <formula>ROW()=CELL("fila")</formula>
    </cfRule>
  </conditionalFormatting>
  <conditionalFormatting sqref="AA503:AA504">
    <cfRule type="expression" dxfId="239" priority="1052">
      <formula>ROW()=CELL("fila")</formula>
    </cfRule>
  </conditionalFormatting>
  <conditionalFormatting sqref="AA507:AA508">
    <cfRule type="expression" dxfId="238" priority="1055">
      <formula>ROW()=CELL("fila")</formula>
    </cfRule>
  </conditionalFormatting>
  <conditionalFormatting sqref="AA510:AA511">
    <cfRule type="expression" dxfId="237" priority="1054">
      <formula>ROW()=CELL("fila")</formula>
    </cfRule>
  </conditionalFormatting>
  <conditionalFormatting sqref="AA513:AA514">
    <cfRule type="expression" dxfId="236" priority="1053">
      <formula>ROW()=CELL("fila")</formula>
    </cfRule>
  </conditionalFormatting>
  <conditionalFormatting sqref="AA516">
    <cfRule type="expression" dxfId="235" priority="1051">
      <formula>ROW()=CELL("fila")</formula>
    </cfRule>
  </conditionalFormatting>
  <conditionalFormatting sqref="AA528:AA529">
    <cfRule type="expression" dxfId="234" priority="1047">
      <formula>ROW()=CELL("fila")</formula>
    </cfRule>
  </conditionalFormatting>
  <conditionalFormatting sqref="AA532:AA533">
    <cfRule type="expression" dxfId="233" priority="1050">
      <formula>ROW()=CELL("fila")</formula>
    </cfRule>
  </conditionalFormatting>
  <conditionalFormatting sqref="AA535:AA536">
    <cfRule type="expression" dxfId="232" priority="1049">
      <formula>ROW()=CELL("fila")</formula>
    </cfRule>
  </conditionalFormatting>
  <conditionalFormatting sqref="AA538:AA539">
    <cfRule type="expression" dxfId="231" priority="1048">
      <formula>ROW()=CELL("fila")</formula>
    </cfRule>
  </conditionalFormatting>
  <conditionalFormatting sqref="AA541:AA542">
    <cfRule type="expression" dxfId="230" priority="1041">
      <formula>ROW()=CELL("fila")</formula>
    </cfRule>
  </conditionalFormatting>
  <conditionalFormatting sqref="AA564:AA577">
    <cfRule type="expression" dxfId="229" priority="1028">
      <formula>ROW()=CELL("fila")</formula>
    </cfRule>
  </conditionalFormatting>
  <conditionalFormatting sqref="AA579:AA580">
    <cfRule type="expression" dxfId="228" priority="1027">
      <formula>ROW()=CELL("fila")</formula>
    </cfRule>
  </conditionalFormatting>
  <conditionalFormatting sqref="AA589:AA602">
    <cfRule type="expression" dxfId="227" priority="1018">
      <formula>ROW()=CELL("fila")</formula>
    </cfRule>
  </conditionalFormatting>
  <conditionalFormatting sqref="AA604">
    <cfRule type="expression" dxfId="226" priority="1017">
      <formula>ROW()=CELL("fila")</formula>
    </cfRule>
  </conditionalFormatting>
  <conditionalFormatting sqref="AA613:AA626">
    <cfRule type="expression" dxfId="225" priority="1016">
      <formula>ROW()=CELL("fila")</formula>
    </cfRule>
  </conditionalFormatting>
  <conditionalFormatting sqref="AA628">
    <cfRule type="expression" dxfId="224" priority="1015">
      <formula>ROW()=CELL("fila")</formula>
    </cfRule>
  </conditionalFormatting>
  <conditionalFormatting sqref="AA643:AA656">
    <cfRule type="expression" dxfId="223" priority="1014">
      <formula>ROW()=CELL("fila")</formula>
    </cfRule>
  </conditionalFormatting>
  <conditionalFormatting sqref="AA685:AA698">
    <cfRule type="expression" dxfId="222" priority="1012">
      <formula>ROW()=CELL("fila")</formula>
    </cfRule>
  </conditionalFormatting>
  <conditionalFormatting sqref="AA700:AA701">
    <cfRule type="expression" dxfId="221" priority="1010">
      <formula>ROW()=CELL("fila")</formula>
    </cfRule>
  </conditionalFormatting>
  <conditionalFormatting sqref="AA707:AA723">
    <cfRule type="expression" dxfId="220" priority="1008">
      <formula>ROW()=CELL("fila")</formula>
    </cfRule>
  </conditionalFormatting>
  <conditionalFormatting sqref="AA725:AA726">
    <cfRule type="expression" dxfId="219" priority="1007">
      <formula>ROW()=CELL("fila")</formula>
    </cfRule>
  </conditionalFormatting>
  <conditionalFormatting sqref="AA742">
    <cfRule type="expression" dxfId="218" priority="1004">
      <formula>ROW()=CELL("fila")</formula>
    </cfRule>
  </conditionalFormatting>
  <conditionalFormatting sqref="AA744:AA759">
    <cfRule type="expression" dxfId="217" priority="1003">
      <formula>ROW()=CELL("fila")</formula>
    </cfRule>
  </conditionalFormatting>
  <conditionalFormatting sqref="AA768:AA781">
    <cfRule type="expression" dxfId="216" priority="1001">
      <formula>ROW()=CELL("fila")</formula>
    </cfRule>
  </conditionalFormatting>
  <conditionalFormatting sqref="AA783">
    <cfRule type="expression" dxfId="215" priority="999">
      <formula>ROW()=CELL("fila")</formula>
    </cfRule>
  </conditionalFormatting>
  <conditionalFormatting sqref="AA790">
    <cfRule type="expression" dxfId="214" priority="990">
      <formula>ROW()=CELL("fila")</formula>
    </cfRule>
  </conditionalFormatting>
  <conditionalFormatting sqref="AA792:AA805">
    <cfRule type="expression" dxfId="213" priority="996">
      <formula>ROW()=CELL("fila")</formula>
    </cfRule>
  </conditionalFormatting>
  <conditionalFormatting sqref="AA807">
    <cfRule type="expression" dxfId="212" priority="995">
      <formula>ROW()=CELL("fila")</formula>
    </cfRule>
  </conditionalFormatting>
  <conditionalFormatting sqref="AA819">
    <cfRule type="expression" dxfId="211" priority="989">
      <formula>ROW()=CELL("fila")</formula>
    </cfRule>
  </conditionalFormatting>
  <conditionalFormatting sqref="AA821:AA834">
    <cfRule type="expression" dxfId="210" priority="994">
      <formula>ROW()=CELL("fila")</formula>
    </cfRule>
  </conditionalFormatting>
  <conditionalFormatting sqref="AA836">
    <cfRule type="expression" dxfId="209" priority="993">
      <formula>ROW()=CELL("fila")</formula>
    </cfRule>
  </conditionalFormatting>
  <conditionalFormatting sqref="AA844">
    <cfRule type="expression" dxfId="208" priority="987">
      <formula>ROW()=CELL("fila")</formula>
    </cfRule>
  </conditionalFormatting>
  <conditionalFormatting sqref="AA846:AA859">
    <cfRule type="expression" dxfId="207" priority="992">
      <formula>ROW()=CELL("fila")</formula>
    </cfRule>
  </conditionalFormatting>
  <conditionalFormatting sqref="AA861">
    <cfRule type="expression" dxfId="206" priority="991">
      <formula>ROW()=CELL("fila")</formula>
    </cfRule>
  </conditionalFormatting>
  <conditionalFormatting sqref="AA885:AA899">
    <cfRule type="expression" dxfId="205" priority="979">
      <formula>ROW()=CELL("fila")</formula>
    </cfRule>
  </conditionalFormatting>
  <conditionalFormatting sqref="AA901 AA904">
    <cfRule type="expression" dxfId="204" priority="786">
      <formula>ROW()=CELL("fila")</formula>
    </cfRule>
  </conditionalFormatting>
  <conditionalFormatting sqref="AA914">
    <cfRule type="expression" dxfId="203" priority="978">
      <formula>ROW()=CELL("fila")</formula>
    </cfRule>
  </conditionalFormatting>
  <conditionalFormatting sqref="AA916:AA929">
    <cfRule type="expression" dxfId="202" priority="983">
      <formula>ROW()=CELL("fila")</formula>
    </cfRule>
  </conditionalFormatting>
  <conditionalFormatting sqref="AA931:AA932">
    <cfRule type="expression" dxfId="201" priority="982">
      <formula>ROW()=CELL("fila")</formula>
    </cfRule>
  </conditionalFormatting>
  <conditionalFormatting sqref="AA943">
    <cfRule type="expression" dxfId="200" priority="977">
      <formula>ROW()=CELL("fila")</formula>
    </cfRule>
  </conditionalFormatting>
  <conditionalFormatting sqref="AA945:AA958">
    <cfRule type="expression" dxfId="199" priority="981">
      <formula>ROW()=CELL("fila")</formula>
    </cfRule>
  </conditionalFormatting>
  <conditionalFormatting sqref="AA960:AA961">
    <cfRule type="expression" dxfId="198" priority="980">
      <formula>ROW()=CELL("fila")</formula>
    </cfRule>
  </conditionalFormatting>
  <conditionalFormatting sqref="AA980:AA994">
    <cfRule type="expression" dxfId="197" priority="975">
      <formula>ROW()=CELL("fila")</formula>
    </cfRule>
  </conditionalFormatting>
  <conditionalFormatting sqref="AA996:AA997">
    <cfRule type="expression" dxfId="196" priority="708">
      <formula>ROW()=CELL("fila")</formula>
    </cfRule>
  </conditionalFormatting>
  <conditionalFormatting sqref="AA1008:AA1021">
    <cfRule type="expression" dxfId="195" priority="948">
      <formula>ROW()=CELL("fila")</formula>
    </cfRule>
  </conditionalFormatting>
  <conditionalFormatting sqref="AA1023">
    <cfRule type="expression" dxfId="194" priority="972">
      <formula>ROW()=CELL("fila")</formula>
    </cfRule>
  </conditionalFormatting>
  <conditionalFormatting sqref="AA1045:AA1058">
    <cfRule type="expression" dxfId="193" priority="970">
      <formula>ROW()=CELL("fila")</formula>
    </cfRule>
  </conditionalFormatting>
  <conditionalFormatting sqref="AA1060:AA1061">
    <cfRule type="expression" dxfId="192" priority="969">
      <formula>ROW()=CELL("fila")</formula>
    </cfRule>
  </conditionalFormatting>
  <conditionalFormatting sqref="AA1080:AA1093">
    <cfRule type="expression" dxfId="191" priority="968">
      <formula>ROW()=CELL("fila")</formula>
    </cfRule>
  </conditionalFormatting>
  <conditionalFormatting sqref="AA1095">
    <cfRule type="expression" dxfId="190" priority="967">
      <formula>ROW()=CELL("fila")</formula>
    </cfRule>
  </conditionalFormatting>
  <conditionalFormatting sqref="AA1114:AA1127">
    <cfRule type="expression" dxfId="189" priority="966">
      <formula>ROW()=CELL("fila")</formula>
    </cfRule>
  </conditionalFormatting>
  <conditionalFormatting sqref="AA1129:AA1130">
    <cfRule type="expression" dxfId="188" priority="965">
      <formula>ROW()=CELL("fila")</formula>
    </cfRule>
  </conditionalFormatting>
  <conditionalFormatting sqref="AA1137:AA1150">
    <cfRule type="expression" dxfId="187" priority="964">
      <formula>ROW()=CELL("fila")</formula>
    </cfRule>
  </conditionalFormatting>
  <conditionalFormatting sqref="AA1152:AA1153">
    <cfRule type="expression" dxfId="186" priority="703">
      <formula>ROW()=CELL("fila")</formula>
    </cfRule>
  </conditionalFormatting>
  <conditionalFormatting sqref="AA1222:AA1223 AA1225:AA1226">
    <cfRule type="expression" dxfId="185" priority="943">
      <formula>ROW()=CELL("fila")</formula>
    </cfRule>
  </conditionalFormatting>
  <conditionalFormatting sqref="AA1404">
    <cfRule type="expression" dxfId="184" priority="163">
      <formula>ROW()=CELL("fila")</formula>
    </cfRule>
  </conditionalFormatting>
  <conditionalFormatting sqref="AA1497 AA1499:AA1500">
    <cfRule type="expression" dxfId="183" priority="882">
      <formula>ROW()=CELL("fila")</formula>
    </cfRule>
  </conditionalFormatting>
  <conditionalFormatting sqref="AA1599">
    <cfRule type="expression" dxfId="182" priority="614">
      <formula>ROW()=CELL("fila")</formula>
    </cfRule>
  </conditionalFormatting>
  <conditionalFormatting sqref="AA1668 AA1670:AA1671 AA1673:AA1674 AA1676:AA1679 AA1687">
    <cfRule type="expression" dxfId="181" priority="496">
      <formula>ROW()=CELL("fila")</formula>
    </cfRule>
  </conditionalFormatting>
  <conditionalFormatting sqref="AA2466:AA2470">
    <cfRule type="expression" dxfId="180" priority="540">
      <formula>ROW()=CELL("fila")</formula>
    </cfRule>
  </conditionalFormatting>
  <conditionalFormatting sqref="AA2521:AA2538">
    <cfRule type="expression" dxfId="179" priority="529">
      <formula>ROW()=CELL("fila")</formula>
    </cfRule>
  </conditionalFormatting>
  <conditionalFormatting sqref="AA2639:AA2642">
    <cfRule type="expression" dxfId="178" priority="490">
      <formula>ROW()=CELL("fila")</formula>
    </cfRule>
  </conditionalFormatting>
  <conditionalFormatting sqref="AA2662">
    <cfRule type="expression" dxfId="177" priority="467">
      <formula>ROW()=CELL("fila")</formula>
    </cfRule>
  </conditionalFormatting>
  <conditionalFormatting sqref="AA2679:AA2680 AA2682:AA2687 AA2689:AA2694">
    <cfRule type="expression" dxfId="176" priority="482">
      <formula>ROW()=CELL("fila")</formula>
    </cfRule>
  </conditionalFormatting>
  <conditionalFormatting sqref="AA2700:AA2703">
    <cfRule type="expression" dxfId="175" priority="479">
      <formula>ROW()=CELL("fila")</formula>
    </cfRule>
  </conditionalFormatting>
  <conditionalFormatting sqref="AA2709">
    <cfRule type="expression" dxfId="174" priority="466">
      <formula>ROW()=CELL("fila")</formula>
    </cfRule>
  </conditionalFormatting>
  <conditionalFormatting sqref="AA2732:AA2734">
    <cfRule type="expression" dxfId="173" priority="465">
      <formula>ROW()=CELL("fila")</formula>
    </cfRule>
  </conditionalFormatting>
  <conditionalFormatting sqref="AA2752">
    <cfRule type="expression" dxfId="172" priority="471">
      <formula>ROW()=CELL("fila")</formula>
    </cfRule>
  </conditionalFormatting>
  <conditionalFormatting sqref="AA2754">
    <cfRule type="expression" dxfId="171" priority="470">
      <formula>ROW()=CELL("fila")</formula>
    </cfRule>
  </conditionalFormatting>
  <conditionalFormatting sqref="AA2757:AA2758 AA2762">
    <cfRule type="expression" dxfId="170" priority="468">
      <formula>ROW()=CELL("fila")</formula>
    </cfRule>
  </conditionalFormatting>
  <conditionalFormatting sqref="AA2780:AA2785 AA2787">
    <cfRule type="expression" dxfId="169" priority="458">
      <formula>ROW()=CELL("fila")</formula>
    </cfRule>
  </conditionalFormatting>
  <conditionalFormatting sqref="AA2805:AA2807">
    <cfRule type="expression" dxfId="168" priority="452">
      <formula>ROW()=CELL("fila")</formula>
    </cfRule>
  </conditionalFormatting>
  <conditionalFormatting sqref="AA2809">
    <cfRule type="expression" dxfId="167" priority="341">
      <formula>ROW()=CELL("fila")</formula>
    </cfRule>
  </conditionalFormatting>
  <conditionalFormatting sqref="AA2812">
    <cfRule type="expression" dxfId="166" priority="351">
      <formula>ROW()=CELL("fila")</formula>
    </cfRule>
  </conditionalFormatting>
  <conditionalFormatting sqref="AA2831:AA2835">
    <cfRule type="expression" dxfId="165" priority="445">
      <formula>ROW()=CELL("fila")</formula>
    </cfRule>
  </conditionalFormatting>
  <conditionalFormatting sqref="AA2838:AA2841">
    <cfRule type="expression" dxfId="164" priority="442">
      <formula>ROW()=CELL("fila")</formula>
    </cfRule>
  </conditionalFormatting>
  <conditionalFormatting sqref="AA2848">
    <cfRule type="expression" dxfId="163" priority="434">
      <formula>ROW()=CELL("fila")</formula>
    </cfRule>
  </conditionalFormatting>
  <conditionalFormatting sqref="AA2866:AA2882">
    <cfRule type="expression" dxfId="162" priority="435">
      <formula>ROW()=CELL("fila")</formula>
    </cfRule>
  </conditionalFormatting>
  <conditionalFormatting sqref="AA2884">
    <cfRule type="expression" dxfId="161" priority="433">
      <formula>ROW()=CELL("fila")</formula>
    </cfRule>
  </conditionalFormatting>
  <conditionalFormatting sqref="AA2902:AA2903">
    <cfRule type="expression" dxfId="160" priority="431">
      <formula>ROW()=CELL("fila")</formula>
    </cfRule>
  </conditionalFormatting>
  <conditionalFormatting sqref="AA2907:AA2910">
    <cfRule type="expression" dxfId="159" priority="426">
      <formula>ROW()=CELL("fila")</formula>
    </cfRule>
  </conditionalFormatting>
  <conditionalFormatting sqref="AA2914:AA2915">
    <cfRule type="expression" dxfId="158" priority="423">
      <formula>ROW()=CELL("fila")</formula>
    </cfRule>
  </conditionalFormatting>
  <conditionalFormatting sqref="AA2918">
    <cfRule type="expression" dxfId="157" priority="352">
      <formula>ROW()=CELL("fila")</formula>
    </cfRule>
  </conditionalFormatting>
  <conditionalFormatting sqref="AA2940:AA2943">
    <cfRule type="expression" dxfId="156" priority="417">
      <formula>ROW()=CELL("fila")</formula>
    </cfRule>
  </conditionalFormatting>
  <conditionalFormatting sqref="AA2947">
    <cfRule type="expression" dxfId="155" priority="416">
      <formula>ROW()=CELL("fila")</formula>
    </cfRule>
  </conditionalFormatting>
  <conditionalFormatting sqref="AA2966:AA2967">
    <cfRule type="expression" dxfId="154" priority="414">
      <formula>ROW()=CELL("fila")</formula>
    </cfRule>
  </conditionalFormatting>
  <conditionalFormatting sqref="AA2976:AA2977">
    <cfRule type="expression" dxfId="153" priority="413">
      <formula>ROW()=CELL("fila")</formula>
    </cfRule>
  </conditionalFormatting>
  <conditionalFormatting sqref="AA2980:AA2981 AA4747">
    <cfRule type="expression" dxfId="152" priority="412">
      <formula>ROW()=CELL("fila")</formula>
    </cfRule>
  </conditionalFormatting>
  <conditionalFormatting sqref="AA2990">
    <cfRule type="expression" dxfId="151" priority="381">
      <formula>ROW()=CELL("fila")</formula>
    </cfRule>
  </conditionalFormatting>
  <conditionalFormatting sqref="AA3008:AA3009">
    <cfRule type="expression" dxfId="150" priority="401">
      <formula>ROW()=CELL("fila")</formula>
    </cfRule>
  </conditionalFormatting>
  <conditionalFormatting sqref="AA3011:AA3012">
    <cfRule type="expression" dxfId="149" priority="400">
      <formula>ROW()=CELL("fila")</formula>
    </cfRule>
  </conditionalFormatting>
  <conditionalFormatting sqref="AA3014:AA3017">
    <cfRule type="expression" dxfId="148" priority="399">
      <formula>ROW()=CELL("fila")</formula>
    </cfRule>
  </conditionalFormatting>
  <conditionalFormatting sqref="AA3026">
    <cfRule type="expression" dxfId="147" priority="398">
      <formula>ROW()=CELL("fila")</formula>
    </cfRule>
  </conditionalFormatting>
  <conditionalFormatting sqref="AA3044:AA3047">
    <cfRule type="expression" dxfId="146" priority="395">
      <formula>ROW()=CELL("fila")</formula>
    </cfRule>
  </conditionalFormatting>
  <conditionalFormatting sqref="AA3053:AA3056">
    <cfRule type="expression" dxfId="145" priority="393">
      <formula>ROW()=CELL("fila")</formula>
    </cfRule>
  </conditionalFormatting>
  <conditionalFormatting sqref="AA3059:AA3060">
    <cfRule type="expression" dxfId="144" priority="389">
      <formula>ROW()=CELL("fila")</formula>
    </cfRule>
  </conditionalFormatting>
  <conditionalFormatting sqref="AA3062">
    <cfRule type="expression" dxfId="143" priority="392">
      <formula>ROW()=CELL("fila")</formula>
    </cfRule>
  </conditionalFormatting>
  <conditionalFormatting sqref="AA3064:AA3065">
    <cfRule type="expression" dxfId="142" priority="391">
      <formula>ROW()=CELL("fila")</formula>
    </cfRule>
  </conditionalFormatting>
  <conditionalFormatting sqref="AA3070">
    <cfRule type="expression" dxfId="141" priority="388">
      <formula>ROW()=CELL("fila")</formula>
    </cfRule>
  </conditionalFormatting>
  <conditionalFormatting sqref="AA3087:AA3096">
    <cfRule type="expression" dxfId="140" priority="386">
      <formula>ROW()=CELL("fila")</formula>
    </cfRule>
  </conditionalFormatting>
  <conditionalFormatting sqref="AA3102:AA3103">
    <cfRule type="expression" dxfId="139" priority="382">
      <formula>ROW()=CELL("fila")</formula>
    </cfRule>
  </conditionalFormatting>
  <conditionalFormatting sqref="AA3125:AA3132">
    <cfRule type="expression" dxfId="138" priority="377">
      <formula>ROW()=CELL("fila")</formula>
    </cfRule>
  </conditionalFormatting>
  <conditionalFormatting sqref="AA3134:AA3135">
    <cfRule type="expression" dxfId="137" priority="373">
      <formula>ROW()=CELL("fila")</formula>
    </cfRule>
  </conditionalFormatting>
  <conditionalFormatting sqref="AA3137:AA3138">
    <cfRule type="expression" dxfId="136" priority="372">
      <formula>ROW()=CELL("fila")</formula>
    </cfRule>
  </conditionalFormatting>
  <conditionalFormatting sqref="AA3140 AA3142:AA3143">
    <cfRule type="expression" dxfId="135" priority="371">
      <formula>ROW()=CELL("fila")</formula>
    </cfRule>
  </conditionalFormatting>
  <conditionalFormatting sqref="AA3145:AA3146">
    <cfRule type="expression" dxfId="134" priority="370">
      <formula>ROW()=CELL("fila")</formula>
    </cfRule>
  </conditionalFormatting>
  <conditionalFormatting sqref="AA3161">
    <cfRule type="expression" dxfId="133" priority="364">
      <formula>ROW()=CELL("fila")</formula>
    </cfRule>
  </conditionalFormatting>
  <conditionalFormatting sqref="AA3178:AA3183">
    <cfRule type="expression" dxfId="132" priority="366">
      <formula>ROW()=CELL("fila")</formula>
    </cfRule>
  </conditionalFormatting>
  <conditionalFormatting sqref="AA3188:AA3189">
    <cfRule type="expression" dxfId="131" priority="362">
      <formula>ROW()=CELL("fila")</formula>
    </cfRule>
  </conditionalFormatting>
  <conditionalFormatting sqref="AA3199">
    <cfRule type="expression" dxfId="130" priority="363">
      <formula>ROW()=CELL("fila")</formula>
    </cfRule>
  </conditionalFormatting>
  <conditionalFormatting sqref="AA3222">
    <cfRule type="expression" dxfId="129" priority="353">
      <formula>ROW()=CELL("fila")</formula>
    </cfRule>
  </conditionalFormatting>
  <conditionalFormatting sqref="AA3240:AA3241">
    <cfRule type="expression" dxfId="128" priority="357">
      <formula>ROW()=CELL("fila")</formula>
    </cfRule>
  </conditionalFormatting>
  <conditionalFormatting sqref="AA3244:AA3245">
    <cfRule type="expression" dxfId="127" priority="355">
      <formula>ROW()=CELL("fila")</formula>
    </cfRule>
  </conditionalFormatting>
  <conditionalFormatting sqref="AA3259">
    <cfRule type="expression" dxfId="126" priority="354">
      <formula>ROW()=CELL("fila")</formula>
    </cfRule>
  </conditionalFormatting>
  <conditionalFormatting sqref="AA3277:AA3284">
    <cfRule type="expression" dxfId="125" priority="347">
      <formula>ROW()=CELL("fila")</formula>
    </cfRule>
  </conditionalFormatting>
  <conditionalFormatting sqref="AA3295">
    <cfRule type="expression" dxfId="124" priority="342">
      <formula>ROW()=CELL("fila")</formula>
    </cfRule>
  </conditionalFormatting>
  <conditionalFormatting sqref="AA3313:AA3326">
    <cfRule type="expression" dxfId="123" priority="339">
      <formula>ROW()=CELL("fila")</formula>
    </cfRule>
  </conditionalFormatting>
  <conditionalFormatting sqref="AA3330:AA3331">
    <cfRule type="expression" dxfId="122" priority="337">
      <formula>ROW()=CELL("fila")</formula>
    </cfRule>
  </conditionalFormatting>
  <conditionalFormatting sqref="AA3333:AA3335 AA3337:AA3338 AA3340:AA3341">
    <cfRule type="expression" dxfId="121" priority="330">
      <formula>ROW()=CELL("fila")</formula>
    </cfRule>
  </conditionalFormatting>
  <conditionalFormatting sqref="AA3345">
    <cfRule type="expression" dxfId="120" priority="329">
      <formula>ROW()=CELL("fila")</formula>
    </cfRule>
  </conditionalFormatting>
  <conditionalFormatting sqref="AA3362:AA3365">
    <cfRule type="expression" dxfId="119" priority="326">
      <formula>ROW()=CELL("fila")</formula>
    </cfRule>
  </conditionalFormatting>
  <conditionalFormatting sqref="AA3367:AA3368">
    <cfRule type="expression" dxfId="118" priority="324">
      <formula>ROW()=CELL("fila")</formula>
    </cfRule>
  </conditionalFormatting>
  <conditionalFormatting sqref="AA3370:AA3373">
    <cfRule type="expression" dxfId="117" priority="320">
      <formula>ROW()=CELL("fila")</formula>
    </cfRule>
  </conditionalFormatting>
  <conditionalFormatting sqref="AA3383">
    <cfRule type="expression" dxfId="116" priority="315">
      <formula>ROW()=CELL("fila")</formula>
    </cfRule>
  </conditionalFormatting>
  <conditionalFormatting sqref="AA3401:AA3406">
    <cfRule type="expression" dxfId="115" priority="312">
      <formula>ROW()=CELL("fila")</formula>
    </cfRule>
  </conditionalFormatting>
  <conditionalFormatting sqref="AA3408:AA3409">
    <cfRule type="expression" dxfId="114" priority="311">
      <formula>ROW()=CELL("fila")</formula>
    </cfRule>
  </conditionalFormatting>
  <conditionalFormatting sqref="AA3411:AA3414 AA3416:AA3417">
    <cfRule type="expression" dxfId="113" priority="308">
      <formula>ROW()=CELL("fila")</formula>
    </cfRule>
  </conditionalFormatting>
  <conditionalFormatting sqref="AA3419:AA3422">
    <cfRule type="expression" dxfId="112" priority="307">
      <formula>ROW()=CELL("fila")</formula>
    </cfRule>
  </conditionalFormatting>
  <conditionalFormatting sqref="AA3436">
    <cfRule type="expression" dxfId="111" priority="306">
      <formula>ROW()=CELL("fila")</formula>
    </cfRule>
  </conditionalFormatting>
  <conditionalFormatting sqref="AA3455:AA3457">
    <cfRule type="expression" dxfId="110" priority="303">
      <formula>ROW()=CELL("fila")</formula>
    </cfRule>
  </conditionalFormatting>
  <conditionalFormatting sqref="AA3460:AA3461">
    <cfRule type="expression" dxfId="109" priority="300">
      <formula>ROW()=CELL("fila")</formula>
    </cfRule>
  </conditionalFormatting>
  <conditionalFormatting sqref="AA3478:AA3481">
    <cfRule type="expression" dxfId="108" priority="299">
      <formula>ROW()=CELL("fila")</formula>
    </cfRule>
  </conditionalFormatting>
  <conditionalFormatting sqref="AA3483">
    <cfRule type="expression" dxfId="107" priority="297">
      <formula>ROW()=CELL("fila")</formula>
    </cfRule>
  </conditionalFormatting>
  <conditionalFormatting sqref="AA3485:AA3486">
    <cfRule type="expression" dxfId="106" priority="296">
      <formula>ROW()=CELL("fila")</formula>
    </cfRule>
  </conditionalFormatting>
  <conditionalFormatting sqref="AA3494">
    <cfRule type="expression" dxfId="105" priority="295">
      <formula>ROW()=CELL("fila")</formula>
    </cfRule>
  </conditionalFormatting>
  <conditionalFormatting sqref="AA3513:AA3522">
    <cfRule type="expression" dxfId="104" priority="291">
      <formula>ROW()=CELL("fila")</formula>
    </cfRule>
  </conditionalFormatting>
  <conditionalFormatting sqref="AA3564:AA3565">
    <cfRule type="expression" dxfId="103" priority="286">
      <formula>ROW()=CELL("fila")</formula>
    </cfRule>
  </conditionalFormatting>
  <conditionalFormatting sqref="AA3594:AA3595">
    <cfRule type="expression" dxfId="102" priority="280">
      <formula>ROW()=CELL("fila")</formula>
    </cfRule>
  </conditionalFormatting>
  <conditionalFormatting sqref="AA3613:AA3614">
    <cfRule type="expression" dxfId="101" priority="278">
      <formula>ROW()=CELL("fila")</formula>
    </cfRule>
  </conditionalFormatting>
  <conditionalFormatting sqref="AA3616:AA3617">
    <cfRule type="expression" dxfId="100" priority="277">
      <formula>ROW()=CELL("fila")</formula>
    </cfRule>
  </conditionalFormatting>
  <conditionalFormatting sqref="AA3636:AA3639">
    <cfRule type="expression" dxfId="99" priority="274">
      <formula>ROW()=CELL("fila")</formula>
    </cfRule>
  </conditionalFormatting>
  <conditionalFormatting sqref="AA3641:AA3642">
    <cfRule type="expression" dxfId="98" priority="273">
      <formula>ROW()=CELL("fila")</formula>
    </cfRule>
  </conditionalFormatting>
  <conditionalFormatting sqref="AA3645">
    <cfRule type="expression" dxfId="97" priority="272">
      <formula>ROW()=CELL("fila")</formula>
    </cfRule>
  </conditionalFormatting>
  <conditionalFormatting sqref="AA3670:AA3682">
    <cfRule type="expression" dxfId="96" priority="269">
      <formula>ROW()=CELL("fila")</formula>
    </cfRule>
  </conditionalFormatting>
  <conditionalFormatting sqref="AA3703:AA3706">
    <cfRule type="expression" dxfId="95" priority="265">
      <formula>ROW()=CELL("fila")</formula>
    </cfRule>
  </conditionalFormatting>
  <conditionalFormatting sqref="AA3733:AA3734">
    <cfRule type="expression" dxfId="94" priority="261">
      <formula>ROW()=CELL("fila")</formula>
    </cfRule>
  </conditionalFormatting>
  <conditionalFormatting sqref="AA3737:AA3738">
    <cfRule type="expression" dxfId="93" priority="252">
      <formula>ROW()=CELL("fila")</formula>
    </cfRule>
  </conditionalFormatting>
  <conditionalFormatting sqref="AA3740:AA3741">
    <cfRule type="expression" dxfId="92" priority="253">
      <formula>ROW()=CELL("fila")</formula>
    </cfRule>
  </conditionalFormatting>
  <conditionalFormatting sqref="AA3745:AA3750">
    <cfRule type="expression" dxfId="91" priority="256">
      <formula>ROW()=CELL("fila")</formula>
    </cfRule>
  </conditionalFormatting>
  <conditionalFormatting sqref="AA3778:AA3779">
    <cfRule type="expression" dxfId="90" priority="250">
      <formula>ROW()=CELL("fila")</formula>
    </cfRule>
  </conditionalFormatting>
  <conditionalFormatting sqref="AA3781:AA3784">
    <cfRule type="expression" dxfId="89" priority="248">
      <formula>ROW()=CELL("fila")</formula>
    </cfRule>
  </conditionalFormatting>
  <conditionalFormatting sqref="AA3786:AA3787">
    <cfRule type="expression" dxfId="88" priority="247">
      <formula>ROW()=CELL("fila")</formula>
    </cfRule>
  </conditionalFormatting>
  <conditionalFormatting sqref="AA3789:AA3790">
    <cfRule type="expression" dxfId="87" priority="245">
      <formula>ROW()=CELL("fila")</formula>
    </cfRule>
  </conditionalFormatting>
  <conditionalFormatting sqref="AA3792:AA3793">
    <cfRule type="expression" dxfId="86" priority="244">
      <formula>ROW()=CELL("fila")</formula>
    </cfRule>
  </conditionalFormatting>
  <conditionalFormatting sqref="AA3819:AA3821">
    <cfRule type="expression" dxfId="85" priority="238">
      <formula>ROW()=CELL("fila")</formula>
    </cfRule>
  </conditionalFormatting>
  <conditionalFormatting sqref="AA3841:AA3842">
    <cfRule type="expression" dxfId="84" priority="236">
      <formula>ROW()=CELL("fila")</formula>
    </cfRule>
  </conditionalFormatting>
  <conditionalFormatting sqref="AA3864:AA3865">
    <cfRule type="expression" dxfId="83" priority="232">
      <formula>ROW()=CELL("fila")</formula>
    </cfRule>
  </conditionalFormatting>
  <conditionalFormatting sqref="AA3867:AA3869">
    <cfRule type="expression" dxfId="82" priority="230">
      <formula>ROW()=CELL("fila")</formula>
    </cfRule>
  </conditionalFormatting>
  <conditionalFormatting sqref="AA3895">
    <cfRule type="expression" dxfId="81" priority="225">
      <formula>ROW()=CELL("fila")</formula>
    </cfRule>
  </conditionalFormatting>
  <conditionalFormatting sqref="AA3897:AA3899">
    <cfRule type="expression" dxfId="80" priority="223">
      <formula>ROW()=CELL("fila")</formula>
    </cfRule>
  </conditionalFormatting>
  <conditionalFormatting sqref="AA3929:AA3930">
    <cfRule type="expression" dxfId="79" priority="218">
      <formula>ROW()=CELL("fila")</formula>
    </cfRule>
  </conditionalFormatting>
  <conditionalFormatting sqref="AA3954:AA3961 AA3963:AA3964 AA3970:AA3977 AA3979:AA3982 AA3986:AA3989">
    <cfRule type="expression" dxfId="78" priority="216">
      <formula>ROW()=CELL("fila")</formula>
    </cfRule>
  </conditionalFormatting>
  <conditionalFormatting sqref="AA4011:AA4012">
    <cfRule type="expression" dxfId="77" priority="211">
      <formula>ROW()=CELL("fila")</formula>
    </cfRule>
  </conditionalFormatting>
  <conditionalFormatting sqref="AA4075:AA4078 AA4080:AA4081">
    <cfRule type="expression" dxfId="76" priority="206">
      <formula>ROW()=CELL("fila")</formula>
    </cfRule>
  </conditionalFormatting>
  <conditionalFormatting sqref="AA4102:AA4107">
    <cfRule type="expression" dxfId="75" priority="198">
      <formula>ROW()=CELL("fila")</formula>
    </cfRule>
  </conditionalFormatting>
  <conditionalFormatting sqref="AA4110:AA4111">
    <cfRule type="expression" dxfId="74" priority="196">
      <formula>ROW()=CELL("fila")</formula>
    </cfRule>
  </conditionalFormatting>
  <conditionalFormatting sqref="AA4116:AA4119">
    <cfRule type="expression" dxfId="73" priority="192">
      <formula>ROW()=CELL("fila")</formula>
    </cfRule>
  </conditionalFormatting>
  <conditionalFormatting sqref="AA4129:AA4130">
    <cfRule type="expression" dxfId="72" priority="190">
      <formula>ROW()=CELL("fila")</formula>
    </cfRule>
  </conditionalFormatting>
  <conditionalFormatting sqref="AA4132:AA4134">
    <cfRule type="expression" dxfId="71" priority="188">
      <formula>ROW()=CELL("fila")</formula>
    </cfRule>
  </conditionalFormatting>
  <conditionalFormatting sqref="AA4158:AA4160">
    <cfRule type="expression" dxfId="70" priority="184">
      <formula>ROW()=CELL("fila")</formula>
    </cfRule>
  </conditionalFormatting>
  <conditionalFormatting sqref="AA4162:AA4163">
    <cfRule type="expression" dxfId="69" priority="183">
      <formula>ROW()=CELL("fila")</formula>
    </cfRule>
  </conditionalFormatting>
  <conditionalFormatting sqref="AA4165:AA4167">
    <cfRule type="expression" dxfId="68" priority="182">
      <formula>ROW()=CELL("fila")</formula>
    </cfRule>
  </conditionalFormatting>
  <conditionalFormatting sqref="AA4196:AA4198">
    <cfRule type="expression" dxfId="67" priority="177">
      <formula>ROW()=CELL("fila")</formula>
    </cfRule>
  </conditionalFormatting>
  <conditionalFormatting sqref="AA4224:AA4230">
    <cfRule type="expression" dxfId="66" priority="174">
      <formula>ROW()=CELL("fila")</formula>
    </cfRule>
  </conditionalFormatting>
  <conditionalFormatting sqref="AA4252:AA4267">
    <cfRule type="expression" dxfId="65" priority="168">
      <formula>ROW()=CELL("fila")</formula>
    </cfRule>
  </conditionalFormatting>
  <conditionalFormatting sqref="AA4293:AA4294">
    <cfRule type="expression" dxfId="64" priority="152">
      <formula>ROW()=CELL("fila")</formula>
    </cfRule>
  </conditionalFormatting>
  <conditionalFormatting sqref="AA4300:AA4301">
    <cfRule type="expression" dxfId="63" priority="151">
      <formula>ROW()=CELL("fila")</formula>
    </cfRule>
  </conditionalFormatting>
  <conditionalFormatting sqref="AA4306:AA4309">
    <cfRule type="expression" dxfId="62" priority="149">
      <formula>ROW()=CELL("fila")</formula>
    </cfRule>
  </conditionalFormatting>
  <conditionalFormatting sqref="AA4313:AA4314">
    <cfRule type="expression" dxfId="61" priority="147">
      <formula>ROW()=CELL("fila")</formula>
    </cfRule>
  </conditionalFormatting>
  <conditionalFormatting sqref="AA4335:AA4338">
    <cfRule type="expression" dxfId="60" priority="144">
      <formula>ROW()=CELL("fila")</formula>
    </cfRule>
  </conditionalFormatting>
  <conditionalFormatting sqref="AA4340:AA4341">
    <cfRule type="expression" dxfId="59" priority="143">
      <formula>ROW()=CELL("fila")</formula>
    </cfRule>
  </conditionalFormatting>
  <conditionalFormatting sqref="AA4343:AA4346">
    <cfRule type="expression" dxfId="58" priority="140">
      <formula>ROW()=CELL("fila")</formula>
    </cfRule>
  </conditionalFormatting>
  <conditionalFormatting sqref="AA4349:AA4356">
    <cfRule type="expression" dxfId="57" priority="137">
      <formula>ROW()=CELL("fila")</formula>
    </cfRule>
  </conditionalFormatting>
  <conditionalFormatting sqref="AA4380:AA4383">
    <cfRule type="expression" dxfId="56" priority="134">
      <formula>ROW()=CELL("fila")</formula>
    </cfRule>
  </conditionalFormatting>
  <conditionalFormatting sqref="AA4403:AA4405">
    <cfRule type="expression" dxfId="55" priority="128">
      <formula>ROW()=CELL("fila")</formula>
    </cfRule>
  </conditionalFormatting>
  <conditionalFormatting sqref="AA4431:AA4435">
    <cfRule type="expression" dxfId="54" priority="124">
      <formula>ROW()=CELL("fila")</formula>
    </cfRule>
  </conditionalFormatting>
  <conditionalFormatting sqref="AA4459:AA4460">
    <cfRule type="expression" dxfId="53" priority="121">
      <formula>ROW()=CELL("fila")</formula>
    </cfRule>
  </conditionalFormatting>
  <conditionalFormatting sqref="AA4478:AA4486">
    <cfRule type="expression" dxfId="52" priority="111">
      <formula>ROW()=CELL("fila")</formula>
    </cfRule>
  </conditionalFormatting>
  <conditionalFormatting sqref="AA4505">
    <cfRule type="expression" dxfId="51" priority="107">
      <formula>ROW()=CELL("fila")</formula>
    </cfRule>
  </conditionalFormatting>
  <conditionalFormatting sqref="AA4511:AA4518">
    <cfRule type="expression" dxfId="50" priority="109">
      <formula>ROW()=CELL("fila")</formula>
    </cfRule>
  </conditionalFormatting>
  <conditionalFormatting sqref="AA4539:AA4544">
    <cfRule type="expression" dxfId="49" priority="105">
      <formula>ROW()=CELL("fila")</formula>
    </cfRule>
  </conditionalFormatting>
  <conditionalFormatting sqref="AA4546:AA4549">
    <cfRule type="expression" dxfId="48" priority="103">
      <formula>ROW()=CELL("fila")</formula>
    </cfRule>
  </conditionalFormatting>
  <conditionalFormatting sqref="AA4551:AA4554">
    <cfRule type="expression" dxfId="47" priority="101">
      <formula>ROW()=CELL("fila")</formula>
    </cfRule>
  </conditionalFormatting>
  <conditionalFormatting sqref="AA4574:AA4575">
    <cfRule type="expression" dxfId="46" priority="99">
      <formula>ROW()=CELL("fila")</formula>
    </cfRule>
  </conditionalFormatting>
  <conditionalFormatting sqref="AA4579:AA4586">
    <cfRule type="expression" dxfId="45" priority="92">
      <formula>ROW()=CELL("fila")</formula>
    </cfRule>
  </conditionalFormatting>
  <conditionalFormatting sqref="AA4590">
    <cfRule type="expression" dxfId="44" priority="93">
      <formula>ROW()=CELL("fila")</formula>
    </cfRule>
  </conditionalFormatting>
  <conditionalFormatting sqref="AA4620:AA4621">
    <cfRule type="expression" dxfId="43" priority="90">
      <formula>ROW()=CELL("fila")</formula>
    </cfRule>
  </conditionalFormatting>
  <conditionalFormatting sqref="AA4623:AA4633">
    <cfRule type="expression" dxfId="42" priority="87">
      <formula>ROW()=CELL("fila")</formula>
    </cfRule>
  </conditionalFormatting>
  <conditionalFormatting sqref="AA4635:AA4647">
    <cfRule type="expression" dxfId="41" priority="86">
      <formula>ROW()=CELL("fila")</formula>
    </cfRule>
  </conditionalFormatting>
  <conditionalFormatting sqref="AA4672:AA4678">
    <cfRule type="expression" dxfId="40" priority="81">
      <formula>ROW()=CELL("fila")</formula>
    </cfRule>
  </conditionalFormatting>
  <conditionalFormatting sqref="AA4680:AA4682">
    <cfRule type="expression" dxfId="39" priority="80">
      <formula>ROW()=CELL("fila")</formula>
    </cfRule>
  </conditionalFormatting>
  <conditionalFormatting sqref="AA4690">
    <cfRule type="expression" dxfId="38" priority="4">
      <formula>ROW()=CELL("fila")</formula>
    </cfRule>
  </conditionalFormatting>
  <conditionalFormatting sqref="AA4707:AA4708">
    <cfRule type="expression" dxfId="37" priority="77">
      <formula>ROW()=CELL("fila")</formula>
    </cfRule>
  </conditionalFormatting>
  <conditionalFormatting sqref="AA4710">
    <cfRule type="expression" dxfId="36" priority="76">
      <formula>ROW()=CELL("fila")</formula>
    </cfRule>
  </conditionalFormatting>
  <conditionalFormatting sqref="AA4715:AA4716">
    <cfRule type="expression" dxfId="35" priority="75">
      <formula>ROW()=CELL("fila")</formula>
    </cfRule>
  </conditionalFormatting>
  <conditionalFormatting sqref="AA4751:AA4753">
    <cfRule type="expression" dxfId="34" priority="72">
      <formula>ROW()=CELL("fila")</formula>
    </cfRule>
  </conditionalFormatting>
  <conditionalFormatting sqref="AA4774:AA4777">
    <cfRule type="expression" dxfId="33" priority="69">
      <formula>ROW()=CELL("fila")</formula>
    </cfRule>
  </conditionalFormatting>
  <conditionalFormatting sqref="AA4780:AA4781">
    <cfRule type="expression" dxfId="32" priority="68">
      <formula>ROW()=CELL("fila")</formula>
    </cfRule>
  </conditionalFormatting>
  <conditionalFormatting sqref="AA4806:AA4807">
    <cfRule type="expression" dxfId="31" priority="66">
      <formula>ROW()=CELL("fila")</formula>
    </cfRule>
  </conditionalFormatting>
  <conditionalFormatting sqref="AA4878:AA4879">
    <cfRule type="expression" dxfId="30" priority="58">
      <formula>ROW()=CELL("fila")</formula>
    </cfRule>
  </conditionalFormatting>
  <conditionalFormatting sqref="AA4883:AA4884">
    <cfRule type="expression" dxfId="29" priority="57">
      <formula>ROW()=CELL("fila")</formula>
    </cfRule>
  </conditionalFormatting>
  <conditionalFormatting sqref="AA4915:AA4916">
    <cfRule type="expression" dxfId="28" priority="50">
      <formula>ROW()=CELL("fila")</formula>
    </cfRule>
  </conditionalFormatting>
  <conditionalFormatting sqref="AA4974">
    <cfRule type="expression" dxfId="27" priority="45">
      <formula>ROW()=CELL("fila")</formula>
    </cfRule>
  </conditionalFormatting>
  <conditionalFormatting sqref="AA4977">
    <cfRule type="expression" dxfId="26" priority="44">
      <formula>ROW()=CELL("fila")</formula>
    </cfRule>
  </conditionalFormatting>
  <conditionalFormatting sqref="AA5013">
    <cfRule type="expression" dxfId="25" priority="41">
      <formula>ROW()=CELL("fila")</formula>
    </cfRule>
  </conditionalFormatting>
  <conditionalFormatting sqref="AA5214">
    <cfRule type="expression" dxfId="24" priority="31">
      <formula>ROW()=CELL("fila")</formula>
    </cfRule>
  </conditionalFormatting>
  <conditionalFormatting sqref="AA5216">
    <cfRule type="expression" dxfId="23" priority="30">
      <formula>ROW()=CELL("fila")</formula>
    </cfRule>
  </conditionalFormatting>
  <conditionalFormatting sqref="AA5661">
    <cfRule type="expression" dxfId="22" priority="3">
      <formula>ROW()=CELL("fila")</formula>
    </cfRule>
  </conditionalFormatting>
  <conditionalFormatting sqref="AA1399:AE1400">
    <cfRule type="expression" dxfId="21" priority="913">
      <formula>ROW()=CELL("fila")</formula>
    </cfRule>
  </conditionalFormatting>
  <conditionalFormatting sqref="AA2457:XFD2463">
    <cfRule type="expression" dxfId="20" priority="545">
      <formula>ROW()=CELL("fila")</formula>
    </cfRule>
  </conditionalFormatting>
  <conditionalFormatting sqref="AB1382:AD1382 AB1383:AE1385">
    <cfRule type="expression" dxfId="19" priority="923">
      <formula>ROW()=CELL("fila")</formula>
    </cfRule>
  </conditionalFormatting>
  <conditionalFormatting sqref="AB1888:AD1889 Y1960:XFD1963 Y1964:AE1970 Y1971:Z1971 AB1971:AE1971 Y1972:AE1973">
    <cfRule type="expression" dxfId="18" priority="795">
      <formula>ROW()=CELL("fila")</formula>
    </cfRule>
  </conditionalFormatting>
  <conditionalFormatting sqref="AB1974:AE1979 AA1980:AE1980">
    <cfRule type="expression" dxfId="17" priority="636">
      <formula>ROW()=CELL("fila")</formula>
    </cfRule>
  </conditionalFormatting>
  <conditionalFormatting sqref="AB2174:AE2178 AF2176">
    <cfRule type="expression" dxfId="16" priority="666">
      <formula>ROW()=CELL("fila")</formula>
    </cfRule>
  </conditionalFormatting>
  <conditionalFormatting sqref="AB2528:AE2538 Y2533:Z2538 Y2539:AE2541 AA2905">
    <cfRule type="expression" dxfId="15" priority="528">
      <formula>ROW()=CELL("fila")</formula>
    </cfRule>
  </conditionalFormatting>
  <conditionalFormatting sqref="AB2276:AF2290 AG2276:XFD2326 Y2291:AF2292 AB2293:AF2295 AF2296:AF2324 Y2325:AF2326">
    <cfRule type="expression" dxfId="14" priority="593">
      <formula>ROW()=CELL("fila")</formula>
    </cfRule>
  </conditionalFormatting>
  <conditionalFormatting sqref="AD66:AD69">
    <cfRule type="expression" dxfId="13" priority="1375">
      <formula>ROW()=CELL("fila")</formula>
    </cfRule>
  </conditionalFormatting>
  <conditionalFormatting sqref="AD71:AD72">
    <cfRule type="expression" dxfId="12" priority="1352">
      <formula>ROW()=CELL("fila")</formula>
    </cfRule>
  </conditionalFormatting>
  <conditionalFormatting sqref="AD74:AD75">
    <cfRule type="expression" dxfId="11" priority="1218">
      <formula>ROW()=CELL("fila")</formula>
    </cfRule>
  </conditionalFormatting>
  <conditionalFormatting sqref="AD82:AD83">
    <cfRule type="expression" dxfId="10" priority="1174">
      <formula>ROW()=CELL("fila")</formula>
    </cfRule>
  </conditionalFormatting>
  <conditionalFormatting sqref="AD85:AD89">
    <cfRule type="expression" dxfId="9" priority="1173">
      <formula>ROW()=CELL("fila")</formula>
    </cfRule>
  </conditionalFormatting>
  <conditionalFormatting sqref="AD91:AD92">
    <cfRule type="expression" dxfId="8" priority="1172">
      <formula>ROW()=CELL("fila")</formula>
    </cfRule>
  </conditionalFormatting>
  <conditionalFormatting sqref="AD263:AE264">
    <cfRule type="expression" dxfId="7" priority="1239">
      <formula>ROW()=CELL("fila")</formula>
    </cfRule>
  </conditionalFormatting>
  <conditionalFormatting sqref="AF18:AF25 Y1213:AF1213 A1316:W1376 X1366:Z1367 AB1367:AF1367 Y1488:AF1488 X1491:X1501 Y1500:AE1501 A1865:V1888 X1908:X1914 W1908:W1920 A2147:V2149 Y2167:Z2167 AB2167:AE2167 Y2168:AE2170 Y2171:Z2172 AB2171:AE2172 Y2173:AE2173">
    <cfRule type="expression" dxfId="6" priority="928">
      <formula>ROW()=CELL("fila")</formula>
    </cfRule>
  </conditionalFormatting>
  <conditionalFormatting sqref="AF114:AF133 AB126:AE126 AB132:AE133 AB134:AF145">
    <cfRule type="expression" dxfId="5" priority="1171">
      <formula>ROW()=CELL("fila")</formula>
    </cfRule>
  </conditionalFormatting>
  <conditionalFormatting sqref="AF259:AF264">
    <cfRule type="expression" dxfId="4" priority="1046">
      <formula>ROW()=CELL("fila")</formula>
    </cfRule>
  </conditionalFormatting>
  <conditionalFormatting sqref="AF1194:AF1199 AB1200:AF1212">
    <cfRule type="expression" dxfId="3" priority="959">
      <formula>ROW()=CELL("fila")</formula>
    </cfRule>
  </conditionalFormatting>
  <conditionalFormatting sqref="AF1395 X1442:AD1442 AB1474:AD1474 AB1498:AE1499 Y1498:Z1500">
    <cfRule type="expression" dxfId="2" priority="921">
      <formula>ROW()=CELL("fila")</formula>
    </cfRule>
  </conditionalFormatting>
  <conditionalFormatting sqref="AF1397">
    <cfRule type="expression" dxfId="1" priority="904">
      <formula>ROW()=CELL("fila")</formula>
    </cfRule>
  </conditionalFormatting>
  <conditionalFormatting sqref="AF1432:AF1444">
    <cfRule type="expression" dxfId="0" priority="896">
      <formula>ROW()=CELL("fila")</formula>
    </cfRule>
  </conditionalFormatting>
  <pageMargins left="0.25" right="0.25" top="0.75" bottom="0.75" header="0.3" footer="0.3"/>
  <pageSetup scale="85" fitToHeight="0" orientation="portrait" blackAndWhite="1" horizontalDpi="4294967293" r:id="rId1"/>
  <headerFooter alignWithMargins="0">
    <oddFooter xml:space="preserve">&amp;C&amp;"Arial Narrow,Negrita"&amp;9Autorizado Según -SAT- Resolución No.2025-1-61-2919547 de Fecha 05/06/2025, 300 Hojas. Autorizado Segùn INGECOP Resolución  No.IGC-C-SALF-RESL- 496-25 de Fecha  05/06/2025, Correlativo No. Del 1 al 300.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0FFB-D7BB-4A01-8632-C2FCA8A833C9}">
  <dimension ref="A1"/>
  <sheetViews>
    <sheetView workbookViewId="0">
      <selection activeCell="O14" sqref="O14"/>
    </sheetView>
  </sheetViews>
  <sheetFormatPr baseColWidth="10"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2DFF4-9BD0-447D-A756-662B28A196A1}">
  <dimension ref="A1:I52"/>
  <sheetViews>
    <sheetView zoomScale="115" zoomScaleNormal="115" workbookViewId="0">
      <selection activeCell="I16" sqref="I16"/>
    </sheetView>
  </sheetViews>
  <sheetFormatPr baseColWidth="10" defaultColWidth="11.42578125" defaultRowHeight="15.75" x14ac:dyDescent="0.25"/>
  <cols>
    <col min="1" max="1" width="2.28515625" style="2" customWidth="1"/>
    <col min="2" max="2" width="13.7109375" style="2" customWidth="1"/>
    <col min="3" max="3" width="15.42578125" style="2" customWidth="1"/>
    <col min="4" max="4" width="10" style="103" customWidth="1"/>
    <col min="5" max="5" width="14.5703125" style="2" customWidth="1"/>
    <col min="6" max="6" width="14.7109375" style="2" customWidth="1"/>
    <col min="7" max="7" width="14.42578125" style="2" customWidth="1"/>
    <col min="8" max="8" width="13.28515625" style="95" customWidth="1"/>
    <col min="9" max="9" width="18.140625" style="2" customWidth="1"/>
    <col min="10" max="10" width="15.28515625" style="2" bestFit="1" customWidth="1"/>
    <col min="11" max="11" width="12.85546875" style="2" bestFit="1" customWidth="1"/>
    <col min="12" max="16384" width="11.42578125" style="2"/>
  </cols>
  <sheetData>
    <row r="1" spans="1:9" ht="19.5" x14ac:dyDescent="0.4">
      <c r="C1" s="3" t="s">
        <v>20</v>
      </c>
    </row>
    <row r="2" spans="1:9" ht="19.5" x14ac:dyDescent="0.4">
      <c r="C2" s="3" t="s">
        <v>180</v>
      </c>
    </row>
    <row r="3" spans="1:9" x14ac:dyDescent="0.25">
      <c r="D3" s="103" t="s">
        <v>22</v>
      </c>
    </row>
    <row r="4" spans="1:9" x14ac:dyDescent="0.25">
      <c r="D4" s="104" t="s">
        <v>3428</v>
      </c>
      <c r="E4" s="9"/>
      <c r="F4" s="9"/>
    </row>
    <row r="5" spans="1:9" x14ac:dyDescent="0.25">
      <c r="B5" s="5" t="s">
        <v>3429</v>
      </c>
      <c r="I5" s="94">
        <f>'LIBRO DE CAJA (2)'!AF2763</f>
        <v>52861.449999999371</v>
      </c>
    </row>
    <row r="6" spans="1:9" x14ac:dyDescent="0.25">
      <c r="E6" s="6" t="s">
        <v>23</v>
      </c>
      <c r="F6" s="6" t="s">
        <v>24</v>
      </c>
      <c r="G6" s="6" t="s">
        <v>24</v>
      </c>
      <c r="H6" s="96" t="s">
        <v>24</v>
      </c>
    </row>
    <row r="7" spans="1:9" ht="19.5" x14ac:dyDescent="0.4">
      <c r="A7" s="2" t="s">
        <v>23</v>
      </c>
      <c r="B7" s="7" t="s">
        <v>150</v>
      </c>
      <c r="C7" s="2" t="s">
        <v>26</v>
      </c>
      <c r="D7" s="103" t="s">
        <v>27</v>
      </c>
      <c r="E7" s="5" t="s">
        <v>77</v>
      </c>
      <c r="F7" s="5" t="s">
        <v>29</v>
      </c>
      <c r="G7" s="5" t="s">
        <v>30</v>
      </c>
      <c r="H7" s="97" t="s">
        <v>31</v>
      </c>
    </row>
    <row r="8" spans="1:9" x14ac:dyDescent="0.25">
      <c r="B8" s="20" t="s">
        <v>4545</v>
      </c>
      <c r="C8" s="8" t="s">
        <v>3430</v>
      </c>
      <c r="D8" s="18" t="s">
        <v>3433</v>
      </c>
      <c r="E8" s="2">
        <f>'LIBRO DE CAJA (2)'!AD2949</f>
        <v>250445.53999999998</v>
      </c>
      <c r="F8" s="2">
        <f>'LIBRO DE CAJA (2)'!AE2949-G8</f>
        <v>42509.619999999995</v>
      </c>
      <c r="G8" s="1">
        <f>'LIBRO DE CAJA (2)'!AE2786+'LIBRO DE CAJA (2)'!AE2916+'LIBRO DE CAJA (2)'!AE2917+'LIBRO DE CAJA (2)'!AE2944</f>
        <v>141281.82</v>
      </c>
      <c r="H8" s="95" t="s">
        <v>181</v>
      </c>
      <c r="I8" s="23">
        <f>I5+E8-F8-G8</f>
        <v>119515.54999999935</v>
      </c>
    </row>
    <row r="9" spans="1:9" x14ac:dyDescent="0.25">
      <c r="B9" s="20" t="s">
        <v>4546</v>
      </c>
      <c r="C9" s="9" t="s">
        <v>3431</v>
      </c>
      <c r="D9" s="105" t="s">
        <v>3434</v>
      </c>
      <c r="E9" s="2">
        <f>'LIBRO DE CAJA (2)'!AD3824</f>
        <v>1488659.0099999998</v>
      </c>
      <c r="F9" s="2">
        <f>'LIBRO DE CAJA (2)'!AE3824-G9</f>
        <v>744416.31000000017</v>
      </c>
      <c r="G9" s="1">
        <f>'LIBRO DE CAJA (2)'!AE3101+'LIBRO DE CAJA (2)'!AE3149+'LIBRO DE CAJA (2)'!AE3150+'LIBRO DE CAJA (2)'!AE3252+'LIBRO DE CAJA (2)'!AE3286+'LIBRO DE CAJA (2)'!AE3376+'LIBRO DE CAJA (2)'!AE3377+'LIBRO DE CAJA (2)'!AE3380+'LIBRO DE CAJA (2)'!AE3381+'LIBRO DE CAJA (2)'!AE3460+'LIBRO DE CAJA (2)'!AE3569+'LIBRO DE CAJA (2)'!AE3592</f>
        <v>773545.96000000008</v>
      </c>
      <c r="H9" s="95" t="s">
        <v>181</v>
      </c>
      <c r="I9" s="2">
        <f>I8+E9-F9-G9</f>
        <v>90212.289999998873</v>
      </c>
    </row>
    <row r="10" spans="1:9" x14ac:dyDescent="0.25">
      <c r="B10" s="20" t="s">
        <v>4547</v>
      </c>
      <c r="C10" s="9" t="s">
        <v>3432</v>
      </c>
      <c r="D10" s="105" t="s">
        <v>3435</v>
      </c>
      <c r="E10" s="2">
        <f>'LIBRO DE CAJA (2)'!AD4442</f>
        <v>1766658.8100000003</v>
      </c>
      <c r="F10" s="2">
        <f>'LIBRO DE CAJA (2)'!AE4442-G10</f>
        <v>539000.49000000046</v>
      </c>
      <c r="G10" s="1">
        <f>'LIBRO DE CAJA (2)'!AE3846+'LIBRO DE CAJA (2)'!AE3871+'LIBRO DE CAJA (2)'!AE3874+'LIBRO DE CAJA (2)'!AE3905+'LIBRO DE CAJA (2)'!AE3907+'LIBRO DE CAJA (2)'!AE3966+'LIBRO DE CAJA (2)'!AE3969+'LIBRO DE CAJA (2)'!AE3983+'LIBRO DE CAJA (2)'!AE3985+'LIBRO DE CAJA (2)'!AE4113+'LIBRO DE CAJA (2)'!AE4115+'LIBRO DE CAJA (2)'!AE4120+'LIBRO DE CAJA (2)'!AE4122+'LIBRO DE CAJA (2)'!AE4124+'LIBRO DE CAJA (2)'!AE4127+'LIBRO DE CAJA (2)'!AE4128+'LIBRO DE CAJA (2)'!AE4135+'LIBRO DE CAJA (2)'!AE4137+'LIBRO DE CAJA (2)'!AE4168+'LIBRO DE CAJA (2)'!AE4170+'LIBRO DE CAJA (2)'!AE4199+'LIBRO DE CAJA (2)'!AE4315+'LIBRO DE CAJA (2)'!AE4316</f>
        <v>1260761.67</v>
      </c>
      <c r="I10" s="2">
        <f>I9+E10-F10-G10</f>
        <v>57108.93999999878</v>
      </c>
    </row>
    <row r="11" spans="1:9" x14ac:dyDescent="0.25">
      <c r="B11" s="20"/>
      <c r="C11" s="9"/>
      <c r="D11" s="105"/>
      <c r="G11" s="1"/>
    </row>
    <row r="12" spans="1:9" s="5" customFormat="1" x14ac:dyDescent="0.25">
      <c r="C12" s="10" t="s">
        <v>32</v>
      </c>
      <c r="D12" s="106"/>
      <c r="E12" s="10">
        <f>SUM(E8:E10)</f>
        <v>3505763.3600000003</v>
      </c>
      <c r="H12" s="97"/>
      <c r="I12" s="14">
        <f>I5+E12-F13-G13</f>
        <v>57108.939999998547</v>
      </c>
    </row>
    <row r="13" spans="1:9" s="5" customFormat="1" x14ac:dyDescent="0.25">
      <c r="C13" s="10" t="s">
        <v>33</v>
      </c>
      <c r="D13" s="106">
        <v>0</v>
      </c>
      <c r="F13" s="5">
        <f>SUM(F8:F10)</f>
        <v>1325926.4200000006</v>
      </c>
      <c r="G13" s="5">
        <f>SUM(G8:G10)</f>
        <v>2175589.4500000002</v>
      </c>
      <c r="H13" s="97">
        <f>SUM(H8:H9)</f>
        <v>0</v>
      </c>
    </row>
    <row r="14" spans="1:9" ht="19.5" x14ac:dyDescent="0.4">
      <c r="B14" s="3" t="s">
        <v>34</v>
      </c>
      <c r="E14" s="3"/>
    </row>
    <row r="15" spans="1:9" x14ac:dyDescent="0.25">
      <c r="C15" s="5" t="s">
        <v>35</v>
      </c>
      <c r="D15" s="106" t="s">
        <v>36</v>
      </c>
      <c r="E15" s="11" t="s">
        <v>37</v>
      </c>
      <c r="F15" s="5" t="s">
        <v>38</v>
      </c>
      <c r="G15" s="5"/>
      <c r="H15" s="97" t="s">
        <v>39</v>
      </c>
    </row>
    <row r="16" spans="1:9" x14ac:dyDescent="0.25">
      <c r="D16" s="107">
        <v>36</v>
      </c>
      <c r="E16" s="2" t="s">
        <v>40</v>
      </c>
      <c r="F16" s="2">
        <v>200</v>
      </c>
      <c r="H16" s="95">
        <f>+F16*D16</f>
        <v>7200</v>
      </c>
    </row>
    <row r="17" spans="2:9" x14ac:dyDescent="0.25">
      <c r="C17" s="13"/>
      <c r="D17" s="108">
        <v>487</v>
      </c>
      <c r="E17" s="2" t="s">
        <v>41</v>
      </c>
      <c r="F17" s="2">
        <v>100</v>
      </c>
      <c r="H17" s="95">
        <f t="shared" ref="H17:H29" si="0">+F17*D17</f>
        <v>48700</v>
      </c>
    </row>
    <row r="18" spans="2:9" x14ac:dyDescent="0.25">
      <c r="C18" s="13"/>
      <c r="D18" s="108">
        <v>0</v>
      </c>
      <c r="E18" s="2" t="s">
        <v>42</v>
      </c>
      <c r="F18" s="2">
        <v>50</v>
      </c>
      <c r="H18" s="95">
        <f t="shared" si="0"/>
        <v>0</v>
      </c>
    </row>
    <row r="19" spans="2:9" x14ac:dyDescent="0.25">
      <c r="C19" s="13"/>
      <c r="D19" s="108">
        <v>1</v>
      </c>
      <c r="E19" s="2" t="s">
        <v>43</v>
      </c>
      <c r="F19" s="2">
        <v>20</v>
      </c>
      <c r="H19" s="95">
        <f t="shared" si="0"/>
        <v>20</v>
      </c>
    </row>
    <row r="20" spans="2:9" x14ac:dyDescent="0.25">
      <c r="C20" s="13"/>
      <c r="D20" s="108">
        <v>0</v>
      </c>
      <c r="E20" s="2" t="s">
        <v>44</v>
      </c>
      <c r="F20" s="2">
        <v>10</v>
      </c>
      <c r="H20" s="95">
        <f t="shared" si="0"/>
        <v>0</v>
      </c>
    </row>
    <row r="21" spans="2:9" x14ac:dyDescent="0.25">
      <c r="C21" s="13"/>
      <c r="D21" s="108">
        <v>116</v>
      </c>
      <c r="E21" s="2" t="s">
        <v>45</v>
      </c>
      <c r="F21" s="2">
        <v>5</v>
      </c>
      <c r="H21" s="95">
        <f t="shared" si="0"/>
        <v>580</v>
      </c>
    </row>
    <row r="22" spans="2:9" x14ac:dyDescent="0.25">
      <c r="C22" s="13"/>
      <c r="D22" s="108">
        <v>0</v>
      </c>
      <c r="E22" s="2" t="s">
        <v>46</v>
      </c>
      <c r="F22" s="2">
        <v>1</v>
      </c>
      <c r="H22" s="95">
        <f t="shared" si="0"/>
        <v>0</v>
      </c>
    </row>
    <row r="23" spans="2:9" x14ac:dyDescent="0.25">
      <c r="C23" s="13"/>
      <c r="D23" s="18"/>
      <c r="E23" s="11" t="s">
        <v>47</v>
      </c>
      <c r="H23" s="95">
        <f t="shared" si="0"/>
        <v>0</v>
      </c>
    </row>
    <row r="24" spans="2:9" x14ac:dyDescent="0.25">
      <c r="C24" s="13"/>
      <c r="D24" s="107">
        <v>524</v>
      </c>
      <c r="E24" s="2" t="s">
        <v>46</v>
      </c>
      <c r="F24" s="2">
        <v>1</v>
      </c>
      <c r="H24" s="95">
        <f t="shared" si="0"/>
        <v>524</v>
      </c>
    </row>
    <row r="25" spans="2:9" x14ac:dyDescent="0.25">
      <c r="C25" s="13"/>
      <c r="D25" s="107">
        <v>81</v>
      </c>
      <c r="E25" s="2" t="s">
        <v>48</v>
      </c>
      <c r="F25" s="2">
        <v>0.5</v>
      </c>
      <c r="H25" s="95">
        <f t="shared" si="0"/>
        <v>40.5</v>
      </c>
    </row>
    <row r="26" spans="2:9" x14ac:dyDescent="0.25">
      <c r="C26" s="13"/>
      <c r="D26" s="107">
        <v>181</v>
      </c>
      <c r="E26" s="2" t="s">
        <v>49</v>
      </c>
      <c r="F26" s="2">
        <v>0.25</v>
      </c>
      <c r="H26" s="95">
        <f t="shared" si="0"/>
        <v>45.25</v>
      </c>
    </row>
    <row r="27" spans="2:9" x14ac:dyDescent="0.25">
      <c r="C27" s="13"/>
      <c r="D27" s="107">
        <v>2</v>
      </c>
      <c r="E27" s="2" t="s">
        <v>50</v>
      </c>
      <c r="F27" s="2">
        <v>0.1</v>
      </c>
      <c r="H27" s="95">
        <f t="shared" si="0"/>
        <v>0.2</v>
      </c>
    </row>
    <row r="28" spans="2:9" x14ac:dyDescent="0.25">
      <c r="B28" s="5"/>
      <c r="C28" s="13"/>
      <c r="D28" s="107">
        <v>0</v>
      </c>
      <c r="E28" s="2" t="s">
        <v>51</v>
      </c>
      <c r="F28" s="2">
        <v>0.05</v>
      </c>
      <c r="H28" s="95">
        <f>+F28*D28</f>
        <v>0</v>
      </c>
    </row>
    <row r="29" spans="2:9" x14ac:dyDescent="0.25">
      <c r="B29" s="5"/>
      <c r="D29" s="107">
        <v>0</v>
      </c>
      <c r="E29" s="2" t="s">
        <v>52</v>
      </c>
      <c r="F29" s="2">
        <v>0.01</v>
      </c>
      <c r="H29" s="95">
        <f t="shared" si="0"/>
        <v>0</v>
      </c>
    </row>
    <row r="30" spans="2:9" s="5" customFormat="1" x14ac:dyDescent="0.25">
      <c r="D30" s="106"/>
      <c r="F30" s="5" t="s">
        <v>53</v>
      </c>
      <c r="H30" s="97"/>
      <c r="I30" s="14">
        <f>SUM(H16:H29)</f>
        <v>57109.95</v>
      </c>
    </row>
    <row r="32" spans="2:9" ht="16.5" thickBot="1" x14ac:dyDescent="0.3">
      <c r="F32" s="2" t="s">
        <v>54</v>
      </c>
      <c r="I32" s="15">
        <f>I30-I12</f>
        <v>1.0100000014499528</v>
      </c>
    </row>
    <row r="33" spans="2:7" ht="16.5" thickTop="1" x14ac:dyDescent="0.25">
      <c r="B33" s="2" t="s">
        <v>3436</v>
      </c>
    </row>
    <row r="34" spans="2:7" x14ac:dyDescent="0.25">
      <c r="B34" s="2" t="s">
        <v>55</v>
      </c>
    </row>
    <row r="35" spans="2:7" x14ac:dyDescent="0.25">
      <c r="B35" s="13" t="s">
        <v>241</v>
      </c>
    </row>
    <row r="36" spans="2:7" x14ac:dyDescent="0.25">
      <c r="B36" s="2" t="s">
        <v>57</v>
      </c>
    </row>
    <row r="37" spans="2:7" x14ac:dyDescent="0.25">
      <c r="B37" s="2" t="s">
        <v>152</v>
      </c>
    </row>
    <row r="38" spans="2:7" x14ac:dyDescent="0.25">
      <c r="B38" s="2" t="s">
        <v>58</v>
      </c>
    </row>
    <row r="39" spans="2:7" x14ac:dyDescent="0.25">
      <c r="B39" s="2" t="s">
        <v>59</v>
      </c>
    </row>
    <row r="40" spans="2:7" x14ac:dyDescent="0.25">
      <c r="B40" s="2" t="s">
        <v>60</v>
      </c>
    </row>
    <row r="42" spans="2:7" x14ac:dyDescent="0.25">
      <c r="B42" s="2" t="s">
        <v>61</v>
      </c>
    </row>
    <row r="45" spans="2:7" x14ac:dyDescent="0.25">
      <c r="C45" s="6"/>
      <c r="D45" s="18"/>
    </row>
    <row r="46" spans="2:7" x14ac:dyDescent="0.25">
      <c r="B46" s="277" t="s">
        <v>1346</v>
      </c>
      <c r="C46" s="277"/>
      <c r="E46" s="22" t="s">
        <v>153</v>
      </c>
      <c r="F46" s="22"/>
    </row>
    <row r="47" spans="2:7" x14ac:dyDescent="0.25">
      <c r="B47" s="277" t="s">
        <v>64</v>
      </c>
      <c r="C47" s="277"/>
      <c r="E47" s="22" t="s">
        <v>154</v>
      </c>
      <c r="F47" s="22"/>
    </row>
    <row r="51" spans="2:6" x14ac:dyDescent="0.25">
      <c r="B51" s="2" t="s">
        <v>2340</v>
      </c>
      <c r="E51" s="6" t="s">
        <v>66</v>
      </c>
      <c r="F51" s="6"/>
    </row>
    <row r="52" spans="2:6" x14ac:dyDescent="0.25">
      <c r="B52" s="277" t="s">
        <v>179</v>
      </c>
      <c r="C52" s="277"/>
      <c r="E52" s="6" t="s">
        <v>68</v>
      </c>
      <c r="F52" s="6"/>
    </row>
  </sheetData>
  <mergeCells count="3">
    <mergeCell ref="B46:C46"/>
    <mergeCell ref="B47:C47"/>
    <mergeCell ref="B52:C52"/>
  </mergeCells>
  <pageMargins left="0.70866141732283472" right="0.11811023622047245" top="0.74803149606299213" bottom="0.74803149606299213" header="0.31496062992125984" footer="0.31496062992125984"/>
  <pageSetup scale="80" orientation="portrait" horizontalDpi="4294967293"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F9CA4-32D8-40E7-81BA-6DC38F7003B7}">
  <dimension ref="A1:I52"/>
  <sheetViews>
    <sheetView zoomScaleNormal="100" workbookViewId="0">
      <selection activeCell="G9" sqref="G9"/>
    </sheetView>
  </sheetViews>
  <sheetFormatPr baseColWidth="10" defaultColWidth="11.42578125" defaultRowHeight="15.75" x14ac:dyDescent="0.25"/>
  <cols>
    <col min="1" max="1" width="2.28515625" style="2" customWidth="1"/>
    <col min="2" max="2" width="13.7109375" style="2" customWidth="1"/>
    <col min="3" max="3" width="15.42578125" style="2" customWidth="1"/>
    <col min="4" max="4" width="10" style="103" customWidth="1"/>
    <col min="5" max="5" width="14.5703125" style="2" customWidth="1"/>
    <col min="6" max="6" width="13.85546875" style="2" customWidth="1"/>
    <col min="7" max="7" width="14.42578125" style="2" customWidth="1"/>
    <col min="8" max="8" width="13.28515625" style="95" customWidth="1"/>
    <col min="9" max="9" width="18.140625" style="2" customWidth="1"/>
    <col min="10" max="10" width="12.85546875" style="2" bestFit="1" customWidth="1"/>
    <col min="11" max="16384" width="11.42578125" style="2"/>
  </cols>
  <sheetData>
    <row r="1" spans="1:9" ht="19.5" x14ac:dyDescent="0.4">
      <c r="C1" s="3" t="s">
        <v>20</v>
      </c>
    </row>
    <row r="2" spans="1:9" ht="19.5" x14ac:dyDescent="0.4">
      <c r="C2" s="3" t="s">
        <v>180</v>
      </c>
    </row>
    <row r="3" spans="1:9" x14ac:dyDescent="0.25">
      <c r="D3" s="103" t="s">
        <v>22</v>
      </c>
    </row>
    <row r="4" spans="1:9" x14ac:dyDescent="0.25">
      <c r="D4" s="104" t="s">
        <v>2329</v>
      </c>
      <c r="E4" s="9"/>
      <c r="F4" s="9"/>
    </row>
    <row r="5" spans="1:9" x14ac:dyDescent="0.25">
      <c r="B5" s="5" t="s">
        <v>2330</v>
      </c>
      <c r="I5" s="94">
        <f>'LIBRO DE CAJA (2)'!AF1379</f>
        <v>134284.2799999998</v>
      </c>
    </row>
    <row r="6" spans="1:9" x14ac:dyDescent="0.25">
      <c r="E6" s="6" t="s">
        <v>23</v>
      </c>
      <c r="F6" s="6" t="s">
        <v>24</v>
      </c>
      <c r="G6" s="6" t="s">
        <v>24</v>
      </c>
      <c r="H6" s="96" t="s">
        <v>24</v>
      </c>
    </row>
    <row r="7" spans="1:9" ht="19.5" x14ac:dyDescent="0.4">
      <c r="A7" s="2" t="s">
        <v>23</v>
      </c>
      <c r="B7" s="7" t="s">
        <v>150</v>
      </c>
      <c r="C7" s="2" t="s">
        <v>26</v>
      </c>
      <c r="D7" s="103" t="s">
        <v>27</v>
      </c>
      <c r="E7" s="5" t="s">
        <v>77</v>
      </c>
      <c r="F7" s="5" t="s">
        <v>29</v>
      </c>
      <c r="G7" s="5" t="s">
        <v>30</v>
      </c>
      <c r="H7" s="97" t="s">
        <v>31</v>
      </c>
    </row>
    <row r="8" spans="1:9" x14ac:dyDescent="0.25">
      <c r="B8" s="20" t="s">
        <v>2331</v>
      </c>
      <c r="C8" s="8" t="s">
        <v>2334</v>
      </c>
      <c r="D8" s="18" t="s">
        <v>2333</v>
      </c>
      <c r="E8" s="2">
        <f>'LIBRO DE CAJA (2)'!AD2254</f>
        <v>1639568.2299999997</v>
      </c>
      <c r="F8" s="2">
        <f>'LIBRO DE CAJA (2)'!AE2254-G8</f>
        <v>559496.73</v>
      </c>
      <c r="G8" s="1">
        <f>'LIBRO DE CAJA (2)'!AE1437+'LIBRO DE CAJA (2)'!AE1503+'LIBRO DE CAJA (2)'!AE1504+'LIBRO DE CAJA (2)'!AE1527+'LIBRO DE CAJA (2)'!AE1528+'LIBRO DE CAJA (2)'!AE1551+'LIBRO DE CAJA (2)'!AE1597+'LIBRO DE CAJA (2)'!AE1598+'LIBRO DE CAJA (2)'!AE1624+'LIBRO DE CAJA (2)'!AE1680+'LIBRO DE CAJA (2)'!AE1738+'LIBRO DE CAJA (2)'!AE1761+'LIBRO DE CAJA (2)'!AE1786+'LIBRO DE CAJA (2)'!AE1820+'LIBRO DE CAJA (2)'!AE1858+'LIBRO DE CAJA (2)'!AE1859+'LIBRO DE CAJA (2)'!AE1923+'LIBRO DE CAJA (2)'!AE2027+'LIBRO DE CAJA (2)'!AE2062+'LIBRO DE CAJA (2)'!AE2090+'LIBRO DE CAJA (2)'!AE2144+'LIBRO DE CAJA (2)'!AE2167+'LIBRO DE CAJA (2)'!AE2199+'LIBRO DE CAJA (2)'!AE2240</f>
        <v>1077026.6600000001</v>
      </c>
      <c r="H8" s="95" t="s">
        <v>181</v>
      </c>
      <c r="I8" s="23">
        <f>I5+E8-F8-G8</f>
        <v>137329.11999999941</v>
      </c>
    </row>
    <row r="9" spans="1:9" x14ac:dyDescent="0.25">
      <c r="B9" s="20" t="s">
        <v>2332</v>
      </c>
      <c r="C9" s="9" t="s">
        <v>2335</v>
      </c>
      <c r="D9" s="105" t="s">
        <v>2336</v>
      </c>
      <c r="E9" s="2">
        <f>'LIBRO DE CAJA (2)'!AD2763</f>
        <v>938006.72</v>
      </c>
      <c r="F9" s="2">
        <f>'LIBRO DE CAJA (2)'!AE2763-G9</f>
        <v>255370.67000000004</v>
      </c>
      <c r="G9" s="1">
        <f>'LIBRO DE CAJA (2)'!AE2427+'LIBRO DE CAJA (2)'!AE2428+'LIBRO DE CAJA (2)'!AE2436+'LIBRO DE CAJA (2)'!AE2561+'LIBRO DE CAJA (2)'!AE2584+'LIBRO DE CAJA (2)'!AE2594+'LIBRO DE CAJA (2)'!AE2708</f>
        <v>767103.72</v>
      </c>
      <c r="H9" s="95" t="s">
        <v>181</v>
      </c>
      <c r="I9" s="2">
        <f>I8+E9-F9-G9</f>
        <v>52861.449999999371</v>
      </c>
    </row>
    <row r="10" spans="1:9" x14ac:dyDescent="0.25">
      <c r="B10" s="20"/>
      <c r="C10" s="9"/>
      <c r="D10" s="105"/>
      <c r="G10" s="1"/>
    </row>
    <row r="11" spans="1:9" x14ac:dyDescent="0.25">
      <c r="B11" s="20"/>
      <c r="C11" s="9"/>
      <c r="D11" s="105"/>
      <c r="G11" s="1"/>
    </row>
    <row r="12" spans="1:9" s="5" customFormat="1" x14ac:dyDescent="0.25">
      <c r="C12" s="10" t="s">
        <v>32</v>
      </c>
      <c r="D12" s="106"/>
      <c r="E12" s="10">
        <f>SUM(E8:E10)</f>
        <v>2577574.9499999997</v>
      </c>
      <c r="H12" s="97"/>
      <c r="I12" s="14">
        <f>I5+E12-F13-G13-H13</f>
        <v>52861.449999999488</v>
      </c>
    </row>
    <row r="13" spans="1:9" s="5" customFormat="1" x14ac:dyDescent="0.25">
      <c r="C13" s="10" t="s">
        <v>33</v>
      </c>
      <c r="D13" s="106">
        <v>0</v>
      </c>
      <c r="F13" s="5">
        <f>SUM(F8:F10)</f>
        <v>814867.4</v>
      </c>
      <c r="G13" s="5">
        <f>SUM(G8:G10)</f>
        <v>1844130.3800000001</v>
      </c>
      <c r="H13" s="97">
        <f>SUM(H8:H9)</f>
        <v>0</v>
      </c>
    </row>
    <row r="14" spans="1:9" ht="19.5" x14ac:dyDescent="0.4">
      <c r="B14" s="3" t="s">
        <v>34</v>
      </c>
      <c r="E14" s="3"/>
    </row>
    <row r="15" spans="1:9" x14ac:dyDescent="0.25">
      <c r="C15" s="5" t="s">
        <v>35</v>
      </c>
      <c r="D15" s="106" t="s">
        <v>36</v>
      </c>
      <c r="E15" s="11" t="s">
        <v>37</v>
      </c>
      <c r="F15" s="5" t="s">
        <v>38</v>
      </c>
      <c r="G15" s="5"/>
      <c r="H15" s="97" t="s">
        <v>39</v>
      </c>
    </row>
    <row r="16" spans="1:9" x14ac:dyDescent="0.25">
      <c r="D16" s="107">
        <v>22</v>
      </c>
      <c r="E16" s="2" t="s">
        <v>40</v>
      </c>
      <c r="F16" s="2">
        <v>200</v>
      </c>
      <c r="H16" s="95">
        <f>+F16*D16</f>
        <v>4400</v>
      </c>
    </row>
    <row r="17" spans="2:9" x14ac:dyDescent="0.25">
      <c r="C17" s="13"/>
      <c r="D17" s="108">
        <v>443</v>
      </c>
      <c r="E17" s="2" t="s">
        <v>41</v>
      </c>
      <c r="F17" s="2">
        <v>100</v>
      </c>
      <c r="H17" s="95">
        <f t="shared" ref="H17:H29" si="0">+F17*D17</f>
        <v>44300</v>
      </c>
    </row>
    <row r="18" spans="2:9" x14ac:dyDescent="0.25">
      <c r="C18" s="13"/>
      <c r="D18" s="108">
        <v>10</v>
      </c>
      <c r="E18" s="2" t="s">
        <v>42</v>
      </c>
      <c r="F18" s="2">
        <v>50</v>
      </c>
      <c r="H18" s="95">
        <f t="shared" si="0"/>
        <v>500</v>
      </c>
    </row>
    <row r="19" spans="2:9" x14ac:dyDescent="0.25">
      <c r="C19" s="13"/>
      <c r="D19" s="108">
        <v>3</v>
      </c>
      <c r="E19" s="2" t="s">
        <v>43</v>
      </c>
      <c r="F19" s="2">
        <v>20</v>
      </c>
      <c r="H19" s="95">
        <f t="shared" si="0"/>
        <v>60</v>
      </c>
    </row>
    <row r="20" spans="2:9" x14ac:dyDescent="0.25">
      <c r="C20" s="13"/>
      <c r="D20" s="108">
        <v>85</v>
      </c>
      <c r="E20" s="2" t="s">
        <v>44</v>
      </c>
      <c r="F20" s="2">
        <v>10</v>
      </c>
      <c r="H20" s="95">
        <f t="shared" si="0"/>
        <v>850</v>
      </c>
    </row>
    <row r="21" spans="2:9" x14ac:dyDescent="0.25">
      <c r="C21" s="13"/>
      <c r="D21" s="108">
        <v>319</v>
      </c>
      <c r="E21" s="2" t="s">
        <v>45</v>
      </c>
      <c r="F21" s="2">
        <v>5</v>
      </c>
      <c r="H21" s="95">
        <f t="shared" si="0"/>
        <v>1595</v>
      </c>
    </row>
    <row r="22" spans="2:9" x14ac:dyDescent="0.25">
      <c r="C22" s="13"/>
      <c r="D22" s="108">
        <v>0</v>
      </c>
      <c r="E22" s="2" t="s">
        <v>46</v>
      </c>
      <c r="F22" s="2">
        <v>1</v>
      </c>
      <c r="H22" s="95">
        <f t="shared" si="0"/>
        <v>0</v>
      </c>
    </row>
    <row r="23" spans="2:9" x14ac:dyDescent="0.25">
      <c r="C23" s="13"/>
      <c r="D23" s="18"/>
      <c r="E23" s="11" t="s">
        <v>47</v>
      </c>
      <c r="H23" s="95">
        <f t="shared" si="0"/>
        <v>0</v>
      </c>
    </row>
    <row r="24" spans="2:9" x14ac:dyDescent="0.25">
      <c r="C24" s="13"/>
      <c r="D24" s="107">
        <v>1071</v>
      </c>
      <c r="E24" s="2" t="s">
        <v>46</v>
      </c>
      <c r="F24" s="2">
        <v>1</v>
      </c>
      <c r="H24" s="95">
        <f t="shared" si="0"/>
        <v>1071</v>
      </c>
    </row>
    <row r="25" spans="2:9" x14ac:dyDescent="0.25">
      <c r="C25" s="13"/>
      <c r="D25" s="107">
        <v>80</v>
      </c>
      <c r="E25" s="2" t="s">
        <v>48</v>
      </c>
      <c r="F25" s="2">
        <v>0.5</v>
      </c>
      <c r="H25" s="95">
        <f t="shared" si="0"/>
        <v>40</v>
      </c>
    </row>
    <row r="26" spans="2:9" x14ac:dyDescent="0.25">
      <c r="C26" s="13"/>
      <c r="D26" s="107">
        <v>180</v>
      </c>
      <c r="E26" s="2" t="s">
        <v>49</v>
      </c>
      <c r="F26" s="2">
        <v>0.25</v>
      </c>
      <c r="H26" s="95">
        <f t="shared" si="0"/>
        <v>45</v>
      </c>
    </row>
    <row r="27" spans="2:9" x14ac:dyDescent="0.25">
      <c r="C27" s="13"/>
      <c r="D27" s="107">
        <v>4</v>
      </c>
      <c r="E27" s="2" t="s">
        <v>50</v>
      </c>
      <c r="F27" s="2">
        <v>0.1</v>
      </c>
      <c r="H27" s="95">
        <f t="shared" si="0"/>
        <v>0.4</v>
      </c>
    </row>
    <row r="28" spans="2:9" x14ac:dyDescent="0.25">
      <c r="B28" s="5"/>
      <c r="C28" s="13"/>
      <c r="D28" s="107">
        <v>1</v>
      </c>
      <c r="E28" s="2" t="s">
        <v>51</v>
      </c>
      <c r="F28" s="2">
        <v>0.05</v>
      </c>
      <c r="H28" s="95">
        <f>+F28*D28</f>
        <v>0.05</v>
      </c>
    </row>
    <row r="29" spans="2:9" x14ac:dyDescent="0.25">
      <c r="B29" s="5"/>
      <c r="D29" s="107">
        <v>0</v>
      </c>
      <c r="E29" s="2" t="s">
        <v>52</v>
      </c>
      <c r="F29" s="2">
        <v>0.01</v>
      </c>
      <c r="H29" s="95">
        <f t="shared" si="0"/>
        <v>0</v>
      </c>
    </row>
    <row r="30" spans="2:9" s="5" customFormat="1" x14ac:dyDescent="0.25">
      <c r="D30" s="106"/>
      <c r="F30" s="5" t="s">
        <v>53</v>
      </c>
      <c r="H30" s="97"/>
      <c r="I30" s="14">
        <f>SUM(H16:H29)</f>
        <v>52861.450000000004</v>
      </c>
    </row>
    <row r="32" spans="2:9" ht="16.5" thickBot="1" x14ac:dyDescent="0.3">
      <c r="F32" s="2" t="s">
        <v>54</v>
      </c>
      <c r="I32" s="15">
        <f>I30-I12</f>
        <v>5.1659299060702324E-10</v>
      </c>
    </row>
    <row r="33" spans="2:7" ht="16.5" thickTop="1" x14ac:dyDescent="0.25">
      <c r="B33" s="2" t="s">
        <v>2339</v>
      </c>
    </row>
    <row r="34" spans="2:7" x14ac:dyDescent="0.25">
      <c r="B34" s="2" t="s">
        <v>55</v>
      </c>
    </row>
    <row r="35" spans="2:7" x14ac:dyDescent="0.25">
      <c r="B35" s="13" t="s">
        <v>241</v>
      </c>
    </row>
    <row r="36" spans="2:7" x14ac:dyDescent="0.25">
      <c r="B36" s="2" t="s">
        <v>57</v>
      </c>
    </row>
    <row r="37" spans="2:7" x14ac:dyDescent="0.25">
      <c r="B37" s="2" t="s">
        <v>152</v>
      </c>
    </row>
    <row r="38" spans="2:7" x14ac:dyDescent="0.25">
      <c r="B38" s="2" t="s">
        <v>58</v>
      </c>
    </row>
    <row r="39" spans="2:7" x14ac:dyDescent="0.25">
      <c r="B39" s="2" t="s">
        <v>59</v>
      </c>
    </row>
    <row r="40" spans="2:7" x14ac:dyDescent="0.25">
      <c r="B40" s="2" t="s">
        <v>60</v>
      </c>
    </row>
    <row r="42" spans="2:7" x14ac:dyDescent="0.25">
      <c r="B42" s="2" t="s">
        <v>61</v>
      </c>
    </row>
    <row r="45" spans="2:7" x14ac:dyDescent="0.25">
      <c r="C45" s="6"/>
      <c r="D45" s="18"/>
    </row>
    <row r="46" spans="2:7" x14ac:dyDescent="0.25">
      <c r="B46" s="277" t="s">
        <v>1346</v>
      </c>
      <c r="C46" s="277"/>
      <c r="E46" s="22" t="s">
        <v>153</v>
      </c>
      <c r="F46" s="22"/>
    </row>
    <row r="47" spans="2:7" x14ac:dyDescent="0.25">
      <c r="B47" s="277" t="s">
        <v>64</v>
      </c>
      <c r="C47" s="277"/>
      <c r="E47" s="22" t="s">
        <v>154</v>
      </c>
      <c r="F47" s="22"/>
    </row>
    <row r="51" spans="2:6" x14ac:dyDescent="0.25">
      <c r="B51" s="2" t="s">
        <v>2340</v>
      </c>
      <c r="E51" s="6" t="s">
        <v>66</v>
      </c>
      <c r="F51" s="6"/>
    </row>
    <row r="52" spans="2:6" x14ac:dyDescent="0.25">
      <c r="B52" s="277" t="s">
        <v>179</v>
      </c>
      <c r="C52" s="277"/>
      <c r="E52" s="6" t="s">
        <v>68</v>
      </c>
      <c r="F52" s="6"/>
    </row>
  </sheetData>
  <mergeCells count="3">
    <mergeCell ref="B46:C46"/>
    <mergeCell ref="B47:C47"/>
    <mergeCell ref="B52:C52"/>
  </mergeCells>
  <pageMargins left="0.70866141732283472" right="0.11811023622047245" top="0.74803149606299213" bottom="0.74803149606299213" header="0.31496062992125984" footer="0.31496062992125984"/>
  <pageSetup scale="80" orientation="portrait" horizontalDpi="4294967293"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CEF24-C89F-4E59-BF26-FBF8F959CBC7}">
  <dimension ref="A1:I52"/>
  <sheetViews>
    <sheetView topLeftCell="A21" zoomScaleNormal="100" workbookViewId="0">
      <selection activeCell="E8" sqref="E8"/>
    </sheetView>
  </sheetViews>
  <sheetFormatPr baseColWidth="10" defaultColWidth="11.42578125" defaultRowHeight="15.75" x14ac:dyDescent="0.25"/>
  <cols>
    <col min="1" max="1" width="2.85546875" style="2" customWidth="1"/>
    <col min="2" max="2" width="13.7109375" style="2" customWidth="1"/>
    <col min="3" max="3" width="15.42578125" style="2" customWidth="1"/>
    <col min="4" max="4" width="12.140625" style="103" customWidth="1"/>
    <col min="5" max="5" width="15.5703125" style="2" customWidth="1"/>
    <col min="6" max="6" width="14.7109375" style="2" customWidth="1"/>
    <col min="7" max="7" width="13.5703125" style="2" customWidth="1"/>
    <col min="8" max="8" width="13" style="95" customWidth="1"/>
    <col min="9" max="9" width="18.140625" style="2" customWidth="1"/>
    <col min="10" max="10" width="12.85546875" style="2" bestFit="1" customWidth="1"/>
    <col min="11" max="16384" width="11.42578125" style="2"/>
  </cols>
  <sheetData>
    <row r="1" spans="1:9" ht="19.5" x14ac:dyDescent="0.4">
      <c r="C1" s="3" t="s">
        <v>20</v>
      </c>
    </row>
    <row r="2" spans="1:9" ht="19.5" x14ac:dyDescent="0.4">
      <c r="C2" s="3" t="s">
        <v>180</v>
      </c>
    </row>
    <row r="3" spans="1:9" x14ac:dyDescent="0.25">
      <c r="D3" s="103" t="s">
        <v>22</v>
      </c>
    </row>
    <row r="4" spans="1:9" x14ac:dyDescent="0.25">
      <c r="D4" s="104" t="s">
        <v>1342</v>
      </c>
      <c r="E4" s="9"/>
      <c r="F4" s="9"/>
    </row>
    <row r="5" spans="1:9" x14ac:dyDescent="0.25">
      <c r="B5" s="5" t="s">
        <v>1161</v>
      </c>
      <c r="I5" s="94">
        <f>'LIBRO DE CAJA (2)'!AF6</f>
        <v>81869.88</v>
      </c>
    </row>
    <row r="6" spans="1:9" x14ac:dyDescent="0.25">
      <c r="E6" s="6" t="s">
        <v>23</v>
      </c>
      <c r="F6" s="6" t="s">
        <v>24</v>
      </c>
      <c r="G6" s="6" t="s">
        <v>24</v>
      </c>
      <c r="H6" s="96" t="s">
        <v>24</v>
      </c>
    </row>
    <row r="7" spans="1:9" ht="19.5" x14ac:dyDescent="0.4">
      <c r="A7" s="2" t="s">
        <v>23</v>
      </c>
      <c r="B7" s="7" t="s">
        <v>150</v>
      </c>
      <c r="C7" s="2" t="s">
        <v>26</v>
      </c>
      <c r="D7" s="103" t="s">
        <v>27</v>
      </c>
      <c r="E7" s="5" t="s">
        <v>77</v>
      </c>
      <c r="F7" s="5" t="s">
        <v>29</v>
      </c>
      <c r="G7" s="5" t="s">
        <v>30</v>
      </c>
      <c r="H7" s="97" t="s">
        <v>31</v>
      </c>
    </row>
    <row r="8" spans="1:9" x14ac:dyDescent="0.25">
      <c r="B8" s="20" t="s">
        <v>1157</v>
      </c>
      <c r="C8" s="8" t="s">
        <v>1159</v>
      </c>
      <c r="D8" s="18" t="s">
        <v>1160</v>
      </c>
      <c r="E8" s="2">
        <f>'LIBRO DE CAJA (2)'!AD642</f>
        <v>1495349.81</v>
      </c>
      <c r="F8" s="2">
        <f>'LIBRO DE CAJA (2)'!AE642-G8</f>
        <v>409846.34999999986</v>
      </c>
      <c r="G8" s="1">
        <f>'LIBRO DE CAJA (2)'!AE161+'LIBRO DE CAJA (2)'!AE165+'LIBRO DE CAJA (2)'!AE190+'LIBRO DE CAJA (2)'!AE193+'LIBRO DE CAJA (2)'!AE235+'LIBRO DE CAJA (2)'!AE422+'LIBRO DE CAJA (2)'!AE446+'LIBRO DE CAJA (2)'!AE449+'LIBRO DE CAJA (2)'!AE472+'LIBRO DE CAJA (2)'!AE517+'LIBRO DE CAJA (2)'!AE583+'LIBRO DE CAJA (2)'!AE605+'LIBRO DE CAJA (2)'!AE608</f>
        <v>958523.1100000001</v>
      </c>
      <c r="H8" s="95" t="s">
        <v>181</v>
      </c>
      <c r="I8" s="23">
        <f>I5+E8-F8-G8</f>
        <v>208850.22999999998</v>
      </c>
    </row>
    <row r="9" spans="1:9" x14ac:dyDescent="0.25">
      <c r="B9" s="20" t="s">
        <v>1158</v>
      </c>
      <c r="C9" s="9" t="s">
        <v>1345</v>
      </c>
      <c r="D9" s="105" t="s">
        <v>1344</v>
      </c>
      <c r="E9" s="2">
        <f>'LIBRO DE CAJA (2)'!AD1379</f>
        <v>1233990.26</v>
      </c>
      <c r="F9" s="2">
        <f>'LIBRO DE CAJA (2)'!AE1379-G9</f>
        <v>429919.85000000033</v>
      </c>
      <c r="G9" s="1">
        <f>'LIBRO DE CAJA (2)'!AE673+'LIBRO DE CAJA (2)'!AE676+'LIBRO DE CAJA (2)'!AE681+'LIBRO DE CAJA (2)'!AE701+'LIBRO DE CAJA (2)'!AE704+'LIBRO DE CAJA (2)'!AE737+'LIBRO DE CAJA (2)'!AE884+'LIBRO DE CAJA (2)'!AE910+'LIBRO DE CAJA (2)'!AE970+'LIBRO DE CAJA (2)'!AE971+'LIBRO DE CAJA (2)'!AE974+'LIBRO DE CAJA (2)'!AE1168+'LIBRO DE CAJA (2)'!AE1224+'LIBRO DE CAJA (2)'!AE1229+'LIBRO DE CAJA (2)'!AE1295+'LIBRO DE CAJA (2)'!AE1349+'LIBRO DE CAJA (2)'!AE1350+'LIBRO DE CAJA (2)'!AE1351</f>
        <v>878636.35999999987</v>
      </c>
      <c r="H9" s="95" t="s">
        <v>181</v>
      </c>
      <c r="I9" s="2">
        <f>I8+E9-F9-G9</f>
        <v>134284.2799999998</v>
      </c>
    </row>
    <row r="10" spans="1:9" x14ac:dyDescent="0.25">
      <c r="B10" s="20"/>
      <c r="C10" s="9"/>
      <c r="D10" s="105"/>
      <c r="G10" s="1"/>
    </row>
    <row r="11" spans="1:9" x14ac:dyDescent="0.25">
      <c r="B11" s="20"/>
      <c r="C11" s="9"/>
      <c r="D11" s="105"/>
      <c r="G11" s="1"/>
    </row>
    <row r="12" spans="1:9" s="5" customFormat="1" x14ac:dyDescent="0.25">
      <c r="C12" s="10" t="s">
        <v>32</v>
      </c>
      <c r="D12" s="106"/>
      <c r="E12" s="5">
        <f>SUM(E8:E10)</f>
        <v>2729340.0700000003</v>
      </c>
      <c r="H12" s="97"/>
      <c r="I12" s="14">
        <f>I5+E12-F13-G13-H13</f>
        <v>134284.28000000003</v>
      </c>
    </row>
    <row r="13" spans="1:9" s="5" customFormat="1" x14ac:dyDescent="0.25">
      <c r="C13" s="10" t="s">
        <v>33</v>
      </c>
      <c r="D13" s="106">
        <v>0</v>
      </c>
      <c r="F13" s="232">
        <f>SUM(F8:F10)</f>
        <v>839766.20000000019</v>
      </c>
      <c r="G13" s="232">
        <f>SUM(G8:G10)</f>
        <v>1837159.47</v>
      </c>
      <c r="H13" s="97">
        <v>0</v>
      </c>
    </row>
    <row r="14" spans="1:9" ht="19.5" x14ac:dyDescent="0.4">
      <c r="B14" s="3" t="s">
        <v>34</v>
      </c>
      <c r="E14" s="3"/>
    </row>
    <row r="15" spans="1:9" x14ac:dyDescent="0.25">
      <c r="C15" s="5" t="s">
        <v>35</v>
      </c>
      <c r="D15" s="106" t="s">
        <v>36</v>
      </c>
      <c r="E15" s="11" t="s">
        <v>37</v>
      </c>
      <c r="F15" s="5" t="s">
        <v>38</v>
      </c>
      <c r="G15" s="5"/>
      <c r="H15" s="97" t="s">
        <v>39</v>
      </c>
    </row>
    <row r="16" spans="1:9" x14ac:dyDescent="0.25">
      <c r="D16" s="107">
        <v>10</v>
      </c>
      <c r="E16" s="2" t="s">
        <v>40</v>
      </c>
      <c r="F16" s="2">
        <v>200</v>
      </c>
      <c r="H16" s="95">
        <f>+F16*D16</f>
        <v>2000</v>
      </c>
    </row>
    <row r="17" spans="2:9" x14ac:dyDescent="0.25">
      <c r="C17" s="13"/>
      <c r="D17" s="108">
        <v>516</v>
      </c>
      <c r="E17" s="2" t="s">
        <v>41</v>
      </c>
      <c r="F17" s="2">
        <v>100</v>
      </c>
      <c r="H17" s="95">
        <f t="shared" ref="H17:H29" si="0">+F17*D17</f>
        <v>51600</v>
      </c>
    </row>
    <row r="18" spans="2:9" x14ac:dyDescent="0.25">
      <c r="C18" s="13"/>
      <c r="D18" s="108">
        <v>12</v>
      </c>
      <c r="E18" s="2" t="s">
        <v>42</v>
      </c>
      <c r="F18" s="2">
        <v>50</v>
      </c>
      <c r="H18" s="95">
        <f t="shared" si="0"/>
        <v>600</v>
      </c>
    </row>
    <row r="19" spans="2:9" x14ac:dyDescent="0.25">
      <c r="C19" s="13"/>
      <c r="D19" s="108">
        <v>25</v>
      </c>
      <c r="E19" s="2" t="s">
        <v>43</v>
      </c>
      <c r="F19" s="2">
        <v>20</v>
      </c>
      <c r="H19" s="95">
        <f t="shared" si="0"/>
        <v>500</v>
      </c>
    </row>
    <row r="20" spans="2:9" x14ac:dyDescent="0.25">
      <c r="C20" s="13"/>
      <c r="D20" s="108">
        <v>4</v>
      </c>
      <c r="E20" s="2" t="s">
        <v>44</v>
      </c>
      <c r="F20" s="2">
        <v>10</v>
      </c>
      <c r="H20" s="95">
        <f t="shared" si="0"/>
        <v>40</v>
      </c>
    </row>
    <row r="21" spans="2:9" x14ac:dyDescent="0.25">
      <c r="C21" s="13"/>
      <c r="D21" s="108">
        <v>117</v>
      </c>
      <c r="E21" s="2" t="s">
        <v>45</v>
      </c>
      <c r="F21" s="2">
        <v>5</v>
      </c>
      <c r="H21" s="95">
        <f t="shared" si="0"/>
        <v>585</v>
      </c>
    </row>
    <row r="22" spans="2:9" x14ac:dyDescent="0.25">
      <c r="C22" s="13"/>
      <c r="D22" s="108"/>
      <c r="E22" s="2" t="s">
        <v>46</v>
      </c>
      <c r="F22" s="2">
        <v>1</v>
      </c>
      <c r="H22" s="95">
        <f t="shared" si="0"/>
        <v>0</v>
      </c>
    </row>
    <row r="23" spans="2:9" x14ac:dyDescent="0.25">
      <c r="C23" s="13"/>
      <c r="D23" s="18"/>
      <c r="E23" s="11" t="s">
        <v>47</v>
      </c>
      <c r="H23" s="95">
        <f t="shared" si="0"/>
        <v>0</v>
      </c>
    </row>
    <row r="24" spans="2:9" x14ac:dyDescent="0.25">
      <c r="C24" s="13"/>
      <c r="D24" s="107">
        <v>1043</v>
      </c>
      <c r="E24" s="2" t="s">
        <v>46</v>
      </c>
      <c r="F24" s="2">
        <v>1</v>
      </c>
      <c r="H24" s="95">
        <f t="shared" si="0"/>
        <v>1043</v>
      </c>
    </row>
    <row r="25" spans="2:9" x14ac:dyDescent="0.25">
      <c r="C25" s="13"/>
      <c r="D25" s="107">
        <v>81</v>
      </c>
      <c r="E25" s="2" t="s">
        <v>48</v>
      </c>
      <c r="F25" s="2">
        <v>0.5</v>
      </c>
      <c r="H25" s="95">
        <f t="shared" si="0"/>
        <v>40.5</v>
      </c>
    </row>
    <row r="26" spans="2:9" x14ac:dyDescent="0.25">
      <c r="C26" s="13"/>
      <c r="D26" s="107">
        <v>176</v>
      </c>
      <c r="E26" s="2" t="s">
        <v>49</v>
      </c>
      <c r="F26" s="2">
        <v>0.25</v>
      </c>
      <c r="H26" s="95">
        <f t="shared" si="0"/>
        <v>44</v>
      </c>
    </row>
    <row r="27" spans="2:9" x14ac:dyDescent="0.25">
      <c r="C27" s="13"/>
      <c r="D27" s="107">
        <v>1</v>
      </c>
      <c r="E27" s="2" t="s">
        <v>50</v>
      </c>
      <c r="F27" s="2">
        <v>0.1</v>
      </c>
      <c r="H27" s="95">
        <f t="shared" si="0"/>
        <v>0.1</v>
      </c>
    </row>
    <row r="28" spans="2:9" x14ac:dyDescent="0.25">
      <c r="B28" s="5"/>
      <c r="C28" s="13"/>
      <c r="D28" s="107"/>
      <c r="E28" s="2" t="s">
        <v>51</v>
      </c>
      <c r="F28" s="2">
        <v>0.05</v>
      </c>
      <c r="H28" s="95">
        <f>+F28*D28</f>
        <v>0</v>
      </c>
    </row>
    <row r="29" spans="2:9" x14ac:dyDescent="0.25">
      <c r="B29" s="5"/>
      <c r="D29" s="107">
        <v>1</v>
      </c>
      <c r="E29" s="2" t="s">
        <v>52</v>
      </c>
      <c r="F29" s="2">
        <v>0.01</v>
      </c>
      <c r="H29" s="95">
        <f t="shared" si="0"/>
        <v>0.01</v>
      </c>
    </row>
    <row r="30" spans="2:9" s="5" customFormat="1" x14ac:dyDescent="0.25">
      <c r="D30" s="106"/>
      <c r="F30" s="5" t="s">
        <v>53</v>
      </c>
      <c r="H30" s="97"/>
      <c r="I30" s="14">
        <f>SUM(H16:H29)</f>
        <v>56452.61</v>
      </c>
    </row>
    <row r="32" spans="2:9" ht="16.5" thickBot="1" x14ac:dyDescent="0.3">
      <c r="F32" s="2" t="s">
        <v>54</v>
      </c>
      <c r="I32" s="15">
        <f>I30-I12</f>
        <v>-77831.670000000027</v>
      </c>
    </row>
    <row r="33" spans="2:7" ht="16.5" thickTop="1" x14ac:dyDescent="0.25">
      <c r="B33" s="2" t="s">
        <v>1343</v>
      </c>
    </row>
    <row r="34" spans="2:7" x14ac:dyDescent="0.25">
      <c r="B34" s="2" t="s">
        <v>55</v>
      </c>
    </row>
    <row r="35" spans="2:7" x14ac:dyDescent="0.25">
      <c r="B35" s="13" t="s">
        <v>241</v>
      </c>
    </row>
    <row r="36" spans="2:7" x14ac:dyDescent="0.25">
      <c r="B36" s="2" t="s">
        <v>57</v>
      </c>
    </row>
    <row r="37" spans="2:7" x14ac:dyDescent="0.25">
      <c r="B37" s="2" t="s">
        <v>152</v>
      </c>
    </row>
    <row r="38" spans="2:7" x14ac:dyDescent="0.25">
      <c r="B38" s="2" t="s">
        <v>58</v>
      </c>
    </row>
    <row r="39" spans="2:7" x14ac:dyDescent="0.25">
      <c r="B39" s="2" t="s">
        <v>59</v>
      </c>
    </row>
    <row r="40" spans="2:7" x14ac:dyDescent="0.25">
      <c r="B40" s="2" t="s">
        <v>60</v>
      </c>
    </row>
    <row r="42" spans="2:7" x14ac:dyDescent="0.25">
      <c r="B42" s="2" t="s">
        <v>61</v>
      </c>
    </row>
    <row r="45" spans="2:7" x14ac:dyDescent="0.25">
      <c r="C45" s="6"/>
      <c r="D45" s="18"/>
    </row>
    <row r="46" spans="2:7" x14ac:dyDescent="0.25">
      <c r="B46" s="277" t="s">
        <v>1346</v>
      </c>
      <c r="C46" s="277"/>
      <c r="E46" s="22" t="s">
        <v>153</v>
      </c>
      <c r="F46" s="22"/>
    </row>
    <row r="47" spans="2:7" x14ac:dyDescent="0.25">
      <c r="B47" s="277" t="s">
        <v>64</v>
      </c>
      <c r="C47" s="277"/>
      <c r="E47" s="22" t="s">
        <v>154</v>
      </c>
      <c r="F47" s="22"/>
    </row>
    <row r="51" spans="2:6" x14ac:dyDescent="0.25">
      <c r="B51" s="2" t="s">
        <v>255</v>
      </c>
      <c r="E51" s="6" t="s">
        <v>66</v>
      </c>
      <c r="F51" s="6"/>
    </row>
    <row r="52" spans="2:6" x14ac:dyDescent="0.25">
      <c r="B52" s="277" t="s">
        <v>179</v>
      </c>
      <c r="C52" s="277"/>
      <c r="E52" s="6" t="s">
        <v>68</v>
      </c>
      <c r="F52" s="6"/>
    </row>
  </sheetData>
  <mergeCells count="3">
    <mergeCell ref="B46:C46"/>
    <mergeCell ref="B47:C47"/>
    <mergeCell ref="B52:C52"/>
  </mergeCells>
  <pageMargins left="0.70866141732283472" right="0.11811023622047245" top="0.74803149606299213" bottom="0.74803149606299213" header="0.31496062992125984" footer="0.31496062992125984"/>
  <pageSetup scale="80" orientation="portrait" horizontalDpi="4294967293"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212D-CCC6-4EC2-A721-C94E4ABE5A68}">
  <dimension ref="A1:I52"/>
  <sheetViews>
    <sheetView zoomScale="115" zoomScaleNormal="115" workbookViewId="0">
      <selection activeCell="H28" sqref="H28"/>
    </sheetView>
  </sheetViews>
  <sheetFormatPr baseColWidth="10" defaultColWidth="11.42578125" defaultRowHeight="15.75" x14ac:dyDescent="0.25"/>
  <cols>
    <col min="1" max="1" width="2.85546875" style="2" customWidth="1"/>
    <col min="2" max="2" width="16.28515625" style="2" customWidth="1"/>
    <col min="3" max="3" width="14.42578125" style="2" customWidth="1"/>
    <col min="4" max="4" width="12.7109375" style="103" customWidth="1"/>
    <col min="5" max="5" width="14.42578125" style="2" customWidth="1"/>
    <col min="6" max="6" width="14.7109375" style="2" customWidth="1"/>
    <col min="7" max="7" width="12.5703125" style="2" customWidth="1"/>
    <col min="8" max="8" width="13.42578125" style="95" customWidth="1"/>
    <col min="9" max="9" width="18.140625" style="2" customWidth="1"/>
    <col min="10" max="10" width="12.85546875" style="2" bestFit="1" customWidth="1"/>
    <col min="11" max="16384" width="11.42578125" style="2"/>
  </cols>
  <sheetData>
    <row r="1" spans="1:9" ht="19.5" x14ac:dyDescent="0.4">
      <c r="C1" s="3" t="s">
        <v>20</v>
      </c>
    </row>
    <row r="2" spans="1:9" ht="19.5" x14ac:dyDescent="0.4">
      <c r="C2" s="3" t="s">
        <v>180</v>
      </c>
    </row>
    <row r="3" spans="1:9" x14ac:dyDescent="0.25">
      <c r="D3" s="103" t="s">
        <v>22</v>
      </c>
    </row>
    <row r="4" spans="1:9" x14ac:dyDescent="0.25">
      <c r="D4" s="104" t="s">
        <v>264</v>
      </c>
      <c r="E4" s="9"/>
      <c r="F4" s="9"/>
    </row>
    <row r="5" spans="1:9" x14ac:dyDescent="0.25">
      <c r="B5" s="5" t="s">
        <v>253</v>
      </c>
      <c r="I5" s="94" t="e">
        <f>'LIBRO DE CAJA (2)'!#REF!</f>
        <v>#REF!</v>
      </c>
    </row>
    <row r="6" spans="1:9" x14ac:dyDescent="0.25">
      <c r="E6" s="6" t="s">
        <v>23</v>
      </c>
      <c r="F6" s="6" t="s">
        <v>24</v>
      </c>
      <c r="G6" s="6" t="s">
        <v>24</v>
      </c>
      <c r="H6" s="96" t="s">
        <v>24</v>
      </c>
    </row>
    <row r="7" spans="1:9" ht="19.5" x14ac:dyDescent="0.4">
      <c r="A7" s="2" t="s">
        <v>23</v>
      </c>
      <c r="B7" s="7" t="s">
        <v>150</v>
      </c>
      <c r="C7" s="2" t="s">
        <v>26</v>
      </c>
      <c r="D7" s="103" t="s">
        <v>27</v>
      </c>
      <c r="E7" s="5" t="s">
        <v>77</v>
      </c>
      <c r="F7" s="5" t="s">
        <v>29</v>
      </c>
      <c r="G7" s="5" t="s">
        <v>30</v>
      </c>
      <c r="H7" s="97" t="s">
        <v>31</v>
      </c>
    </row>
    <row r="8" spans="1:9" x14ac:dyDescent="0.25">
      <c r="B8" s="20" t="s">
        <v>254</v>
      </c>
      <c r="C8" s="8" t="s">
        <v>267</v>
      </c>
      <c r="D8" s="18" t="s">
        <v>268</v>
      </c>
      <c r="E8" s="2" t="e">
        <f>'LIBRO DE CAJA (2)'!#REF!</f>
        <v>#REF!</v>
      </c>
      <c r="F8" s="2" t="e">
        <f>'LIBRO DE CAJA (2)'!#REF!</f>
        <v>#REF!</v>
      </c>
      <c r="G8" s="1"/>
      <c r="H8" s="95" t="s">
        <v>181</v>
      </c>
      <c r="I8" s="23" t="e">
        <f>I5+E8-F8</f>
        <v>#REF!</v>
      </c>
    </row>
    <row r="9" spans="1:9" x14ac:dyDescent="0.25">
      <c r="B9" s="20" t="s">
        <v>265</v>
      </c>
      <c r="C9" s="9" t="s">
        <v>269</v>
      </c>
      <c r="D9" s="105" t="s">
        <v>270</v>
      </c>
      <c r="E9" s="2" t="e">
        <f>'LIBRO DE CAJA (2)'!#REF!</f>
        <v>#REF!</v>
      </c>
      <c r="F9" s="2" t="e">
        <f>'LIBRO DE CAJA (2)'!#REF!-G9</f>
        <v>#REF!</v>
      </c>
      <c r="G9" s="1" t="e">
        <f>'LIBRO DE CAJA (2)'!#REF!+'LIBRO DE CAJA (2)'!#REF!+'LIBRO DE CAJA (2)'!#REF!+'LIBRO DE CAJA (2)'!#REF!+'LIBRO DE CAJA (2)'!#REF!+'LIBRO DE CAJA (2)'!#REF!+'LIBRO DE CAJA (2)'!#REF!+'LIBRO DE CAJA (2)'!#REF!</f>
        <v>#REF!</v>
      </c>
      <c r="H9" s="95" t="s">
        <v>181</v>
      </c>
      <c r="I9" s="2" t="e">
        <f>I8+E9-F9-G9</f>
        <v>#REF!</v>
      </c>
    </row>
    <row r="10" spans="1:9" x14ac:dyDescent="0.25">
      <c r="B10" s="20" t="s">
        <v>266</v>
      </c>
      <c r="C10" s="9" t="s">
        <v>271</v>
      </c>
      <c r="D10" s="105" t="s">
        <v>272</v>
      </c>
      <c r="E10" s="2">
        <f>'LIBRO DE CAJA (2)'!AD139</f>
        <v>0</v>
      </c>
      <c r="F10" s="2" t="e">
        <f>'LIBRO DE CAJA (2)'!AE139-G10</f>
        <v>#REF!</v>
      </c>
      <c r="G10" s="1" t="e">
        <f>'LIBRO DE CAJA (2)'!AE66+'LIBRO DE CAJA (2)'!AE76+'LIBRO DE CAJA (2)'!#REF!+'LIBRO DE CAJA (2)'!#REF!+'LIBRO DE CAJA (2)'!#REF!+'LIBRO DE CAJA (2)'!#REF!+'LIBRO DE CAJA (2)'!#REF!+'LIBRO DE CAJA (2)'!AE80+'LIBRO DE CAJA (2)'!AE83+'LIBRO DE CAJA (2)'!AE137</f>
        <v>#REF!</v>
      </c>
      <c r="I10" s="2" t="e">
        <f>I9+E10-F10-G10</f>
        <v>#REF!</v>
      </c>
    </row>
    <row r="11" spans="1:9" x14ac:dyDescent="0.25">
      <c r="B11" s="20"/>
      <c r="C11" s="9"/>
      <c r="D11" s="105"/>
      <c r="G11" s="1"/>
    </row>
    <row r="12" spans="1:9" s="5" customFormat="1" x14ac:dyDescent="0.25">
      <c r="C12" s="5" t="s">
        <v>32</v>
      </c>
      <c r="D12" s="106"/>
      <c r="E12" s="5" t="e">
        <f>SUM(E8:E10)</f>
        <v>#REF!</v>
      </c>
      <c r="H12" s="97"/>
      <c r="I12" s="14" t="e">
        <f>I5+E12-F13-G13-H13</f>
        <v>#REF!</v>
      </c>
    </row>
    <row r="13" spans="1:9" s="5" customFormat="1" x14ac:dyDescent="0.25">
      <c r="C13" s="5" t="s">
        <v>33</v>
      </c>
      <c r="D13" s="106">
        <v>0</v>
      </c>
      <c r="F13" s="5" t="e">
        <f>SUM(F8:F10)</f>
        <v>#REF!</v>
      </c>
      <c r="G13" s="5" t="e">
        <f>SUM(G8:G10)</f>
        <v>#REF!</v>
      </c>
      <c r="H13" s="97">
        <v>0</v>
      </c>
    </row>
    <row r="14" spans="1:9" ht="19.5" x14ac:dyDescent="0.4">
      <c r="B14" s="3" t="s">
        <v>34</v>
      </c>
      <c r="E14" s="3"/>
    </row>
    <row r="15" spans="1:9" x14ac:dyDescent="0.25">
      <c r="C15" s="5" t="s">
        <v>35</v>
      </c>
      <c r="D15" s="106" t="s">
        <v>36</v>
      </c>
      <c r="E15" s="11" t="s">
        <v>37</v>
      </c>
      <c r="F15" s="5" t="s">
        <v>38</v>
      </c>
      <c r="G15" s="5"/>
      <c r="H15" s="97" t="s">
        <v>39</v>
      </c>
    </row>
    <row r="16" spans="1:9" x14ac:dyDescent="0.25">
      <c r="D16" s="107">
        <v>236</v>
      </c>
      <c r="E16" s="2" t="s">
        <v>40</v>
      </c>
      <c r="F16" s="2">
        <v>200</v>
      </c>
      <c r="H16" s="95">
        <f>+F16*D16</f>
        <v>47200</v>
      </c>
    </row>
    <row r="17" spans="2:9" x14ac:dyDescent="0.25">
      <c r="C17" s="13"/>
      <c r="D17" s="108">
        <v>271</v>
      </c>
      <c r="E17" s="2" t="s">
        <v>41</v>
      </c>
      <c r="F17" s="2">
        <v>100</v>
      </c>
      <c r="H17" s="95">
        <f t="shared" ref="H17:H29" si="0">+F17*D17</f>
        <v>27100</v>
      </c>
    </row>
    <row r="18" spans="2:9" x14ac:dyDescent="0.25">
      <c r="C18" s="13"/>
      <c r="D18" s="108">
        <v>84</v>
      </c>
      <c r="E18" s="2" t="s">
        <v>42</v>
      </c>
      <c r="F18" s="2">
        <v>50</v>
      </c>
      <c r="H18" s="95">
        <f t="shared" si="0"/>
        <v>4200</v>
      </c>
    </row>
    <row r="19" spans="2:9" x14ac:dyDescent="0.25">
      <c r="C19" s="13"/>
      <c r="D19" s="108">
        <v>11</v>
      </c>
      <c r="E19" s="2" t="s">
        <v>43</v>
      </c>
      <c r="F19" s="2">
        <v>20</v>
      </c>
      <c r="H19" s="95">
        <f t="shared" si="0"/>
        <v>220</v>
      </c>
    </row>
    <row r="20" spans="2:9" x14ac:dyDescent="0.25">
      <c r="C20" s="13"/>
      <c r="D20" s="108">
        <v>93</v>
      </c>
      <c r="E20" s="2" t="s">
        <v>44</v>
      </c>
      <c r="F20" s="2">
        <v>10</v>
      </c>
      <c r="H20" s="95">
        <f t="shared" si="0"/>
        <v>930</v>
      </c>
    </row>
    <row r="21" spans="2:9" x14ac:dyDescent="0.25">
      <c r="C21" s="13"/>
      <c r="D21" s="108">
        <v>327</v>
      </c>
      <c r="E21" s="2" t="s">
        <v>45</v>
      </c>
      <c r="F21" s="2">
        <v>5</v>
      </c>
      <c r="H21" s="95">
        <f t="shared" si="0"/>
        <v>1635</v>
      </c>
    </row>
    <row r="22" spans="2:9" x14ac:dyDescent="0.25">
      <c r="C22" s="13"/>
      <c r="D22" s="108"/>
      <c r="E22" s="2" t="s">
        <v>46</v>
      </c>
      <c r="F22" s="2">
        <v>1</v>
      </c>
      <c r="H22" s="95">
        <f t="shared" si="0"/>
        <v>0</v>
      </c>
    </row>
    <row r="23" spans="2:9" x14ac:dyDescent="0.25">
      <c r="C23" s="13"/>
      <c r="D23" s="18"/>
      <c r="E23" s="11" t="s">
        <v>47</v>
      </c>
      <c r="H23" s="95">
        <f t="shared" si="0"/>
        <v>0</v>
      </c>
    </row>
    <row r="24" spans="2:9" x14ac:dyDescent="0.25">
      <c r="C24" s="13"/>
      <c r="D24" s="107">
        <v>525</v>
      </c>
      <c r="E24" s="2" t="s">
        <v>46</v>
      </c>
      <c r="F24" s="2">
        <v>1</v>
      </c>
      <c r="H24" s="95">
        <f t="shared" si="0"/>
        <v>525</v>
      </c>
    </row>
    <row r="25" spans="2:9" x14ac:dyDescent="0.25">
      <c r="C25" s="13"/>
      <c r="D25" s="107">
        <v>46</v>
      </c>
      <c r="E25" s="2" t="s">
        <v>48</v>
      </c>
      <c r="F25" s="2">
        <v>0.5</v>
      </c>
      <c r="H25" s="95">
        <f t="shared" si="0"/>
        <v>23</v>
      </c>
    </row>
    <row r="26" spans="2:9" x14ac:dyDescent="0.25">
      <c r="C26" s="13"/>
      <c r="D26" s="107">
        <v>87</v>
      </c>
      <c r="E26" s="2" t="s">
        <v>49</v>
      </c>
      <c r="F26" s="2">
        <v>0.25</v>
      </c>
      <c r="H26" s="95">
        <f t="shared" si="0"/>
        <v>21.75</v>
      </c>
    </row>
    <row r="27" spans="2:9" x14ac:dyDescent="0.25">
      <c r="C27" s="13"/>
      <c r="D27" s="107">
        <v>1</v>
      </c>
      <c r="E27" s="2" t="s">
        <v>50</v>
      </c>
      <c r="F27" s="2">
        <v>0.1</v>
      </c>
      <c r="H27" s="95">
        <f t="shared" si="0"/>
        <v>0.1</v>
      </c>
    </row>
    <row r="28" spans="2:9" x14ac:dyDescent="0.25">
      <c r="B28" s="5"/>
      <c r="C28" s="13"/>
      <c r="D28" s="107">
        <v>0</v>
      </c>
      <c r="E28" s="2" t="s">
        <v>51</v>
      </c>
      <c r="F28" s="2">
        <v>0.05</v>
      </c>
      <c r="H28" s="95">
        <f>+F28*D28</f>
        <v>0</v>
      </c>
    </row>
    <row r="29" spans="2:9" x14ac:dyDescent="0.25">
      <c r="B29" s="5"/>
      <c r="D29" s="107">
        <v>3</v>
      </c>
      <c r="E29" s="2" t="s">
        <v>52</v>
      </c>
      <c r="F29" s="2">
        <v>0.01</v>
      </c>
      <c r="H29" s="95">
        <f t="shared" si="0"/>
        <v>0.03</v>
      </c>
    </row>
    <row r="30" spans="2:9" s="5" customFormat="1" x14ac:dyDescent="0.25">
      <c r="D30" s="106"/>
      <c r="F30" s="5" t="s">
        <v>53</v>
      </c>
      <c r="H30" s="97"/>
      <c r="I30" s="14">
        <f>SUM(H16:H29)</f>
        <v>81854.880000000005</v>
      </c>
    </row>
    <row r="32" spans="2:9" ht="16.5" thickBot="1" x14ac:dyDescent="0.3">
      <c r="F32" s="2" t="s">
        <v>54</v>
      </c>
      <c r="I32" s="15" t="e">
        <f>I30-I12</f>
        <v>#REF!</v>
      </c>
    </row>
    <row r="33" spans="2:7" ht="16.5" thickTop="1" x14ac:dyDescent="0.25">
      <c r="B33" s="2" t="s">
        <v>273</v>
      </c>
    </row>
    <row r="34" spans="2:7" x14ac:dyDescent="0.25">
      <c r="B34" s="2" t="s">
        <v>55</v>
      </c>
    </row>
    <row r="35" spans="2:7" x14ac:dyDescent="0.25">
      <c r="B35" s="13" t="s">
        <v>241</v>
      </c>
    </row>
    <row r="36" spans="2:7" x14ac:dyDescent="0.25">
      <c r="B36" s="2" t="s">
        <v>57</v>
      </c>
    </row>
    <row r="37" spans="2:7" x14ac:dyDescent="0.25">
      <c r="B37" s="2" t="s">
        <v>152</v>
      </c>
    </row>
    <row r="38" spans="2:7" x14ac:dyDescent="0.25">
      <c r="B38" s="2" t="s">
        <v>58</v>
      </c>
    </row>
    <row r="39" spans="2:7" x14ac:dyDescent="0.25">
      <c r="B39" s="2" t="s">
        <v>59</v>
      </c>
    </row>
    <row r="40" spans="2:7" x14ac:dyDescent="0.25">
      <c r="B40" s="2" t="s">
        <v>60</v>
      </c>
    </row>
    <row r="42" spans="2:7" x14ac:dyDescent="0.25">
      <c r="B42" s="2" t="s">
        <v>61</v>
      </c>
    </row>
    <row r="45" spans="2:7" x14ac:dyDescent="0.25">
      <c r="C45" s="6"/>
      <c r="D45" s="18"/>
    </row>
    <row r="46" spans="2:7" x14ac:dyDescent="0.25">
      <c r="B46" s="277" t="s">
        <v>62</v>
      </c>
      <c r="C46" s="277"/>
      <c r="E46" s="22" t="s">
        <v>153</v>
      </c>
      <c r="F46" s="22"/>
    </row>
    <row r="47" spans="2:7" x14ac:dyDescent="0.25">
      <c r="B47" s="277" t="s">
        <v>64</v>
      </c>
      <c r="C47" s="277"/>
      <c r="E47" s="22" t="s">
        <v>154</v>
      </c>
      <c r="F47" s="22"/>
    </row>
    <row r="51" spans="2:6" x14ac:dyDescent="0.25">
      <c r="B51" s="2" t="s">
        <v>255</v>
      </c>
      <c r="E51" s="6" t="s">
        <v>66</v>
      </c>
      <c r="F51" s="6"/>
    </row>
    <row r="52" spans="2:6" x14ac:dyDescent="0.25">
      <c r="B52" s="277" t="s">
        <v>179</v>
      </c>
      <c r="C52" s="277"/>
      <c r="E52" s="6" t="s">
        <v>68</v>
      </c>
      <c r="F52" s="6"/>
    </row>
  </sheetData>
  <mergeCells count="3">
    <mergeCell ref="B46:C46"/>
    <mergeCell ref="B47:C47"/>
    <mergeCell ref="B52:C52"/>
  </mergeCells>
  <pageMargins left="0.70866141732283472" right="0.11811023622047245" top="0.74803149606299213" bottom="0.74803149606299213" header="0.31496062992125984" footer="0.31496062992125984"/>
  <pageSetup scale="80" orientation="portrait" horizontalDpi="4294967293"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2BC0-162C-499D-B735-6EBE703482A4}">
  <sheetPr codeName="Hoja3"/>
  <dimension ref="A1:J52"/>
  <sheetViews>
    <sheetView topLeftCell="A3" zoomScale="115" zoomScaleNormal="115" workbookViewId="0">
      <selection activeCell="D12" sqref="D12"/>
    </sheetView>
  </sheetViews>
  <sheetFormatPr baseColWidth="10" defaultColWidth="11.42578125" defaultRowHeight="15" x14ac:dyDescent="0.25"/>
  <cols>
    <col min="1" max="1" width="2.85546875" style="4" customWidth="1"/>
    <col min="2" max="2" width="17.85546875" style="4" customWidth="1"/>
    <col min="3" max="3" width="16.28515625" style="4" customWidth="1"/>
    <col min="4" max="4" width="12.7109375" style="4" customWidth="1"/>
    <col min="5" max="5" width="13.28515625" style="4" customWidth="1"/>
    <col min="6" max="6" width="12.5703125" style="4" customWidth="1"/>
    <col min="7" max="7" width="12.140625" style="4" customWidth="1"/>
    <col min="8" max="8" width="12.85546875" style="4" customWidth="1"/>
    <col min="9" max="9" width="18.140625" style="4" customWidth="1"/>
    <col min="10" max="16384" width="11.42578125" style="4"/>
  </cols>
  <sheetData>
    <row r="1" spans="1:10" ht="19.5" x14ac:dyDescent="0.4">
      <c r="A1" s="2"/>
      <c r="B1" s="2"/>
      <c r="C1" s="3" t="s">
        <v>20</v>
      </c>
      <c r="D1" s="2"/>
      <c r="E1" s="2"/>
      <c r="F1" s="2"/>
      <c r="G1" s="2"/>
      <c r="H1" s="2"/>
      <c r="I1" s="2"/>
      <c r="J1" s="2"/>
    </row>
    <row r="2" spans="1:10" ht="19.5" x14ac:dyDescent="0.4">
      <c r="A2" s="2"/>
      <c r="B2" s="2"/>
      <c r="C2" s="3" t="s">
        <v>180</v>
      </c>
      <c r="D2" s="2"/>
      <c r="E2" s="2"/>
      <c r="F2" s="2"/>
      <c r="G2" s="2"/>
      <c r="H2" s="2"/>
      <c r="I2" s="2"/>
      <c r="J2" s="2"/>
    </row>
    <row r="3" spans="1:10" ht="15.75" x14ac:dyDescent="0.25">
      <c r="A3" s="2"/>
      <c r="B3" s="2"/>
      <c r="C3" s="2"/>
      <c r="D3" s="2" t="s">
        <v>22</v>
      </c>
      <c r="E3" s="2"/>
      <c r="F3" s="2"/>
      <c r="G3" s="2"/>
      <c r="H3" s="2"/>
      <c r="I3" s="2"/>
      <c r="J3" s="2"/>
    </row>
    <row r="4" spans="1:10" ht="15.75" x14ac:dyDescent="0.25">
      <c r="A4" s="2"/>
      <c r="B4" s="2"/>
      <c r="C4" s="2"/>
      <c r="D4" s="9" t="s">
        <v>240</v>
      </c>
      <c r="E4" s="9"/>
      <c r="F4" s="9"/>
      <c r="G4" s="2"/>
      <c r="H4" s="2"/>
      <c r="I4" s="2"/>
      <c r="J4" s="2"/>
    </row>
    <row r="5" spans="1:10" ht="15.75" x14ac:dyDescent="0.25">
      <c r="A5" s="2"/>
      <c r="B5" s="5" t="s">
        <v>230</v>
      </c>
      <c r="C5" s="2"/>
      <c r="D5" s="2"/>
      <c r="E5" s="2"/>
      <c r="F5" s="2"/>
      <c r="G5" s="2"/>
      <c r="H5" s="2"/>
      <c r="I5" s="9" t="e">
        <f>'LIBRO DE CAJA (2)'!#REF!</f>
        <v>#REF!</v>
      </c>
      <c r="J5" s="2"/>
    </row>
    <row r="6" spans="1:10" ht="15.75" x14ac:dyDescent="0.25">
      <c r="A6" s="2"/>
      <c r="B6" s="2"/>
      <c r="C6" s="2"/>
      <c r="D6" s="2"/>
      <c r="E6" s="6" t="s">
        <v>23</v>
      </c>
      <c r="F6" s="6" t="s">
        <v>24</v>
      </c>
      <c r="G6" s="6" t="s">
        <v>24</v>
      </c>
      <c r="H6" s="6" t="s">
        <v>24</v>
      </c>
      <c r="I6" s="2"/>
      <c r="J6" s="2"/>
    </row>
    <row r="7" spans="1:10" ht="19.5" x14ac:dyDescent="0.4">
      <c r="A7" s="2" t="s">
        <v>23</v>
      </c>
      <c r="B7" s="7" t="s">
        <v>150</v>
      </c>
      <c r="C7" s="2" t="s">
        <v>26</v>
      </c>
      <c r="D7" s="2" t="s">
        <v>27</v>
      </c>
      <c r="E7" s="5" t="s">
        <v>77</v>
      </c>
      <c r="F7" s="5" t="s">
        <v>29</v>
      </c>
      <c r="G7" s="5" t="s">
        <v>30</v>
      </c>
      <c r="H7" s="5" t="s">
        <v>31</v>
      </c>
      <c r="I7" s="2"/>
      <c r="J7" s="2"/>
    </row>
    <row r="8" spans="1:10" ht="15.75" x14ac:dyDescent="0.25">
      <c r="A8" s="2"/>
      <c r="B8" s="20" t="s">
        <v>227</v>
      </c>
      <c r="C8" s="8" t="s">
        <v>228</v>
      </c>
      <c r="D8" s="18" t="s">
        <v>229</v>
      </c>
      <c r="E8" s="2" t="e">
        <f>'LIBRO DE CAJA (2)'!#REF!</f>
        <v>#REF!</v>
      </c>
      <c r="F8" s="2" t="e">
        <f>'LIBRO DE CAJA (2)'!#REF!-G8</f>
        <v>#REF!</v>
      </c>
      <c r="G8" s="1">
        <v>0</v>
      </c>
      <c r="H8" s="1" t="s">
        <v>181</v>
      </c>
      <c r="I8" s="23" t="e">
        <f>I5+E8-F8</f>
        <v>#REF!</v>
      </c>
      <c r="J8" s="2"/>
    </row>
    <row r="9" spans="1:10" ht="15.75" x14ac:dyDescent="0.25">
      <c r="A9" s="2"/>
      <c r="B9" s="20" t="s">
        <v>232</v>
      </c>
      <c r="C9" s="9" t="s">
        <v>234</v>
      </c>
      <c r="D9" s="19" t="s">
        <v>235</v>
      </c>
      <c r="E9" s="2" t="e">
        <f>'LIBRO DE CAJA (2)'!#REF!</f>
        <v>#REF!</v>
      </c>
      <c r="F9" s="2" t="e">
        <f>'LIBRO DE CAJA (2)'!#REF!</f>
        <v>#REF!</v>
      </c>
      <c r="G9" s="1">
        <v>0</v>
      </c>
      <c r="H9" s="1" t="s">
        <v>181</v>
      </c>
      <c r="I9" s="2" t="e">
        <f>I8+E9-F9</f>
        <v>#REF!</v>
      </c>
      <c r="J9" s="2"/>
    </row>
    <row r="10" spans="1:10" ht="15.75" x14ac:dyDescent="0.25">
      <c r="A10" s="2"/>
      <c r="B10" s="20" t="s">
        <v>233</v>
      </c>
      <c r="C10" s="9" t="s">
        <v>237</v>
      </c>
      <c r="D10" s="19" t="s">
        <v>236</v>
      </c>
      <c r="E10" s="2" t="e">
        <f>'LIBRO DE CAJA (2)'!#REF!</f>
        <v>#REF!</v>
      </c>
      <c r="F10" s="2" t="e">
        <f>'LIBRO DE CAJA (2)'!#REF!</f>
        <v>#REF!</v>
      </c>
      <c r="G10" s="1"/>
      <c r="H10" s="1"/>
      <c r="I10" s="2" t="e">
        <f>I9+E10-F10</f>
        <v>#REF!</v>
      </c>
      <c r="J10" s="2"/>
    </row>
    <row r="11" spans="1:10" ht="15.75" x14ac:dyDescent="0.25">
      <c r="A11" s="2"/>
      <c r="B11" s="20"/>
      <c r="C11" s="9"/>
      <c r="D11" s="19"/>
      <c r="E11" s="2"/>
      <c r="F11" s="2"/>
      <c r="G11" s="1"/>
      <c r="H11" s="1"/>
      <c r="I11" s="2"/>
      <c r="J11" s="2"/>
    </row>
    <row r="12" spans="1:10" s="10" customFormat="1" ht="15.75" x14ac:dyDescent="0.25">
      <c r="A12" s="5"/>
      <c r="B12" s="5"/>
      <c r="C12" s="5" t="s">
        <v>32</v>
      </c>
      <c r="D12" s="5"/>
      <c r="E12" s="5" t="e">
        <f>SUM(E8:E10)</f>
        <v>#REF!</v>
      </c>
      <c r="F12" s="5"/>
      <c r="G12" s="5"/>
      <c r="H12" s="5"/>
      <c r="I12" s="14" t="e">
        <f>I5+E12-F13-G13-H13</f>
        <v>#REF!</v>
      </c>
      <c r="J12" s="5"/>
    </row>
    <row r="13" spans="1:10" s="10" customFormat="1" ht="15.75" x14ac:dyDescent="0.25">
      <c r="A13" s="5"/>
      <c r="B13" s="5"/>
      <c r="C13" s="5" t="s">
        <v>33</v>
      </c>
      <c r="D13" s="5">
        <v>0</v>
      </c>
      <c r="E13" s="5"/>
      <c r="F13" s="5" t="e">
        <f>SUM(F8:F10)</f>
        <v>#REF!</v>
      </c>
      <c r="G13" s="5">
        <f>SUM(G8:G10)</f>
        <v>0</v>
      </c>
      <c r="H13" s="5">
        <v>0</v>
      </c>
      <c r="I13" s="5"/>
      <c r="J13" s="5"/>
    </row>
    <row r="14" spans="1:10" ht="19.5" x14ac:dyDescent="0.4">
      <c r="A14" s="2"/>
      <c r="B14" s="3" t="s">
        <v>34</v>
      </c>
      <c r="C14" s="2"/>
      <c r="D14" s="2"/>
      <c r="E14" s="3"/>
      <c r="F14" s="2"/>
      <c r="G14" s="2"/>
      <c r="H14" s="2"/>
      <c r="I14" s="2"/>
      <c r="J14" s="2"/>
    </row>
    <row r="15" spans="1:10" ht="15.75" x14ac:dyDescent="0.25">
      <c r="A15" s="2"/>
      <c r="B15" s="2"/>
      <c r="C15" s="5" t="s">
        <v>35</v>
      </c>
      <c r="D15" s="5" t="s">
        <v>36</v>
      </c>
      <c r="E15" s="11" t="s">
        <v>37</v>
      </c>
      <c r="F15" s="5" t="s">
        <v>38</v>
      </c>
      <c r="G15" s="5"/>
      <c r="H15" s="5" t="s">
        <v>39</v>
      </c>
      <c r="I15" s="2"/>
      <c r="J15" s="2"/>
    </row>
    <row r="16" spans="1:10" ht="15.75" x14ac:dyDescent="0.25">
      <c r="A16" s="2"/>
      <c r="B16" s="2"/>
      <c r="C16" s="2"/>
      <c r="D16" s="16">
        <v>5</v>
      </c>
      <c r="E16" s="2" t="s">
        <v>40</v>
      </c>
      <c r="F16" s="2">
        <v>200</v>
      </c>
      <c r="G16" s="2"/>
      <c r="H16" s="25">
        <f>+F16*D16</f>
        <v>1000</v>
      </c>
      <c r="I16" s="2"/>
      <c r="J16" s="2"/>
    </row>
    <row r="17" spans="1:10" ht="15.75" x14ac:dyDescent="0.25">
      <c r="A17" s="2"/>
      <c r="B17" s="2"/>
      <c r="C17" s="13"/>
      <c r="D17" s="17">
        <v>545</v>
      </c>
      <c r="E17" s="2" t="s">
        <v>41</v>
      </c>
      <c r="F17" s="2">
        <v>100</v>
      </c>
      <c r="G17" s="2"/>
      <c r="H17" s="25">
        <f t="shared" ref="H17:H29" si="0">+F17*D17</f>
        <v>54500</v>
      </c>
      <c r="I17" s="2"/>
      <c r="J17" s="2"/>
    </row>
    <row r="18" spans="1:10" ht="15.75" x14ac:dyDescent="0.25">
      <c r="A18" s="2"/>
      <c r="B18" s="2"/>
      <c r="C18" s="13"/>
      <c r="D18" s="17">
        <v>1</v>
      </c>
      <c r="E18" s="2" t="s">
        <v>42</v>
      </c>
      <c r="F18" s="2">
        <v>50</v>
      </c>
      <c r="G18" s="2"/>
      <c r="H18" s="25">
        <f t="shared" si="0"/>
        <v>50</v>
      </c>
      <c r="I18" s="2"/>
      <c r="J18" s="2"/>
    </row>
    <row r="19" spans="1:10" ht="15.75" x14ac:dyDescent="0.25">
      <c r="A19" s="2"/>
      <c r="B19" s="2"/>
      <c r="C19" s="13"/>
      <c r="D19" s="17">
        <v>0</v>
      </c>
      <c r="E19" s="2" t="s">
        <v>43</v>
      </c>
      <c r="F19" s="2">
        <v>20</v>
      </c>
      <c r="G19" s="2"/>
      <c r="H19" s="25">
        <f t="shared" si="0"/>
        <v>0</v>
      </c>
      <c r="I19" s="2"/>
      <c r="J19" s="2"/>
    </row>
    <row r="20" spans="1:10" ht="15.75" x14ac:dyDescent="0.25">
      <c r="A20" s="2"/>
      <c r="B20" s="2"/>
      <c r="C20" s="13"/>
      <c r="D20" s="17">
        <v>100</v>
      </c>
      <c r="E20" s="2" t="s">
        <v>44</v>
      </c>
      <c r="F20" s="2">
        <v>10</v>
      </c>
      <c r="G20" s="2"/>
      <c r="H20" s="25">
        <f t="shared" si="0"/>
        <v>1000</v>
      </c>
      <c r="I20" s="2"/>
      <c r="J20" s="2"/>
    </row>
    <row r="21" spans="1:10" ht="15.75" x14ac:dyDescent="0.25">
      <c r="A21" s="2"/>
      <c r="B21" s="2"/>
      <c r="C21" s="13"/>
      <c r="D21" s="17">
        <v>334</v>
      </c>
      <c r="E21" s="2" t="s">
        <v>45</v>
      </c>
      <c r="F21" s="2">
        <v>5</v>
      </c>
      <c r="G21" s="2"/>
      <c r="H21" s="25">
        <f t="shared" si="0"/>
        <v>1670</v>
      </c>
      <c r="I21" s="2"/>
      <c r="J21" s="2"/>
    </row>
    <row r="22" spans="1:10" ht="15.75" x14ac:dyDescent="0.25">
      <c r="A22" s="2"/>
      <c r="B22" s="2"/>
      <c r="C22" s="13"/>
      <c r="D22" s="17"/>
      <c r="E22" s="2" t="s">
        <v>46</v>
      </c>
      <c r="F22" s="2">
        <v>1</v>
      </c>
      <c r="G22" s="2"/>
      <c r="H22" s="25">
        <f t="shared" si="0"/>
        <v>0</v>
      </c>
      <c r="I22" s="2"/>
      <c r="J22" s="2"/>
    </row>
    <row r="23" spans="1:10" ht="15.75" x14ac:dyDescent="0.25">
      <c r="A23" s="2"/>
      <c r="B23" s="2"/>
      <c r="C23" s="13"/>
      <c r="D23" s="12"/>
      <c r="E23" s="11" t="s">
        <v>47</v>
      </c>
      <c r="F23" s="2"/>
      <c r="G23" s="2"/>
      <c r="H23" s="25">
        <f t="shared" si="0"/>
        <v>0</v>
      </c>
      <c r="I23" s="2"/>
      <c r="J23" s="2"/>
    </row>
    <row r="24" spans="1:10" ht="15.75" x14ac:dyDescent="0.25">
      <c r="A24" s="2"/>
      <c r="B24" s="2"/>
      <c r="C24" s="13"/>
      <c r="D24" s="16">
        <v>400</v>
      </c>
      <c r="E24" s="2" t="s">
        <v>46</v>
      </c>
      <c r="F24" s="2">
        <v>1</v>
      </c>
      <c r="G24" s="2"/>
      <c r="H24" s="25">
        <f t="shared" si="0"/>
        <v>400</v>
      </c>
      <c r="I24" s="2"/>
      <c r="J24" s="2"/>
    </row>
    <row r="25" spans="1:10" ht="15.75" x14ac:dyDescent="0.25">
      <c r="A25" s="2"/>
      <c r="B25" s="2"/>
      <c r="C25" s="13"/>
      <c r="D25" s="16">
        <v>20</v>
      </c>
      <c r="E25" s="2" t="s">
        <v>48</v>
      </c>
      <c r="F25" s="2">
        <v>0.5</v>
      </c>
      <c r="G25" s="2"/>
      <c r="H25" s="25">
        <f t="shared" si="0"/>
        <v>10</v>
      </c>
      <c r="I25" s="2"/>
      <c r="J25" s="2"/>
    </row>
    <row r="26" spans="1:10" ht="15.75" x14ac:dyDescent="0.25">
      <c r="A26" s="2"/>
      <c r="B26" s="2"/>
      <c r="C26" s="13"/>
      <c r="D26" s="16">
        <v>33</v>
      </c>
      <c r="E26" s="2" t="s">
        <v>49</v>
      </c>
      <c r="F26" s="2">
        <v>0.25</v>
      </c>
      <c r="G26" s="2"/>
      <c r="H26" s="25">
        <f t="shared" si="0"/>
        <v>8.25</v>
      </c>
      <c r="I26" s="2"/>
      <c r="J26" s="2"/>
    </row>
    <row r="27" spans="1:10" ht="15.75" x14ac:dyDescent="0.25">
      <c r="A27" s="2"/>
      <c r="B27" s="2"/>
      <c r="C27" s="13"/>
      <c r="D27" s="16">
        <v>3</v>
      </c>
      <c r="E27" s="2" t="s">
        <v>50</v>
      </c>
      <c r="F27" s="2">
        <v>0.1</v>
      </c>
      <c r="G27" s="2"/>
      <c r="H27" s="25">
        <f t="shared" si="0"/>
        <v>0.30000000000000004</v>
      </c>
      <c r="I27" s="2"/>
      <c r="J27" s="2"/>
    </row>
    <row r="28" spans="1:10" ht="15.75" x14ac:dyDescent="0.25">
      <c r="A28" s="2"/>
      <c r="B28" s="5"/>
      <c r="C28" s="13"/>
      <c r="D28" s="16">
        <v>0</v>
      </c>
      <c r="E28" s="2" t="s">
        <v>51</v>
      </c>
      <c r="F28" s="2">
        <v>0.05</v>
      </c>
      <c r="G28" s="2"/>
      <c r="H28" s="24">
        <f>+F28*D28</f>
        <v>0</v>
      </c>
      <c r="I28" s="2"/>
      <c r="J28" s="2"/>
    </row>
    <row r="29" spans="1:10" ht="15.75" x14ac:dyDescent="0.25">
      <c r="A29" s="2"/>
      <c r="B29" s="5"/>
      <c r="C29" s="2"/>
      <c r="D29" s="16"/>
      <c r="E29" s="2" t="s">
        <v>52</v>
      </c>
      <c r="F29" s="2">
        <v>0.01</v>
      </c>
      <c r="G29" s="2"/>
      <c r="H29" s="25">
        <f t="shared" si="0"/>
        <v>0</v>
      </c>
      <c r="I29" s="2"/>
      <c r="J29" s="2"/>
    </row>
    <row r="30" spans="1:10" s="10" customFormat="1" ht="15.75" x14ac:dyDescent="0.25">
      <c r="A30" s="5"/>
      <c r="B30" s="5"/>
      <c r="C30" s="5"/>
      <c r="D30" s="5"/>
      <c r="E30" s="5"/>
      <c r="F30" s="5" t="s">
        <v>53</v>
      </c>
      <c r="G30" s="5"/>
      <c r="H30" s="5"/>
      <c r="I30" s="14">
        <f>SUM(H16:H29)</f>
        <v>58638.55</v>
      </c>
      <c r="J30" s="5"/>
    </row>
    <row r="31" spans="1:10" ht="15.75" x14ac:dyDescent="0.25">
      <c r="A31" s="2"/>
      <c r="B31" s="2"/>
      <c r="C31" s="2"/>
      <c r="D31" s="2"/>
      <c r="E31" s="2"/>
      <c r="F31" s="2"/>
      <c r="G31" s="2"/>
      <c r="H31" s="2"/>
      <c r="I31" s="2"/>
      <c r="J31" s="2"/>
    </row>
    <row r="32" spans="1:10" ht="16.5" thickBot="1" x14ac:dyDescent="0.3">
      <c r="A32" s="2"/>
      <c r="B32" s="2"/>
      <c r="C32" s="2"/>
      <c r="D32" s="2"/>
      <c r="E32" s="2"/>
      <c r="F32" s="2" t="s">
        <v>54</v>
      </c>
      <c r="G32" s="2"/>
      <c r="H32" s="2"/>
      <c r="I32" s="15">
        <f>I3</f>
        <v>0</v>
      </c>
      <c r="J32" s="2"/>
    </row>
    <row r="33" spans="1:10" ht="16.5" thickTop="1" x14ac:dyDescent="0.25">
      <c r="A33" s="2"/>
      <c r="B33" s="2" t="s">
        <v>238</v>
      </c>
      <c r="C33" s="2"/>
      <c r="D33" s="2"/>
      <c r="E33" s="2"/>
      <c r="F33" s="2"/>
      <c r="G33" s="2"/>
      <c r="H33" s="2"/>
      <c r="I33" s="2"/>
      <c r="J33" s="2"/>
    </row>
    <row r="34" spans="1:10" ht="15.75" x14ac:dyDescent="0.25">
      <c r="A34" s="2"/>
      <c r="B34" s="2" t="s">
        <v>55</v>
      </c>
      <c r="C34" s="2"/>
      <c r="D34" s="2"/>
      <c r="E34" s="2"/>
      <c r="F34" s="2"/>
      <c r="G34" s="2"/>
      <c r="H34" s="2"/>
      <c r="I34" s="2"/>
      <c r="J34" s="2"/>
    </row>
    <row r="35" spans="1:10" ht="15.75" x14ac:dyDescent="0.25">
      <c r="A35" s="2"/>
      <c r="B35" s="13" t="s">
        <v>241</v>
      </c>
      <c r="C35" s="2"/>
      <c r="D35" s="2"/>
      <c r="E35" s="2"/>
      <c r="F35" s="2"/>
      <c r="G35" s="2"/>
      <c r="H35" s="2"/>
      <c r="I35" s="2"/>
      <c r="J35" s="2"/>
    </row>
    <row r="36" spans="1:10" ht="15.75" x14ac:dyDescent="0.25">
      <c r="A36" s="2"/>
      <c r="B36" s="2" t="s">
        <v>57</v>
      </c>
      <c r="C36" s="2"/>
      <c r="D36" s="2"/>
      <c r="E36" s="2"/>
      <c r="F36" s="2"/>
      <c r="G36" s="2"/>
      <c r="H36" s="2"/>
      <c r="I36" s="2"/>
      <c r="J36" s="2"/>
    </row>
    <row r="37" spans="1:10" ht="15.75" x14ac:dyDescent="0.25">
      <c r="A37" s="2"/>
      <c r="B37" s="2" t="s">
        <v>152</v>
      </c>
      <c r="C37" s="2"/>
      <c r="D37" s="2"/>
      <c r="E37" s="2"/>
      <c r="F37" s="2"/>
      <c r="G37" s="2"/>
      <c r="H37" s="2"/>
      <c r="I37" s="2"/>
      <c r="J37" s="2"/>
    </row>
    <row r="38" spans="1:10" ht="15.75" x14ac:dyDescent="0.25">
      <c r="A38" s="2"/>
      <c r="B38" s="2" t="s">
        <v>58</v>
      </c>
      <c r="C38" s="2"/>
      <c r="D38" s="2"/>
      <c r="E38" s="2"/>
      <c r="F38" s="2"/>
      <c r="G38" s="2"/>
      <c r="H38" s="2"/>
      <c r="I38" s="2"/>
      <c r="J38" s="2"/>
    </row>
    <row r="39" spans="1:10" ht="15.75" x14ac:dyDescent="0.25">
      <c r="A39" s="2"/>
      <c r="B39" s="2" t="s">
        <v>59</v>
      </c>
      <c r="C39" s="2"/>
      <c r="D39" s="2"/>
      <c r="E39" s="2"/>
      <c r="F39" s="2"/>
      <c r="G39" s="2"/>
      <c r="H39" s="2"/>
      <c r="I39" s="2"/>
      <c r="J39" s="2"/>
    </row>
    <row r="40" spans="1:10" ht="15.75" x14ac:dyDescent="0.25">
      <c r="A40" s="2"/>
      <c r="B40" s="2" t="s">
        <v>60</v>
      </c>
      <c r="C40" s="2"/>
      <c r="D40" s="2"/>
      <c r="E40" s="2"/>
      <c r="F40" s="2"/>
      <c r="G40" s="2"/>
      <c r="H40" s="2"/>
      <c r="I40" s="2"/>
      <c r="J40" s="2"/>
    </row>
    <row r="41" spans="1:10" ht="15.75" x14ac:dyDescent="0.25">
      <c r="A41" s="2"/>
      <c r="B41" s="2"/>
      <c r="C41" s="2"/>
      <c r="D41" s="2"/>
      <c r="E41" s="2"/>
      <c r="F41" s="2"/>
      <c r="G41" s="2"/>
      <c r="H41" s="2"/>
      <c r="I41" s="2"/>
      <c r="J41" s="2"/>
    </row>
    <row r="42" spans="1:10" ht="15.75" x14ac:dyDescent="0.25">
      <c r="A42" s="2"/>
      <c r="B42" s="2" t="s">
        <v>61</v>
      </c>
      <c r="C42" s="2"/>
      <c r="D42" s="2"/>
      <c r="E42" s="2"/>
      <c r="F42" s="2"/>
      <c r="G42" s="2"/>
      <c r="H42" s="2"/>
      <c r="I42" s="2"/>
      <c r="J42" s="2"/>
    </row>
    <row r="43" spans="1:10" ht="15.75" x14ac:dyDescent="0.25">
      <c r="A43" s="2"/>
      <c r="B43" s="2"/>
      <c r="C43" s="2"/>
      <c r="D43" s="2"/>
      <c r="E43" s="2"/>
      <c r="F43" s="2"/>
      <c r="G43" s="2"/>
      <c r="H43" s="2"/>
      <c r="I43" s="2"/>
      <c r="J43" s="2"/>
    </row>
    <row r="44" spans="1:10" ht="15.75" x14ac:dyDescent="0.25">
      <c r="A44" s="2"/>
      <c r="B44" s="2"/>
      <c r="C44" s="2"/>
      <c r="D44" s="2"/>
      <c r="E44" s="2"/>
      <c r="F44" s="2"/>
      <c r="G44" s="2"/>
      <c r="H44" s="2"/>
      <c r="I44" s="2"/>
      <c r="J44" s="2"/>
    </row>
    <row r="45" spans="1:10" ht="15.75" x14ac:dyDescent="0.25">
      <c r="A45" s="2"/>
      <c r="B45" s="2"/>
      <c r="C45" s="2"/>
      <c r="D45" s="2"/>
      <c r="E45" s="2"/>
      <c r="F45" s="2"/>
      <c r="G45" s="2"/>
      <c r="H45" s="2"/>
      <c r="I45" s="2"/>
      <c r="J45" s="2"/>
    </row>
    <row r="46" spans="1:10" ht="15.75" x14ac:dyDescent="0.25">
      <c r="A46" s="2"/>
      <c r="B46" s="6" t="s">
        <v>62</v>
      </c>
      <c r="C46" s="6"/>
      <c r="D46" s="2"/>
      <c r="E46" s="22" t="s">
        <v>153</v>
      </c>
      <c r="F46" s="22"/>
      <c r="G46" s="2"/>
      <c r="H46" s="2"/>
      <c r="I46" s="2"/>
      <c r="J46" s="2"/>
    </row>
    <row r="47" spans="1:10" ht="15.75" x14ac:dyDescent="0.25">
      <c r="A47" s="2"/>
      <c r="B47" s="6" t="s">
        <v>64</v>
      </c>
      <c r="C47" s="6"/>
      <c r="D47" s="2"/>
      <c r="E47" s="22" t="s">
        <v>154</v>
      </c>
      <c r="F47" s="22"/>
      <c r="G47" s="2"/>
      <c r="H47" s="2"/>
      <c r="I47" s="2"/>
      <c r="J47" s="2"/>
    </row>
    <row r="48" spans="1:10" ht="15.75" x14ac:dyDescent="0.25">
      <c r="A48" s="2"/>
      <c r="B48" s="2"/>
      <c r="C48" s="2"/>
      <c r="D48" s="2"/>
      <c r="E48" s="2"/>
      <c r="F48" s="2"/>
      <c r="G48" s="2"/>
      <c r="H48" s="2"/>
      <c r="I48" s="2"/>
      <c r="J48" s="2"/>
    </row>
    <row r="49" spans="1:10" ht="15.75" x14ac:dyDescent="0.25">
      <c r="A49" s="2"/>
      <c r="B49" s="2"/>
      <c r="C49" s="2"/>
      <c r="D49" s="2"/>
      <c r="E49" s="2"/>
      <c r="F49" s="2"/>
      <c r="G49" s="2"/>
      <c r="H49" s="2"/>
      <c r="I49" s="2"/>
      <c r="J49" s="2"/>
    </row>
    <row r="50" spans="1:10" ht="15.75" x14ac:dyDescent="0.25">
      <c r="A50" s="2"/>
      <c r="B50" s="2"/>
      <c r="C50" s="2"/>
      <c r="D50" s="2"/>
      <c r="E50" s="2"/>
      <c r="F50" s="2"/>
      <c r="G50" s="2"/>
      <c r="H50" s="2"/>
      <c r="I50" s="2"/>
      <c r="J50" s="2"/>
    </row>
    <row r="51" spans="1:10" ht="15.75" x14ac:dyDescent="0.25">
      <c r="A51" s="2"/>
      <c r="B51" s="2" t="s">
        <v>162</v>
      </c>
      <c r="C51" s="2"/>
      <c r="D51" s="2"/>
      <c r="E51" s="6" t="s">
        <v>66</v>
      </c>
      <c r="F51" s="6"/>
      <c r="G51" s="2"/>
      <c r="H51" s="2"/>
      <c r="I51" s="2"/>
      <c r="J51" s="2"/>
    </row>
    <row r="52" spans="1:10" ht="15.75" x14ac:dyDescent="0.25">
      <c r="A52" s="2"/>
      <c r="B52" s="2" t="s">
        <v>239</v>
      </c>
      <c r="C52" s="2"/>
      <c r="D52" s="2"/>
      <c r="E52" s="6" t="s">
        <v>68</v>
      </c>
      <c r="F52" s="6"/>
      <c r="G52" s="2"/>
      <c r="H52" s="2"/>
      <c r="I52" s="2"/>
      <c r="J52" s="2"/>
    </row>
  </sheetData>
  <pageMargins left="0.70866141732283472" right="0.11811023622047245" top="0.74803149606299213" bottom="0.74803149606299213" header="0.31496062992125984" footer="0.31496062992125984"/>
  <pageSetup scale="80" orientation="portrait" horizontalDpi="4294967293"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0182-0258-4197-8F5E-AA6DF7A056BA}">
  <sheetPr codeName="Hoja4"/>
  <dimension ref="A1:J52"/>
  <sheetViews>
    <sheetView zoomScale="85" zoomScaleNormal="85" workbookViewId="0">
      <selection activeCell="D4" sqref="D4:F4"/>
    </sheetView>
  </sheetViews>
  <sheetFormatPr baseColWidth="10" defaultColWidth="11.42578125" defaultRowHeight="15" x14ac:dyDescent="0.25"/>
  <cols>
    <col min="1" max="1" width="2.85546875" style="4" customWidth="1"/>
    <col min="2" max="2" width="18.85546875" style="4" customWidth="1"/>
    <col min="3" max="3" width="17.7109375" style="4" customWidth="1"/>
    <col min="4" max="4" width="12.7109375" style="4" customWidth="1"/>
    <col min="5" max="5" width="14.85546875" style="4" customWidth="1"/>
    <col min="6" max="6" width="14.42578125" style="4" bestFit="1" customWidth="1"/>
    <col min="7" max="7" width="14.7109375" style="4" customWidth="1"/>
    <col min="8" max="8" width="13.5703125" style="4" customWidth="1"/>
    <col min="9" max="9" width="18.140625" style="4" customWidth="1"/>
    <col min="10" max="16384" width="11.42578125" style="4"/>
  </cols>
  <sheetData>
    <row r="1" spans="1:10" ht="19.5" x14ac:dyDescent="0.4">
      <c r="A1" s="2"/>
      <c r="B1" s="2"/>
      <c r="C1" s="3" t="s">
        <v>20</v>
      </c>
      <c r="D1" s="2"/>
      <c r="E1" s="2"/>
      <c r="F1" s="2"/>
      <c r="G1" s="2"/>
      <c r="H1" s="2"/>
      <c r="I1" s="2"/>
      <c r="J1" s="2"/>
    </row>
    <row r="2" spans="1:10" ht="19.5" x14ac:dyDescent="0.4">
      <c r="A2" s="2"/>
      <c r="B2" s="2"/>
      <c r="C2" s="3" t="s">
        <v>180</v>
      </c>
      <c r="D2" s="2"/>
      <c r="E2" s="2"/>
      <c r="F2" s="2"/>
      <c r="G2" s="2"/>
      <c r="H2" s="2"/>
      <c r="I2" s="2"/>
      <c r="J2" s="2"/>
    </row>
    <row r="3" spans="1:10" ht="15.75" x14ac:dyDescent="0.25">
      <c r="A3" s="2"/>
      <c r="B3" s="2"/>
      <c r="C3" s="2"/>
      <c r="D3" s="2" t="s">
        <v>22</v>
      </c>
      <c r="E3" s="2"/>
      <c r="F3" s="2"/>
      <c r="G3" s="2"/>
      <c r="H3" s="2"/>
      <c r="I3" s="2"/>
      <c r="J3" s="2"/>
    </row>
    <row r="4" spans="1:10" ht="15.75" x14ac:dyDescent="0.25">
      <c r="A4" s="2"/>
      <c r="B4" s="2"/>
      <c r="C4" s="2"/>
      <c r="D4" s="9" t="s">
        <v>192</v>
      </c>
      <c r="E4" s="9"/>
      <c r="F4" s="9"/>
      <c r="G4" s="2"/>
      <c r="H4" s="2"/>
      <c r="I4" s="2"/>
      <c r="J4" s="2"/>
    </row>
    <row r="5" spans="1:10" ht="15.75" x14ac:dyDescent="0.25">
      <c r="A5" s="2"/>
      <c r="B5" s="5" t="s">
        <v>193</v>
      </c>
      <c r="C5" s="2"/>
      <c r="D5" s="2"/>
      <c r="E5" s="2"/>
      <c r="F5" s="2"/>
      <c r="G5" s="2"/>
      <c r="H5" s="2"/>
      <c r="I5" s="9" t="e">
        <f>#REF!</f>
        <v>#REF!</v>
      </c>
      <c r="J5" s="2"/>
    </row>
    <row r="6" spans="1:10" ht="15.75" x14ac:dyDescent="0.25">
      <c r="A6" s="2"/>
      <c r="B6" s="2"/>
      <c r="C6" s="2"/>
      <c r="D6" s="2"/>
      <c r="E6" s="6" t="s">
        <v>23</v>
      </c>
      <c r="F6" s="6" t="s">
        <v>24</v>
      </c>
      <c r="G6" s="6" t="s">
        <v>24</v>
      </c>
      <c r="H6" s="6" t="s">
        <v>24</v>
      </c>
      <c r="I6" s="2"/>
      <c r="J6" s="2"/>
    </row>
    <row r="7" spans="1:10" ht="19.5" x14ac:dyDescent="0.4">
      <c r="A7" s="2" t="s">
        <v>23</v>
      </c>
      <c r="B7" s="7" t="s">
        <v>150</v>
      </c>
      <c r="C7" s="2" t="s">
        <v>26</v>
      </c>
      <c r="D7" s="2" t="s">
        <v>27</v>
      </c>
      <c r="E7" s="5" t="s">
        <v>77</v>
      </c>
      <c r="F7" s="5" t="s">
        <v>29</v>
      </c>
      <c r="G7" s="5" t="s">
        <v>30</v>
      </c>
      <c r="H7" s="5" t="s">
        <v>31</v>
      </c>
      <c r="I7" s="2"/>
      <c r="J7" s="2"/>
    </row>
    <row r="8" spans="1:10" ht="15.75" x14ac:dyDescent="0.25">
      <c r="A8" s="2"/>
      <c r="B8" s="20"/>
      <c r="C8" s="8" t="s">
        <v>184</v>
      </c>
      <c r="D8" s="18" t="s">
        <v>185</v>
      </c>
      <c r="E8" s="2" t="e">
        <f>#REF!</f>
        <v>#REF!</v>
      </c>
      <c r="F8" s="2" t="e">
        <f>#REF!</f>
        <v>#REF!</v>
      </c>
      <c r="G8" s="1">
        <v>0</v>
      </c>
      <c r="H8" s="1" t="s">
        <v>181</v>
      </c>
      <c r="I8" s="23" t="e">
        <f>I5+E8-F8-G8</f>
        <v>#REF!</v>
      </c>
      <c r="J8" s="2"/>
    </row>
    <row r="9" spans="1:10" ht="15.75" x14ac:dyDescent="0.25">
      <c r="A9" s="2"/>
      <c r="B9" s="20" t="s">
        <v>186</v>
      </c>
      <c r="C9" s="9" t="s">
        <v>188</v>
      </c>
      <c r="D9" s="19" t="s">
        <v>189</v>
      </c>
      <c r="E9" s="2" t="e">
        <f>#REF!</f>
        <v>#REF!</v>
      </c>
      <c r="F9" s="2" t="e">
        <f>#REF!</f>
        <v>#REF!</v>
      </c>
      <c r="G9" s="1">
        <v>0</v>
      </c>
      <c r="H9" s="1" t="s">
        <v>181</v>
      </c>
      <c r="I9" s="2" t="e">
        <f>I8+E9-F9-G9</f>
        <v>#REF!</v>
      </c>
      <c r="J9" s="2"/>
    </row>
    <row r="10" spans="1:10" ht="15.75" x14ac:dyDescent="0.25">
      <c r="A10" s="2"/>
      <c r="B10" s="20" t="s">
        <v>187</v>
      </c>
      <c r="C10" s="9" t="s">
        <v>190</v>
      </c>
      <c r="D10" s="19" t="s">
        <v>191</v>
      </c>
      <c r="E10" s="2" t="e">
        <f>#REF!</f>
        <v>#REF!</v>
      </c>
      <c r="F10" s="2" t="e">
        <f>#REF!</f>
        <v>#REF!</v>
      </c>
      <c r="G10" s="1"/>
      <c r="H10" s="1"/>
      <c r="I10" s="2" t="e">
        <f>+I9+E10-F10-G10</f>
        <v>#REF!</v>
      </c>
      <c r="J10" s="2"/>
    </row>
    <row r="11" spans="1:10" ht="15.75" x14ac:dyDescent="0.25">
      <c r="A11" s="2"/>
      <c r="B11" s="20"/>
      <c r="C11" s="9"/>
      <c r="D11" s="19"/>
      <c r="E11" s="2"/>
      <c r="F11" s="2"/>
      <c r="G11" s="1"/>
      <c r="H11" s="1"/>
      <c r="I11" s="2"/>
      <c r="J11" s="2"/>
    </row>
    <row r="12" spans="1:10" s="10" customFormat="1" ht="15.75" x14ac:dyDescent="0.25">
      <c r="A12" s="5"/>
      <c r="B12" s="5"/>
      <c r="C12" s="5" t="s">
        <v>32</v>
      </c>
      <c r="D12" s="5"/>
      <c r="E12" s="5" t="e">
        <f>SUM(E8:E10)</f>
        <v>#REF!</v>
      </c>
      <c r="F12" s="5"/>
      <c r="G12" s="5"/>
      <c r="H12" s="5"/>
      <c r="I12" s="14" t="e">
        <f>I5+E12-F13-G13-H13</f>
        <v>#REF!</v>
      </c>
      <c r="J12" s="5"/>
    </row>
    <row r="13" spans="1:10" s="10" customFormat="1" ht="15.75" x14ac:dyDescent="0.25">
      <c r="A13" s="5"/>
      <c r="B13" s="5"/>
      <c r="C13" s="5" t="s">
        <v>33</v>
      </c>
      <c r="D13" s="5">
        <v>0</v>
      </c>
      <c r="E13" s="5"/>
      <c r="F13" s="5" t="e">
        <f>SUM(F8:F10)</f>
        <v>#REF!</v>
      </c>
      <c r="G13" s="5">
        <f>SUM(G8:G10)</f>
        <v>0</v>
      </c>
      <c r="H13" s="5">
        <v>0</v>
      </c>
      <c r="I13" s="5"/>
      <c r="J13" s="5"/>
    </row>
    <row r="14" spans="1:10" ht="19.5" x14ac:dyDescent="0.4">
      <c r="A14" s="2"/>
      <c r="B14" s="3" t="s">
        <v>34</v>
      </c>
      <c r="C14" s="2"/>
      <c r="D14" s="2"/>
      <c r="E14" s="3"/>
      <c r="F14" s="2"/>
      <c r="G14" s="2"/>
      <c r="H14" s="2"/>
      <c r="I14" s="2"/>
      <c r="J14" s="2"/>
    </row>
    <row r="15" spans="1:10" ht="15.75" x14ac:dyDescent="0.25">
      <c r="A15" s="2"/>
      <c r="B15" s="2"/>
      <c r="C15" s="5" t="s">
        <v>35</v>
      </c>
      <c r="D15" s="5" t="s">
        <v>36</v>
      </c>
      <c r="E15" s="11" t="s">
        <v>37</v>
      </c>
      <c r="F15" s="5" t="s">
        <v>38</v>
      </c>
      <c r="G15" s="5"/>
      <c r="H15" s="5" t="s">
        <v>39</v>
      </c>
      <c r="I15" s="2"/>
      <c r="J15" s="2"/>
    </row>
    <row r="16" spans="1:10" ht="15.75" x14ac:dyDescent="0.25">
      <c r="A16" s="2"/>
      <c r="B16" s="2"/>
      <c r="C16" s="2"/>
      <c r="D16" s="16"/>
      <c r="E16" s="2" t="s">
        <v>40</v>
      </c>
      <c r="F16" s="2">
        <v>200</v>
      </c>
      <c r="G16" s="2"/>
      <c r="H16" s="25">
        <f>+F16*D16</f>
        <v>0</v>
      </c>
      <c r="I16" s="2"/>
      <c r="J16" s="2"/>
    </row>
    <row r="17" spans="1:10" ht="15.75" x14ac:dyDescent="0.25">
      <c r="A17" s="2"/>
      <c r="B17" s="2"/>
      <c r="C17" s="13"/>
      <c r="D17" s="17">
        <v>491</v>
      </c>
      <c r="E17" s="2" t="s">
        <v>41</v>
      </c>
      <c r="F17" s="2">
        <v>100</v>
      </c>
      <c r="G17" s="2"/>
      <c r="H17" s="25">
        <f t="shared" ref="H17:H29" si="0">+F17*D17</f>
        <v>49100</v>
      </c>
      <c r="I17" s="2"/>
      <c r="J17" s="2"/>
    </row>
    <row r="18" spans="1:10" ht="15.75" x14ac:dyDescent="0.25">
      <c r="A18" s="2"/>
      <c r="B18" s="2"/>
      <c r="C18" s="13"/>
      <c r="D18" s="17">
        <v>25</v>
      </c>
      <c r="E18" s="2" t="s">
        <v>42</v>
      </c>
      <c r="F18" s="2">
        <v>50</v>
      </c>
      <c r="G18" s="2"/>
      <c r="H18" s="25">
        <f t="shared" si="0"/>
        <v>1250</v>
      </c>
      <c r="I18" s="2"/>
      <c r="J18" s="2"/>
    </row>
    <row r="19" spans="1:10" ht="15.75" x14ac:dyDescent="0.25">
      <c r="A19" s="2"/>
      <c r="B19" s="2"/>
      <c r="C19" s="13"/>
      <c r="D19" s="17">
        <v>10</v>
      </c>
      <c r="E19" s="2" t="s">
        <v>43</v>
      </c>
      <c r="F19" s="2">
        <v>20</v>
      </c>
      <c r="G19" s="2"/>
      <c r="H19" s="25">
        <f t="shared" si="0"/>
        <v>200</v>
      </c>
      <c r="I19" s="2"/>
      <c r="J19" s="2"/>
    </row>
    <row r="20" spans="1:10" ht="15.75" x14ac:dyDescent="0.25">
      <c r="A20" s="2"/>
      <c r="B20" s="2"/>
      <c r="C20" s="13"/>
      <c r="D20" s="17">
        <v>4</v>
      </c>
      <c r="E20" s="2" t="s">
        <v>44</v>
      </c>
      <c r="F20" s="2">
        <v>10</v>
      </c>
      <c r="G20" s="2"/>
      <c r="H20" s="25">
        <f t="shared" si="0"/>
        <v>40</v>
      </c>
      <c r="I20" s="2"/>
      <c r="J20" s="2"/>
    </row>
    <row r="21" spans="1:10" ht="15.75" x14ac:dyDescent="0.25">
      <c r="A21" s="2"/>
      <c r="B21" s="2"/>
      <c r="C21" s="13"/>
      <c r="D21" s="17"/>
      <c r="E21" s="2" t="s">
        <v>45</v>
      </c>
      <c r="F21" s="2">
        <v>5</v>
      </c>
      <c r="G21" s="2"/>
      <c r="H21" s="25">
        <f t="shared" si="0"/>
        <v>0</v>
      </c>
      <c r="I21" s="2"/>
      <c r="J21" s="2"/>
    </row>
    <row r="22" spans="1:10" ht="15.75" x14ac:dyDescent="0.25">
      <c r="A22" s="2"/>
      <c r="B22" s="2"/>
      <c r="C22" s="13"/>
      <c r="D22" s="17"/>
      <c r="E22" s="2" t="s">
        <v>46</v>
      </c>
      <c r="F22" s="2">
        <v>1</v>
      </c>
      <c r="G22" s="2"/>
      <c r="H22" s="25">
        <f t="shared" si="0"/>
        <v>0</v>
      </c>
      <c r="I22" s="2"/>
      <c r="J22" s="2"/>
    </row>
    <row r="23" spans="1:10" ht="15.75" x14ac:dyDescent="0.25">
      <c r="A23" s="2"/>
      <c r="B23" s="2"/>
      <c r="C23" s="13"/>
      <c r="D23" s="12"/>
      <c r="E23" s="11" t="s">
        <v>47</v>
      </c>
      <c r="F23" s="2"/>
      <c r="G23" s="2"/>
      <c r="H23" s="25">
        <f t="shared" si="0"/>
        <v>0</v>
      </c>
      <c r="I23" s="2"/>
      <c r="J23" s="2"/>
    </row>
    <row r="24" spans="1:10" ht="15.75" x14ac:dyDescent="0.25">
      <c r="A24" s="2"/>
      <c r="B24" s="2"/>
      <c r="C24" s="13"/>
      <c r="D24" s="16">
        <v>2</v>
      </c>
      <c r="E24" s="2" t="s">
        <v>46</v>
      </c>
      <c r="F24" s="2">
        <v>1</v>
      </c>
      <c r="G24" s="2"/>
      <c r="H24" s="25">
        <f t="shared" si="0"/>
        <v>2</v>
      </c>
      <c r="I24" s="2"/>
      <c r="J24" s="2"/>
    </row>
    <row r="25" spans="1:10" ht="15.75" x14ac:dyDescent="0.25">
      <c r="A25" s="2"/>
      <c r="B25" s="2"/>
      <c r="C25" s="13"/>
      <c r="D25" s="16">
        <v>2</v>
      </c>
      <c r="E25" s="2" t="s">
        <v>48</v>
      </c>
      <c r="F25" s="2">
        <v>0.5</v>
      </c>
      <c r="G25" s="2"/>
      <c r="H25" s="25">
        <f t="shared" si="0"/>
        <v>1</v>
      </c>
      <c r="I25" s="2"/>
      <c r="J25" s="2"/>
    </row>
    <row r="26" spans="1:10" ht="15.75" x14ac:dyDescent="0.25">
      <c r="A26" s="2"/>
      <c r="B26" s="2"/>
      <c r="C26" s="13"/>
      <c r="D26" s="16">
        <v>4</v>
      </c>
      <c r="E26" s="2" t="s">
        <v>49</v>
      </c>
      <c r="F26" s="2">
        <v>0.25</v>
      </c>
      <c r="G26" s="2"/>
      <c r="H26" s="25">
        <f t="shared" si="0"/>
        <v>1</v>
      </c>
      <c r="I26" s="2"/>
      <c r="J26" s="2"/>
    </row>
    <row r="27" spans="1:10" ht="15.75" x14ac:dyDescent="0.25">
      <c r="A27" s="2"/>
      <c r="B27" s="2"/>
      <c r="C27" s="13"/>
      <c r="D27" s="16"/>
      <c r="E27" s="2" t="s">
        <v>50</v>
      </c>
      <c r="F27" s="2">
        <v>0.1</v>
      </c>
      <c r="G27" s="2"/>
      <c r="H27" s="25">
        <f t="shared" si="0"/>
        <v>0</v>
      </c>
      <c r="I27" s="2"/>
      <c r="J27" s="2"/>
    </row>
    <row r="28" spans="1:10" ht="15.75" x14ac:dyDescent="0.25">
      <c r="A28" s="2"/>
      <c r="B28" s="5"/>
      <c r="C28" s="13"/>
      <c r="D28" s="16">
        <v>1</v>
      </c>
      <c r="E28" s="2" t="s">
        <v>51</v>
      </c>
      <c r="F28" s="2">
        <v>0.05</v>
      </c>
      <c r="G28" s="2"/>
      <c r="H28" s="24">
        <f>+F28*D28</f>
        <v>0.05</v>
      </c>
      <c r="I28" s="2"/>
      <c r="J28" s="2"/>
    </row>
    <row r="29" spans="1:10" ht="15.75" x14ac:dyDescent="0.25">
      <c r="A29" s="2"/>
      <c r="B29" s="5"/>
      <c r="C29" s="2"/>
      <c r="D29" s="16"/>
      <c r="E29" s="2" t="s">
        <v>52</v>
      </c>
      <c r="F29" s="2">
        <v>0.01</v>
      </c>
      <c r="G29" s="2"/>
      <c r="H29" s="25">
        <f t="shared" si="0"/>
        <v>0</v>
      </c>
      <c r="I29" s="2"/>
      <c r="J29" s="2"/>
    </row>
    <row r="30" spans="1:10" s="10" customFormat="1" ht="15.75" x14ac:dyDescent="0.25">
      <c r="A30" s="5"/>
      <c r="B30" s="5"/>
      <c r="C30" s="5"/>
      <c r="D30" s="5"/>
      <c r="E30" s="5"/>
      <c r="F30" s="5" t="s">
        <v>53</v>
      </c>
      <c r="G30" s="5"/>
      <c r="H30" s="5"/>
      <c r="I30" s="14">
        <f>SUM(H16:H29)</f>
        <v>50594.05</v>
      </c>
      <c r="J30" s="5"/>
    </row>
    <row r="31" spans="1:10" ht="15.75" x14ac:dyDescent="0.25">
      <c r="A31" s="2"/>
      <c r="B31" s="2"/>
      <c r="C31" s="2"/>
      <c r="D31" s="2"/>
      <c r="E31" s="2"/>
      <c r="F31" s="2"/>
      <c r="G31" s="2"/>
      <c r="H31" s="2"/>
      <c r="I31" s="2"/>
      <c r="J31" s="2"/>
    </row>
    <row r="32" spans="1:10" ht="16.5" thickBot="1" x14ac:dyDescent="0.3">
      <c r="A32" s="2"/>
      <c r="B32" s="2"/>
      <c r="C32" s="2"/>
      <c r="D32" s="2"/>
      <c r="E32" s="2"/>
      <c r="F32" s="2" t="s">
        <v>54</v>
      </c>
      <c r="G32" s="2"/>
      <c r="H32" s="2"/>
      <c r="I32" s="15">
        <v>-0.01</v>
      </c>
      <c r="J32" s="2"/>
    </row>
    <row r="33" spans="1:10" ht="16.5" thickTop="1" x14ac:dyDescent="0.25">
      <c r="A33" s="2"/>
      <c r="B33" s="2" t="s">
        <v>194</v>
      </c>
      <c r="C33" s="2"/>
      <c r="D33" s="2"/>
      <c r="E33" s="2"/>
      <c r="F33" s="2"/>
      <c r="G33" s="2"/>
      <c r="H33" s="2"/>
      <c r="I33" s="2"/>
      <c r="J33" s="2"/>
    </row>
    <row r="34" spans="1:10" ht="15.75" x14ac:dyDescent="0.25">
      <c r="A34" s="2"/>
      <c r="B34" s="2" t="s">
        <v>55</v>
      </c>
      <c r="C34" s="2"/>
      <c r="D34" s="2"/>
      <c r="E34" s="2"/>
      <c r="F34" s="2"/>
      <c r="G34" s="2"/>
      <c r="H34" s="2"/>
      <c r="I34" s="2"/>
      <c r="J34" s="2"/>
    </row>
    <row r="35" spans="1:10" ht="15.75" x14ac:dyDescent="0.25">
      <c r="A35" s="2"/>
      <c r="B35" s="2" t="s">
        <v>182</v>
      </c>
      <c r="C35" s="2"/>
      <c r="D35" s="2"/>
      <c r="E35" s="2"/>
      <c r="F35" s="2">
        <v>-0.01</v>
      </c>
      <c r="G35" s="2"/>
      <c r="H35" s="2"/>
      <c r="I35" s="2"/>
      <c r="J35" s="2"/>
    </row>
    <row r="36" spans="1:10" ht="15.75" x14ac:dyDescent="0.25">
      <c r="A36" s="2"/>
      <c r="B36" s="2" t="s">
        <v>57</v>
      </c>
      <c r="C36" s="2"/>
      <c r="D36" s="2"/>
      <c r="E36" s="2"/>
      <c r="F36" s="2"/>
      <c r="G36" s="2"/>
      <c r="H36" s="2"/>
      <c r="I36" s="2"/>
      <c r="J36" s="2"/>
    </row>
    <row r="37" spans="1:10" ht="15.75" x14ac:dyDescent="0.25">
      <c r="A37" s="2"/>
      <c r="B37" s="2" t="s">
        <v>152</v>
      </c>
      <c r="C37" s="2"/>
      <c r="D37" s="2"/>
      <c r="E37" s="2"/>
      <c r="F37" s="2"/>
      <c r="G37" s="2"/>
      <c r="H37" s="2"/>
      <c r="I37" s="2"/>
      <c r="J37" s="2"/>
    </row>
    <row r="38" spans="1:10" ht="15.75" x14ac:dyDescent="0.25">
      <c r="A38" s="2"/>
      <c r="B38" s="2" t="s">
        <v>58</v>
      </c>
      <c r="C38" s="2"/>
      <c r="D38" s="2"/>
      <c r="E38" s="2"/>
      <c r="F38" s="2"/>
      <c r="G38" s="2"/>
      <c r="H38" s="2"/>
      <c r="I38" s="2"/>
      <c r="J38" s="2"/>
    </row>
    <row r="39" spans="1:10" ht="15.75" x14ac:dyDescent="0.25">
      <c r="A39" s="2"/>
      <c r="B39" s="2" t="s">
        <v>59</v>
      </c>
      <c r="C39" s="2"/>
      <c r="D39" s="2"/>
      <c r="E39" s="2"/>
      <c r="F39" s="2"/>
      <c r="G39" s="2"/>
      <c r="H39" s="2"/>
      <c r="I39" s="2"/>
      <c r="J39" s="2"/>
    </row>
    <row r="40" spans="1:10" ht="15.75" x14ac:dyDescent="0.25">
      <c r="A40" s="2"/>
      <c r="B40" s="2" t="s">
        <v>60</v>
      </c>
      <c r="C40" s="2"/>
      <c r="D40" s="2"/>
      <c r="E40" s="2"/>
      <c r="F40" s="2"/>
      <c r="G40" s="2"/>
      <c r="H40" s="2"/>
      <c r="I40" s="2"/>
      <c r="J40" s="2"/>
    </row>
    <row r="41" spans="1:10" ht="15.75" x14ac:dyDescent="0.25">
      <c r="A41" s="2"/>
      <c r="B41" s="2"/>
      <c r="C41" s="2"/>
      <c r="D41" s="2"/>
      <c r="E41" s="2"/>
      <c r="F41" s="2"/>
      <c r="G41" s="2"/>
      <c r="H41" s="2"/>
      <c r="I41" s="2"/>
      <c r="J41" s="2"/>
    </row>
    <row r="42" spans="1:10" ht="15.75" x14ac:dyDescent="0.25">
      <c r="A42" s="2"/>
      <c r="B42" s="2" t="s">
        <v>61</v>
      </c>
      <c r="C42" s="2"/>
      <c r="D42" s="2"/>
      <c r="E42" s="2"/>
      <c r="F42" s="2"/>
      <c r="G42" s="2"/>
      <c r="H42" s="2"/>
      <c r="I42" s="2"/>
      <c r="J42" s="2"/>
    </row>
    <row r="43" spans="1:10" ht="15.75" x14ac:dyDescent="0.25">
      <c r="A43" s="2"/>
      <c r="B43" s="2"/>
      <c r="C43" s="2"/>
      <c r="D43" s="2"/>
      <c r="E43" s="2"/>
      <c r="F43" s="2"/>
      <c r="G43" s="2"/>
      <c r="H43" s="2"/>
      <c r="I43" s="2"/>
      <c r="J43" s="2"/>
    </row>
    <row r="44" spans="1:10" ht="15.75" x14ac:dyDescent="0.25">
      <c r="A44" s="2"/>
      <c r="B44" s="2"/>
      <c r="C44" s="2"/>
      <c r="D44" s="2"/>
      <c r="E44" s="2"/>
      <c r="F44" s="2"/>
      <c r="G44" s="2"/>
      <c r="H44" s="2"/>
      <c r="I44" s="2"/>
      <c r="J44" s="2"/>
    </row>
    <row r="45" spans="1:10" ht="15.75" x14ac:dyDescent="0.25">
      <c r="A45" s="2"/>
      <c r="B45" s="2"/>
      <c r="C45" s="2"/>
      <c r="D45" s="2"/>
      <c r="E45" s="2"/>
      <c r="F45" s="2"/>
      <c r="G45" s="2"/>
      <c r="H45" s="2"/>
      <c r="I45" s="2"/>
      <c r="J45" s="2"/>
    </row>
    <row r="46" spans="1:10" ht="15.75" x14ac:dyDescent="0.25">
      <c r="A46" s="2"/>
      <c r="B46" s="6" t="s">
        <v>62</v>
      </c>
      <c r="C46" s="6"/>
      <c r="D46" s="2"/>
      <c r="E46" s="22" t="s">
        <v>153</v>
      </c>
      <c r="F46" s="22"/>
      <c r="G46" s="2"/>
      <c r="H46" s="2"/>
      <c r="I46" s="2"/>
      <c r="J46" s="2"/>
    </row>
    <row r="47" spans="1:10" ht="15.75" x14ac:dyDescent="0.25">
      <c r="A47" s="2"/>
      <c r="B47" s="6" t="s">
        <v>64</v>
      </c>
      <c r="C47" s="6"/>
      <c r="D47" s="2"/>
      <c r="E47" s="22" t="s">
        <v>154</v>
      </c>
      <c r="F47" s="22"/>
      <c r="G47" s="2"/>
      <c r="H47" s="2"/>
      <c r="I47" s="2"/>
      <c r="J47" s="2"/>
    </row>
    <row r="48" spans="1:10" ht="15.75" x14ac:dyDescent="0.25">
      <c r="A48" s="2"/>
      <c r="B48" s="2"/>
      <c r="C48" s="2"/>
      <c r="D48" s="2"/>
      <c r="E48" s="2"/>
      <c r="F48" s="2"/>
      <c r="G48" s="2"/>
      <c r="H48" s="2"/>
      <c r="I48" s="2"/>
      <c r="J48" s="2"/>
    </row>
    <row r="49" spans="1:10" ht="15.75" x14ac:dyDescent="0.25">
      <c r="A49" s="2"/>
      <c r="B49" s="2"/>
      <c r="C49" s="2"/>
      <c r="D49" s="2"/>
      <c r="E49" s="2"/>
      <c r="F49" s="2"/>
      <c r="G49" s="2"/>
      <c r="H49" s="2"/>
      <c r="I49" s="2"/>
      <c r="J49" s="2"/>
    </row>
    <row r="50" spans="1:10" ht="15.75" x14ac:dyDescent="0.25">
      <c r="A50" s="2"/>
      <c r="B50" s="2"/>
      <c r="C50" s="2"/>
      <c r="D50" s="2"/>
      <c r="E50" s="2"/>
      <c r="F50" s="2"/>
      <c r="G50" s="2"/>
      <c r="H50" s="2"/>
      <c r="I50" s="2"/>
      <c r="J50" s="2"/>
    </row>
    <row r="51" spans="1:10" ht="15.75" x14ac:dyDescent="0.25">
      <c r="A51" s="2"/>
      <c r="B51" s="2" t="s">
        <v>178</v>
      </c>
      <c r="C51" s="2"/>
      <c r="D51" s="2"/>
      <c r="E51" s="6" t="s">
        <v>66</v>
      </c>
      <c r="F51" s="6"/>
      <c r="G51" s="2"/>
      <c r="H51" s="2"/>
      <c r="I51" s="2"/>
      <c r="J51" s="2"/>
    </row>
    <row r="52" spans="1:10" ht="15.75" x14ac:dyDescent="0.25">
      <c r="A52" s="2"/>
      <c r="B52" s="2" t="s">
        <v>179</v>
      </c>
      <c r="C52" s="2"/>
      <c r="D52" s="2"/>
      <c r="E52" s="6" t="s">
        <v>68</v>
      </c>
      <c r="F52" s="6"/>
      <c r="G52" s="2"/>
      <c r="H52" s="2"/>
      <c r="I52" s="2"/>
      <c r="J52" s="2"/>
    </row>
  </sheetData>
  <pageMargins left="0.70866141732283472" right="0.11811023622047245" top="0.74803149606299213" bottom="0.74803149606299213" header="0.31496062992125984" footer="0.31496062992125984"/>
  <pageSetup scale="80"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EF48-65D4-4BA4-A1A9-28F5F67AA2EE}">
  <sheetPr codeName="Hoja5"/>
  <dimension ref="A1:J51"/>
  <sheetViews>
    <sheetView topLeftCell="A11" zoomScale="85" zoomScaleNormal="85" workbookViewId="0">
      <selection activeCell="F8" sqref="F8"/>
    </sheetView>
  </sheetViews>
  <sheetFormatPr baseColWidth="10" defaultColWidth="11.42578125" defaultRowHeight="15" x14ac:dyDescent="0.25"/>
  <cols>
    <col min="1" max="1" width="2.85546875" style="4" customWidth="1"/>
    <col min="2" max="2" width="18.85546875" style="4" customWidth="1"/>
    <col min="3" max="3" width="17.7109375" style="4" customWidth="1"/>
    <col min="4" max="4" width="12.7109375" style="4" customWidth="1"/>
    <col min="5" max="5" width="14.85546875" style="4" customWidth="1"/>
    <col min="6" max="6" width="14.42578125" style="4" bestFit="1" customWidth="1"/>
    <col min="7" max="7" width="14.7109375" style="4" customWidth="1"/>
    <col min="8" max="8" width="13.5703125" style="4" customWidth="1"/>
    <col min="9" max="9" width="18.140625" style="4" customWidth="1"/>
    <col min="10" max="16384" width="11.42578125" style="4"/>
  </cols>
  <sheetData>
    <row r="1" spans="1:10" ht="19.5" x14ac:dyDescent="0.4">
      <c r="A1" s="2"/>
      <c r="B1" s="2"/>
      <c r="C1" s="3" t="s">
        <v>20</v>
      </c>
      <c r="D1" s="2"/>
      <c r="E1" s="2"/>
      <c r="F1" s="2"/>
      <c r="G1" s="2"/>
      <c r="H1" s="2"/>
      <c r="I1" s="2"/>
      <c r="J1" s="2"/>
    </row>
    <row r="2" spans="1:10" ht="19.5" x14ac:dyDescent="0.4">
      <c r="A2" s="2"/>
      <c r="B2" s="2"/>
      <c r="C2" s="3" t="s">
        <v>180</v>
      </c>
      <c r="D2" s="2"/>
      <c r="E2" s="2"/>
      <c r="F2" s="2"/>
      <c r="G2" s="2"/>
      <c r="H2" s="2"/>
      <c r="I2" s="2"/>
      <c r="J2" s="2"/>
    </row>
    <row r="3" spans="1:10" ht="15.75" x14ac:dyDescent="0.25">
      <c r="A3" s="2"/>
      <c r="B3" s="2"/>
      <c r="C3" s="2"/>
      <c r="D3" s="2" t="s">
        <v>22</v>
      </c>
      <c r="E3" s="2"/>
      <c r="F3" s="2"/>
      <c r="G3" s="2"/>
      <c r="H3" s="2"/>
      <c r="I3" s="2"/>
      <c r="J3" s="2"/>
    </row>
    <row r="4" spans="1:10" ht="15.75" x14ac:dyDescent="0.25">
      <c r="A4" s="2"/>
      <c r="B4" s="2"/>
      <c r="C4" s="2"/>
      <c r="D4" s="9" t="s">
        <v>169</v>
      </c>
      <c r="E4" s="9"/>
      <c r="F4" s="9"/>
      <c r="G4" s="2"/>
      <c r="H4" s="2"/>
      <c r="I4" s="2"/>
      <c r="J4" s="2"/>
    </row>
    <row r="5" spans="1:10" ht="15.75" x14ac:dyDescent="0.25">
      <c r="A5" s="2"/>
      <c r="B5" s="5" t="s">
        <v>170</v>
      </c>
      <c r="C5" s="2"/>
      <c r="D5" s="2"/>
      <c r="E5" s="2"/>
      <c r="F5" s="2"/>
      <c r="G5" s="2"/>
      <c r="H5" s="2"/>
      <c r="I5" s="9" t="e">
        <f>#REF!</f>
        <v>#REF!</v>
      </c>
      <c r="J5" s="2"/>
    </row>
    <row r="6" spans="1:10" ht="15.75" x14ac:dyDescent="0.25">
      <c r="A6" s="2"/>
      <c r="B6" s="2"/>
      <c r="C6" s="2"/>
      <c r="D6" s="2"/>
      <c r="E6" s="6" t="s">
        <v>23</v>
      </c>
      <c r="F6" s="6" t="s">
        <v>24</v>
      </c>
      <c r="G6" s="6" t="s">
        <v>24</v>
      </c>
      <c r="H6" s="6" t="s">
        <v>24</v>
      </c>
      <c r="I6" s="2"/>
      <c r="J6" s="2"/>
    </row>
    <row r="7" spans="1:10" ht="19.5" x14ac:dyDescent="0.4">
      <c r="A7" s="2" t="s">
        <v>23</v>
      </c>
      <c r="B7" s="7" t="s">
        <v>150</v>
      </c>
      <c r="C7" s="2" t="s">
        <v>26</v>
      </c>
      <c r="D7" s="2" t="s">
        <v>27</v>
      </c>
      <c r="E7" s="5" t="s">
        <v>77</v>
      </c>
      <c r="F7" s="5" t="s">
        <v>29</v>
      </c>
      <c r="G7" s="5" t="s">
        <v>30</v>
      </c>
      <c r="H7" s="5" t="s">
        <v>31</v>
      </c>
      <c r="I7" s="2"/>
      <c r="J7" s="2"/>
    </row>
    <row r="8" spans="1:10" ht="15.75" x14ac:dyDescent="0.25">
      <c r="A8" s="2"/>
      <c r="B8" s="20" t="s">
        <v>171</v>
      </c>
      <c r="C8" s="8" t="s">
        <v>172</v>
      </c>
      <c r="D8" s="18" t="s">
        <v>173</v>
      </c>
      <c r="E8" s="2" t="e">
        <f>#REF!</f>
        <v>#REF!</v>
      </c>
      <c r="F8" s="2" t="e">
        <f>#REF!-G8</f>
        <v>#REF!</v>
      </c>
      <c r="G8" s="1" t="e">
        <f>#REF!</f>
        <v>#REF!</v>
      </c>
      <c r="H8" s="1" t="s">
        <v>181</v>
      </c>
      <c r="I8" s="23" t="e">
        <f>I5+E8-F8-G8</f>
        <v>#REF!</v>
      </c>
      <c r="J8" s="2"/>
    </row>
    <row r="9" spans="1:10" ht="15.75" x14ac:dyDescent="0.25">
      <c r="A9" s="2"/>
      <c r="B9" s="20" t="s">
        <v>174</v>
      </c>
      <c r="C9" s="9" t="s">
        <v>175</v>
      </c>
      <c r="D9" s="19" t="s">
        <v>176</v>
      </c>
      <c r="E9" s="2" t="e">
        <f>#REF!</f>
        <v>#REF!</v>
      </c>
      <c r="F9" s="2" t="e">
        <f>#REF!-G9</f>
        <v>#REF!</v>
      </c>
      <c r="G9" s="1" t="e">
        <f>#REF!+#REF!</f>
        <v>#REF!</v>
      </c>
      <c r="H9" s="1" t="s">
        <v>181</v>
      </c>
      <c r="I9" s="2" t="e">
        <f>I8+E9-F9-G9</f>
        <v>#REF!</v>
      </c>
      <c r="J9" s="2"/>
    </row>
    <row r="10" spans="1:10" ht="15.75" x14ac:dyDescent="0.25">
      <c r="A10" s="2"/>
      <c r="B10" s="20"/>
      <c r="C10" s="9"/>
      <c r="D10" s="19"/>
      <c r="E10" s="2"/>
      <c r="F10" s="2"/>
      <c r="G10" s="1"/>
      <c r="H10" s="1"/>
      <c r="I10" s="2"/>
      <c r="J10" s="2"/>
    </row>
    <row r="11" spans="1:10" s="10" customFormat="1" ht="15.75" x14ac:dyDescent="0.25">
      <c r="A11" s="5"/>
      <c r="B11" s="5"/>
      <c r="C11" s="5" t="s">
        <v>32</v>
      </c>
      <c r="D11" s="5"/>
      <c r="E11" s="5">
        <v>850763.84</v>
      </c>
      <c r="F11" s="5"/>
      <c r="G11" s="5"/>
      <c r="H11" s="5"/>
      <c r="I11" s="14">
        <v>95999.14</v>
      </c>
      <c r="J11" s="5"/>
    </row>
    <row r="12" spans="1:10" s="10" customFormat="1" ht="15.75" x14ac:dyDescent="0.25">
      <c r="A12" s="5"/>
      <c r="B12" s="5"/>
      <c r="C12" s="5" t="s">
        <v>33</v>
      </c>
      <c r="D12" s="5">
        <v>0</v>
      </c>
      <c r="E12" s="5"/>
      <c r="F12" s="5">
        <v>622773.63</v>
      </c>
      <c r="G12" s="5">
        <v>175000</v>
      </c>
      <c r="H12" s="5">
        <v>0</v>
      </c>
      <c r="I12" s="5"/>
      <c r="J12" s="5"/>
    </row>
    <row r="13" spans="1:10" ht="19.5" x14ac:dyDescent="0.4">
      <c r="A13" s="2"/>
      <c r="B13" s="3" t="s">
        <v>34</v>
      </c>
      <c r="C13" s="2"/>
      <c r="D13" s="2"/>
      <c r="E13" s="3"/>
      <c r="F13" s="2"/>
      <c r="G13" s="2"/>
      <c r="H13" s="2"/>
      <c r="I13" s="2"/>
      <c r="J13" s="2"/>
    </row>
    <row r="14" spans="1:10" ht="15.75" x14ac:dyDescent="0.25">
      <c r="A14" s="2"/>
      <c r="B14" s="2"/>
      <c r="C14" s="5" t="s">
        <v>35</v>
      </c>
      <c r="D14" s="5" t="s">
        <v>36</v>
      </c>
      <c r="E14" s="11" t="s">
        <v>37</v>
      </c>
      <c r="F14" s="5" t="s">
        <v>38</v>
      </c>
      <c r="G14" s="5"/>
      <c r="H14" s="5" t="s">
        <v>39</v>
      </c>
      <c r="I14" s="2"/>
      <c r="J14" s="2"/>
    </row>
    <row r="15" spans="1:10" ht="15.75" x14ac:dyDescent="0.25">
      <c r="A15" s="2"/>
      <c r="B15" s="2"/>
      <c r="C15" s="2"/>
      <c r="D15" s="16"/>
      <c r="E15" s="2" t="s">
        <v>40</v>
      </c>
      <c r="F15" s="2">
        <v>200</v>
      </c>
      <c r="G15" s="2"/>
      <c r="H15" s="1" t="s">
        <v>181</v>
      </c>
      <c r="I15" s="2"/>
      <c r="J15" s="2"/>
    </row>
    <row r="16" spans="1:10" ht="15.75" x14ac:dyDescent="0.25">
      <c r="A16" s="2"/>
      <c r="B16" s="2"/>
      <c r="C16" s="13"/>
      <c r="D16" s="17">
        <v>914</v>
      </c>
      <c r="E16" s="2" t="s">
        <v>41</v>
      </c>
      <c r="F16" s="2">
        <v>100</v>
      </c>
      <c r="G16" s="2"/>
      <c r="H16" s="1">
        <v>91400</v>
      </c>
      <c r="I16" s="2"/>
      <c r="J16" s="2"/>
    </row>
    <row r="17" spans="1:10" ht="15.75" x14ac:dyDescent="0.25">
      <c r="A17" s="2"/>
      <c r="B17" s="2"/>
      <c r="C17" s="13"/>
      <c r="D17" s="17"/>
      <c r="E17" s="2" t="s">
        <v>42</v>
      </c>
      <c r="F17" s="2">
        <v>50</v>
      </c>
      <c r="G17" s="2"/>
      <c r="H17" s="1" t="s">
        <v>181</v>
      </c>
      <c r="I17" s="2"/>
      <c r="J17" s="2"/>
    </row>
    <row r="18" spans="1:10" ht="15.75" x14ac:dyDescent="0.25">
      <c r="A18" s="2"/>
      <c r="B18" s="2"/>
      <c r="C18" s="13"/>
      <c r="D18" s="17">
        <v>201</v>
      </c>
      <c r="E18" s="2" t="s">
        <v>43</v>
      </c>
      <c r="F18" s="2">
        <v>20</v>
      </c>
      <c r="G18" s="2"/>
      <c r="H18" s="1">
        <v>4020</v>
      </c>
      <c r="I18" s="2"/>
      <c r="J18" s="2"/>
    </row>
    <row r="19" spans="1:10" ht="15.75" x14ac:dyDescent="0.25">
      <c r="A19" s="2"/>
      <c r="B19" s="2"/>
      <c r="C19" s="13"/>
      <c r="D19" s="17">
        <v>57</v>
      </c>
      <c r="E19" s="2" t="s">
        <v>44</v>
      </c>
      <c r="F19" s="2">
        <v>10</v>
      </c>
      <c r="G19" s="2"/>
      <c r="H19" s="1">
        <v>570</v>
      </c>
      <c r="I19" s="2"/>
      <c r="J19" s="2"/>
    </row>
    <row r="20" spans="1:10" ht="15.75" x14ac:dyDescent="0.25">
      <c r="A20" s="2"/>
      <c r="B20" s="2"/>
      <c r="C20" s="13"/>
      <c r="D20" s="17">
        <v>1</v>
      </c>
      <c r="E20" s="2" t="s">
        <v>45</v>
      </c>
      <c r="F20" s="2">
        <v>5</v>
      </c>
      <c r="G20" s="2"/>
      <c r="H20" s="1">
        <v>5</v>
      </c>
      <c r="I20" s="2"/>
      <c r="J20" s="2"/>
    </row>
    <row r="21" spans="1:10" ht="15.75" x14ac:dyDescent="0.25">
      <c r="A21" s="2"/>
      <c r="B21" s="2"/>
      <c r="C21" s="13"/>
      <c r="D21" s="17">
        <v>4</v>
      </c>
      <c r="E21" s="2" t="s">
        <v>46</v>
      </c>
      <c r="F21" s="2">
        <v>1</v>
      </c>
      <c r="G21" s="2"/>
      <c r="H21" s="1">
        <v>4</v>
      </c>
      <c r="I21" s="2"/>
      <c r="J21" s="2"/>
    </row>
    <row r="22" spans="1:10" ht="15.75" x14ac:dyDescent="0.25">
      <c r="A22" s="2"/>
      <c r="B22" s="2"/>
      <c r="C22" s="13"/>
      <c r="D22" s="12"/>
      <c r="E22" s="11" t="s">
        <v>47</v>
      </c>
      <c r="F22" s="2"/>
      <c r="G22" s="2"/>
      <c r="H22" s="1"/>
      <c r="I22" s="2"/>
      <c r="J22" s="2"/>
    </row>
    <row r="23" spans="1:10" ht="15.75" x14ac:dyDescent="0.25">
      <c r="A23" s="2"/>
      <c r="B23" s="2"/>
      <c r="C23" s="13"/>
      <c r="D23" s="16"/>
      <c r="E23" s="2" t="s">
        <v>46</v>
      </c>
      <c r="F23" s="2">
        <v>1</v>
      </c>
      <c r="G23" s="2"/>
      <c r="H23" s="1" t="s">
        <v>181</v>
      </c>
      <c r="I23" s="2"/>
      <c r="J23" s="2"/>
    </row>
    <row r="24" spans="1:10" ht="15.75" x14ac:dyDescent="0.25">
      <c r="A24" s="2"/>
      <c r="B24" s="2"/>
      <c r="C24" s="13"/>
      <c r="D24" s="16"/>
      <c r="E24" s="2" t="s">
        <v>48</v>
      </c>
      <c r="F24" s="2">
        <v>0.5</v>
      </c>
      <c r="G24" s="2"/>
      <c r="H24" s="1" t="s">
        <v>181</v>
      </c>
      <c r="I24" s="2"/>
      <c r="J24" s="2"/>
    </row>
    <row r="25" spans="1:10" ht="15.75" x14ac:dyDescent="0.25">
      <c r="A25" s="2"/>
      <c r="B25" s="2"/>
      <c r="C25" s="13"/>
      <c r="D25" s="16"/>
      <c r="E25" s="2" t="s">
        <v>49</v>
      </c>
      <c r="F25" s="2">
        <v>0.25</v>
      </c>
      <c r="G25" s="2"/>
      <c r="H25" s="1" t="s">
        <v>181</v>
      </c>
      <c r="I25" s="2"/>
      <c r="J25" s="2"/>
    </row>
    <row r="26" spans="1:10" ht="15.75" x14ac:dyDescent="0.25">
      <c r="A26" s="2"/>
      <c r="B26" s="2"/>
      <c r="C26" s="13"/>
      <c r="D26" s="16">
        <v>1</v>
      </c>
      <c r="E26" s="2" t="s">
        <v>50</v>
      </c>
      <c r="F26" s="2">
        <v>0.1</v>
      </c>
      <c r="G26" s="2"/>
      <c r="H26" s="1">
        <v>0.1</v>
      </c>
      <c r="I26" s="2"/>
      <c r="J26" s="2"/>
    </row>
    <row r="27" spans="1:10" ht="15.75" x14ac:dyDescent="0.25">
      <c r="A27" s="2"/>
      <c r="B27" s="5"/>
      <c r="C27" s="13"/>
      <c r="D27" s="16">
        <v>1</v>
      </c>
      <c r="E27" s="2" t="s">
        <v>51</v>
      </c>
      <c r="F27" s="2">
        <v>0.05</v>
      </c>
      <c r="G27" s="2"/>
      <c r="H27" s="1">
        <v>0.05</v>
      </c>
      <c r="I27" s="2"/>
      <c r="J27" s="2"/>
    </row>
    <row r="28" spans="1:10" ht="15.75" x14ac:dyDescent="0.25">
      <c r="A28" s="2"/>
      <c r="B28" s="5"/>
      <c r="C28" s="2"/>
      <c r="D28" s="16"/>
      <c r="E28" s="2" t="s">
        <v>52</v>
      </c>
      <c r="F28" s="2">
        <v>0.01</v>
      </c>
      <c r="G28" s="2"/>
      <c r="H28" s="1" t="s">
        <v>181</v>
      </c>
      <c r="I28" s="2"/>
      <c r="J28" s="2"/>
    </row>
    <row r="29" spans="1:10" s="10" customFormat="1" ht="15.75" x14ac:dyDescent="0.25">
      <c r="A29" s="5"/>
      <c r="B29" s="5"/>
      <c r="C29" s="5"/>
      <c r="D29" s="5"/>
      <c r="E29" s="5"/>
      <c r="F29" s="5" t="s">
        <v>53</v>
      </c>
      <c r="G29" s="5"/>
      <c r="H29" s="5"/>
      <c r="I29" s="14">
        <v>95999.15</v>
      </c>
      <c r="J29" s="5"/>
    </row>
    <row r="30" spans="1:10" ht="15.75" x14ac:dyDescent="0.25">
      <c r="A30" s="2"/>
      <c r="B30" s="2"/>
      <c r="C30" s="2"/>
      <c r="D30" s="2"/>
      <c r="E30" s="2"/>
      <c r="F30" s="2"/>
      <c r="G30" s="2"/>
      <c r="H30" s="2"/>
      <c r="I30" s="2"/>
      <c r="J30" s="2"/>
    </row>
    <row r="31" spans="1:10" ht="16.5" thickBot="1" x14ac:dyDescent="0.3">
      <c r="A31" s="2"/>
      <c r="B31" s="2"/>
      <c r="C31" s="2"/>
      <c r="D31" s="2"/>
      <c r="E31" s="2"/>
      <c r="F31" s="2" t="s">
        <v>54</v>
      </c>
      <c r="G31" s="2"/>
      <c r="H31" s="2"/>
      <c r="I31" s="15">
        <v>-0.01</v>
      </c>
      <c r="J31" s="2"/>
    </row>
    <row r="32" spans="1:10" ht="16.5" thickTop="1" x14ac:dyDescent="0.25">
      <c r="A32" s="2"/>
      <c r="B32" s="2" t="s">
        <v>177</v>
      </c>
      <c r="C32" s="2"/>
      <c r="D32" s="2"/>
      <c r="E32" s="2"/>
      <c r="F32" s="2"/>
      <c r="G32" s="2"/>
      <c r="H32" s="2"/>
      <c r="I32" s="2"/>
      <c r="J32" s="2"/>
    </row>
    <row r="33" spans="1:10" ht="15.75" x14ac:dyDescent="0.25">
      <c r="A33" s="2"/>
      <c r="B33" s="2" t="s">
        <v>55</v>
      </c>
      <c r="C33" s="2"/>
      <c r="D33" s="2"/>
      <c r="E33" s="2"/>
      <c r="F33" s="2"/>
      <c r="G33" s="2"/>
      <c r="H33" s="2"/>
      <c r="I33" s="2"/>
      <c r="J33" s="2"/>
    </row>
    <row r="34" spans="1:10" ht="15.75" x14ac:dyDescent="0.25">
      <c r="A34" s="2"/>
      <c r="B34" s="2" t="s">
        <v>182</v>
      </c>
      <c r="C34" s="2"/>
      <c r="D34" s="2"/>
      <c r="E34" s="2"/>
      <c r="F34" s="2">
        <v>-0.01</v>
      </c>
      <c r="G34" s="2"/>
      <c r="H34" s="2"/>
      <c r="I34" s="2"/>
      <c r="J34" s="2"/>
    </row>
    <row r="35" spans="1:10" ht="15.75" x14ac:dyDescent="0.25">
      <c r="A35" s="2"/>
      <c r="B35" s="2" t="s">
        <v>57</v>
      </c>
      <c r="C35" s="2"/>
      <c r="D35" s="2"/>
      <c r="E35" s="2"/>
      <c r="F35" s="2"/>
      <c r="G35" s="2"/>
      <c r="H35" s="2"/>
      <c r="I35" s="2"/>
      <c r="J35" s="2"/>
    </row>
    <row r="36" spans="1:10" ht="15.75" x14ac:dyDescent="0.25">
      <c r="A36" s="2"/>
      <c r="B36" s="2" t="s">
        <v>152</v>
      </c>
      <c r="C36" s="2"/>
      <c r="D36" s="2"/>
      <c r="E36" s="2"/>
      <c r="F36" s="2"/>
      <c r="G36" s="2"/>
      <c r="H36" s="2"/>
      <c r="I36" s="2"/>
      <c r="J36" s="2"/>
    </row>
    <row r="37" spans="1:10" ht="15.75" x14ac:dyDescent="0.25">
      <c r="A37" s="2"/>
      <c r="B37" s="2" t="s">
        <v>58</v>
      </c>
      <c r="C37" s="2"/>
      <c r="D37" s="2"/>
      <c r="E37" s="2"/>
      <c r="F37" s="2"/>
      <c r="G37" s="2"/>
      <c r="H37" s="2"/>
      <c r="I37" s="2"/>
      <c r="J37" s="2"/>
    </row>
    <row r="38" spans="1:10" ht="15.75" x14ac:dyDescent="0.25">
      <c r="A38" s="2"/>
      <c r="B38" s="2" t="s">
        <v>59</v>
      </c>
      <c r="C38" s="2"/>
      <c r="D38" s="2"/>
      <c r="E38" s="2"/>
      <c r="F38" s="2"/>
      <c r="G38" s="2"/>
      <c r="H38" s="2"/>
      <c r="I38" s="2"/>
      <c r="J38" s="2"/>
    </row>
    <row r="39" spans="1:10" ht="15.75" x14ac:dyDescent="0.25">
      <c r="A39" s="2"/>
      <c r="B39" s="2" t="s">
        <v>60</v>
      </c>
      <c r="C39" s="2"/>
      <c r="D39" s="2"/>
      <c r="E39" s="2"/>
      <c r="F39" s="2"/>
      <c r="G39" s="2"/>
      <c r="H39" s="2"/>
      <c r="I39" s="2"/>
      <c r="J39" s="2"/>
    </row>
    <row r="40" spans="1:10" ht="15.75" x14ac:dyDescent="0.25">
      <c r="A40" s="2"/>
      <c r="B40" s="2"/>
      <c r="C40" s="2"/>
      <c r="D40" s="2"/>
      <c r="E40" s="2"/>
      <c r="F40" s="2"/>
      <c r="G40" s="2"/>
      <c r="H40" s="2"/>
      <c r="I40" s="2"/>
      <c r="J40" s="2"/>
    </row>
    <row r="41" spans="1:10" ht="15.75" x14ac:dyDescent="0.25">
      <c r="A41" s="2"/>
      <c r="B41" s="2" t="s">
        <v>61</v>
      </c>
      <c r="C41" s="2"/>
      <c r="D41" s="2"/>
      <c r="E41" s="2"/>
      <c r="F41" s="2"/>
      <c r="G41" s="2"/>
      <c r="H41" s="2"/>
      <c r="I41" s="2"/>
      <c r="J41" s="2"/>
    </row>
    <row r="42" spans="1:10" ht="15.75" x14ac:dyDescent="0.25">
      <c r="A42" s="2"/>
      <c r="B42" s="2"/>
      <c r="C42" s="2"/>
      <c r="D42" s="2"/>
      <c r="E42" s="2"/>
      <c r="F42" s="2"/>
      <c r="G42" s="2"/>
      <c r="H42" s="2"/>
      <c r="I42" s="2"/>
      <c r="J42" s="2"/>
    </row>
    <row r="43" spans="1:10" ht="15.75" x14ac:dyDescent="0.25">
      <c r="A43" s="2"/>
      <c r="B43" s="2"/>
      <c r="C43" s="2"/>
      <c r="D43" s="2"/>
      <c r="E43" s="2"/>
      <c r="F43" s="2"/>
      <c r="G43" s="2"/>
      <c r="H43" s="2"/>
      <c r="I43" s="2"/>
      <c r="J43" s="2"/>
    </row>
    <row r="44" spans="1:10" ht="15.75" x14ac:dyDescent="0.25">
      <c r="A44" s="2"/>
      <c r="B44" s="2"/>
      <c r="C44" s="2"/>
      <c r="D44" s="2"/>
      <c r="E44" s="2"/>
      <c r="F44" s="2"/>
      <c r="G44" s="2"/>
      <c r="H44" s="2"/>
      <c r="I44" s="2"/>
      <c r="J44" s="2"/>
    </row>
    <row r="45" spans="1:10" ht="15.75" x14ac:dyDescent="0.25">
      <c r="A45" s="2"/>
      <c r="B45" s="6" t="s">
        <v>62</v>
      </c>
      <c r="C45" s="6"/>
      <c r="D45" s="2"/>
      <c r="E45" s="22" t="s">
        <v>153</v>
      </c>
      <c r="F45" s="22"/>
      <c r="G45" s="2"/>
      <c r="H45" s="2"/>
      <c r="I45" s="2"/>
      <c r="J45" s="2"/>
    </row>
    <row r="46" spans="1:10" ht="15.75" x14ac:dyDescent="0.25">
      <c r="A46" s="2"/>
      <c r="B46" s="6" t="s">
        <v>64</v>
      </c>
      <c r="C46" s="6"/>
      <c r="D46" s="2"/>
      <c r="E46" s="22" t="s">
        <v>154</v>
      </c>
      <c r="F46" s="22"/>
      <c r="G46" s="2"/>
      <c r="H46" s="2"/>
      <c r="I46" s="2"/>
      <c r="J46" s="2"/>
    </row>
    <row r="47" spans="1:10" ht="15.75" x14ac:dyDescent="0.25">
      <c r="A47" s="2"/>
      <c r="B47" s="2"/>
      <c r="C47" s="2"/>
      <c r="D47" s="2"/>
      <c r="E47" s="2"/>
      <c r="F47" s="2"/>
      <c r="G47" s="2"/>
      <c r="H47" s="2"/>
      <c r="I47" s="2"/>
      <c r="J47" s="2"/>
    </row>
    <row r="48" spans="1:10" ht="15.75" x14ac:dyDescent="0.25">
      <c r="A48" s="2"/>
      <c r="B48" s="2"/>
      <c r="C48" s="2"/>
      <c r="D48" s="2"/>
      <c r="E48" s="2"/>
      <c r="F48" s="2"/>
      <c r="G48" s="2"/>
      <c r="H48" s="2"/>
      <c r="I48" s="2"/>
      <c r="J48" s="2"/>
    </row>
    <row r="49" spans="1:10" ht="15.75" x14ac:dyDescent="0.25">
      <c r="A49" s="2"/>
      <c r="B49" s="2"/>
      <c r="C49" s="2"/>
      <c r="D49" s="2"/>
      <c r="E49" s="2"/>
      <c r="F49" s="2"/>
      <c r="G49" s="2"/>
      <c r="H49" s="2"/>
      <c r="I49" s="2"/>
      <c r="J49" s="2"/>
    </row>
    <row r="50" spans="1:10" ht="15.75" x14ac:dyDescent="0.25">
      <c r="A50" s="2"/>
      <c r="B50" s="2" t="s">
        <v>178</v>
      </c>
      <c r="C50" s="2"/>
      <c r="D50" s="2"/>
      <c r="E50" s="6" t="s">
        <v>66</v>
      </c>
      <c r="F50" s="6"/>
      <c r="G50" s="2"/>
      <c r="H50" s="2"/>
      <c r="I50" s="2"/>
      <c r="J50" s="2"/>
    </row>
    <row r="51" spans="1:10" ht="15.75" x14ac:dyDescent="0.25">
      <c r="A51" s="2"/>
      <c r="B51" s="2" t="s">
        <v>179</v>
      </c>
      <c r="C51" s="2"/>
      <c r="D51" s="2"/>
      <c r="E51" s="6" t="s">
        <v>68</v>
      </c>
      <c r="F51" s="6"/>
      <c r="G51" s="2"/>
      <c r="H51" s="2"/>
      <c r="I51" s="2"/>
      <c r="J51" s="2"/>
    </row>
  </sheetData>
  <pageMargins left="0.70866141732283472" right="0.11811023622047245" top="0.74803149606299213" bottom="0.74803149606299213" header="0.31496062992125984" footer="0.31496062992125984"/>
  <pageSetup scale="80"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8BE9-F34E-4B57-A19D-2336CCC47987}">
  <sheetPr codeName="Hoja6"/>
  <dimension ref="A1:J50"/>
  <sheetViews>
    <sheetView topLeftCell="A13" zoomScale="85" zoomScaleNormal="85" workbookViewId="0">
      <selection activeCell="D36" sqref="D36"/>
    </sheetView>
  </sheetViews>
  <sheetFormatPr baseColWidth="10" defaultColWidth="11.42578125" defaultRowHeight="15" x14ac:dyDescent="0.25"/>
  <cols>
    <col min="1" max="1" width="2.85546875" style="4" customWidth="1"/>
    <col min="2" max="2" width="18.85546875" style="4" customWidth="1"/>
    <col min="3" max="3" width="17.7109375" style="4" customWidth="1"/>
    <col min="4" max="4" width="12.7109375" style="4" customWidth="1"/>
    <col min="5" max="5" width="14.85546875" style="4" customWidth="1"/>
    <col min="6" max="6" width="14.42578125" style="4" bestFit="1" customWidth="1"/>
    <col min="7" max="7" width="14.7109375" style="4" customWidth="1"/>
    <col min="8" max="8" width="13.5703125" style="4" customWidth="1"/>
    <col min="9" max="9" width="15.85546875" style="4" customWidth="1"/>
    <col min="10" max="16384" width="11.42578125" style="4"/>
  </cols>
  <sheetData>
    <row r="1" spans="1:10" ht="19.5" x14ac:dyDescent="0.4">
      <c r="A1" s="2"/>
      <c r="B1" s="2"/>
      <c r="C1" s="3" t="s">
        <v>20</v>
      </c>
      <c r="D1" s="2"/>
      <c r="E1" s="2"/>
      <c r="F1" s="2"/>
      <c r="G1" s="2"/>
      <c r="H1" s="2"/>
      <c r="I1" s="2"/>
      <c r="J1" s="2"/>
    </row>
    <row r="2" spans="1:10" ht="19.5" x14ac:dyDescent="0.4">
      <c r="A2" s="2"/>
      <c r="B2" s="2"/>
      <c r="C2" s="3" t="s">
        <v>21</v>
      </c>
      <c r="D2" s="2"/>
      <c r="E2" s="2"/>
      <c r="F2" s="2"/>
      <c r="G2" s="2"/>
      <c r="H2" s="2"/>
      <c r="I2" s="2"/>
      <c r="J2" s="2"/>
    </row>
    <row r="3" spans="1:10" ht="15.75" x14ac:dyDescent="0.25">
      <c r="A3" s="2"/>
      <c r="B3" s="2"/>
      <c r="C3" s="2"/>
      <c r="D3" s="2" t="s">
        <v>22</v>
      </c>
      <c r="E3" s="2"/>
      <c r="F3" s="2"/>
      <c r="G3" s="2"/>
      <c r="H3" s="2"/>
      <c r="I3" s="2"/>
      <c r="J3" s="2"/>
    </row>
    <row r="4" spans="1:10" ht="15.75" x14ac:dyDescent="0.25">
      <c r="A4" s="2"/>
      <c r="B4" s="2"/>
      <c r="C4" s="2"/>
      <c r="D4" s="9" t="s">
        <v>161</v>
      </c>
      <c r="E4" s="9"/>
      <c r="F4" s="9"/>
      <c r="G4" s="2"/>
      <c r="H4" s="2"/>
      <c r="I4" s="2"/>
      <c r="J4" s="2"/>
    </row>
    <row r="5" spans="1:10" ht="15.75" x14ac:dyDescent="0.25">
      <c r="A5" s="2"/>
      <c r="B5" s="5" t="s">
        <v>156</v>
      </c>
      <c r="C5" s="2"/>
      <c r="D5" s="2"/>
      <c r="E5" s="2"/>
      <c r="F5" s="2"/>
      <c r="G5" s="2"/>
      <c r="H5" s="2"/>
      <c r="I5" s="9" t="e">
        <f>#REF!</f>
        <v>#REF!</v>
      </c>
      <c r="J5" s="2"/>
    </row>
    <row r="6" spans="1:10" ht="15.75" x14ac:dyDescent="0.25">
      <c r="A6" s="2"/>
      <c r="B6" s="2"/>
      <c r="C6" s="2"/>
      <c r="D6" s="2"/>
      <c r="E6" s="6" t="s">
        <v>23</v>
      </c>
      <c r="F6" s="6" t="s">
        <v>24</v>
      </c>
      <c r="G6" s="6" t="s">
        <v>24</v>
      </c>
      <c r="H6" s="6" t="s">
        <v>24</v>
      </c>
      <c r="I6" s="2"/>
      <c r="J6" s="2"/>
    </row>
    <row r="7" spans="1:10" ht="19.5" x14ac:dyDescent="0.4">
      <c r="A7" s="2" t="s">
        <v>23</v>
      </c>
      <c r="B7" s="7" t="s">
        <v>150</v>
      </c>
      <c r="C7" s="2" t="s">
        <v>26</v>
      </c>
      <c r="D7" s="2" t="s">
        <v>27</v>
      </c>
      <c r="E7" s="5" t="s">
        <v>77</v>
      </c>
      <c r="F7" s="5" t="s">
        <v>29</v>
      </c>
      <c r="G7" s="5" t="s">
        <v>30</v>
      </c>
      <c r="H7" s="5" t="s">
        <v>31</v>
      </c>
      <c r="I7" s="2"/>
      <c r="J7" s="2"/>
    </row>
    <row r="8" spans="1:10" ht="15.75" x14ac:dyDescent="0.25">
      <c r="A8" s="2"/>
      <c r="B8" s="20" t="s">
        <v>131</v>
      </c>
      <c r="C8" s="8" t="s">
        <v>158</v>
      </c>
      <c r="D8" s="18" t="s">
        <v>159</v>
      </c>
      <c r="E8" s="2" t="e">
        <f>#REF!</f>
        <v>#REF!</v>
      </c>
      <c r="F8" s="2" t="e">
        <f>#REF!-G8</f>
        <v>#REF!</v>
      </c>
      <c r="G8" s="1" t="e">
        <f>+#REF!+#REF!+#REF!+#REF!</f>
        <v>#REF!</v>
      </c>
      <c r="H8" s="1">
        <v>0</v>
      </c>
      <c r="I8" s="2" t="e">
        <f>I5+E8-F8-G8-H8</f>
        <v>#REF!</v>
      </c>
      <c r="J8" s="2"/>
    </row>
    <row r="9" spans="1:10" ht="15.75" x14ac:dyDescent="0.25">
      <c r="A9" s="2"/>
      <c r="B9" s="20" t="s">
        <v>157</v>
      </c>
      <c r="C9" s="9" t="s">
        <v>165</v>
      </c>
      <c r="D9" s="19" t="s">
        <v>160</v>
      </c>
      <c r="E9" s="2" t="e">
        <f>#REF!</f>
        <v>#REF!</v>
      </c>
      <c r="F9" s="2" t="e">
        <f>#REF!-G9</f>
        <v>#REF!</v>
      </c>
      <c r="G9" s="1" t="e">
        <f>#REF!+#REF!+#REF!+#REF!</f>
        <v>#REF!</v>
      </c>
      <c r="H9" s="1">
        <v>0</v>
      </c>
      <c r="I9" s="2" t="e">
        <f>+I8+E9-F9-G9</f>
        <v>#REF!</v>
      </c>
      <c r="J9" s="2"/>
    </row>
    <row r="10" spans="1:10" s="10" customFormat="1" ht="15.75" x14ac:dyDescent="0.25">
      <c r="A10" s="5"/>
      <c r="B10" s="5"/>
      <c r="C10" s="5" t="s">
        <v>32</v>
      </c>
      <c r="D10" s="5"/>
      <c r="E10" s="5" t="e">
        <f>SUM(E8:E9)</f>
        <v>#REF!</v>
      </c>
      <c r="F10" s="5"/>
      <c r="G10" s="5"/>
      <c r="H10" s="5"/>
      <c r="I10" s="14" t="e">
        <f>I5+E10-F11-G11-H11</f>
        <v>#REF!</v>
      </c>
      <c r="J10" s="5"/>
    </row>
    <row r="11" spans="1:10" s="10" customFormat="1" ht="15.75" x14ac:dyDescent="0.25">
      <c r="A11" s="5"/>
      <c r="B11" s="5"/>
      <c r="C11" s="5" t="s">
        <v>33</v>
      </c>
      <c r="D11" s="5">
        <v>0</v>
      </c>
      <c r="E11" s="5"/>
      <c r="F11" s="5" t="e">
        <f>SUM(F8:F10)</f>
        <v>#REF!</v>
      </c>
      <c r="G11" s="5" t="e">
        <f>SUM(G8:G10)</f>
        <v>#REF!</v>
      </c>
      <c r="H11" s="5">
        <f>SUM(H8:H10)</f>
        <v>0</v>
      </c>
      <c r="I11" s="5"/>
      <c r="J11" s="5"/>
    </row>
    <row r="12" spans="1:10" ht="19.5" x14ac:dyDescent="0.4">
      <c r="A12" s="2"/>
      <c r="B12" s="3" t="s">
        <v>34</v>
      </c>
      <c r="C12" s="2"/>
      <c r="D12" s="2"/>
      <c r="E12" s="3"/>
      <c r="F12" s="2"/>
      <c r="G12" s="2"/>
      <c r="H12" s="2"/>
      <c r="I12" s="2"/>
      <c r="J12" s="2"/>
    </row>
    <row r="13" spans="1:10" ht="15.75" x14ac:dyDescent="0.25">
      <c r="A13" s="2"/>
      <c r="B13" s="2"/>
      <c r="C13" s="5" t="s">
        <v>35</v>
      </c>
      <c r="D13" s="5" t="s">
        <v>36</v>
      </c>
      <c r="E13" s="11" t="s">
        <v>37</v>
      </c>
      <c r="F13" s="5" t="s">
        <v>38</v>
      </c>
      <c r="G13" s="5"/>
      <c r="H13" s="5" t="s">
        <v>39</v>
      </c>
      <c r="I13" s="2"/>
      <c r="J13" s="2"/>
    </row>
    <row r="14" spans="1:10" ht="15.75" x14ac:dyDescent="0.25">
      <c r="A14" s="2"/>
      <c r="B14" s="2"/>
      <c r="C14" s="2"/>
      <c r="D14" s="16">
        <v>37</v>
      </c>
      <c r="E14" s="2" t="s">
        <v>40</v>
      </c>
      <c r="F14" s="2">
        <v>200</v>
      </c>
      <c r="G14" s="2"/>
      <c r="H14" s="1">
        <f t="shared" ref="H14:H20" si="0">D14*F14</f>
        <v>7400</v>
      </c>
      <c r="I14" s="2"/>
      <c r="J14" s="2"/>
    </row>
    <row r="15" spans="1:10" ht="15.75" x14ac:dyDescent="0.25">
      <c r="A15" s="2"/>
      <c r="B15" s="2"/>
      <c r="C15" s="13"/>
      <c r="D15" s="17">
        <v>304</v>
      </c>
      <c r="E15" s="2" t="s">
        <v>41</v>
      </c>
      <c r="F15" s="2">
        <v>100</v>
      </c>
      <c r="G15" s="2"/>
      <c r="H15" s="1">
        <f t="shared" si="0"/>
        <v>30400</v>
      </c>
      <c r="I15" s="2"/>
      <c r="J15" s="2"/>
    </row>
    <row r="16" spans="1:10" ht="15.75" x14ac:dyDescent="0.25">
      <c r="A16" s="2"/>
      <c r="B16" s="2"/>
      <c r="C16" s="13"/>
      <c r="D16" s="17">
        <v>4</v>
      </c>
      <c r="E16" s="2" t="s">
        <v>42</v>
      </c>
      <c r="F16" s="2">
        <v>50</v>
      </c>
      <c r="G16" s="2"/>
      <c r="H16" s="1">
        <f t="shared" si="0"/>
        <v>200</v>
      </c>
      <c r="I16" s="2"/>
      <c r="J16" s="2"/>
    </row>
    <row r="17" spans="1:10" ht="15.75" x14ac:dyDescent="0.25">
      <c r="A17" s="2"/>
      <c r="B17" s="2"/>
      <c r="C17" s="13"/>
      <c r="D17" s="17">
        <v>1</v>
      </c>
      <c r="E17" s="2" t="s">
        <v>43</v>
      </c>
      <c r="F17" s="2">
        <v>20</v>
      </c>
      <c r="G17" s="2"/>
      <c r="H17" s="1">
        <f t="shared" si="0"/>
        <v>20</v>
      </c>
      <c r="I17" s="2"/>
      <c r="J17" s="2"/>
    </row>
    <row r="18" spans="1:10" ht="15.75" x14ac:dyDescent="0.25">
      <c r="A18" s="2"/>
      <c r="B18" s="2"/>
      <c r="C18" s="13"/>
      <c r="D18" s="17">
        <v>400</v>
      </c>
      <c r="E18" s="2" t="s">
        <v>44</v>
      </c>
      <c r="F18" s="2">
        <v>10</v>
      </c>
      <c r="G18" s="2"/>
      <c r="H18" s="1">
        <f t="shared" si="0"/>
        <v>4000</v>
      </c>
      <c r="I18" s="2"/>
      <c r="J18" s="2"/>
    </row>
    <row r="19" spans="1:10" ht="15.75" x14ac:dyDescent="0.25">
      <c r="A19" s="2"/>
      <c r="B19" s="2"/>
      <c r="C19" s="13"/>
      <c r="D19" s="17">
        <v>200</v>
      </c>
      <c r="E19" s="2" t="s">
        <v>45</v>
      </c>
      <c r="F19" s="2">
        <v>5</v>
      </c>
      <c r="G19" s="2"/>
      <c r="H19" s="1">
        <f t="shared" si="0"/>
        <v>1000</v>
      </c>
      <c r="I19" s="2"/>
      <c r="J19" s="2"/>
    </row>
    <row r="20" spans="1:10" ht="15.75" x14ac:dyDescent="0.25">
      <c r="A20" s="2"/>
      <c r="B20" s="2"/>
      <c r="C20" s="13"/>
      <c r="D20" s="17">
        <v>0</v>
      </c>
      <c r="E20" s="2" t="s">
        <v>46</v>
      </c>
      <c r="F20" s="2">
        <v>1</v>
      </c>
      <c r="G20" s="2"/>
      <c r="H20" s="1">
        <f t="shared" si="0"/>
        <v>0</v>
      </c>
      <c r="I20" s="2"/>
      <c r="J20" s="2"/>
    </row>
    <row r="21" spans="1:10" ht="15.75" x14ac:dyDescent="0.25">
      <c r="A21" s="2"/>
      <c r="B21" s="2"/>
      <c r="C21" s="13"/>
      <c r="D21" s="12"/>
      <c r="E21" s="11" t="s">
        <v>47</v>
      </c>
      <c r="F21" s="2"/>
      <c r="G21" s="2"/>
      <c r="H21" s="1"/>
      <c r="I21" s="2"/>
      <c r="J21" s="2"/>
    </row>
    <row r="22" spans="1:10" ht="15.75" x14ac:dyDescent="0.25">
      <c r="A22" s="2"/>
      <c r="B22" s="2"/>
      <c r="C22" s="13"/>
      <c r="D22" s="16">
        <v>51</v>
      </c>
      <c r="E22" s="2" t="s">
        <v>46</v>
      </c>
      <c r="F22" s="2">
        <v>1</v>
      </c>
      <c r="G22" s="2"/>
      <c r="H22" s="1">
        <f t="shared" ref="H22:H27" si="1">D22*F22</f>
        <v>51</v>
      </c>
      <c r="I22" s="2"/>
      <c r="J22" s="2"/>
    </row>
    <row r="23" spans="1:10" ht="15.75" x14ac:dyDescent="0.25">
      <c r="A23" s="2"/>
      <c r="B23" s="2"/>
      <c r="C23" s="13"/>
      <c r="D23" s="16">
        <v>1</v>
      </c>
      <c r="E23" s="2" t="s">
        <v>48</v>
      </c>
      <c r="F23" s="2">
        <v>0.5</v>
      </c>
      <c r="G23" s="2"/>
      <c r="H23" s="1">
        <f t="shared" si="1"/>
        <v>0.5</v>
      </c>
      <c r="I23" s="2"/>
      <c r="J23" s="2"/>
    </row>
    <row r="24" spans="1:10" ht="15.75" x14ac:dyDescent="0.25">
      <c r="A24" s="2"/>
      <c r="B24" s="2"/>
      <c r="C24" s="13"/>
      <c r="D24" s="16">
        <v>1</v>
      </c>
      <c r="E24" s="2" t="s">
        <v>49</v>
      </c>
      <c r="F24" s="2">
        <v>0.25</v>
      </c>
      <c r="G24" s="2"/>
      <c r="H24" s="1">
        <f t="shared" si="1"/>
        <v>0.25</v>
      </c>
      <c r="I24" s="2"/>
      <c r="J24" s="2"/>
    </row>
    <row r="25" spans="1:10" ht="15.75" x14ac:dyDescent="0.25">
      <c r="A25" s="2"/>
      <c r="B25" s="2"/>
      <c r="C25" s="13"/>
      <c r="D25" s="16">
        <v>1</v>
      </c>
      <c r="E25" s="2" t="s">
        <v>50</v>
      </c>
      <c r="F25" s="2">
        <v>0.1</v>
      </c>
      <c r="G25" s="2"/>
      <c r="H25" s="1">
        <f t="shared" si="1"/>
        <v>0.1</v>
      </c>
      <c r="I25" s="2"/>
      <c r="J25" s="2"/>
    </row>
    <row r="26" spans="1:10" ht="15.75" x14ac:dyDescent="0.25">
      <c r="A26" s="2"/>
      <c r="B26" s="5"/>
      <c r="C26" s="13"/>
      <c r="D26" s="16">
        <v>1</v>
      </c>
      <c r="E26" s="2" t="s">
        <v>51</v>
      </c>
      <c r="F26" s="2">
        <v>0.05</v>
      </c>
      <c r="G26" s="2"/>
      <c r="H26" s="1">
        <f t="shared" si="1"/>
        <v>0.05</v>
      </c>
      <c r="I26" s="2"/>
      <c r="J26" s="2"/>
    </row>
    <row r="27" spans="1:10" ht="15.75" x14ac:dyDescent="0.25">
      <c r="A27" s="2"/>
      <c r="B27" s="5"/>
      <c r="C27" s="2"/>
      <c r="D27" s="16"/>
      <c r="E27" s="2" t="s">
        <v>52</v>
      </c>
      <c r="F27" s="2">
        <v>0.01</v>
      </c>
      <c r="G27" s="2"/>
      <c r="H27" s="1">
        <f t="shared" si="1"/>
        <v>0</v>
      </c>
      <c r="I27" s="2"/>
      <c r="J27" s="2"/>
    </row>
    <row r="28" spans="1:10" s="10" customFormat="1" ht="15.75" x14ac:dyDescent="0.25">
      <c r="A28" s="5"/>
      <c r="B28" s="5"/>
      <c r="C28" s="5"/>
      <c r="D28" s="5"/>
      <c r="E28" s="5"/>
      <c r="F28" s="5" t="s">
        <v>53</v>
      </c>
      <c r="G28" s="5"/>
      <c r="H28" s="5"/>
      <c r="I28" s="14">
        <f>SUM(H13:H28)</f>
        <v>43071.9</v>
      </c>
      <c r="J28" s="5"/>
    </row>
    <row r="29" spans="1:10" ht="15.75" x14ac:dyDescent="0.25">
      <c r="A29" s="2"/>
      <c r="B29" s="2"/>
      <c r="C29" s="2"/>
      <c r="D29" s="2"/>
      <c r="E29" s="2"/>
      <c r="F29" s="2"/>
      <c r="G29" s="2"/>
      <c r="H29" s="2"/>
      <c r="I29" s="2"/>
      <c r="J29" s="2"/>
    </row>
    <row r="30" spans="1:10" ht="16.5" thickBot="1" x14ac:dyDescent="0.3">
      <c r="A30" s="2"/>
      <c r="B30" s="2"/>
      <c r="C30" s="2"/>
      <c r="D30" s="2"/>
      <c r="E30" s="2"/>
      <c r="F30" s="2" t="s">
        <v>54</v>
      </c>
      <c r="G30" s="2"/>
      <c r="H30" s="2"/>
      <c r="I30" s="15" t="e">
        <f>I10-I28</f>
        <v>#REF!</v>
      </c>
      <c r="J30" s="2"/>
    </row>
    <row r="31" spans="1:10" ht="16.5" thickTop="1" x14ac:dyDescent="0.25">
      <c r="A31" s="2"/>
      <c r="B31" s="2" t="s">
        <v>163</v>
      </c>
      <c r="C31" s="2"/>
      <c r="D31" s="2"/>
      <c r="E31" s="2"/>
      <c r="F31" s="2"/>
      <c r="G31" s="2"/>
      <c r="H31" s="2"/>
      <c r="I31" s="2"/>
      <c r="J31" s="2"/>
    </row>
    <row r="32" spans="1:10" ht="15.75" x14ac:dyDescent="0.25">
      <c r="A32" s="2"/>
      <c r="B32" s="2" t="s">
        <v>55</v>
      </c>
      <c r="C32" s="2"/>
      <c r="D32" s="2"/>
      <c r="E32" s="2"/>
      <c r="F32" s="2"/>
      <c r="G32" s="2"/>
      <c r="H32" s="2"/>
      <c r="I32" s="2"/>
      <c r="J32" s="2"/>
    </row>
    <row r="33" spans="1:10" ht="15.75" x14ac:dyDescent="0.25">
      <c r="A33" s="2"/>
      <c r="B33" s="2" t="s">
        <v>148</v>
      </c>
      <c r="C33" s="2"/>
      <c r="D33" s="2"/>
      <c r="E33" s="2"/>
      <c r="F33" s="2" t="e">
        <f>I30</f>
        <v>#REF!</v>
      </c>
      <c r="G33" s="2"/>
      <c r="H33" s="2"/>
      <c r="I33" s="2"/>
      <c r="J33" s="2"/>
    </row>
    <row r="34" spans="1:10" ht="15.75" x14ac:dyDescent="0.25">
      <c r="A34" s="2"/>
      <c r="B34" s="2" t="s">
        <v>57</v>
      </c>
      <c r="C34" s="2"/>
      <c r="D34" s="2"/>
      <c r="E34" s="2"/>
      <c r="F34" s="2"/>
      <c r="G34" s="2"/>
      <c r="H34" s="2"/>
      <c r="I34" s="2"/>
      <c r="J34" s="2"/>
    </row>
    <row r="35" spans="1:10" ht="15.75" x14ac:dyDescent="0.25">
      <c r="A35" s="2"/>
      <c r="B35" s="2" t="s">
        <v>152</v>
      </c>
      <c r="C35" s="2"/>
      <c r="D35" s="2"/>
      <c r="E35" s="2"/>
      <c r="F35" s="2"/>
      <c r="G35" s="2"/>
      <c r="H35" s="2"/>
      <c r="I35" s="2"/>
      <c r="J35" s="2"/>
    </row>
    <row r="36" spans="1:10" ht="15.75" x14ac:dyDescent="0.25">
      <c r="A36" s="2" t="s">
        <v>195</v>
      </c>
      <c r="B36" s="2" t="s">
        <v>58</v>
      </c>
      <c r="C36" s="2"/>
      <c r="D36" s="2"/>
      <c r="E36" s="2"/>
      <c r="F36" s="2"/>
      <c r="G36" s="2"/>
      <c r="H36" s="2"/>
      <c r="I36" s="2"/>
      <c r="J36" s="2"/>
    </row>
    <row r="37" spans="1:10" ht="15.75" x14ac:dyDescent="0.25">
      <c r="A37" s="2"/>
      <c r="B37" s="2" t="s">
        <v>59</v>
      </c>
      <c r="C37" s="2"/>
      <c r="D37" s="2"/>
      <c r="E37" s="2"/>
      <c r="F37" s="2"/>
      <c r="G37" s="2"/>
      <c r="H37" s="2"/>
      <c r="I37" s="2"/>
      <c r="J37" s="2"/>
    </row>
    <row r="38" spans="1:10" ht="15.75" x14ac:dyDescent="0.25">
      <c r="A38" s="2"/>
      <c r="B38" s="2" t="s">
        <v>60</v>
      </c>
      <c r="C38" s="2"/>
      <c r="D38" s="2"/>
      <c r="E38" s="2"/>
      <c r="F38" s="2"/>
      <c r="G38" s="2"/>
      <c r="H38" s="2"/>
      <c r="I38" s="2"/>
      <c r="J38" s="2"/>
    </row>
    <row r="39" spans="1:10" ht="15.75" x14ac:dyDescent="0.25">
      <c r="A39" s="2"/>
      <c r="B39" s="2"/>
      <c r="C39" s="2"/>
      <c r="D39" s="2"/>
      <c r="E39" s="2"/>
      <c r="F39" s="2"/>
      <c r="G39" s="2"/>
      <c r="H39" s="2"/>
      <c r="I39" s="2"/>
      <c r="J39" s="2"/>
    </row>
    <row r="40" spans="1:10" ht="15.75" x14ac:dyDescent="0.25">
      <c r="A40" s="2"/>
      <c r="B40" s="2" t="s">
        <v>61</v>
      </c>
      <c r="C40" s="2"/>
      <c r="D40" s="2"/>
      <c r="E40" s="2"/>
      <c r="F40" s="2"/>
      <c r="G40" s="2"/>
      <c r="H40" s="2"/>
      <c r="I40" s="2"/>
      <c r="J40" s="2"/>
    </row>
    <row r="41" spans="1:10" ht="15.75" x14ac:dyDescent="0.25">
      <c r="A41" s="2"/>
      <c r="B41" s="2"/>
      <c r="C41" s="2"/>
      <c r="D41" s="2"/>
      <c r="E41" s="2"/>
      <c r="F41" s="2"/>
      <c r="G41" s="2"/>
      <c r="H41" s="2"/>
      <c r="I41" s="2"/>
      <c r="J41" s="2"/>
    </row>
    <row r="42" spans="1:10" ht="15.75" x14ac:dyDescent="0.25">
      <c r="A42" s="2"/>
      <c r="B42" s="2"/>
      <c r="C42" s="2"/>
      <c r="D42" s="2"/>
      <c r="E42" s="2"/>
      <c r="F42" s="2"/>
      <c r="G42" s="2"/>
      <c r="H42" s="2"/>
      <c r="I42" s="2"/>
      <c r="J42" s="2"/>
    </row>
    <row r="43" spans="1:10" ht="15.75" x14ac:dyDescent="0.25">
      <c r="A43" s="2"/>
      <c r="B43" s="2"/>
      <c r="C43" s="2"/>
      <c r="D43" s="2"/>
      <c r="E43" s="2"/>
      <c r="F43" s="2"/>
      <c r="G43" s="2"/>
      <c r="H43" s="2"/>
      <c r="I43" s="2"/>
      <c r="J43" s="2"/>
    </row>
    <row r="44" spans="1:10" ht="15.75" x14ac:dyDescent="0.25">
      <c r="A44" s="2"/>
      <c r="B44" s="277" t="s">
        <v>62</v>
      </c>
      <c r="C44" s="277"/>
      <c r="D44" s="2"/>
      <c r="E44" s="278" t="s">
        <v>153</v>
      </c>
      <c r="F44" s="278"/>
      <c r="G44" s="2"/>
      <c r="H44" s="2"/>
      <c r="I44" s="2"/>
      <c r="J44" s="2"/>
    </row>
    <row r="45" spans="1:10" ht="15.75" x14ac:dyDescent="0.25">
      <c r="A45" s="2"/>
      <c r="B45" s="277" t="s">
        <v>64</v>
      </c>
      <c r="C45" s="277"/>
      <c r="D45" s="2"/>
      <c r="E45" s="278" t="s">
        <v>154</v>
      </c>
      <c r="F45" s="278"/>
      <c r="G45" s="2"/>
      <c r="H45" s="2"/>
      <c r="I45" s="2"/>
      <c r="J45" s="2"/>
    </row>
    <row r="46" spans="1:10" ht="15.75" x14ac:dyDescent="0.25">
      <c r="A46" s="2"/>
      <c r="B46" s="2"/>
      <c r="C46" s="2"/>
      <c r="D46" s="2"/>
      <c r="E46" s="2"/>
      <c r="F46" s="2"/>
      <c r="G46" s="2"/>
      <c r="H46" s="2"/>
      <c r="I46" s="2"/>
      <c r="J46" s="2"/>
    </row>
    <row r="47" spans="1:10" ht="15.75" x14ac:dyDescent="0.25">
      <c r="A47" s="2"/>
      <c r="B47" s="2"/>
      <c r="C47" s="2"/>
      <c r="D47" s="2"/>
      <c r="E47" s="2"/>
      <c r="F47" s="2"/>
      <c r="G47" s="2"/>
      <c r="H47" s="2"/>
      <c r="I47" s="2"/>
      <c r="J47" s="2"/>
    </row>
    <row r="48" spans="1:10" ht="15.75" x14ac:dyDescent="0.25">
      <c r="A48" s="2"/>
      <c r="B48" s="2"/>
      <c r="C48" s="2"/>
      <c r="D48" s="2"/>
      <c r="E48" s="2"/>
      <c r="F48" s="2"/>
      <c r="G48" s="2"/>
      <c r="H48" s="2"/>
      <c r="I48" s="2"/>
      <c r="J48" s="2"/>
    </row>
    <row r="49" spans="1:10" ht="15.75" x14ac:dyDescent="0.25">
      <c r="A49" s="2"/>
      <c r="B49" s="2" t="s">
        <v>162</v>
      </c>
      <c r="C49" s="2"/>
      <c r="D49" s="2"/>
      <c r="E49" s="277" t="s">
        <v>66</v>
      </c>
      <c r="F49" s="277"/>
      <c r="G49" s="2"/>
      <c r="H49" s="2"/>
      <c r="I49" s="2"/>
      <c r="J49" s="2"/>
    </row>
    <row r="50" spans="1:10" ht="15.75" x14ac:dyDescent="0.25">
      <c r="A50" s="2"/>
      <c r="B50" s="2" t="s">
        <v>164</v>
      </c>
      <c r="C50" s="2"/>
      <c r="D50" s="2"/>
      <c r="E50" s="277" t="s">
        <v>68</v>
      </c>
      <c r="F50" s="277"/>
      <c r="G50" s="2"/>
      <c r="H50" s="2"/>
      <c r="I50" s="2"/>
      <c r="J50" s="2"/>
    </row>
  </sheetData>
  <mergeCells count="6">
    <mergeCell ref="E50:F50"/>
    <mergeCell ref="B44:C44"/>
    <mergeCell ref="E44:F44"/>
    <mergeCell ref="B45:C45"/>
    <mergeCell ref="E45:F45"/>
    <mergeCell ref="E49:F49"/>
  </mergeCells>
  <pageMargins left="0.70866141732283472" right="0.11811023622047245" top="0.74803149606299213" bottom="0.74803149606299213" header="0.31496062992125984" footer="0.31496062992125984"/>
  <pageSetup scale="80"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FBC3-5905-44F7-B98E-534E0F31F29E}">
  <sheetPr codeName="Hoja7"/>
  <dimension ref="A1"/>
  <sheetViews>
    <sheetView workbookViewId="0"/>
  </sheetViews>
  <sheetFormatPr baseColWidth="10"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ED99-EEEE-4BB8-918E-4DA91B74205B}">
  <sheetPr codeName="Hoja8"/>
  <dimension ref="A1:J57"/>
  <sheetViews>
    <sheetView topLeftCell="A25" workbookViewId="0">
      <selection activeCell="I17" sqref="I17"/>
    </sheetView>
  </sheetViews>
  <sheetFormatPr baseColWidth="10" defaultColWidth="11.42578125" defaultRowHeight="15" x14ac:dyDescent="0.25"/>
  <cols>
    <col min="1" max="1" width="2.85546875" style="4" customWidth="1"/>
    <col min="2" max="2" width="18.85546875" style="4" customWidth="1"/>
    <col min="3" max="3" width="17.7109375" style="4" customWidth="1"/>
    <col min="4" max="4" width="12.7109375" style="4" customWidth="1"/>
    <col min="5" max="5" width="14.85546875" style="4" customWidth="1"/>
    <col min="6" max="6" width="14.42578125" style="4" bestFit="1" customWidth="1"/>
    <col min="7" max="7" width="14.7109375" style="4" customWidth="1"/>
    <col min="8" max="8" width="13.5703125" style="4" customWidth="1"/>
    <col min="9" max="9" width="15.85546875" style="4" customWidth="1"/>
    <col min="10" max="16384" width="11.42578125" style="4"/>
  </cols>
  <sheetData>
    <row r="1" spans="1:10" ht="19.5" x14ac:dyDescent="0.4">
      <c r="A1" s="2"/>
      <c r="B1" s="2"/>
      <c r="C1" s="3" t="s">
        <v>20</v>
      </c>
      <c r="D1" s="2"/>
      <c r="E1" s="2"/>
      <c r="F1" s="2"/>
      <c r="G1" s="2"/>
      <c r="H1" s="2"/>
      <c r="I1" s="2"/>
      <c r="J1" s="2"/>
    </row>
    <row r="2" spans="1:10" ht="19.5" x14ac:dyDescent="0.4">
      <c r="A2" s="2"/>
      <c r="B2" s="2"/>
      <c r="C2" s="3" t="s">
        <v>21</v>
      </c>
      <c r="D2" s="2"/>
      <c r="E2" s="2"/>
      <c r="F2" s="2"/>
      <c r="G2" s="2"/>
      <c r="H2" s="2"/>
      <c r="I2" s="2"/>
      <c r="J2" s="2"/>
    </row>
    <row r="3" spans="1:10" ht="15.75" x14ac:dyDescent="0.25">
      <c r="A3" s="2"/>
      <c r="B3" s="2"/>
      <c r="C3" s="2"/>
      <c r="D3" s="2" t="s">
        <v>22</v>
      </c>
      <c r="E3" s="2"/>
      <c r="F3" s="2"/>
      <c r="G3" s="2"/>
      <c r="H3" s="2"/>
      <c r="I3" s="2"/>
      <c r="J3" s="2"/>
    </row>
    <row r="4" spans="1:10" ht="15.75" x14ac:dyDescent="0.25">
      <c r="A4" s="2"/>
      <c r="B4" s="2"/>
      <c r="C4" s="2"/>
      <c r="D4" s="21" t="s">
        <v>149</v>
      </c>
      <c r="E4" s="21"/>
      <c r="F4" s="21"/>
      <c r="G4" s="2"/>
      <c r="H4" s="2"/>
      <c r="I4" s="2"/>
      <c r="J4" s="2"/>
    </row>
    <row r="5" spans="1:10" ht="15.75" x14ac:dyDescent="0.25">
      <c r="A5" s="2"/>
      <c r="B5" s="5" t="s">
        <v>151</v>
      </c>
      <c r="C5" s="2"/>
      <c r="D5" s="2"/>
      <c r="E5" s="2"/>
      <c r="F5" s="2"/>
      <c r="G5" s="2"/>
      <c r="H5" s="2"/>
      <c r="I5" s="21">
        <v>23746.55</v>
      </c>
      <c r="J5" s="2"/>
    </row>
    <row r="6" spans="1:10" ht="15.75" x14ac:dyDescent="0.25">
      <c r="A6" s="2"/>
      <c r="B6" s="2"/>
      <c r="C6" s="2"/>
      <c r="D6" s="2"/>
      <c r="E6" s="6" t="s">
        <v>23</v>
      </c>
      <c r="F6" s="6" t="s">
        <v>24</v>
      </c>
      <c r="G6" s="6" t="s">
        <v>24</v>
      </c>
      <c r="H6" s="6" t="s">
        <v>24</v>
      </c>
      <c r="I6" s="2"/>
      <c r="J6" s="2"/>
    </row>
    <row r="7" spans="1:10" ht="19.5" x14ac:dyDescent="0.4">
      <c r="A7" s="2" t="s">
        <v>23</v>
      </c>
      <c r="B7" s="7" t="s">
        <v>150</v>
      </c>
      <c r="C7" s="2" t="s">
        <v>26</v>
      </c>
      <c r="D7" s="2" t="s">
        <v>27</v>
      </c>
      <c r="E7" s="5" t="s">
        <v>77</v>
      </c>
      <c r="F7" s="5" t="s">
        <v>29</v>
      </c>
      <c r="G7" s="5" t="s">
        <v>30</v>
      </c>
      <c r="H7" s="5" t="s">
        <v>31</v>
      </c>
      <c r="I7" s="2"/>
      <c r="J7" s="2"/>
    </row>
    <row r="8" spans="1:10" ht="15.75" x14ac:dyDescent="0.25">
      <c r="A8" s="2"/>
      <c r="B8" s="20" t="s">
        <v>103</v>
      </c>
      <c r="C8" s="8" t="s">
        <v>121</v>
      </c>
      <c r="D8" s="18" t="s">
        <v>122</v>
      </c>
      <c r="E8" s="2" t="e">
        <f>+#REF!</f>
        <v>#REF!</v>
      </c>
      <c r="F8" s="2" t="e">
        <f>+#REF!-G8</f>
        <v>#REF!</v>
      </c>
      <c r="G8" s="1" t="e">
        <f>+#REF!+#REF!+#REF!+#REF!</f>
        <v>#REF!</v>
      </c>
      <c r="H8" s="1">
        <v>0</v>
      </c>
      <c r="I8" s="2" t="e">
        <f>I5+E8-F8-G8-H8</f>
        <v>#REF!</v>
      </c>
      <c r="J8" s="2"/>
    </row>
    <row r="9" spans="1:10" ht="15.75" x14ac:dyDescent="0.25">
      <c r="A9" s="2"/>
      <c r="B9" s="20" t="s">
        <v>124</v>
      </c>
      <c r="C9" s="9" t="s">
        <v>123</v>
      </c>
      <c r="D9" s="19" t="s">
        <v>133</v>
      </c>
      <c r="E9" s="2" t="e">
        <f>+#REF!</f>
        <v>#REF!</v>
      </c>
      <c r="F9" s="2" t="e">
        <f>+#REF!-G9</f>
        <v>#REF!</v>
      </c>
      <c r="G9" s="1" t="e">
        <f>+#REF!+#REF!+#REF!+#REF!+#REF!</f>
        <v>#REF!</v>
      </c>
      <c r="H9" s="1">
        <v>0</v>
      </c>
      <c r="I9" s="2" t="e">
        <f>+I8+E9-F9-G9</f>
        <v>#REF!</v>
      </c>
      <c r="J9" s="2"/>
    </row>
    <row r="10" spans="1:10" ht="15.75" x14ac:dyDescent="0.25">
      <c r="A10" s="2"/>
      <c r="B10" s="20" t="s">
        <v>125</v>
      </c>
      <c r="C10" s="2" t="s">
        <v>132</v>
      </c>
      <c r="D10" s="19" t="s">
        <v>134</v>
      </c>
      <c r="E10" s="2" t="e">
        <f>+#REF!</f>
        <v>#REF!</v>
      </c>
      <c r="F10" s="2" t="e">
        <f>+#REF!-G10</f>
        <v>#REF!</v>
      </c>
      <c r="G10" s="1" t="e">
        <f>+#REF!+#REF!</f>
        <v>#REF!</v>
      </c>
      <c r="H10" s="1">
        <v>0</v>
      </c>
      <c r="I10" s="2" t="e">
        <f>+I9+E10-F10-G10-H10</f>
        <v>#REF!</v>
      </c>
      <c r="J10" s="2"/>
    </row>
    <row r="11" spans="1:10" ht="15.75" x14ac:dyDescent="0.25">
      <c r="A11" s="2"/>
      <c r="B11" s="20" t="s">
        <v>126</v>
      </c>
      <c r="C11" s="2" t="s">
        <v>135</v>
      </c>
      <c r="D11" s="6" t="s">
        <v>136</v>
      </c>
      <c r="E11" s="2" t="e">
        <f>+#REF!</f>
        <v>#REF!</v>
      </c>
      <c r="F11" s="2" t="e">
        <f>+#REF!-G11</f>
        <v>#REF!</v>
      </c>
      <c r="G11" s="1" t="e">
        <f>+#REF!+#REF!+#REF!+#REF!</f>
        <v>#REF!</v>
      </c>
      <c r="H11" s="1"/>
      <c r="I11" s="2" t="e">
        <f t="shared" ref="I11:I16" si="0">+I10+E11-F11-G11-H11</f>
        <v>#REF!</v>
      </c>
      <c r="J11" s="2"/>
    </row>
    <row r="12" spans="1:10" ht="15.75" x14ac:dyDescent="0.25">
      <c r="A12" s="2"/>
      <c r="B12" s="20" t="s">
        <v>127</v>
      </c>
      <c r="C12" s="2" t="s">
        <v>137</v>
      </c>
      <c r="D12" s="6" t="s">
        <v>138</v>
      </c>
      <c r="E12" s="2" t="e">
        <f>+#REF!</f>
        <v>#REF!</v>
      </c>
      <c r="F12" s="2" t="e">
        <f>+#REF!-G12</f>
        <v>#REF!</v>
      </c>
      <c r="G12" s="1" t="e">
        <f>+#REF!+#REF!+#REF!+#REF!+#REF!+#REF!+#REF!+#REF!</f>
        <v>#REF!</v>
      </c>
      <c r="H12" s="1"/>
      <c r="I12" s="2" t="e">
        <f t="shared" si="0"/>
        <v>#REF!</v>
      </c>
      <c r="J12" s="2"/>
    </row>
    <row r="13" spans="1:10" ht="15.75" x14ac:dyDescent="0.25">
      <c r="A13" s="2"/>
      <c r="B13" s="20" t="s">
        <v>128</v>
      </c>
      <c r="C13" s="2" t="s">
        <v>139</v>
      </c>
      <c r="D13" s="6" t="s">
        <v>140</v>
      </c>
      <c r="E13" s="2" t="e">
        <f>+#REF!</f>
        <v>#REF!</v>
      </c>
      <c r="F13" s="2" t="e">
        <f>+#REF!-G13</f>
        <v>#REF!</v>
      </c>
      <c r="G13" s="1" t="e">
        <f>+#REF!</f>
        <v>#REF!</v>
      </c>
      <c r="H13" s="1"/>
      <c r="I13" s="2" t="e">
        <f t="shared" si="0"/>
        <v>#REF!</v>
      </c>
      <c r="J13" s="2"/>
    </row>
    <row r="14" spans="1:10" ht="15.75" x14ac:dyDescent="0.25">
      <c r="A14" s="2"/>
      <c r="B14" s="20" t="s">
        <v>129</v>
      </c>
      <c r="C14" s="2" t="s">
        <v>141</v>
      </c>
      <c r="D14" s="6" t="s">
        <v>142</v>
      </c>
      <c r="E14" s="2" t="e">
        <f>+#REF!</f>
        <v>#REF!</v>
      </c>
      <c r="F14" s="2" t="e">
        <f>+#REF!-G14</f>
        <v>#REF!</v>
      </c>
      <c r="G14" s="1" t="e">
        <f>+#REF!+#REF!+#REF!+#REF!+#REF!+#REF!</f>
        <v>#REF!</v>
      </c>
      <c r="H14" s="1"/>
      <c r="I14" s="2" t="e">
        <f t="shared" si="0"/>
        <v>#REF!</v>
      </c>
      <c r="J14" s="2"/>
    </row>
    <row r="15" spans="1:10" ht="15.75" x14ac:dyDescent="0.25">
      <c r="A15" s="2"/>
      <c r="B15" s="20" t="s">
        <v>130</v>
      </c>
      <c r="C15" s="2" t="s">
        <v>143</v>
      </c>
      <c r="D15" s="6" t="s">
        <v>144</v>
      </c>
      <c r="E15" s="2" t="e">
        <f>+#REF!</f>
        <v>#REF!</v>
      </c>
      <c r="F15" s="2" t="e">
        <f>+#REF!-G15</f>
        <v>#REF!</v>
      </c>
      <c r="G15" s="1" t="e">
        <f>+#REF!+#REF!+#REF!+#REF!+#REF!+#REF!</f>
        <v>#REF!</v>
      </c>
      <c r="H15" s="1"/>
      <c r="I15" s="2" t="e">
        <f t="shared" si="0"/>
        <v>#REF!</v>
      </c>
      <c r="J15" s="2"/>
    </row>
    <row r="16" spans="1:10" ht="15.75" x14ac:dyDescent="0.25">
      <c r="A16" s="2"/>
      <c r="B16" s="20" t="s">
        <v>131</v>
      </c>
      <c r="C16" s="2" t="s">
        <v>145</v>
      </c>
      <c r="D16" s="6" t="s">
        <v>146</v>
      </c>
      <c r="E16" s="2" t="e">
        <f>+#REF!</f>
        <v>#REF!</v>
      </c>
      <c r="F16" s="2" t="e">
        <f>+#REF!-G16</f>
        <v>#REF!</v>
      </c>
      <c r="G16" s="1" t="e">
        <f>+#REF!+#REF!</f>
        <v>#REF!</v>
      </c>
      <c r="H16" s="2"/>
      <c r="I16" s="2" t="e">
        <f t="shared" si="0"/>
        <v>#REF!</v>
      </c>
      <c r="J16" s="2"/>
    </row>
    <row r="17" spans="1:10" s="10" customFormat="1" ht="15.75" x14ac:dyDescent="0.25">
      <c r="A17" s="5"/>
      <c r="B17" s="5"/>
      <c r="C17" s="5" t="s">
        <v>32</v>
      </c>
      <c r="D17" s="5"/>
      <c r="E17" s="5" t="e">
        <f>SUM(E8:E16)</f>
        <v>#REF!</v>
      </c>
      <c r="F17" s="5"/>
      <c r="G17" s="5"/>
      <c r="H17" s="5"/>
      <c r="I17" s="14" t="e">
        <f>I5+E17-F18-G18-H18</f>
        <v>#REF!</v>
      </c>
      <c r="J17" s="5"/>
    </row>
    <row r="18" spans="1:10" s="10" customFormat="1" ht="15.75" x14ac:dyDescent="0.25">
      <c r="A18" s="5"/>
      <c r="B18" s="5"/>
      <c r="C18" s="5" t="s">
        <v>33</v>
      </c>
      <c r="D18" s="5">
        <v>0</v>
      </c>
      <c r="E18" s="5"/>
      <c r="F18" s="5" t="e">
        <f>SUM(F8:F17)</f>
        <v>#REF!</v>
      </c>
      <c r="G18" s="5" t="e">
        <f>SUM(G8:G17)</f>
        <v>#REF!</v>
      </c>
      <c r="H18" s="5">
        <f>SUM(H8:H17)</f>
        <v>0</v>
      </c>
      <c r="I18" s="5"/>
      <c r="J18" s="5"/>
    </row>
    <row r="19" spans="1:10" ht="19.5" x14ac:dyDescent="0.4">
      <c r="A19" s="2"/>
      <c r="B19" s="3" t="s">
        <v>34</v>
      </c>
      <c r="C19" s="2"/>
      <c r="D19" s="2"/>
      <c r="E19" s="3"/>
      <c r="F19" s="2"/>
      <c r="G19" s="2"/>
      <c r="H19" s="2"/>
      <c r="I19" s="2"/>
      <c r="J19" s="2"/>
    </row>
    <row r="20" spans="1:10" ht="15.75" x14ac:dyDescent="0.25">
      <c r="A20" s="2"/>
      <c r="B20" s="2"/>
      <c r="C20" s="5" t="s">
        <v>35</v>
      </c>
      <c r="D20" s="5" t="s">
        <v>36</v>
      </c>
      <c r="E20" s="11" t="s">
        <v>37</v>
      </c>
      <c r="F20" s="5" t="s">
        <v>38</v>
      </c>
      <c r="G20" s="5"/>
      <c r="H20" s="5" t="s">
        <v>39</v>
      </c>
      <c r="I20" s="2"/>
      <c r="J20" s="2"/>
    </row>
    <row r="21" spans="1:10" ht="15.75" x14ac:dyDescent="0.25">
      <c r="A21" s="2"/>
      <c r="B21" s="2"/>
      <c r="C21" s="2"/>
      <c r="D21" s="16">
        <v>9</v>
      </c>
      <c r="E21" s="2" t="s">
        <v>40</v>
      </c>
      <c r="F21" s="2">
        <v>200</v>
      </c>
      <c r="G21" s="2"/>
      <c r="H21" s="1">
        <f t="shared" ref="H21:H27" si="1">D21*F21</f>
        <v>1800</v>
      </c>
      <c r="I21" s="2"/>
      <c r="J21" s="2"/>
    </row>
    <row r="22" spans="1:10" ht="15.75" x14ac:dyDescent="0.25">
      <c r="A22" s="2"/>
      <c r="B22" s="2"/>
      <c r="C22" s="13"/>
      <c r="D22" s="17">
        <v>912</v>
      </c>
      <c r="E22" s="2" t="s">
        <v>41</v>
      </c>
      <c r="F22" s="2">
        <v>100</v>
      </c>
      <c r="G22" s="2"/>
      <c r="H22" s="1">
        <f t="shared" si="1"/>
        <v>91200</v>
      </c>
      <c r="I22" s="2"/>
      <c r="J22" s="2"/>
    </row>
    <row r="23" spans="1:10" ht="15.75" x14ac:dyDescent="0.25">
      <c r="A23" s="2"/>
      <c r="B23" s="2"/>
      <c r="C23" s="13"/>
      <c r="D23" s="17">
        <v>0</v>
      </c>
      <c r="E23" s="2" t="s">
        <v>42</v>
      </c>
      <c r="F23" s="2">
        <v>50</v>
      </c>
      <c r="G23" s="2"/>
      <c r="H23" s="1">
        <f t="shared" si="1"/>
        <v>0</v>
      </c>
      <c r="I23" s="2"/>
      <c r="J23" s="2"/>
    </row>
    <row r="24" spans="1:10" ht="15.75" x14ac:dyDescent="0.25">
      <c r="A24" s="2"/>
      <c r="B24" s="2"/>
      <c r="C24" s="13"/>
      <c r="D24" s="17">
        <v>0</v>
      </c>
      <c r="E24" s="2" t="s">
        <v>43</v>
      </c>
      <c r="F24" s="2">
        <v>20</v>
      </c>
      <c r="G24" s="2"/>
      <c r="H24" s="1">
        <f t="shared" si="1"/>
        <v>0</v>
      </c>
      <c r="I24" s="2"/>
      <c r="J24" s="2"/>
    </row>
    <row r="25" spans="1:10" ht="15.75" x14ac:dyDescent="0.25">
      <c r="A25" s="2"/>
      <c r="B25" s="2"/>
      <c r="C25" s="13"/>
      <c r="D25" s="17">
        <v>4</v>
      </c>
      <c r="E25" s="2" t="s">
        <v>44</v>
      </c>
      <c r="F25" s="2">
        <v>10</v>
      </c>
      <c r="G25" s="2"/>
      <c r="H25" s="1">
        <f t="shared" si="1"/>
        <v>40</v>
      </c>
      <c r="I25" s="2"/>
      <c r="J25" s="2"/>
    </row>
    <row r="26" spans="1:10" ht="15.75" x14ac:dyDescent="0.25">
      <c r="A26" s="2"/>
      <c r="B26" s="2"/>
      <c r="C26" s="13"/>
      <c r="D26" s="17">
        <v>95</v>
      </c>
      <c r="E26" s="2" t="s">
        <v>45</v>
      </c>
      <c r="F26" s="2">
        <v>5</v>
      </c>
      <c r="G26" s="2"/>
      <c r="H26" s="1">
        <f t="shared" si="1"/>
        <v>475</v>
      </c>
      <c r="I26" s="2"/>
      <c r="J26" s="2"/>
    </row>
    <row r="27" spans="1:10" ht="15.75" x14ac:dyDescent="0.25">
      <c r="A27" s="2"/>
      <c r="B27" s="2"/>
      <c r="C27" s="13"/>
      <c r="D27" s="17"/>
      <c r="E27" s="2" t="s">
        <v>46</v>
      </c>
      <c r="F27" s="2">
        <v>1</v>
      </c>
      <c r="G27" s="2"/>
      <c r="H27" s="1">
        <f t="shared" si="1"/>
        <v>0</v>
      </c>
      <c r="I27" s="2"/>
      <c r="J27" s="2"/>
    </row>
    <row r="28" spans="1:10" ht="15.75" x14ac:dyDescent="0.25">
      <c r="A28" s="2"/>
      <c r="B28" s="2"/>
      <c r="C28" s="13"/>
      <c r="D28" s="12"/>
      <c r="E28" s="11" t="s">
        <v>47</v>
      </c>
      <c r="F28" s="2"/>
      <c r="G28" s="2"/>
      <c r="H28" s="1"/>
      <c r="I28" s="2"/>
      <c r="J28" s="2"/>
    </row>
    <row r="29" spans="1:10" ht="15.75" x14ac:dyDescent="0.25">
      <c r="A29" s="2"/>
      <c r="B29" s="2"/>
      <c r="C29" s="13"/>
      <c r="D29" s="16">
        <v>6</v>
      </c>
      <c r="E29" s="2" t="s">
        <v>46</v>
      </c>
      <c r="F29" s="2">
        <v>1</v>
      </c>
      <c r="G29" s="2"/>
      <c r="H29" s="1">
        <f t="shared" ref="H29:H34" si="2">D29*F29</f>
        <v>6</v>
      </c>
      <c r="I29" s="2"/>
      <c r="J29" s="2"/>
    </row>
    <row r="30" spans="1:10" ht="15.75" x14ac:dyDescent="0.25">
      <c r="A30" s="2"/>
      <c r="B30" s="2"/>
      <c r="C30" s="13"/>
      <c r="D30" s="16">
        <v>1</v>
      </c>
      <c r="E30" s="2" t="s">
        <v>48</v>
      </c>
      <c r="F30" s="2">
        <v>0.5</v>
      </c>
      <c r="G30" s="2"/>
      <c r="H30" s="1">
        <f t="shared" si="2"/>
        <v>0.5</v>
      </c>
      <c r="I30" s="2"/>
      <c r="J30" s="2"/>
    </row>
    <row r="31" spans="1:10" ht="15.75" x14ac:dyDescent="0.25">
      <c r="A31" s="2"/>
      <c r="B31" s="2"/>
      <c r="C31" s="13"/>
      <c r="D31" s="16">
        <v>1</v>
      </c>
      <c r="E31" s="2" t="s">
        <v>49</v>
      </c>
      <c r="F31" s="2">
        <v>0.25</v>
      </c>
      <c r="G31" s="2"/>
      <c r="H31" s="1">
        <f t="shared" si="2"/>
        <v>0.25</v>
      </c>
      <c r="I31" s="2"/>
      <c r="J31" s="2"/>
    </row>
    <row r="32" spans="1:10" ht="15.75" x14ac:dyDescent="0.25">
      <c r="A32" s="2"/>
      <c r="B32" s="2"/>
      <c r="C32" s="13"/>
      <c r="D32" s="16">
        <v>1</v>
      </c>
      <c r="E32" s="2" t="s">
        <v>50</v>
      </c>
      <c r="F32" s="2">
        <v>0.1</v>
      </c>
      <c r="G32" s="2"/>
      <c r="H32" s="1">
        <f t="shared" si="2"/>
        <v>0.1</v>
      </c>
      <c r="I32" s="2"/>
      <c r="J32" s="2"/>
    </row>
    <row r="33" spans="1:10" ht="15.75" x14ac:dyDescent="0.25">
      <c r="A33" s="2"/>
      <c r="B33" s="5"/>
      <c r="C33" s="13"/>
      <c r="D33" s="16">
        <v>0</v>
      </c>
      <c r="E33" s="2" t="s">
        <v>51</v>
      </c>
      <c r="F33" s="2">
        <v>0.05</v>
      </c>
      <c r="G33" s="2"/>
      <c r="H33" s="1">
        <f t="shared" si="2"/>
        <v>0</v>
      </c>
      <c r="I33" s="2"/>
      <c r="J33" s="2"/>
    </row>
    <row r="34" spans="1:10" ht="15.75" x14ac:dyDescent="0.25">
      <c r="A34" s="2"/>
      <c r="B34" s="5"/>
      <c r="C34" s="2"/>
      <c r="D34" s="16"/>
      <c r="E34" s="2" t="s">
        <v>52</v>
      </c>
      <c r="F34" s="2">
        <v>0.01</v>
      </c>
      <c r="G34" s="2"/>
      <c r="H34" s="1">
        <f t="shared" si="2"/>
        <v>0</v>
      </c>
      <c r="I34" s="2"/>
      <c r="J34" s="2"/>
    </row>
    <row r="35" spans="1:10" s="10" customFormat="1" ht="15.75" x14ac:dyDescent="0.25">
      <c r="A35" s="5"/>
      <c r="B35" s="5"/>
      <c r="C35" s="5"/>
      <c r="D35" s="5"/>
      <c r="E35" s="5"/>
      <c r="F35" s="5" t="s">
        <v>53</v>
      </c>
      <c r="G35" s="5"/>
      <c r="H35" s="5"/>
      <c r="I35" s="14">
        <f>SUM(H20:H35)</f>
        <v>93521.85</v>
      </c>
      <c r="J35" s="5"/>
    </row>
    <row r="36" spans="1:10" ht="15.75" x14ac:dyDescent="0.25">
      <c r="A36" s="2"/>
      <c r="B36" s="2"/>
      <c r="C36" s="2"/>
      <c r="D36" s="2"/>
      <c r="E36" s="2"/>
      <c r="F36" s="2"/>
      <c r="G36" s="2"/>
      <c r="H36" s="2"/>
      <c r="I36" s="2"/>
      <c r="J36" s="2"/>
    </row>
    <row r="37" spans="1:10" ht="16.5" thickBot="1" x14ac:dyDescent="0.3">
      <c r="A37" s="2"/>
      <c r="B37" s="2"/>
      <c r="C37" s="2"/>
      <c r="D37" s="2"/>
      <c r="E37" s="2"/>
      <c r="F37" s="2" t="s">
        <v>54</v>
      </c>
      <c r="G37" s="2"/>
      <c r="H37" s="2"/>
      <c r="I37" s="15" t="e">
        <f>I17-I35</f>
        <v>#REF!</v>
      </c>
      <c r="J37" s="2"/>
    </row>
    <row r="38" spans="1:10" ht="16.5" thickTop="1" x14ac:dyDescent="0.25">
      <c r="A38" s="2"/>
      <c r="B38" s="2" t="s">
        <v>147</v>
      </c>
      <c r="C38" s="2"/>
      <c r="D38" s="2"/>
      <c r="E38" s="2"/>
      <c r="F38" s="2"/>
      <c r="G38" s="2"/>
      <c r="H38" s="2"/>
      <c r="I38" s="2"/>
      <c r="J38" s="2"/>
    </row>
    <row r="39" spans="1:10" ht="15.75" x14ac:dyDescent="0.25">
      <c r="A39" s="2"/>
      <c r="B39" s="2" t="s">
        <v>55</v>
      </c>
      <c r="C39" s="2"/>
      <c r="D39" s="2"/>
      <c r="E39" s="2"/>
      <c r="F39" s="2"/>
      <c r="G39" s="2"/>
      <c r="H39" s="2"/>
      <c r="I39" s="2"/>
      <c r="J39" s="2"/>
    </row>
    <row r="40" spans="1:10" ht="15.75" x14ac:dyDescent="0.25">
      <c r="A40" s="2"/>
      <c r="B40" s="2" t="s">
        <v>148</v>
      </c>
      <c r="C40" s="2"/>
      <c r="D40" s="2"/>
      <c r="E40" s="2"/>
      <c r="F40" s="2"/>
      <c r="G40" s="2"/>
      <c r="H40" s="2"/>
      <c r="I40" s="2"/>
      <c r="J40" s="2"/>
    </row>
    <row r="41" spans="1:10" ht="15.75" x14ac:dyDescent="0.25">
      <c r="A41" s="2"/>
      <c r="B41" s="2" t="s">
        <v>57</v>
      </c>
      <c r="C41" s="2"/>
      <c r="D41" s="2"/>
      <c r="E41" s="2"/>
      <c r="F41" s="2"/>
      <c r="G41" s="2"/>
      <c r="H41" s="2"/>
      <c r="I41" s="2"/>
      <c r="J41" s="2"/>
    </row>
    <row r="42" spans="1:10" ht="15.75" x14ac:dyDescent="0.25">
      <c r="A42" s="2"/>
      <c r="B42" s="2" t="s">
        <v>152</v>
      </c>
      <c r="C42" s="2"/>
      <c r="D42" s="2"/>
      <c r="E42" s="2"/>
      <c r="F42" s="2"/>
      <c r="G42" s="2"/>
      <c r="H42" s="2"/>
      <c r="I42" s="2"/>
      <c r="J42" s="2"/>
    </row>
    <row r="43" spans="1:10" ht="15.75" x14ac:dyDescent="0.25">
      <c r="A43" s="2"/>
      <c r="B43" s="2" t="s">
        <v>58</v>
      </c>
      <c r="C43" s="2"/>
      <c r="D43" s="2"/>
      <c r="E43" s="2"/>
      <c r="F43" s="2"/>
      <c r="G43" s="2"/>
      <c r="H43" s="2"/>
      <c r="I43" s="2"/>
      <c r="J43" s="2"/>
    </row>
    <row r="44" spans="1:10" ht="15.75" x14ac:dyDescent="0.25">
      <c r="A44" s="2"/>
      <c r="B44" s="2" t="s">
        <v>59</v>
      </c>
      <c r="C44" s="2"/>
      <c r="D44" s="2"/>
      <c r="E44" s="2"/>
      <c r="F44" s="2"/>
      <c r="G44" s="2"/>
      <c r="H44" s="2"/>
      <c r="I44" s="2"/>
      <c r="J44" s="2"/>
    </row>
    <row r="45" spans="1:10" ht="15.75" x14ac:dyDescent="0.25">
      <c r="A45" s="2"/>
      <c r="B45" s="2" t="s">
        <v>60</v>
      </c>
      <c r="C45" s="2"/>
      <c r="D45" s="2"/>
      <c r="E45" s="2"/>
      <c r="F45" s="2"/>
      <c r="G45" s="2"/>
      <c r="H45" s="2"/>
      <c r="I45" s="2"/>
      <c r="J45" s="2"/>
    </row>
    <row r="46" spans="1:10" ht="15.75" x14ac:dyDescent="0.25">
      <c r="A46" s="2"/>
      <c r="B46" s="2"/>
      <c r="C46" s="2"/>
      <c r="D46" s="2"/>
      <c r="E46" s="2"/>
      <c r="F46" s="2"/>
      <c r="G46" s="2"/>
      <c r="H46" s="2"/>
      <c r="I46" s="2"/>
      <c r="J46" s="2"/>
    </row>
    <row r="47" spans="1:10" ht="15.75" x14ac:dyDescent="0.25">
      <c r="A47" s="2"/>
      <c r="B47" s="2" t="s">
        <v>61</v>
      </c>
      <c r="C47" s="2"/>
      <c r="D47" s="2"/>
      <c r="E47" s="2"/>
      <c r="F47" s="2"/>
      <c r="G47" s="2"/>
      <c r="H47" s="2"/>
      <c r="I47" s="2"/>
      <c r="J47" s="2"/>
    </row>
    <row r="48" spans="1:10" ht="15.75" x14ac:dyDescent="0.25">
      <c r="A48" s="2"/>
      <c r="B48" s="2"/>
      <c r="C48" s="2"/>
      <c r="D48" s="2"/>
      <c r="E48" s="2"/>
      <c r="F48" s="2"/>
      <c r="G48" s="2"/>
      <c r="H48" s="2"/>
      <c r="I48" s="2"/>
      <c r="J48" s="2"/>
    </row>
    <row r="49" spans="1:10" ht="15.75" x14ac:dyDescent="0.25">
      <c r="A49" s="2"/>
      <c r="B49" s="2"/>
      <c r="C49" s="2"/>
      <c r="D49" s="2"/>
      <c r="E49" s="2"/>
      <c r="F49" s="2"/>
      <c r="G49" s="2"/>
      <c r="H49" s="2"/>
      <c r="I49" s="2"/>
      <c r="J49" s="2"/>
    </row>
    <row r="50" spans="1:10" ht="15.75" x14ac:dyDescent="0.25">
      <c r="A50" s="2"/>
      <c r="B50" s="2"/>
      <c r="C50" s="2"/>
      <c r="D50" s="2"/>
      <c r="E50" s="2"/>
      <c r="F50" s="2"/>
      <c r="G50" s="2"/>
      <c r="H50" s="2"/>
      <c r="I50" s="2"/>
      <c r="J50" s="2"/>
    </row>
    <row r="51" spans="1:10" ht="15.75" x14ac:dyDescent="0.25">
      <c r="A51" s="2"/>
      <c r="B51" s="277" t="s">
        <v>62</v>
      </c>
      <c r="C51" s="277"/>
      <c r="D51" s="2"/>
      <c r="E51" s="278" t="s">
        <v>153</v>
      </c>
      <c r="F51" s="278"/>
      <c r="G51" s="2"/>
      <c r="H51" s="2"/>
      <c r="I51" s="2"/>
      <c r="J51" s="2"/>
    </row>
    <row r="52" spans="1:10" ht="15.75" x14ac:dyDescent="0.25">
      <c r="A52" s="2"/>
      <c r="B52" s="277" t="s">
        <v>64</v>
      </c>
      <c r="C52" s="277"/>
      <c r="D52" s="2"/>
      <c r="E52" s="278" t="s">
        <v>154</v>
      </c>
      <c r="F52" s="278"/>
      <c r="G52" s="2"/>
      <c r="H52" s="2"/>
      <c r="I52" s="2"/>
      <c r="J52" s="2"/>
    </row>
    <row r="53" spans="1:10" ht="15.75" x14ac:dyDescent="0.25">
      <c r="A53" s="2"/>
      <c r="B53" s="2"/>
      <c r="C53" s="2"/>
      <c r="D53" s="2"/>
      <c r="E53" s="2"/>
      <c r="F53" s="2"/>
      <c r="G53" s="2"/>
      <c r="H53" s="2"/>
      <c r="I53" s="2"/>
      <c r="J53" s="2"/>
    </row>
    <row r="54" spans="1:10" ht="15.75" x14ac:dyDescent="0.25">
      <c r="A54" s="2"/>
      <c r="B54" s="2"/>
      <c r="C54" s="2"/>
      <c r="D54" s="2"/>
      <c r="E54" s="2"/>
      <c r="F54" s="2"/>
      <c r="G54" s="2"/>
      <c r="H54" s="2"/>
      <c r="I54" s="2"/>
      <c r="J54" s="2"/>
    </row>
    <row r="55" spans="1:10" ht="15.75" x14ac:dyDescent="0.25">
      <c r="A55" s="2"/>
      <c r="B55" s="2"/>
      <c r="C55" s="2"/>
      <c r="D55" s="2"/>
      <c r="E55" s="2"/>
      <c r="F55" s="2"/>
      <c r="G55" s="2"/>
      <c r="H55" s="2"/>
      <c r="I55" s="2"/>
      <c r="J55" s="2"/>
    </row>
    <row r="56" spans="1:10" ht="15.75" x14ac:dyDescent="0.25">
      <c r="A56" s="2"/>
      <c r="B56" s="2" t="s">
        <v>73</v>
      </c>
      <c r="C56" s="2"/>
      <c r="D56" s="2"/>
      <c r="E56" s="277" t="s">
        <v>66</v>
      </c>
      <c r="F56" s="277"/>
      <c r="G56" s="2"/>
      <c r="H56" s="2"/>
      <c r="I56" s="2"/>
      <c r="J56" s="2"/>
    </row>
    <row r="57" spans="1:10" ht="15.75" x14ac:dyDescent="0.25">
      <c r="A57" s="2"/>
      <c r="B57" s="2" t="s">
        <v>67</v>
      </c>
      <c r="C57" s="2"/>
      <c r="D57" s="2"/>
      <c r="E57" s="277" t="s">
        <v>68</v>
      </c>
      <c r="F57" s="277"/>
      <c r="G57" s="2"/>
      <c r="H57" s="2"/>
      <c r="I57" s="2"/>
      <c r="J57" s="2"/>
    </row>
  </sheetData>
  <mergeCells count="6">
    <mergeCell ref="E57:F57"/>
    <mergeCell ref="B51:C51"/>
    <mergeCell ref="E51:F51"/>
    <mergeCell ref="B52:C52"/>
    <mergeCell ref="E52:F52"/>
    <mergeCell ref="E56:F56"/>
  </mergeCells>
  <pageMargins left="0.70866141732283472" right="0.11811023622047245" top="0.74803149606299213" bottom="0.74803149606299213" header="0.31496062992125984" footer="0.31496062992125984"/>
  <pageSetup scale="8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A9A7-6595-48F7-8052-F49B0E30400C}">
  <sheetPr codeName="Hoja9"/>
  <dimension ref="A1:K54"/>
  <sheetViews>
    <sheetView topLeftCell="A22" workbookViewId="0">
      <selection activeCell="I14" sqref="I14"/>
    </sheetView>
  </sheetViews>
  <sheetFormatPr baseColWidth="10" defaultColWidth="11.42578125" defaultRowHeight="15" x14ac:dyDescent="0.25"/>
  <cols>
    <col min="1" max="1" width="2.85546875" style="4" customWidth="1"/>
    <col min="2" max="2" width="15.5703125" style="4" customWidth="1"/>
    <col min="3" max="3" width="17.7109375" style="4" customWidth="1"/>
    <col min="4" max="4" width="12.7109375" style="4" customWidth="1"/>
    <col min="5" max="5" width="14.85546875" style="4" customWidth="1"/>
    <col min="6" max="6" width="14.42578125" style="4" bestFit="1" customWidth="1"/>
    <col min="7" max="7" width="14.7109375" style="4" customWidth="1"/>
    <col min="8" max="8" width="13.5703125" style="4" customWidth="1"/>
    <col min="9" max="9" width="15.85546875" style="4" customWidth="1"/>
    <col min="10" max="16384" width="11.42578125" style="4"/>
  </cols>
  <sheetData>
    <row r="1" spans="1:11" ht="19.5" x14ac:dyDescent="0.4">
      <c r="A1" s="2"/>
      <c r="B1" s="2"/>
      <c r="C1" s="3" t="s">
        <v>20</v>
      </c>
      <c r="D1" s="2"/>
      <c r="E1" s="2"/>
      <c r="F1" s="2"/>
      <c r="G1" s="2"/>
      <c r="H1" s="2"/>
      <c r="I1" s="2"/>
      <c r="J1" s="2"/>
    </row>
    <row r="2" spans="1:11" ht="19.5" x14ac:dyDescent="0.4">
      <c r="A2" s="2"/>
      <c r="B2" s="2"/>
      <c r="C2" s="3" t="s">
        <v>21</v>
      </c>
      <c r="D2" s="2"/>
      <c r="E2" s="2"/>
      <c r="F2" s="2"/>
      <c r="G2" s="2"/>
      <c r="H2" s="2"/>
      <c r="I2" s="2"/>
      <c r="J2" s="2"/>
    </row>
    <row r="3" spans="1:11" ht="15.75" x14ac:dyDescent="0.25">
      <c r="A3" s="2"/>
      <c r="B3" s="2"/>
      <c r="C3" s="2"/>
      <c r="D3" s="2" t="s">
        <v>22</v>
      </c>
      <c r="E3" s="2"/>
      <c r="F3" s="2"/>
      <c r="G3" s="2"/>
      <c r="H3" s="2"/>
      <c r="I3" s="2"/>
      <c r="J3" s="2"/>
    </row>
    <row r="4" spans="1:11" ht="15.75" x14ac:dyDescent="0.25">
      <c r="A4" s="2"/>
      <c r="B4" s="2"/>
      <c r="C4" s="2"/>
      <c r="D4" s="2" t="s">
        <v>98</v>
      </c>
      <c r="E4" s="2"/>
      <c r="F4" s="2"/>
      <c r="G4" s="2"/>
      <c r="H4" s="2"/>
      <c r="I4" s="2"/>
      <c r="J4" s="2"/>
    </row>
    <row r="5" spans="1:11" ht="15.75" x14ac:dyDescent="0.25">
      <c r="A5" s="2"/>
      <c r="B5" s="5" t="s">
        <v>97</v>
      </c>
      <c r="C5" s="2"/>
      <c r="D5" s="2"/>
      <c r="E5" s="2"/>
      <c r="F5" s="2"/>
      <c r="G5" s="2"/>
      <c r="H5" s="2"/>
      <c r="I5" s="2" t="e">
        <f>+#REF!</f>
        <v>#REF!</v>
      </c>
      <c r="J5" s="2"/>
    </row>
    <row r="6" spans="1:11" ht="15.75" x14ac:dyDescent="0.25">
      <c r="A6" s="2"/>
      <c r="B6" s="2"/>
      <c r="C6" s="2"/>
      <c r="D6" s="2"/>
      <c r="E6" s="6" t="s">
        <v>23</v>
      </c>
      <c r="F6" s="6" t="s">
        <v>24</v>
      </c>
      <c r="G6" s="6" t="s">
        <v>24</v>
      </c>
      <c r="H6" s="6" t="s">
        <v>24</v>
      </c>
      <c r="I6" s="2"/>
      <c r="J6" s="2"/>
    </row>
    <row r="7" spans="1:11" ht="19.5" x14ac:dyDescent="0.4">
      <c r="A7" s="2" t="s">
        <v>23</v>
      </c>
      <c r="B7" s="7" t="s">
        <v>25</v>
      </c>
      <c r="C7" s="2" t="s">
        <v>26</v>
      </c>
      <c r="D7" s="2" t="s">
        <v>27</v>
      </c>
      <c r="E7" s="5" t="s">
        <v>77</v>
      </c>
      <c r="F7" s="5" t="s">
        <v>29</v>
      </c>
      <c r="G7" s="5" t="s">
        <v>30</v>
      </c>
      <c r="H7" s="5" t="s">
        <v>31</v>
      </c>
      <c r="I7" s="2"/>
      <c r="J7" s="2"/>
    </row>
    <row r="8" spans="1:11" ht="15.75" x14ac:dyDescent="0.25">
      <c r="A8" s="2"/>
      <c r="B8" s="20" t="s">
        <v>99</v>
      </c>
      <c r="C8" s="8" t="s">
        <v>104</v>
      </c>
      <c r="D8" s="18" t="s">
        <v>105</v>
      </c>
      <c r="E8" s="2" t="e">
        <f>+#REF!</f>
        <v>#REF!</v>
      </c>
      <c r="F8" s="2" t="e">
        <f>+#REF!-G8</f>
        <v>#REF!</v>
      </c>
      <c r="G8" s="1" t="e">
        <f>+#REF!+#REF!+#REF!+#REF!+#REF!+#REF!+#REF!+#REF!+#REF!+#REF!++#REF!+#REF!+#REF!</f>
        <v>#REF!</v>
      </c>
      <c r="H8" s="1">
        <v>0</v>
      </c>
      <c r="I8" s="2" t="e">
        <f>I5+E8-F8-G8-H8</f>
        <v>#REF!</v>
      </c>
      <c r="J8" s="2"/>
    </row>
    <row r="9" spans="1:11" ht="15.75" x14ac:dyDescent="0.25">
      <c r="A9" s="2"/>
      <c r="B9" s="20" t="s">
        <v>100</v>
      </c>
      <c r="C9" s="9" t="s">
        <v>106</v>
      </c>
      <c r="D9" s="19" t="s">
        <v>107</v>
      </c>
      <c r="E9" s="2" t="e">
        <f>+#REF!</f>
        <v>#REF!</v>
      </c>
      <c r="F9" s="2" t="e">
        <f>+#REF!-G9</f>
        <v>#REF!</v>
      </c>
      <c r="G9" s="1" t="e">
        <f>+#REF!+#REF!+#REF!+#REF!</f>
        <v>#REF!</v>
      </c>
      <c r="H9" s="1">
        <v>0</v>
      </c>
      <c r="I9" s="2" t="e">
        <f>I8+E9-F9-G9-H9</f>
        <v>#REF!</v>
      </c>
      <c r="J9" s="2"/>
    </row>
    <row r="10" spans="1:11" ht="15.75" x14ac:dyDescent="0.25">
      <c r="A10" s="2"/>
      <c r="B10" s="20" t="s">
        <v>101</v>
      </c>
      <c r="C10" s="2" t="s">
        <v>108</v>
      </c>
      <c r="D10" s="6" t="s">
        <v>110</v>
      </c>
      <c r="E10" s="2" t="e">
        <f>+#REF!</f>
        <v>#REF!</v>
      </c>
      <c r="F10" s="2" t="e">
        <f>+#REF!-G10</f>
        <v>#REF!</v>
      </c>
      <c r="G10" s="1" t="e">
        <f>+#REF!+#REF!+#REF!+#REF!</f>
        <v>#REF!</v>
      </c>
      <c r="H10" s="1">
        <v>0</v>
      </c>
      <c r="I10" s="2" t="e">
        <f t="shared" ref="I10:I12" si="0">I9+E10-F10-G10-H10</f>
        <v>#REF!</v>
      </c>
      <c r="J10" s="2"/>
    </row>
    <row r="11" spans="1:11" ht="15.75" x14ac:dyDescent="0.25">
      <c r="A11" s="2"/>
      <c r="B11" s="20" t="s">
        <v>102</v>
      </c>
      <c r="C11" s="2" t="s">
        <v>109</v>
      </c>
      <c r="D11" s="6" t="s">
        <v>111</v>
      </c>
      <c r="E11" s="2" t="e">
        <f>+#REF!</f>
        <v>#REF!</v>
      </c>
      <c r="F11" s="2" t="e">
        <f>+#REF!-G11</f>
        <v>#REF!</v>
      </c>
      <c r="G11" s="1" t="e">
        <f>+#REF!+#REF!+#REF!+#REF!</f>
        <v>#REF!</v>
      </c>
      <c r="H11" s="1"/>
      <c r="I11" s="2" t="e">
        <f t="shared" si="0"/>
        <v>#REF!</v>
      </c>
      <c r="J11" s="2"/>
      <c r="K11" s="4" t="e">
        <f>I10+E11-F11-G11</f>
        <v>#REF!</v>
      </c>
    </row>
    <row r="12" spans="1:11" ht="15.75" x14ac:dyDescent="0.25">
      <c r="A12" s="2"/>
      <c r="B12" s="20" t="s">
        <v>103</v>
      </c>
      <c r="C12" s="2" t="s">
        <v>112</v>
      </c>
      <c r="D12" s="6" t="s">
        <v>113</v>
      </c>
      <c r="E12" s="2" t="e">
        <f>+#REF!</f>
        <v>#REF!</v>
      </c>
      <c r="F12" s="2" t="e">
        <f>+#REF!-G12</f>
        <v>#REF!</v>
      </c>
      <c r="G12" s="1" t="e">
        <f>+#REF!+#REF!</f>
        <v>#REF!</v>
      </c>
      <c r="H12" s="1"/>
      <c r="I12" s="2" t="e">
        <f t="shared" si="0"/>
        <v>#REF!</v>
      </c>
      <c r="J12" s="2"/>
    </row>
    <row r="13" spans="1:11" ht="15.75" x14ac:dyDescent="0.25">
      <c r="A13" s="2"/>
      <c r="B13" s="2"/>
      <c r="C13" s="2"/>
      <c r="D13" s="2"/>
      <c r="E13" s="2"/>
      <c r="F13" s="2"/>
      <c r="G13" s="2"/>
      <c r="H13" s="2"/>
      <c r="I13" s="2"/>
      <c r="J13" s="2"/>
    </row>
    <row r="14" spans="1:11" s="10" customFormat="1" ht="15.75" x14ac:dyDescent="0.25">
      <c r="A14" s="5"/>
      <c r="B14" s="5"/>
      <c r="C14" s="5" t="s">
        <v>32</v>
      </c>
      <c r="D14" s="5"/>
      <c r="E14" s="5" t="e">
        <f>SUM(E8:E13)</f>
        <v>#REF!</v>
      </c>
      <c r="F14" s="5"/>
      <c r="G14" s="5"/>
      <c r="H14" s="5"/>
      <c r="I14" s="5" t="e">
        <f>I5+E14-F15-G15-H15</f>
        <v>#REF!</v>
      </c>
      <c r="J14" s="5"/>
    </row>
    <row r="15" spans="1:11" s="10" customFormat="1" ht="15.75" x14ac:dyDescent="0.25">
      <c r="A15" s="5"/>
      <c r="B15" s="5"/>
      <c r="C15" s="5" t="s">
        <v>33</v>
      </c>
      <c r="D15" s="5">
        <v>0</v>
      </c>
      <c r="E15" s="5"/>
      <c r="F15" s="5" t="e">
        <f>SUM(F8:F14)</f>
        <v>#REF!</v>
      </c>
      <c r="G15" s="5" t="e">
        <f>SUM(G8:G14)</f>
        <v>#REF!</v>
      </c>
      <c r="H15" s="5">
        <f>SUM(H8:H14)</f>
        <v>0</v>
      </c>
      <c r="I15" s="5"/>
      <c r="J15" s="5"/>
    </row>
    <row r="16" spans="1:11" ht="19.5" x14ac:dyDescent="0.4">
      <c r="A16" s="2"/>
      <c r="B16" s="3" t="s">
        <v>34</v>
      </c>
      <c r="C16" s="2"/>
      <c r="D16" s="2"/>
      <c r="E16" s="3"/>
      <c r="F16" s="2"/>
      <c r="G16" s="2"/>
      <c r="H16" s="2"/>
      <c r="I16" s="2"/>
      <c r="J16" s="2"/>
    </row>
    <row r="17" spans="1:10" ht="15.75" x14ac:dyDescent="0.25">
      <c r="A17" s="2"/>
      <c r="B17" s="2"/>
      <c r="C17" s="5" t="s">
        <v>35</v>
      </c>
      <c r="D17" s="5" t="s">
        <v>36</v>
      </c>
      <c r="E17" s="11" t="s">
        <v>37</v>
      </c>
      <c r="F17" s="5" t="s">
        <v>38</v>
      </c>
      <c r="G17" s="5"/>
      <c r="H17" s="5" t="s">
        <v>39</v>
      </c>
      <c r="I17" s="2"/>
      <c r="J17" s="2"/>
    </row>
    <row r="18" spans="1:10" ht="15.75" x14ac:dyDescent="0.25">
      <c r="A18" s="2"/>
      <c r="B18" s="2"/>
      <c r="C18" s="2"/>
      <c r="D18" s="16">
        <v>20</v>
      </c>
      <c r="E18" s="2" t="s">
        <v>40</v>
      </c>
      <c r="F18" s="2">
        <v>200</v>
      </c>
      <c r="G18" s="2"/>
      <c r="H18" s="1">
        <f t="shared" ref="H18:H24" si="1">D18*F18</f>
        <v>4000</v>
      </c>
      <c r="I18" s="2"/>
      <c r="J18" s="2"/>
    </row>
    <row r="19" spans="1:10" ht="15.75" x14ac:dyDescent="0.25">
      <c r="A19" s="2"/>
      <c r="B19" s="2"/>
      <c r="C19" s="13"/>
      <c r="D19" s="17">
        <v>444</v>
      </c>
      <c r="E19" s="2" t="s">
        <v>41</v>
      </c>
      <c r="F19" s="2">
        <v>100</v>
      </c>
      <c r="G19" s="2"/>
      <c r="H19" s="1">
        <f t="shared" si="1"/>
        <v>44400</v>
      </c>
      <c r="I19" s="2"/>
      <c r="J19" s="2"/>
    </row>
    <row r="20" spans="1:10" ht="15.75" x14ac:dyDescent="0.25">
      <c r="A20" s="2"/>
      <c r="B20" s="2"/>
      <c r="C20" s="13"/>
      <c r="D20" s="17">
        <v>2</v>
      </c>
      <c r="E20" s="2" t="s">
        <v>42</v>
      </c>
      <c r="F20" s="2">
        <v>50</v>
      </c>
      <c r="G20" s="2"/>
      <c r="H20" s="1">
        <f t="shared" si="1"/>
        <v>100</v>
      </c>
      <c r="I20" s="2"/>
      <c r="J20" s="2"/>
    </row>
    <row r="21" spans="1:10" ht="15.75" x14ac:dyDescent="0.25">
      <c r="A21" s="2"/>
      <c r="B21" s="2"/>
      <c r="C21" s="13"/>
      <c r="D21" s="17">
        <v>13</v>
      </c>
      <c r="E21" s="2" t="s">
        <v>43</v>
      </c>
      <c r="F21" s="2">
        <v>20</v>
      </c>
      <c r="G21" s="2"/>
      <c r="H21" s="1">
        <f t="shared" si="1"/>
        <v>260</v>
      </c>
      <c r="I21" s="2"/>
      <c r="J21" s="2"/>
    </row>
    <row r="22" spans="1:10" ht="15.75" x14ac:dyDescent="0.25">
      <c r="A22" s="2"/>
      <c r="B22" s="2"/>
      <c r="C22" s="13"/>
      <c r="D22" s="17">
        <v>3</v>
      </c>
      <c r="E22" s="2" t="s">
        <v>44</v>
      </c>
      <c r="F22" s="2">
        <v>10</v>
      </c>
      <c r="G22" s="2"/>
      <c r="H22" s="1">
        <f t="shared" si="1"/>
        <v>30</v>
      </c>
      <c r="I22" s="2"/>
      <c r="J22" s="2"/>
    </row>
    <row r="23" spans="1:10" ht="15.75" x14ac:dyDescent="0.25">
      <c r="A23" s="2"/>
      <c r="B23" s="2"/>
      <c r="C23" s="13"/>
      <c r="D23" s="17">
        <v>4</v>
      </c>
      <c r="E23" s="2" t="s">
        <v>45</v>
      </c>
      <c r="F23" s="2">
        <v>5</v>
      </c>
      <c r="G23" s="2"/>
      <c r="H23" s="1">
        <f t="shared" si="1"/>
        <v>20</v>
      </c>
      <c r="I23" s="2"/>
      <c r="J23" s="2"/>
    </row>
    <row r="24" spans="1:10" ht="15.75" x14ac:dyDescent="0.25">
      <c r="A24" s="2"/>
      <c r="B24" s="2"/>
      <c r="C24" s="13"/>
      <c r="D24" s="17"/>
      <c r="E24" s="2" t="s">
        <v>46</v>
      </c>
      <c r="F24" s="2">
        <v>1</v>
      </c>
      <c r="G24" s="2"/>
      <c r="H24" s="1">
        <f t="shared" si="1"/>
        <v>0</v>
      </c>
      <c r="I24" s="2"/>
      <c r="J24" s="2"/>
    </row>
    <row r="25" spans="1:10" ht="15.75" x14ac:dyDescent="0.25">
      <c r="A25" s="2"/>
      <c r="B25" s="2"/>
      <c r="C25" s="13"/>
      <c r="D25" s="12"/>
      <c r="E25" s="11" t="s">
        <v>47</v>
      </c>
      <c r="F25" s="2"/>
      <c r="G25" s="2"/>
      <c r="H25" s="1"/>
      <c r="I25" s="2"/>
      <c r="J25" s="2"/>
    </row>
    <row r="26" spans="1:10" ht="15.75" x14ac:dyDescent="0.25">
      <c r="A26" s="2"/>
      <c r="B26" s="2"/>
      <c r="C26" s="13"/>
      <c r="D26" s="16">
        <v>4</v>
      </c>
      <c r="E26" s="2" t="s">
        <v>46</v>
      </c>
      <c r="F26" s="2">
        <v>1</v>
      </c>
      <c r="G26" s="2"/>
      <c r="H26" s="1">
        <f t="shared" ref="H26:H31" si="2">D26*F26</f>
        <v>4</v>
      </c>
      <c r="I26" s="2"/>
      <c r="J26" s="2"/>
    </row>
    <row r="27" spans="1:10" ht="15.75" x14ac:dyDescent="0.25">
      <c r="A27" s="2"/>
      <c r="B27" s="2"/>
      <c r="C27" s="13"/>
      <c r="D27" s="16">
        <v>1</v>
      </c>
      <c r="E27" s="2" t="s">
        <v>48</v>
      </c>
      <c r="F27" s="2">
        <v>0.5</v>
      </c>
      <c r="G27" s="2"/>
      <c r="H27" s="1">
        <f t="shared" si="2"/>
        <v>0.5</v>
      </c>
      <c r="I27" s="2"/>
      <c r="J27" s="2"/>
    </row>
    <row r="28" spans="1:10" ht="15.75" x14ac:dyDescent="0.25">
      <c r="A28" s="2"/>
      <c r="B28" s="2"/>
      <c r="C28" s="13"/>
      <c r="D28" s="16"/>
      <c r="E28" s="2" t="s">
        <v>49</v>
      </c>
      <c r="F28" s="2">
        <v>0.25</v>
      </c>
      <c r="G28" s="2"/>
      <c r="H28" s="1">
        <f t="shared" si="2"/>
        <v>0</v>
      </c>
      <c r="I28" s="2"/>
      <c r="J28" s="2"/>
    </row>
    <row r="29" spans="1:10" ht="15.75" x14ac:dyDescent="0.25">
      <c r="A29" s="2"/>
      <c r="B29" s="2"/>
      <c r="C29" s="13"/>
      <c r="D29" s="16"/>
      <c r="E29" s="2" t="s">
        <v>50</v>
      </c>
      <c r="F29" s="2">
        <v>0.1</v>
      </c>
      <c r="G29" s="2"/>
      <c r="H29" s="1">
        <f t="shared" si="2"/>
        <v>0</v>
      </c>
      <c r="I29" s="2"/>
      <c r="J29" s="2"/>
    </row>
    <row r="30" spans="1:10" ht="15.75" x14ac:dyDescent="0.25">
      <c r="A30" s="2"/>
      <c r="B30" s="5"/>
      <c r="C30" s="13"/>
      <c r="D30" s="16"/>
      <c r="E30" s="2" t="s">
        <v>51</v>
      </c>
      <c r="F30" s="2">
        <v>0.05</v>
      </c>
      <c r="G30" s="2"/>
      <c r="H30" s="1">
        <f t="shared" si="2"/>
        <v>0</v>
      </c>
      <c r="I30" s="2"/>
      <c r="J30" s="2"/>
    </row>
    <row r="31" spans="1:10" ht="15.75" x14ac:dyDescent="0.25">
      <c r="A31" s="2"/>
      <c r="B31" s="5"/>
      <c r="C31" s="2"/>
      <c r="D31" s="16"/>
      <c r="E31" s="2" t="s">
        <v>52</v>
      </c>
      <c r="F31" s="2">
        <v>0.01</v>
      </c>
      <c r="G31" s="2"/>
      <c r="H31" s="1">
        <f t="shared" si="2"/>
        <v>0</v>
      </c>
      <c r="I31" s="2"/>
      <c r="J31" s="2"/>
    </row>
    <row r="32" spans="1:10" s="10" customFormat="1" ht="15.75" x14ac:dyDescent="0.25">
      <c r="A32" s="5"/>
      <c r="B32" s="5"/>
      <c r="C32" s="5"/>
      <c r="D32" s="5"/>
      <c r="E32" s="5"/>
      <c r="F32" s="5" t="s">
        <v>53</v>
      </c>
      <c r="G32" s="5"/>
      <c r="H32" s="5"/>
      <c r="I32" s="14">
        <f>SUM(H17:H32)</f>
        <v>48814.5</v>
      </c>
      <c r="J32" s="5"/>
    </row>
    <row r="33" spans="1:10" ht="15.75" x14ac:dyDescent="0.25">
      <c r="A33" s="2"/>
      <c r="B33" s="2"/>
      <c r="C33" s="2"/>
      <c r="D33" s="2"/>
      <c r="E33" s="2"/>
      <c r="F33" s="2"/>
      <c r="G33" s="2"/>
      <c r="H33" s="2"/>
      <c r="I33" s="2"/>
      <c r="J33" s="2"/>
    </row>
    <row r="34" spans="1:10" ht="16.5" thickBot="1" x14ac:dyDescent="0.3">
      <c r="A34" s="2"/>
      <c r="B34" s="2"/>
      <c r="C34" s="2"/>
      <c r="D34" s="2"/>
      <c r="E34" s="2"/>
      <c r="F34" s="2" t="s">
        <v>54</v>
      </c>
      <c r="G34" s="2"/>
      <c r="H34" s="2"/>
      <c r="I34" s="15" t="e">
        <f>I14-I32</f>
        <v>#REF!</v>
      </c>
      <c r="J34" s="2"/>
    </row>
    <row r="35" spans="1:10" ht="16.5" thickTop="1" x14ac:dyDescent="0.25">
      <c r="A35" s="2"/>
      <c r="B35" s="2" t="s">
        <v>87</v>
      </c>
      <c r="C35" s="2"/>
      <c r="D35" s="2"/>
      <c r="E35" s="2"/>
      <c r="F35" s="2"/>
      <c r="G35" s="2"/>
      <c r="H35" s="2"/>
      <c r="I35" s="2"/>
      <c r="J35" s="2"/>
    </row>
    <row r="36" spans="1:10" ht="15.75" x14ac:dyDescent="0.25">
      <c r="A36" s="2"/>
      <c r="B36" s="2" t="s">
        <v>55</v>
      </c>
      <c r="C36" s="2"/>
      <c r="D36" s="2"/>
      <c r="E36" s="2"/>
      <c r="F36" s="2"/>
      <c r="G36" s="2"/>
      <c r="H36" s="2"/>
      <c r="I36" s="2"/>
      <c r="J36" s="2"/>
    </row>
    <row r="37" spans="1:10" ht="15.75" x14ac:dyDescent="0.25">
      <c r="A37" s="2"/>
      <c r="B37" s="2" t="s">
        <v>88</v>
      </c>
      <c r="C37" s="2"/>
      <c r="D37" s="2"/>
      <c r="E37" s="2"/>
      <c r="F37" s="2"/>
      <c r="G37" s="2"/>
      <c r="H37" s="2"/>
      <c r="I37" s="2"/>
      <c r="J37" s="2"/>
    </row>
    <row r="38" spans="1:10" ht="15.75" x14ac:dyDescent="0.25">
      <c r="A38" s="2"/>
      <c r="B38" s="2" t="s">
        <v>57</v>
      </c>
      <c r="C38" s="2"/>
      <c r="D38" s="2"/>
      <c r="E38" s="2"/>
      <c r="F38" s="2"/>
      <c r="G38" s="2"/>
      <c r="H38" s="2"/>
      <c r="I38" s="2"/>
      <c r="J38" s="2"/>
    </row>
    <row r="39" spans="1:10" ht="15.75" x14ac:dyDescent="0.25">
      <c r="A39" s="2"/>
      <c r="B39" s="2" t="s">
        <v>89</v>
      </c>
      <c r="C39" s="2"/>
      <c r="D39" s="2"/>
      <c r="E39" s="2"/>
      <c r="F39" s="2"/>
      <c r="G39" s="2"/>
      <c r="H39" s="2"/>
      <c r="I39" s="2"/>
      <c r="J39" s="2"/>
    </row>
    <row r="40" spans="1:10" ht="15.75" x14ac:dyDescent="0.25">
      <c r="A40" s="2"/>
      <c r="B40" s="2" t="s">
        <v>58</v>
      </c>
      <c r="C40" s="2"/>
      <c r="D40" s="2"/>
      <c r="E40" s="2"/>
      <c r="F40" s="2"/>
      <c r="G40" s="2"/>
      <c r="H40" s="2"/>
      <c r="I40" s="2"/>
      <c r="J40" s="2"/>
    </row>
    <row r="41" spans="1:10" ht="15.75" x14ac:dyDescent="0.25">
      <c r="A41" s="2"/>
      <c r="B41" s="2" t="s">
        <v>59</v>
      </c>
      <c r="C41" s="2"/>
      <c r="D41" s="2"/>
      <c r="E41" s="2"/>
      <c r="F41" s="2"/>
      <c r="G41" s="2"/>
      <c r="H41" s="2"/>
      <c r="I41" s="2"/>
      <c r="J41" s="2"/>
    </row>
    <row r="42" spans="1:10" ht="15.75" x14ac:dyDescent="0.25">
      <c r="A42" s="2"/>
      <c r="B42" s="2" t="s">
        <v>60</v>
      </c>
      <c r="C42" s="2"/>
      <c r="D42" s="2"/>
      <c r="E42" s="2"/>
      <c r="F42" s="2"/>
      <c r="G42" s="2"/>
      <c r="H42" s="2"/>
      <c r="I42" s="2"/>
      <c r="J42" s="2"/>
    </row>
    <row r="43" spans="1:10" ht="15.75" x14ac:dyDescent="0.25">
      <c r="A43" s="2"/>
      <c r="B43" s="2"/>
      <c r="C43" s="2"/>
      <c r="D43" s="2"/>
      <c r="E43" s="2"/>
      <c r="F43" s="2"/>
      <c r="G43" s="2"/>
      <c r="H43" s="2"/>
      <c r="I43" s="2"/>
      <c r="J43" s="2"/>
    </row>
    <row r="44" spans="1:10" ht="15.75" x14ac:dyDescent="0.25">
      <c r="A44" s="2"/>
      <c r="B44" s="2" t="s">
        <v>61</v>
      </c>
      <c r="C44" s="2"/>
      <c r="D44" s="2"/>
      <c r="E44" s="2"/>
      <c r="F44" s="2"/>
      <c r="G44" s="2"/>
      <c r="H44" s="2"/>
      <c r="I44" s="2"/>
      <c r="J44" s="2"/>
    </row>
    <row r="45" spans="1:10" ht="15.75" x14ac:dyDescent="0.25">
      <c r="A45" s="2"/>
      <c r="B45" s="2"/>
      <c r="C45" s="2"/>
      <c r="D45" s="2"/>
      <c r="E45" s="2"/>
      <c r="F45" s="2"/>
      <c r="G45" s="2"/>
      <c r="H45" s="2"/>
      <c r="I45" s="2"/>
      <c r="J45" s="2"/>
    </row>
    <row r="46" spans="1:10" ht="15.75" x14ac:dyDescent="0.25">
      <c r="A46" s="2"/>
      <c r="B46" s="2"/>
      <c r="C46" s="2"/>
      <c r="D46" s="2"/>
      <c r="E46" s="2"/>
      <c r="F46" s="2"/>
      <c r="G46" s="2"/>
      <c r="H46" s="2"/>
      <c r="I46" s="2"/>
      <c r="J46" s="2"/>
    </row>
    <row r="47" spans="1:10" ht="15.75" x14ac:dyDescent="0.25">
      <c r="A47" s="2"/>
      <c r="B47" s="2"/>
      <c r="C47" s="2"/>
      <c r="D47" s="2"/>
      <c r="E47" s="2"/>
      <c r="F47" s="2"/>
      <c r="G47" s="2"/>
      <c r="H47" s="2"/>
      <c r="I47" s="2"/>
      <c r="J47" s="2"/>
    </row>
    <row r="48" spans="1:10" ht="15.75" x14ac:dyDescent="0.25">
      <c r="A48" s="2"/>
      <c r="B48" s="277" t="s">
        <v>62</v>
      </c>
      <c r="C48" s="277"/>
      <c r="D48" s="2"/>
      <c r="E48" s="278" t="s">
        <v>63</v>
      </c>
      <c r="F48" s="278"/>
      <c r="G48" s="2"/>
      <c r="H48" s="2"/>
      <c r="I48" s="2"/>
      <c r="J48" s="2"/>
    </row>
    <row r="49" spans="1:10" ht="15.75" x14ac:dyDescent="0.25">
      <c r="A49" s="2"/>
      <c r="B49" s="277" t="s">
        <v>64</v>
      </c>
      <c r="C49" s="277"/>
      <c r="D49" s="2"/>
      <c r="E49" s="278" t="s">
        <v>65</v>
      </c>
      <c r="F49" s="278"/>
      <c r="G49" s="2"/>
      <c r="H49" s="2"/>
      <c r="I49" s="2"/>
      <c r="J49" s="2"/>
    </row>
    <row r="50" spans="1:10" ht="15.75" x14ac:dyDescent="0.25">
      <c r="A50" s="2"/>
      <c r="B50" s="2"/>
      <c r="C50" s="2"/>
      <c r="D50" s="2"/>
      <c r="E50" s="2"/>
      <c r="F50" s="2"/>
      <c r="G50" s="2"/>
      <c r="H50" s="2"/>
      <c r="I50" s="2"/>
      <c r="J50" s="2"/>
    </row>
    <row r="51" spans="1:10" ht="15.75" x14ac:dyDescent="0.25">
      <c r="A51" s="2"/>
      <c r="B51" s="2"/>
      <c r="C51" s="2"/>
      <c r="D51" s="2"/>
      <c r="E51" s="2"/>
      <c r="F51" s="2"/>
      <c r="G51" s="2"/>
      <c r="H51" s="2"/>
      <c r="I51" s="2"/>
      <c r="J51" s="2"/>
    </row>
    <row r="52" spans="1:10" ht="15.75" x14ac:dyDescent="0.25">
      <c r="A52" s="2"/>
      <c r="B52" s="2"/>
      <c r="C52" s="2"/>
      <c r="D52" s="2"/>
      <c r="E52" s="2"/>
      <c r="F52" s="2"/>
      <c r="G52" s="2"/>
      <c r="H52" s="2"/>
      <c r="I52" s="2"/>
      <c r="J52" s="2"/>
    </row>
    <row r="53" spans="1:10" ht="15.75" x14ac:dyDescent="0.25">
      <c r="A53" s="2"/>
      <c r="B53" s="2" t="s">
        <v>73</v>
      </c>
      <c r="C53" s="2"/>
      <c r="D53" s="2"/>
      <c r="E53" s="277" t="s">
        <v>66</v>
      </c>
      <c r="F53" s="277"/>
      <c r="G53" s="2"/>
      <c r="H53" s="2"/>
      <c r="I53" s="2"/>
      <c r="J53" s="2"/>
    </row>
    <row r="54" spans="1:10" ht="15.75" x14ac:dyDescent="0.25">
      <c r="A54" s="2"/>
      <c r="B54" s="2" t="s">
        <v>67</v>
      </c>
      <c r="C54" s="2"/>
      <c r="D54" s="2"/>
      <c r="E54" s="277" t="s">
        <v>68</v>
      </c>
      <c r="F54" s="277"/>
      <c r="G54" s="2"/>
      <c r="H54" s="2"/>
      <c r="I54" s="2"/>
      <c r="J54" s="2"/>
    </row>
  </sheetData>
  <mergeCells count="6">
    <mergeCell ref="E54:F54"/>
    <mergeCell ref="B48:C48"/>
    <mergeCell ref="E48:F48"/>
    <mergeCell ref="B49:C49"/>
    <mergeCell ref="E49:F49"/>
    <mergeCell ref="E53:F53"/>
  </mergeCells>
  <pageMargins left="0.70866141732283472" right="0.11811023622047245" top="0.74803149606299213" bottom="0.74803149606299213" header="0.31496062992125984" footer="0.31496062992125984"/>
  <pageSetup scale="8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0"/>
  <dimension ref="A1:J54"/>
  <sheetViews>
    <sheetView topLeftCell="A24" workbookViewId="0">
      <selection activeCell="A12" sqref="A12"/>
    </sheetView>
  </sheetViews>
  <sheetFormatPr baseColWidth="10" defaultColWidth="11.42578125" defaultRowHeight="15" x14ac:dyDescent="0.25"/>
  <cols>
    <col min="1" max="1" width="2.85546875" style="4" customWidth="1"/>
    <col min="2" max="2" width="12.28515625" style="4" customWidth="1"/>
    <col min="3" max="3" width="17.7109375" style="4" customWidth="1"/>
    <col min="4" max="4" width="12.7109375" style="4" customWidth="1"/>
    <col min="5" max="5" width="14.85546875" style="4" customWidth="1"/>
    <col min="6" max="6" width="14.42578125" style="4" bestFit="1" customWidth="1"/>
    <col min="7" max="7" width="14.7109375" style="4" customWidth="1"/>
    <col min="8" max="8" width="13.5703125" style="4" customWidth="1"/>
    <col min="9" max="9" width="15.85546875" style="4" customWidth="1"/>
    <col min="10" max="16384" width="11.42578125" style="4"/>
  </cols>
  <sheetData>
    <row r="1" spans="1:10" ht="19.5" x14ac:dyDescent="0.4">
      <c r="A1" s="2"/>
      <c r="B1" s="2"/>
      <c r="C1" s="3" t="s">
        <v>20</v>
      </c>
      <c r="D1" s="2"/>
      <c r="E1" s="2"/>
      <c r="F1" s="2"/>
      <c r="G1" s="2"/>
      <c r="H1" s="2"/>
      <c r="I1" s="2"/>
      <c r="J1" s="2"/>
    </row>
    <row r="2" spans="1:10" ht="19.5" x14ac:dyDescent="0.4">
      <c r="A2" s="2"/>
      <c r="B2" s="2"/>
      <c r="C2" s="3" t="s">
        <v>21</v>
      </c>
      <c r="D2" s="2"/>
      <c r="E2" s="2"/>
      <c r="F2" s="2"/>
      <c r="G2" s="2"/>
      <c r="H2" s="2"/>
      <c r="I2" s="2"/>
      <c r="J2" s="2"/>
    </row>
    <row r="3" spans="1:10" ht="15.75" x14ac:dyDescent="0.25">
      <c r="A3" s="2"/>
      <c r="B3" s="2"/>
      <c r="C3" s="2"/>
      <c r="D3" s="2" t="s">
        <v>22</v>
      </c>
      <c r="E3" s="2"/>
      <c r="F3" s="2"/>
      <c r="G3" s="2"/>
      <c r="H3" s="2"/>
      <c r="I3" s="2"/>
      <c r="J3" s="2"/>
    </row>
    <row r="4" spans="1:10" ht="15.75" x14ac:dyDescent="0.25">
      <c r="A4" s="2"/>
      <c r="B4" s="2"/>
      <c r="C4" s="2"/>
      <c r="D4" s="2" t="s">
        <v>90</v>
      </c>
      <c r="E4" s="2"/>
      <c r="F4" s="2"/>
      <c r="G4" s="2"/>
      <c r="H4" s="2"/>
      <c r="I4" s="2"/>
      <c r="J4" s="2"/>
    </row>
    <row r="5" spans="1:10" ht="15.75" x14ac:dyDescent="0.25">
      <c r="A5" s="2"/>
      <c r="B5" s="5" t="s">
        <v>71</v>
      </c>
      <c r="C5" s="2"/>
      <c r="D5" s="2"/>
      <c r="E5" s="2"/>
      <c r="F5" s="2"/>
      <c r="G5" s="2"/>
      <c r="H5" s="2"/>
      <c r="I5" s="2">
        <v>33405.480000000003</v>
      </c>
      <c r="J5" s="2"/>
    </row>
    <row r="6" spans="1:10" ht="15.75" x14ac:dyDescent="0.25">
      <c r="A6" s="2"/>
      <c r="B6" s="2"/>
      <c r="C6" s="2"/>
      <c r="D6" s="2"/>
      <c r="E6" s="6" t="s">
        <v>23</v>
      </c>
      <c r="F6" s="6" t="s">
        <v>24</v>
      </c>
      <c r="G6" s="6" t="s">
        <v>24</v>
      </c>
      <c r="H6" s="6" t="s">
        <v>24</v>
      </c>
      <c r="I6" s="2"/>
      <c r="J6" s="2"/>
    </row>
    <row r="7" spans="1:10" ht="19.5" x14ac:dyDescent="0.4">
      <c r="A7" s="2" t="s">
        <v>23</v>
      </c>
      <c r="B7" s="7" t="s">
        <v>25</v>
      </c>
      <c r="C7" s="2" t="s">
        <v>26</v>
      </c>
      <c r="D7" s="2" t="s">
        <v>27</v>
      </c>
      <c r="E7" s="5" t="s">
        <v>28</v>
      </c>
      <c r="F7" s="5" t="s">
        <v>29</v>
      </c>
      <c r="G7" s="5" t="s">
        <v>30</v>
      </c>
      <c r="H7" s="5" t="s">
        <v>31</v>
      </c>
      <c r="I7" s="2"/>
      <c r="J7" s="2"/>
    </row>
    <row r="8" spans="1:10" ht="15.75" x14ac:dyDescent="0.25">
      <c r="A8" s="2"/>
      <c r="B8" s="2" t="s">
        <v>70</v>
      </c>
      <c r="C8" s="8" t="s">
        <v>75</v>
      </c>
      <c r="D8" s="18" t="s">
        <v>76</v>
      </c>
      <c r="E8" s="2">
        <v>225431</v>
      </c>
      <c r="F8" s="2">
        <f>226224-G8</f>
        <v>24825</v>
      </c>
      <c r="G8" s="1">
        <f>20455+46000+34250+94880+5814</f>
        <v>201399</v>
      </c>
      <c r="H8" s="1">
        <v>0</v>
      </c>
      <c r="I8" s="2">
        <f>I5+E8-F8-G8-H8</f>
        <v>32612.48000000001</v>
      </c>
      <c r="J8" s="2"/>
    </row>
    <row r="9" spans="1:10" ht="15.75" x14ac:dyDescent="0.25">
      <c r="A9" s="2"/>
      <c r="B9" s="2" t="s">
        <v>78</v>
      </c>
      <c r="C9" s="9" t="s">
        <v>85</v>
      </c>
      <c r="D9" s="19" t="s">
        <v>82</v>
      </c>
      <c r="E9" s="2">
        <v>494698.64</v>
      </c>
      <c r="F9" s="2">
        <f>495663-G9</f>
        <v>37000</v>
      </c>
      <c r="G9" s="1">
        <f>16364+50000+60000+15000+34054+17045+107882+15580+55240+45298+42200</f>
        <v>458663</v>
      </c>
      <c r="H9" s="1">
        <v>0</v>
      </c>
      <c r="I9" s="2">
        <f>I8+E9-F9-G9-H9</f>
        <v>31648.119999999995</v>
      </c>
      <c r="J9" s="2"/>
    </row>
    <row r="10" spans="1:10" ht="15.75" x14ac:dyDescent="0.25">
      <c r="A10" s="2"/>
      <c r="B10" s="2" t="s">
        <v>84</v>
      </c>
      <c r="C10" s="2" t="s">
        <v>81</v>
      </c>
      <c r="D10" s="6" t="s">
        <v>86</v>
      </c>
      <c r="E10" s="2">
        <v>358961.31</v>
      </c>
      <c r="F10" s="2">
        <f>341795-G10</f>
        <v>66800</v>
      </c>
      <c r="G10" s="1">
        <f>40000+34540+20455+110000+70000</f>
        <v>274995</v>
      </c>
      <c r="H10" s="1">
        <v>0</v>
      </c>
      <c r="I10" s="2">
        <f t="shared" ref="I10:I12" si="0">I9+E10-F10-G10-H10</f>
        <v>48814.429999999993</v>
      </c>
      <c r="J10" s="2"/>
    </row>
    <row r="11" spans="1:10" ht="15.75" x14ac:dyDescent="0.25">
      <c r="A11" s="2"/>
      <c r="B11" s="2"/>
      <c r="C11" s="2"/>
      <c r="D11" s="6"/>
      <c r="E11" s="2"/>
      <c r="F11" s="2"/>
      <c r="G11" s="1"/>
      <c r="H11" s="1"/>
      <c r="I11" s="2">
        <f t="shared" si="0"/>
        <v>48814.429999999993</v>
      </c>
      <c r="J11" s="2"/>
    </row>
    <row r="12" spans="1:10" ht="15.75" x14ac:dyDescent="0.25">
      <c r="A12" s="2"/>
      <c r="B12" s="2"/>
      <c r="C12" s="2"/>
      <c r="D12" s="6"/>
      <c r="E12" s="2"/>
      <c r="F12" s="2"/>
      <c r="G12" s="1"/>
      <c r="H12" s="1"/>
      <c r="I12" s="2">
        <f t="shared" si="0"/>
        <v>48814.429999999993</v>
      </c>
      <c r="J12" s="2"/>
    </row>
    <row r="13" spans="1:10" ht="15.75" x14ac:dyDescent="0.25">
      <c r="A13" s="2"/>
      <c r="B13" s="2"/>
      <c r="C13" s="2"/>
      <c r="D13" s="2"/>
      <c r="E13" s="2"/>
      <c r="F13" s="2"/>
      <c r="G13" s="2"/>
      <c r="H13" s="2"/>
      <c r="I13" s="2"/>
      <c r="J13" s="2"/>
    </row>
    <row r="14" spans="1:10" s="10" customFormat="1" ht="15.75" x14ac:dyDescent="0.25">
      <c r="A14" s="5"/>
      <c r="B14" s="5"/>
      <c r="C14" s="5" t="s">
        <v>32</v>
      </c>
      <c r="D14" s="5"/>
      <c r="E14" s="5">
        <f>SUM(E8:E13)</f>
        <v>1079090.95</v>
      </c>
      <c r="F14" s="5"/>
      <c r="G14" s="5"/>
      <c r="H14" s="5"/>
      <c r="I14" s="5">
        <f>I5+E14-F15-G15-H15</f>
        <v>48814.429999999935</v>
      </c>
      <c r="J14" s="5"/>
    </row>
    <row r="15" spans="1:10" s="10" customFormat="1" ht="15.75" x14ac:dyDescent="0.25">
      <c r="A15" s="5"/>
      <c r="B15" s="5"/>
      <c r="C15" s="5" t="s">
        <v>33</v>
      </c>
      <c r="D15" s="5">
        <v>0</v>
      </c>
      <c r="E15" s="5"/>
      <c r="F15" s="5">
        <f>SUM(F8:F14)</f>
        <v>128625</v>
      </c>
      <c r="G15" s="5">
        <f>SUM(G8:G14)</f>
        <v>935057</v>
      </c>
      <c r="H15" s="5">
        <f>SUM(H8:H14)</f>
        <v>0</v>
      </c>
      <c r="I15" s="5"/>
      <c r="J15" s="5"/>
    </row>
    <row r="16" spans="1:10" ht="19.5" x14ac:dyDescent="0.4">
      <c r="A16" s="2"/>
      <c r="B16" s="3" t="s">
        <v>34</v>
      </c>
      <c r="C16" s="2"/>
      <c r="D16" s="2"/>
      <c r="E16" s="3"/>
      <c r="F16" s="2"/>
      <c r="G16" s="2"/>
      <c r="H16" s="2"/>
      <c r="I16" s="2"/>
      <c r="J16" s="2"/>
    </row>
    <row r="17" spans="1:10" ht="15.75" x14ac:dyDescent="0.25">
      <c r="A17" s="2"/>
      <c r="B17" s="2"/>
      <c r="C17" s="5" t="s">
        <v>35</v>
      </c>
      <c r="D17" s="5" t="s">
        <v>36</v>
      </c>
      <c r="E17" s="11" t="s">
        <v>37</v>
      </c>
      <c r="F17" s="5" t="s">
        <v>38</v>
      </c>
      <c r="G17" s="5"/>
      <c r="H17" s="5" t="s">
        <v>39</v>
      </c>
      <c r="I17" s="2"/>
      <c r="J17" s="2"/>
    </row>
    <row r="18" spans="1:10" ht="15.75" x14ac:dyDescent="0.25">
      <c r="A18" s="2"/>
      <c r="B18" s="2"/>
      <c r="C18" s="2"/>
      <c r="D18" s="16">
        <v>20</v>
      </c>
      <c r="E18" s="2" t="s">
        <v>40</v>
      </c>
      <c r="F18" s="2">
        <v>200</v>
      </c>
      <c r="G18" s="2"/>
      <c r="H18" s="1">
        <f t="shared" ref="H18:H24" si="1">D18*F18</f>
        <v>4000</v>
      </c>
      <c r="I18" s="2"/>
      <c r="J18" s="2"/>
    </row>
    <row r="19" spans="1:10" ht="15.75" x14ac:dyDescent="0.25">
      <c r="A19" s="2"/>
      <c r="B19" s="2"/>
      <c r="C19" s="13"/>
      <c r="D19" s="17">
        <v>444</v>
      </c>
      <c r="E19" s="2" t="s">
        <v>41</v>
      </c>
      <c r="F19" s="2">
        <v>100</v>
      </c>
      <c r="G19" s="2"/>
      <c r="H19" s="1">
        <f t="shared" si="1"/>
        <v>44400</v>
      </c>
      <c r="I19" s="2"/>
      <c r="J19" s="2"/>
    </row>
    <row r="20" spans="1:10" ht="15.75" x14ac:dyDescent="0.25">
      <c r="A20" s="2"/>
      <c r="B20" s="2"/>
      <c r="C20" s="13"/>
      <c r="D20" s="17">
        <v>2</v>
      </c>
      <c r="E20" s="2" t="s">
        <v>42</v>
      </c>
      <c r="F20" s="2">
        <v>50</v>
      </c>
      <c r="G20" s="2"/>
      <c r="H20" s="1">
        <f t="shared" si="1"/>
        <v>100</v>
      </c>
      <c r="I20" s="2"/>
      <c r="J20" s="2"/>
    </row>
    <row r="21" spans="1:10" ht="15.75" x14ac:dyDescent="0.25">
      <c r="A21" s="2"/>
      <c r="B21" s="2"/>
      <c r="C21" s="13"/>
      <c r="D21" s="17">
        <v>13</v>
      </c>
      <c r="E21" s="2" t="s">
        <v>43</v>
      </c>
      <c r="F21" s="2">
        <v>20</v>
      </c>
      <c r="G21" s="2"/>
      <c r="H21" s="1">
        <f t="shared" si="1"/>
        <v>260</v>
      </c>
      <c r="I21" s="2"/>
      <c r="J21" s="2"/>
    </row>
    <row r="22" spans="1:10" ht="15.75" x14ac:dyDescent="0.25">
      <c r="A22" s="2"/>
      <c r="B22" s="2"/>
      <c r="C22" s="13"/>
      <c r="D22" s="17">
        <v>3</v>
      </c>
      <c r="E22" s="2" t="s">
        <v>44</v>
      </c>
      <c r="F22" s="2">
        <v>10</v>
      </c>
      <c r="G22" s="2"/>
      <c r="H22" s="1">
        <f t="shared" si="1"/>
        <v>30</v>
      </c>
      <c r="I22" s="2"/>
      <c r="J22" s="2"/>
    </row>
    <row r="23" spans="1:10" ht="15.75" x14ac:dyDescent="0.25">
      <c r="A23" s="2"/>
      <c r="B23" s="2"/>
      <c r="C23" s="13"/>
      <c r="D23" s="17">
        <v>4</v>
      </c>
      <c r="E23" s="2" t="s">
        <v>45</v>
      </c>
      <c r="F23" s="2">
        <v>5</v>
      </c>
      <c r="G23" s="2"/>
      <c r="H23" s="1">
        <f t="shared" si="1"/>
        <v>20</v>
      </c>
      <c r="I23" s="2"/>
      <c r="J23" s="2"/>
    </row>
    <row r="24" spans="1:10" ht="15.75" x14ac:dyDescent="0.25">
      <c r="A24" s="2"/>
      <c r="B24" s="2"/>
      <c r="C24" s="13"/>
      <c r="D24" s="17"/>
      <c r="E24" s="2" t="s">
        <v>46</v>
      </c>
      <c r="F24" s="2">
        <v>1</v>
      </c>
      <c r="G24" s="2"/>
      <c r="H24" s="1">
        <f t="shared" si="1"/>
        <v>0</v>
      </c>
      <c r="I24" s="2"/>
      <c r="J24" s="2"/>
    </row>
    <row r="25" spans="1:10" ht="15.75" x14ac:dyDescent="0.25">
      <c r="A25" s="2"/>
      <c r="B25" s="2"/>
      <c r="C25" s="13"/>
      <c r="D25" s="12"/>
      <c r="E25" s="11" t="s">
        <v>47</v>
      </c>
      <c r="F25" s="2"/>
      <c r="G25" s="2"/>
      <c r="H25" s="1"/>
      <c r="I25" s="2"/>
      <c r="J25" s="2"/>
    </row>
    <row r="26" spans="1:10" ht="15.75" x14ac:dyDescent="0.25">
      <c r="A26" s="2"/>
      <c r="B26" s="2"/>
      <c r="C26" s="13"/>
      <c r="D26" s="16">
        <v>4</v>
      </c>
      <c r="E26" s="2" t="s">
        <v>46</v>
      </c>
      <c r="F26" s="2">
        <v>1</v>
      </c>
      <c r="G26" s="2"/>
      <c r="H26" s="1">
        <f t="shared" ref="H26:H31" si="2">D26*F26</f>
        <v>4</v>
      </c>
      <c r="I26" s="2"/>
      <c r="J26" s="2"/>
    </row>
    <row r="27" spans="1:10" ht="15.75" x14ac:dyDescent="0.25">
      <c r="A27" s="2"/>
      <c r="B27" s="2"/>
      <c r="C27" s="13"/>
      <c r="D27" s="16">
        <v>1</v>
      </c>
      <c r="E27" s="2" t="s">
        <v>48</v>
      </c>
      <c r="F27" s="2">
        <v>0.5</v>
      </c>
      <c r="G27" s="2"/>
      <c r="H27" s="1">
        <f t="shared" si="2"/>
        <v>0.5</v>
      </c>
      <c r="I27" s="2"/>
      <c r="J27" s="2"/>
    </row>
    <row r="28" spans="1:10" ht="15.75" x14ac:dyDescent="0.25">
      <c r="A28" s="2"/>
      <c r="B28" s="2"/>
      <c r="C28" s="13"/>
      <c r="D28" s="16"/>
      <c r="E28" s="2" t="s">
        <v>49</v>
      </c>
      <c r="F28" s="2">
        <v>0.25</v>
      </c>
      <c r="G28" s="2"/>
      <c r="H28" s="1">
        <f t="shared" si="2"/>
        <v>0</v>
      </c>
      <c r="I28" s="2"/>
      <c r="J28" s="2"/>
    </row>
    <row r="29" spans="1:10" ht="15.75" x14ac:dyDescent="0.25">
      <c r="A29" s="2"/>
      <c r="B29" s="2"/>
      <c r="C29" s="13"/>
      <c r="D29" s="16"/>
      <c r="E29" s="2" t="s">
        <v>50</v>
      </c>
      <c r="F29" s="2">
        <v>0.1</v>
      </c>
      <c r="G29" s="2"/>
      <c r="H29" s="1">
        <f t="shared" si="2"/>
        <v>0</v>
      </c>
      <c r="I29" s="2"/>
      <c r="J29" s="2"/>
    </row>
    <row r="30" spans="1:10" ht="15.75" x14ac:dyDescent="0.25">
      <c r="A30" s="2"/>
      <c r="B30" s="5"/>
      <c r="C30" s="13"/>
      <c r="D30" s="16"/>
      <c r="E30" s="2" t="s">
        <v>51</v>
      </c>
      <c r="F30" s="2">
        <v>0.05</v>
      </c>
      <c r="G30" s="2"/>
      <c r="H30" s="1">
        <f t="shared" si="2"/>
        <v>0</v>
      </c>
      <c r="I30" s="2"/>
      <c r="J30" s="2"/>
    </row>
    <row r="31" spans="1:10" ht="15.75" x14ac:dyDescent="0.25">
      <c r="A31" s="2"/>
      <c r="B31" s="5"/>
      <c r="C31" s="2"/>
      <c r="D31" s="16"/>
      <c r="E31" s="2" t="s">
        <v>52</v>
      </c>
      <c r="F31" s="2">
        <v>0.01</v>
      </c>
      <c r="G31" s="2"/>
      <c r="H31" s="1">
        <f t="shared" si="2"/>
        <v>0</v>
      </c>
      <c r="I31" s="2"/>
      <c r="J31" s="2"/>
    </row>
    <row r="32" spans="1:10" s="10" customFormat="1" ht="15.75" x14ac:dyDescent="0.25">
      <c r="A32" s="5"/>
      <c r="B32" s="5"/>
      <c r="C32" s="5"/>
      <c r="D32" s="5"/>
      <c r="E32" s="5"/>
      <c r="F32" s="5" t="s">
        <v>53</v>
      </c>
      <c r="G32" s="5"/>
      <c r="H32" s="5"/>
      <c r="I32" s="14">
        <f>SUM(H17:H32)</f>
        <v>48814.5</v>
      </c>
      <c r="J32" s="5"/>
    </row>
    <row r="33" spans="1:10" ht="15.75" x14ac:dyDescent="0.25">
      <c r="A33" s="2"/>
      <c r="B33" s="2"/>
      <c r="C33" s="2"/>
      <c r="D33" s="2"/>
      <c r="E33" s="2"/>
      <c r="F33" s="2"/>
      <c r="G33" s="2"/>
      <c r="H33" s="2"/>
      <c r="I33" s="2"/>
      <c r="J33" s="2"/>
    </row>
    <row r="34" spans="1:10" ht="16.5" thickBot="1" x14ac:dyDescent="0.3">
      <c r="A34" s="2"/>
      <c r="B34" s="2"/>
      <c r="C34" s="2"/>
      <c r="D34" s="2"/>
      <c r="E34" s="2"/>
      <c r="F34" s="2" t="s">
        <v>54</v>
      </c>
      <c r="G34" s="2"/>
      <c r="H34" s="2"/>
      <c r="I34" s="15">
        <f>I14-I32</f>
        <v>-7.000000006519258E-2</v>
      </c>
      <c r="J34" s="2"/>
    </row>
    <row r="35" spans="1:10" ht="16.5" thickTop="1" x14ac:dyDescent="0.25">
      <c r="A35" s="2"/>
      <c r="B35" s="2" t="s">
        <v>87</v>
      </c>
      <c r="C35" s="2"/>
      <c r="D35" s="2"/>
      <c r="E35" s="2"/>
      <c r="F35" s="2"/>
      <c r="G35" s="2"/>
      <c r="H35" s="2"/>
      <c r="I35" s="2"/>
      <c r="J35" s="2"/>
    </row>
    <row r="36" spans="1:10" ht="15.75" x14ac:dyDescent="0.25">
      <c r="A36" s="2"/>
      <c r="B36" s="2" t="s">
        <v>55</v>
      </c>
      <c r="C36" s="2"/>
      <c r="D36" s="2"/>
      <c r="E36" s="2"/>
      <c r="F36" s="2"/>
      <c r="G36" s="2"/>
      <c r="H36" s="2"/>
      <c r="I36" s="2"/>
      <c r="J36" s="2"/>
    </row>
    <row r="37" spans="1:10" ht="15.75" x14ac:dyDescent="0.25">
      <c r="A37" s="2"/>
      <c r="B37" s="2" t="s">
        <v>88</v>
      </c>
      <c r="C37" s="2"/>
      <c r="D37" s="2"/>
      <c r="E37" s="2"/>
      <c r="F37" s="2"/>
      <c r="G37" s="2"/>
      <c r="H37" s="2"/>
      <c r="I37" s="2"/>
      <c r="J37" s="2"/>
    </row>
    <row r="38" spans="1:10" ht="15.75" x14ac:dyDescent="0.25">
      <c r="A38" s="2"/>
      <c r="B38" s="2" t="s">
        <v>57</v>
      </c>
      <c r="C38" s="2"/>
      <c r="D38" s="2"/>
      <c r="E38" s="2"/>
      <c r="F38" s="2"/>
      <c r="G38" s="2"/>
      <c r="H38" s="2"/>
      <c r="I38" s="2"/>
      <c r="J38" s="2"/>
    </row>
    <row r="39" spans="1:10" ht="15.75" x14ac:dyDescent="0.25">
      <c r="A39" s="2"/>
      <c r="B39" s="2" t="s">
        <v>89</v>
      </c>
      <c r="C39" s="2"/>
      <c r="D39" s="2"/>
      <c r="E39" s="2"/>
      <c r="F39" s="2"/>
      <c r="G39" s="2"/>
      <c r="H39" s="2"/>
      <c r="I39" s="2"/>
      <c r="J39" s="2"/>
    </row>
    <row r="40" spans="1:10" ht="15.75" x14ac:dyDescent="0.25">
      <c r="A40" s="2"/>
      <c r="B40" s="2" t="s">
        <v>58</v>
      </c>
      <c r="C40" s="2"/>
      <c r="D40" s="2"/>
      <c r="E40" s="2"/>
      <c r="F40" s="2"/>
      <c r="G40" s="2"/>
      <c r="H40" s="2"/>
      <c r="I40" s="2"/>
      <c r="J40" s="2"/>
    </row>
    <row r="41" spans="1:10" ht="15.75" x14ac:dyDescent="0.25">
      <c r="A41" s="2"/>
      <c r="B41" s="2" t="s">
        <v>59</v>
      </c>
      <c r="C41" s="2"/>
      <c r="D41" s="2"/>
      <c r="E41" s="2"/>
      <c r="F41" s="2"/>
      <c r="G41" s="2"/>
      <c r="H41" s="2"/>
      <c r="I41" s="2"/>
      <c r="J41" s="2"/>
    </row>
    <row r="42" spans="1:10" ht="15.75" x14ac:dyDescent="0.25">
      <c r="A42" s="2"/>
      <c r="B42" s="2" t="s">
        <v>60</v>
      </c>
      <c r="C42" s="2"/>
      <c r="D42" s="2"/>
      <c r="E42" s="2"/>
      <c r="F42" s="2"/>
      <c r="G42" s="2"/>
      <c r="H42" s="2"/>
      <c r="I42" s="2"/>
      <c r="J42" s="2"/>
    </row>
    <row r="43" spans="1:10" ht="15.75" x14ac:dyDescent="0.25">
      <c r="A43" s="2"/>
      <c r="B43" s="2"/>
      <c r="C43" s="2"/>
      <c r="D43" s="2"/>
      <c r="E43" s="2"/>
      <c r="F43" s="2"/>
      <c r="G43" s="2"/>
      <c r="H43" s="2"/>
      <c r="I43" s="2"/>
      <c r="J43" s="2"/>
    </row>
    <row r="44" spans="1:10" ht="15.75" x14ac:dyDescent="0.25">
      <c r="A44" s="2"/>
      <c r="B44" s="2" t="s">
        <v>61</v>
      </c>
      <c r="C44" s="2"/>
      <c r="D44" s="2"/>
      <c r="E44" s="2"/>
      <c r="F44" s="2"/>
      <c r="G44" s="2"/>
      <c r="H44" s="2"/>
      <c r="I44" s="2"/>
      <c r="J44" s="2"/>
    </row>
    <row r="45" spans="1:10" ht="15.75" x14ac:dyDescent="0.25">
      <c r="A45" s="2"/>
      <c r="B45" s="2"/>
      <c r="C45" s="2"/>
      <c r="D45" s="2"/>
      <c r="E45" s="2"/>
      <c r="F45" s="2"/>
      <c r="G45" s="2"/>
      <c r="H45" s="2"/>
      <c r="I45" s="2"/>
      <c r="J45" s="2"/>
    </row>
    <row r="46" spans="1:10" ht="15.75" x14ac:dyDescent="0.25">
      <c r="A46" s="2"/>
      <c r="B46" s="2"/>
      <c r="C46" s="2"/>
      <c r="D46" s="2"/>
      <c r="E46" s="2"/>
      <c r="F46" s="2"/>
      <c r="G46" s="2"/>
      <c r="H46" s="2"/>
      <c r="I46" s="2"/>
      <c r="J46" s="2"/>
    </row>
    <row r="47" spans="1:10" ht="15.75" x14ac:dyDescent="0.25">
      <c r="A47" s="2"/>
      <c r="B47" s="2"/>
      <c r="C47" s="2"/>
      <c r="D47" s="2"/>
      <c r="E47" s="2"/>
      <c r="F47" s="2"/>
      <c r="G47" s="2"/>
      <c r="H47" s="2"/>
      <c r="I47" s="2"/>
      <c r="J47" s="2"/>
    </row>
    <row r="48" spans="1:10" ht="15.75" x14ac:dyDescent="0.25">
      <c r="A48" s="2"/>
      <c r="B48" s="277" t="s">
        <v>62</v>
      </c>
      <c r="C48" s="277"/>
      <c r="D48" s="2"/>
      <c r="E48" s="278" t="s">
        <v>63</v>
      </c>
      <c r="F48" s="278"/>
      <c r="G48" s="2"/>
      <c r="H48" s="2"/>
      <c r="I48" s="2"/>
      <c r="J48" s="2"/>
    </row>
    <row r="49" spans="1:10" ht="15.75" x14ac:dyDescent="0.25">
      <c r="A49" s="2"/>
      <c r="B49" s="277" t="s">
        <v>64</v>
      </c>
      <c r="C49" s="277"/>
      <c r="D49" s="2"/>
      <c r="E49" s="278" t="s">
        <v>65</v>
      </c>
      <c r="F49" s="278"/>
      <c r="G49" s="2"/>
      <c r="H49" s="2"/>
      <c r="I49" s="2"/>
      <c r="J49" s="2"/>
    </row>
    <row r="50" spans="1:10" ht="15.75" x14ac:dyDescent="0.25">
      <c r="A50" s="2"/>
      <c r="B50" s="2"/>
      <c r="C50" s="2"/>
      <c r="D50" s="2"/>
      <c r="E50" s="2"/>
      <c r="F50" s="2"/>
      <c r="G50" s="2"/>
      <c r="H50" s="2"/>
      <c r="I50" s="2"/>
      <c r="J50" s="2"/>
    </row>
    <row r="51" spans="1:10" ht="15.75" x14ac:dyDescent="0.25">
      <c r="A51" s="2"/>
      <c r="B51" s="2"/>
      <c r="C51" s="2"/>
      <c r="D51" s="2"/>
      <c r="E51" s="2"/>
      <c r="F51" s="2"/>
      <c r="G51" s="2"/>
      <c r="H51" s="2"/>
      <c r="I51" s="2"/>
      <c r="J51" s="2"/>
    </row>
    <row r="52" spans="1:10" ht="15.75" x14ac:dyDescent="0.25">
      <c r="A52" s="2"/>
      <c r="B52" s="2"/>
      <c r="C52" s="2"/>
      <c r="D52" s="2"/>
      <c r="E52" s="2"/>
      <c r="F52" s="2"/>
      <c r="G52" s="2"/>
      <c r="H52" s="2"/>
      <c r="I52" s="2"/>
      <c r="J52" s="2"/>
    </row>
    <row r="53" spans="1:10" ht="15.75" x14ac:dyDescent="0.25">
      <c r="A53" s="2"/>
      <c r="B53" s="2" t="s">
        <v>73</v>
      </c>
      <c r="C53" s="2"/>
      <c r="D53" s="2"/>
      <c r="E53" s="277" t="s">
        <v>66</v>
      </c>
      <c r="F53" s="277"/>
      <c r="G53" s="2"/>
      <c r="H53" s="2"/>
      <c r="I53" s="2"/>
      <c r="J53" s="2"/>
    </row>
    <row r="54" spans="1:10" ht="15.75" x14ac:dyDescent="0.25">
      <c r="A54" s="2"/>
      <c r="B54" s="2" t="s">
        <v>67</v>
      </c>
      <c r="C54" s="2"/>
      <c r="D54" s="2"/>
      <c r="E54" s="277" t="s">
        <v>68</v>
      </c>
      <c r="F54" s="277"/>
      <c r="G54" s="2"/>
      <c r="H54" s="2"/>
      <c r="I54" s="2"/>
      <c r="J54" s="2"/>
    </row>
  </sheetData>
  <mergeCells count="6">
    <mergeCell ref="E54:F54"/>
    <mergeCell ref="B48:C48"/>
    <mergeCell ref="E48:F48"/>
    <mergeCell ref="B49:C49"/>
    <mergeCell ref="E49:F49"/>
    <mergeCell ref="E53:F53"/>
  </mergeCells>
  <pageMargins left="0.70866141732283472" right="0.11811023622047245" top="0.74803149606299213" bottom="0.74803149606299213" header="0.31496062992125984" footer="0.31496062992125984"/>
  <pageSetup scale="8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876E-4CE1-47E5-B18B-DAB2C42D8088}">
  <sheetPr codeName="Hoja11"/>
  <dimension ref="A1:J57"/>
  <sheetViews>
    <sheetView topLeftCell="A7" workbookViewId="0">
      <selection activeCell="C10" sqref="C10"/>
    </sheetView>
  </sheetViews>
  <sheetFormatPr baseColWidth="10" defaultRowHeight="15" x14ac:dyDescent="0.25"/>
  <cols>
    <col min="4" max="4" width="17.85546875" customWidth="1"/>
    <col min="5" max="5" width="23.42578125" customWidth="1"/>
    <col min="6" max="6" width="16.140625" customWidth="1"/>
    <col min="7" max="8" width="14.7109375" customWidth="1"/>
  </cols>
  <sheetData>
    <row r="1" spans="1:10" ht="19.5" x14ac:dyDescent="0.4">
      <c r="A1" s="2"/>
      <c r="B1" s="3" t="s">
        <v>20</v>
      </c>
      <c r="C1" s="2"/>
      <c r="D1" s="2"/>
      <c r="E1" s="2"/>
      <c r="F1" s="2"/>
      <c r="G1" s="2"/>
      <c r="H1" s="2"/>
      <c r="I1" s="2"/>
      <c r="J1" s="4"/>
    </row>
    <row r="2" spans="1:10" ht="19.5" x14ac:dyDescent="0.4">
      <c r="A2" s="2"/>
      <c r="B2" s="3" t="s">
        <v>21</v>
      </c>
      <c r="C2" s="2"/>
      <c r="D2" s="2"/>
      <c r="E2" s="2"/>
      <c r="F2" s="2"/>
      <c r="G2" s="2"/>
      <c r="H2" s="2"/>
      <c r="I2" s="2"/>
      <c r="J2" s="4"/>
    </row>
    <row r="3" spans="1:10" ht="15.75" x14ac:dyDescent="0.25">
      <c r="A3" s="2"/>
      <c r="B3" s="2"/>
      <c r="C3" s="2" t="s">
        <v>22</v>
      </c>
      <c r="D3" s="2"/>
      <c r="E3" s="2"/>
      <c r="F3" s="2"/>
      <c r="G3" s="2"/>
      <c r="H3" s="2"/>
      <c r="I3" s="2"/>
      <c r="J3" s="4"/>
    </row>
    <row r="4" spans="1:10" ht="15.75" x14ac:dyDescent="0.25">
      <c r="A4" s="2"/>
      <c r="B4" s="2"/>
      <c r="C4" s="2" t="s">
        <v>69</v>
      </c>
      <c r="D4" s="2"/>
      <c r="E4" s="2"/>
      <c r="F4" s="2"/>
      <c r="G4" s="2"/>
      <c r="H4" s="2"/>
      <c r="I4" s="2"/>
      <c r="J4" s="4"/>
    </row>
    <row r="5" spans="1:10" ht="15.75" x14ac:dyDescent="0.25">
      <c r="A5" s="5" t="s">
        <v>71</v>
      </c>
      <c r="B5" s="2"/>
      <c r="C5" s="2"/>
      <c r="D5" s="2"/>
      <c r="E5" s="2"/>
      <c r="F5" s="2"/>
      <c r="G5" s="2"/>
      <c r="H5" s="2" t="e">
        <f>+#REF!</f>
        <v>#REF!</v>
      </c>
      <c r="I5" s="2"/>
      <c r="J5" s="4"/>
    </row>
    <row r="6" spans="1:10" ht="15.75" x14ac:dyDescent="0.25">
      <c r="A6" s="2"/>
      <c r="B6" s="2"/>
      <c r="C6" s="2"/>
      <c r="D6" s="6" t="s">
        <v>23</v>
      </c>
      <c r="E6" s="6" t="s">
        <v>24</v>
      </c>
      <c r="F6" s="6" t="s">
        <v>24</v>
      </c>
      <c r="G6" s="6" t="s">
        <v>24</v>
      </c>
      <c r="H6" s="2"/>
      <c r="I6" s="2"/>
      <c r="J6" s="4"/>
    </row>
    <row r="7" spans="1:10" ht="19.5" x14ac:dyDescent="0.4">
      <c r="A7" s="7" t="s">
        <v>25</v>
      </c>
      <c r="B7" s="2" t="s">
        <v>26</v>
      </c>
      <c r="C7" s="2" t="s">
        <v>27</v>
      </c>
      <c r="D7" s="5" t="s">
        <v>77</v>
      </c>
      <c r="E7" s="5" t="s">
        <v>29</v>
      </c>
      <c r="F7" s="5" t="s">
        <v>30</v>
      </c>
      <c r="G7" s="5" t="s">
        <v>31</v>
      </c>
      <c r="H7" s="2"/>
      <c r="I7" s="2"/>
      <c r="J7" s="4"/>
    </row>
    <row r="8" spans="1:10" ht="15.75" x14ac:dyDescent="0.25">
      <c r="A8" s="2" t="s">
        <v>70</v>
      </c>
      <c r="B8" s="8" t="s">
        <v>75</v>
      </c>
      <c r="C8" s="18" t="s">
        <v>76</v>
      </c>
      <c r="D8" s="2" t="e">
        <f>+#REF!</f>
        <v>#REF!</v>
      </c>
      <c r="E8" s="2" t="e">
        <f>#REF!-F8</f>
        <v>#REF!</v>
      </c>
      <c r="F8" s="1">
        <v>0</v>
      </c>
      <c r="G8" s="1">
        <v>0</v>
      </c>
      <c r="H8" s="2" t="e">
        <f>H5+D8-E8-F8-G8</f>
        <v>#REF!</v>
      </c>
      <c r="I8" s="2"/>
      <c r="J8" s="4"/>
    </row>
    <row r="9" spans="1:10" ht="15.75" x14ac:dyDescent="0.25">
      <c r="A9" s="2" t="s">
        <v>78</v>
      </c>
      <c r="B9" s="9" t="s">
        <v>79</v>
      </c>
      <c r="C9" s="19" t="s">
        <v>82</v>
      </c>
      <c r="D9" s="2" t="e">
        <f>+#REF!</f>
        <v>#REF!</v>
      </c>
      <c r="E9" s="2" t="e">
        <f>+#REF!-F9-G9</f>
        <v>#REF!</v>
      </c>
      <c r="F9" s="1" t="e">
        <f>+#REF!+#REF!+#REF!+#REF!+#REF!+#REF!+#REF!+#REF!</f>
        <v>#REF!</v>
      </c>
      <c r="G9" s="1">
        <v>0</v>
      </c>
      <c r="H9" s="2" t="e">
        <f>H8+D9-E9-F9-G9</f>
        <v>#REF!</v>
      </c>
      <c r="I9" s="2"/>
      <c r="J9" s="4"/>
    </row>
    <row r="10" spans="1:10" ht="15.75" x14ac:dyDescent="0.25">
      <c r="A10" s="2" t="s">
        <v>80</v>
      </c>
      <c r="B10" s="2" t="s">
        <v>81</v>
      </c>
      <c r="C10" s="6" t="s">
        <v>83</v>
      </c>
      <c r="D10" s="2" t="e">
        <f>+#REF!</f>
        <v>#REF!</v>
      </c>
      <c r="E10" s="2" t="e">
        <f>+#REF!-F10-G10</f>
        <v>#REF!</v>
      </c>
      <c r="F10" s="1" t="e">
        <f>+#REF!+#REF!+#REF!+#REF!+#REF!+#REF!+#REF!+#REF!</f>
        <v>#REF!</v>
      </c>
      <c r="G10" s="1">
        <v>0</v>
      </c>
      <c r="H10" s="2" t="e">
        <f t="shared" ref="H10:H12" si="0">H9+D10-E10-F10-G10</f>
        <v>#REF!</v>
      </c>
      <c r="I10" s="2"/>
      <c r="J10" s="4"/>
    </row>
    <row r="11" spans="1:10" ht="15.75" x14ac:dyDescent="0.25">
      <c r="A11" s="2"/>
      <c r="B11" s="2"/>
      <c r="C11" s="6"/>
      <c r="D11" s="2" t="e">
        <f>+#REF!</f>
        <v>#REF!</v>
      </c>
      <c r="E11" s="2" t="e">
        <f>+#REF!-F11-G11</f>
        <v>#REF!</v>
      </c>
      <c r="F11" s="1" t="e">
        <f>+#REF!+#REF!+#REF!+#REF!+#REF!+#REF!+#REF!+#REF!</f>
        <v>#REF!</v>
      </c>
      <c r="G11" s="1">
        <v>0</v>
      </c>
      <c r="H11" s="2" t="e">
        <f t="shared" si="0"/>
        <v>#REF!</v>
      </c>
      <c r="I11" s="2"/>
      <c r="J11" s="4"/>
    </row>
    <row r="12" spans="1:10" ht="15.75" x14ac:dyDescent="0.25">
      <c r="A12" s="2"/>
      <c r="B12" s="2"/>
      <c r="C12" s="6"/>
      <c r="D12" s="2" t="e">
        <f>+#REF!</f>
        <v>#REF!</v>
      </c>
      <c r="E12" s="2" t="e">
        <f>+#REF!-F12-G12</f>
        <v>#REF!</v>
      </c>
      <c r="F12" s="1" t="e">
        <f>+#REF!+#REF!+#REF!+#REF!+#REF!+#REF!</f>
        <v>#REF!</v>
      </c>
      <c r="G12" s="1">
        <v>0</v>
      </c>
      <c r="H12" s="2" t="e">
        <f t="shared" si="0"/>
        <v>#REF!</v>
      </c>
      <c r="I12" s="2"/>
      <c r="J12" s="4"/>
    </row>
    <row r="13" spans="1:10" ht="15.75" x14ac:dyDescent="0.25">
      <c r="A13" s="2"/>
      <c r="B13" s="2"/>
      <c r="C13" s="2"/>
      <c r="D13" s="2"/>
      <c r="E13" s="2"/>
      <c r="F13" s="2"/>
      <c r="G13" s="2"/>
      <c r="H13" s="2"/>
      <c r="I13" s="2"/>
      <c r="J13" s="4"/>
    </row>
    <row r="14" spans="1:10" ht="15.75" x14ac:dyDescent="0.25">
      <c r="A14" s="5"/>
      <c r="B14" s="5" t="s">
        <v>32</v>
      </c>
      <c r="C14" s="5"/>
      <c r="D14" s="5" t="e">
        <f>SUM(D8:D13)</f>
        <v>#REF!</v>
      </c>
      <c r="E14" s="5"/>
      <c r="F14" s="5"/>
      <c r="G14" s="5"/>
      <c r="H14" s="5" t="e">
        <f>H5+D14-E15-F15-G15</f>
        <v>#REF!</v>
      </c>
      <c r="I14" s="5"/>
      <c r="J14" s="10"/>
    </row>
    <row r="15" spans="1:10" ht="15.75" x14ac:dyDescent="0.25">
      <c r="A15" s="5"/>
      <c r="B15" s="5" t="s">
        <v>33</v>
      </c>
      <c r="C15" s="5">
        <v>0</v>
      </c>
      <c r="D15" s="5"/>
      <c r="E15" s="5" t="e">
        <f>SUM(E8:E14)</f>
        <v>#REF!</v>
      </c>
      <c r="F15" s="5" t="e">
        <f>SUM(F8:F14)</f>
        <v>#REF!</v>
      </c>
      <c r="G15" s="5">
        <f>SUM(G8:G14)</f>
        <v>0</v>
      </c>
      <c r="H15" s="5"/>
      <c r="I15" s="5"/>
      <c r="J15" s="10"/>
    </row>
    <row r="16" spans="1:10" ht="19.5" x14ac:dyDescent="0.4">
      <c r="A16" s="3" t="s">
        <v>34</v>
      </c>
      <c r="B16" s="2"/>
      <c r="C16" s="2"/>
      <c r="D16" s="3"/>
      <c r="E16" s="2"/>
      <c r="F16" s="2"/>
      <c r="G16" s="2"/>
      <c r="H16" s="2"/>
      <c r="I16" s="2"/>
      <c r="J16" s="4"/>
    </row>
    <row r="17" spans="1:10" ht="15.75" x14ac:dyDescent="0.25">
      <c r="A17" s="2"/>
      <c r="B17" s="5" t="s">
        <v>35</v>
      </c>
      <c r="C17" s="5" t="s">
        <v>36</v>
      </c>
      <c r="D17" s="11" t="s">
        <v>37</v>
      </c>
      <c r="E17" s="5" t="s">
        <v>38</v>
      </c>
      <c r="F17" s="5"/>
      <c r="G17" s="5" t="s">
        <v>39</v>
      </c>
      <c r="H17" s="2"/>
      <c r="I17" s="2"/>
      <c r="J17" s="4"/>
    </row>
    <row r="18" spans="1:10" ht="15.75" x14ac:dyDescent="0.25">
      <c r="A18" s="2"/>
      <c r="B18" s="2"/>
      <c r="C18" s="16"/>
      <c r="D18" s="2" t="s">
        <v>40</v>
      </c>
      <c r="E18" s="2">
        <v>200</v>
      </c>
      <c r="F18" s="2"/>
      <c r="G18" s="1">
        <f t="shared" ref="G18:G24" si="1">C18*E18</f>
        <v>0</v>
      </c>
      <c r="H18" s="2"/>
      <c r="I18" s="2"/>
      <c r="J18" s="4"/>
    </row>
    <row r="19" spans="1:10" ht="15.75" x14ac:dyDescent="0.25">
      <c r="A19" s="2"/>
      <c r="B19" s="13"/>
      <c r="C19" s="17">
        <v>334</v>
      </c>
      <c r="D19" s="2" t="s">
        <v>41</v>
      </c>
      <c r="E19" s="2">
        <v>100</v>
      </c>
      <c r="F19" s="2"/>
      <c r="G19" s="1">
        <f t="shared" si="1"/>
        <v>33400</v>
      </c>
      <c r="H19" s="2"/>
      <c r="I19" s="2"/>
      <c r="J19" s="4"/>
    </row>
    <row r="20" spans="1:10" ht="15.75" x14ac:dyDescent="0.25">
      <c r="A20" s="2"/>
      <c r="B20" s="13"/>
      <c r="C20" s="17"/>
      <c r="D20" s="2" t="s">
        <v>42</v>
      </c>
      <c r="E20" s="2">
        <v>50</v>
      </c>
      <c r="F20" s="2"/>
      <c r="G20" s="1">
        <f t="shared" si="1"/>
        <v>0</v>
      </c>
      <c r="H20" s="2"/>
      <c r="I20" s="2"/>
      <c r="J20" s="4"/>
    </row>
    <row r="21" spans="1:10" ht="15.75" x14ac:dyDescent="0.25">
      <c r="A21" s="2"/>
      <c r="B21" s="13"/>
      <c r="C21" s="17"/>
      <c r="D21" s="2" t="s">
        <v>43</v>
      </c>
      <c r="E21" s="2">
        <v>20</v>
      </c>
      <c r="F21" s="2"/>
      <c r="G21" s="1">
        <f t="shared" si="1"/>
        <v>0</v>
      </c>
      <c r="H21" s="2"/>
      <c r="I21" s="2"/>
      <c r="J21" s="4"/>
    </row>
    <row r="22" spans="1:10" ht="15.75" x14ac:dyDescent="0.25">
      <c r="A22" s="2"/>
      <c r="B22" s="13"/>
      <c r="C22" s="17"/>
      <c r="D22" s="2" t="s">
        <v>44</v>
      </c>
      <c r="E22" s="2">
        <v>10</v>
      </c>
      <c r="F22" s="2"/>
      <c r="G22" s="1">
        <f t="shared" si="1"/>
        <v>0</v>
      </c>
      <c r="H22" s="2"/>
      <c r="I22" s="2"/>
      <c r="J22" s="4"/>
    </row>
    <row r="23" spans="1:10" ht="15.75" x14ac:dyDescent="0.25">
      <c r="A23" s="2"/>
      <c r="B23" s="13"/>
      <c r="C23" s="17">
        <v>1</v>
      </c>
      <c r="D23" s="2" t="s">
        <v>45</v>
      </c>
      <c r="E23" s="2">
        <v>5</v>
      </c>
      <c r="F23" s="2"/>
      <c r="G23" s="1">
        <f t="shared" si="1"/>
        <v>5</v>
      </c>
      <c r="H23" s="2"/>
      <c r="I23" s="2"/>
      <c r="J23" s="4"/>
    </row>
    <row r="24" spans="1:10" ht="15.75" x14ac:dyDescent="0.25">
      <c r="A24" s="2"/>
      <c r="B24" s="13"/>
      <c r="C24" s="17"/>
      <c r="D24" s="2" t="s">
        <v>46</v>
      </c>
      <c r="E24" s="2">
        <v>1</v>
      </c>
      <c r="F24" s="2"/>
      <c r="G24" s="1">
        <f t="shared" si="1"/>
        <v>0</v>
      </c>
      <c r="H24" s="2"/>
      <c r="I24" s="2"/>
      <c r="J24" s="4"/>
    </row>
    <row r="25" spans="1:10" ht="15.75" x14ac:dyDescent="0.25">
      <c r="A25" s="2"/>
      <c r="B25" s="13"/>
      <c r="C25" s="12"/>
      <c r="D25" s="11" t="s">
        <v>47</v>
      </c>
      <c r="E25" s="2"/>
      <c r="F25" s="2"/>
      <c r="G25" s="1"/>
      <c r="H25" s="2"/>
      <c r="I25" s="2"/>
      <c r="J25" s="4"/>
    </row>
    <row r="26" spans="1:10" ht="15.75" x14ac:dyDescent="0.25">
      <c r="A26" s="2"/>
      <c r="B26" s="13"/>
      <c r="C26" s="16"/>
      <c r="D26" s="2" t="s">
        <v>46</v>
      </c>
      <c r="E26" s="2">
        <v>1</v>
      </c>
      <c r="F26" s="2"/>
      <c r="G26" s="1">
        <f t="shared" ref="G26:G31" si="2">C26*E26</f>
        <v>0</v>
      </c>
      <c r="H26" s="2"/>
      <c r="I26" s="2"/>
      <c r="J26" s="4"/>
    </row>
    <row r="27" spans="1:10" ht="15.75" x14ac:dyDescent="0.25">
      <c r="A27" s="2"/>
      <c r="B27" s="13"/>
      <c r="C27" s="16">
        <v>1</v>
      </c>
      <c r="D27" s="2" t="s">
        <v>48</v>
      </c>
      <c r="E27" s="2">
        <v>0.5</v>
      </c>
      <c r="F27" s="2"/>
      <c r="G27" s="1">
        <f t="shared" si="2"/>
        <v>0.5</v>
      </c>
      <c r="H27" s="2"/>
      <c r="I27" s="2"/>
      <c r="J27" s="4"/>
    </row>
    <row r="28" spans="1:10" ht="15.75" x14ac:dyDescent="0.25">
      <c r="A28" s="2"/>
      <c r="B28" s="13"/>
      <c r="C28" s="16"/>
      <c r="D28" s="2" t="s">
        <v>49</v>
      </c>
      <c r="E28" s="2">
        <v>0.25</v>
      </c>
      <c r="F28" s="2"/>
      <c r="G28" s="1">
        <f t="shared" si="2"/>
        <v>0</v>
      </c>
      <c r="H28" s="2"/>
      <c r="I28" s="2"/>
      <c r="J28" s="4"/>
    </row>
    <row r="29" spans="1:10" ht="15.75" x14ac:dyDescent="0.25">
      <c r="A29" s="2"/>
      <c r="B29" s="13"/>
      <c r="C29" s="16"/>
      <c r="D29" s="2" t="s">
        <v>50</v>
      </c>
      <c r="E29" s="2">
        <v>0.1</v>
      </c>
      <c r="F29" s="2"/>
      <c r="G29" s="1">
        <f t="shared" si="2"/>
        <v>0</v>
      </c>
      <c r="H29" s="2"/>
      <c r="I29" s="2"/>
      <c r="J29" s="4"/>
    </row>
    <row r="30" spans="1:10" ht="15.75" x14ac:dyDescent="0.25">
      <c r="A30" s="5"/>
      <c r="B30" s="13"/>
      <c r="C30" s="16"/>
      <c r="D30" s="2" t="s">
        <v>51</v>
      </c>
      <c r="E30" s="2">
        <v>0.05</v>
      </c>
      <c r="F30" s="2"/>
      <c r="G30" s="1">
        <f t="shared" si="2"/>
        <v>0</v>
      </c>
      <c r="H30" s="2"/>
      <c r="I30" s="2"/>
      <c r="J30" s="4"/>
    </row>
    <row r="31" spans="1:10" ht="15.75" x14ac:dyDescent="0.25">
      <c r="A31" s="5"/>
      <c r="B31" s="2"/>
      <c r="C31" s="16"/>
      <c r="D31" s="2" t="s">
        <v>52</v>
      </c>
      <c r="E31" s="2">
        <v>0.01</v>
      </c>
      <c r="F31" s="2"/>
      <c r="G31" s="1">
        <f t="shared" si="2"/>
        <v>0</v>
      </c>
      <c r="H31" s="2"/>
      <c r="I31" s="2"/>
      <c r="J31" s="4"/>
    </row>
    <row r="32" spans="1:10" ht="15.75" x14ac:dyDescent="0.25">
      <c r="A32" s="5"/>
      <c r="B32" s="5"/>
      <c r="C32" s="5"/>
      <c r="D32" s="5"/>
      <c r="E32" s="5" t="s">
        <v>53</v>
      </c>
      <c r="F32" s="5"/>
      <c r="G32" s="5"/>
      <c r="H32" s="14">
        <f>SUM(G17:G32)</f>
        <v>33405.5</v>
      </c>
      <c r="I32" s="5"/>
      <c r="J32" s="10"/>
    </row>
    <row r="33" spans="1:10" ht="15.75" x14ac:dyDescent="0.25">
      <c r="A33" s="2"/>
      <c r="B33" s="2"/>
      <c r="C33" s="2"/>
      <c r="D33" s="2"/>
      <c r="E33" s="2"/>
      <c r="F33" s="2"/>
      <c r="G33" s="2"/>
      <c r="H33" s="2"/>
      <c r="I33" s="2"/>
      <c r="J33" s="4"/>
    </row>
    <row r="34" spans="1:10" ht="16.5" thickBot="1" x14ac:dyDescent="0.3">
      <c r="A34" s="2"/>
      <c r="B34" s="2"/>
      <c r="C34" s="2"/>
      <c r="D34" s="2"/>
      <c r="E34" s="2" t="s">
        <v>54</v>
      </c>
      <c r="F34" s="2"/>
      <c r="G34" s="2"/>
      <c r="H34" s="15" t="e">
        <f>H14-H32</f>
        <v>#REF!</v>
      </c>
      <c r="I34" s="2"/>
      <c r="J34" s="4"/>
    </row>
    <row r="35" spans="1:10" ht="16.5" thickTop="1" x14ac:dyDescent="0.25">
      <c r="A35" s="2" t="s">
        <v>72</v>
      </c>
      <c r="B35" s="2"/>
      <c r="C35" s="2"/>
      <c r="D35" s="2"/>
      <c r="E35" s="2"/>
      <c r="F35" s="2"/>
      <c r="G35" s="2"/>
      <c r="H35" s="2"/>
      <c r="I35" s="2"/>
      <c r="J35" s="4"/>
    </row>
    <row r="36" spans="1:10" ht="15.75" x14ac:dyDescent="0.25">
      <c r="A36" s="2" t="s">
        <v>55</v>
      </c>
      <c r="B36" s="2"/>
      <c r="C36" s="2"/>
      <c r="D36" s="2"/>
      <c r="E36" s="2"/>
      <c r="F36" s="2"/>
      <c r="G36" s="2"/>
      <c r="H36" s="2"/>
      <c r="I36" s="2"/>
      <c r="J36" s="4"/>
    </row>
    <row r="37" spans="1:10" ht="15.75" x14ac:dyDescent="0.25">
      <c r="A37" s="2" t="s">
        <v>56</v>
      </c>
      <c r="B37" s="2"/>
      <c r="C37" s="2"/>
      <c r="D37" s="2"/>
      <c r="E37" s="2"/>
      <c r="F37" s="2"/>
      <c r="G37" s="2"/>
      <c r="H37" s="2"/>
      <c r="I37" s="2"/>
      <c r="J37" s="4"/>
    </row>
    <row r="38" spans="1:10" ht="15.75" x14ac:dyDescent="0.25">
      <c r="A38" s="2" t="s">
        <v>57</v>
      </c>
      <c r="B38" s="2"/>
      <c r="C38" s="2"/>
      <c r="D38" s="2"/>
      <c r="E38" s="2"/>
      <c r="F38" s="2"/>
      <c r="G38" s="2"/>
      <c r="H38" s="2"/>
      <c r="I38" s="2"/>
      <c r="J38" s="4"/>
    </row>
    <row r="39" spans="1:10" ht="15.75" x14ac:dyDescent="0.25">
      <c r="A39" s="2" t="s">
        <v>74</v>
      </c>
      <c r="B39" s="2"/>
      <c r="C39" s="2"/>
      <c r="D39" s="2"/>
      <c r="E39" s="2"/>
      <c r="F39" s="2"/>
      <c r="G39" s="2"/>
      <c r="H39" s="2"/>
      <c r="I39" s="2"/>
      <c r="J39" s="4"/>
    </row>
    <row r="40" spans="1:10" ht="15.75" x14ac:dyDescent="0.25">
      <c r="A40" s="2" t="s">
        <v>58</v>
      </c>
      <c r="B40" s="2"/>
      <c r="C40" s="2"/>
      <c r="D40" s="2"/>
      <c r="E40" s="2"/>
      <c r="F40" s="2"/>
      <c r="G40" s="2"/>
      <c r="H40" s="2"/>
      <c r="I40" s="2"/>
      <c r="J40" s="4"/>
    </row>
    <row r="41" spans="1:10" ht="15.75" x14ac:dyDescent="0.25">
      <c r="A41" s="2" t="s">
        <v>59</v>
      </c>
      <c r="B41" s="2"/>
      <c r="C41" s="2"/>
      <c r="D41" s="2"/>
      <c r="E41" s="2"/>
      <c r="F41" s="2"/>
      <c r="G41" s="2"/>
      <c r="H41" s="2"/>
      <c r="I41" s="2"/>
      <c r="J41" s="4"/>
    </row>
    <row r="42" spans="1:10" ht="15.75" x14ac:dyDescent="0.25">
      <c r="A42" s="2" t="s">
        <v>60</v>
      </c>
      <c r="B42" s="2"/>
      <c r="C42" s="2"/>
      <c r="D42" s="2"/>
      <c r="E42" s="2"/>
      <c r="F42" s="2"/>
      <c r="G42" s="2"/>
      <c r="H42" s="2"/>
      <c r="I42" s="2"/>
      <c r="J42" s="4"/>
    </row>
    <row r="43" spans="1:10" ht="15.75" x14ac:dyDescent="0.25">
      <c r="A43" s="2"/>
      <c r="B43" s="2"/>
      <c r="C43" s="2"/>
      <c r="D43" s="2"/>
      <c r="E43" s="2"/>
      <c r="F43" s="2"/>
      <c r="G43" s="2"/>
      <c r="H43" s="2"/>
      <c r="I43" s="2"/>
      <c r="J43" s="4"/>
    </row>
    <row r="44" spans="1:10" ht="15.75" x14ac:dyDescent="0.25">
      <c r="A44" s="2" t="s">
        <v>61</v>
      </c>
      <c r="B44" s="2"/>
      <c r="C44" s="2"/>
      <c r="D44" s="2"/>
      <c r="E44" s="2"/>
      <c r="F44" s="2"/>
      <c r="G44" s="2"/>
      <c r="H44" s="2"/>
      <c r="I44" s="2"/>
      <c r="J44" s="4"/>
    </row>
    <row r="45" spans="1:10" ht="15.75" x14ac:dyDescent="0.25">
      <c r="A45" s="2"/>
      <c r="B45" s="2"/>
      <c r="C45" s="2"/>
      <c r="D45" s="2"/>
      <c r="E45" s="2"/>
      <c r="F45" s="2"/>
      <c r="G45" s="2"/>
      <c r="H45" s="2"/>
      <c r="I45" s="2"/>
      <c r="J45" s="4"/>
    </row>
    <row r="46" spans="1:10" ht="15.75" x14ac:dyDescent="0.25">
      <c r="A46" s="2"/>
      <c r="B46" s="2"/>
      <c r="C46" s="2"/>
      <c r="D46" s="2"/>
      <c r="E46" s="2"/>
      <c r="F46" s="2"/>
      <c r="G46" s="2"/>
      <c r="H46" s="2"/>
      <c r="I46" s="2"/>
      <c r="J46" s="4"/>
    </row>
    <row r="47" spans="1:10" ht="15.75" x14ac:dyDescent="0.25">
      <c r="A47" s="2"/>
      <c r="B47" s="2"/>
      <c r="C47" s="2"/>
      <c r="D47" s="2"/>
      <c r="E47" s="2"/>
      <c r="F47" s="2"/>
      <c r="G47" s="2"/>
      <c r="H47" s="2"/>
      <c r="I47" s="2"/>
      <c r="J47" s="4"/>
    </row>
    <row r="48" spans="1:10" ht="15.75" x14ac:dyDescent="0.25">
      <c r="A48" s="277" t="s">
        <v>62</v>
      </c>
      <c r="B48" s="277"/>
      <c r="C48" s="2"/>
      <c r="D48" s="278" t="s">
        <v>63</v>
      </c>
      <c r="E48" s="278"/>
      <c r="F48" s="2"/>
      <c r="G48" s="2"/>
      <c r="H48" s="2"/>
      <c r="I48" s="2"/>
      <c r="J48" s="4"/>
    </row>
    <row r="49" spans="1:10" ht="15.75" x14ac:dyDescent="0.25">
      <c r="A49" s="277" t="s">
        <v>64</v>
      </c>
      <c r="B49" s="277"/>
      <c r="C49" s="2"/>
      <c r="D49" s="278" t="s">
        <v>65</v>
      </c>
      <c r="E49" s="278"/>
      <c r="F49" s="2"/>
      <c r="G49" s="2"/>
      <c r="H49" s="2"/>
      <c r="I49" s="2"/>
      <c r="J49" s="4"/>
    </row>
    <row r="50" spans="1:10" ht="15.75" x14ac:dyDescent="0.25">
      <c r="A50" s="2"/>
      <c r="B50" s="2"/>
      <c r="C50" s="2"/>
      <c r="D50" s="2"/>
      <c r="E50" s="2"/>
      <c r="F50" s="2"/>
      <c r="G50" s="2"/>
      <c r="H50" s="2"/>
      <c r="I50" s="2"/>
      <c r="J50" s="4"/>
    </row>
    <row r="51" spans="1:10" ht="15.75" x14ac:dyDescent="0.25">
      <c r="A51" s="2"/>
      <c r="B51" s="2"/>
      <c r="C51" s="2"/>
      <c r="D51" s="2"/>
      <c r="E51" s="2"/>
      <c r="F51" s="2"/>
      <c r="G51" s="2"/>
      <c r="H51" s="2"/>
      <c r="I51" s="2"/>
      <c r="J51" s="4"/>
    </row>
    <row r="52" spans="1:10" ht="15.75" x14ac:dyDescent="0.25">
      <c r="A52" s="2"/>
      <c r="B52" s="2"/>
      <c r="C52" s="2"/>
      <c r="D52" s="2"/>
      <c r="E52" s="2"/>
      <c r="F52" s="2"/>
      <c r="G52" s="2"/>
      <c r="H52" s="2"/>
      <c r="I52" s="2"/>
      <c r="J52" s="4"/>
    </row>
    <row r="53" spans="1:10" ht="15.75" x14ac:dyDescent="0.25">
      <c r="A53" s="2" t="s">
        <v>73</v>
      </c>
      <c r="B53" s="2"/>
      <c r="C53" s="2"/>
      <c r="D53" s="277" t="s">
        <v>66</v>
      </c>
      <c r="E53" s="277"/>
      <c r="F53" s="2"/>
      <c r="G53" s="2"/>
      <c r="H53" s="2"/>
      <c r="I53" s="2"/>
      <c r="J53" s="4"/>
    </row>
    <row r="54" spans="1:10" ht="15.75" x14ac:dyDescent="0.25">
      <c r="A54" s="2" t="s">
        <v>67</v>
      </c>
      <c r="B54" s="2"/>
      <c r="C54" s="2"/>
      <c r="D54" s="277" t="s">
        <v>68</v>
      </c>
      <c r="E54" s="277"/>
      <c r="F54" s="2"/>
      <c r="G54" s="2"/>
      <c r="H54" s="2"/>
      <c r="I54" s="2"/>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sheetData>
  <mergeCells count="6">
    <mergeCell ref="D54:E54"/>
    <mergeCell ref="A48:B48"/>
    <mergeCell ref="D48:E48"/>
    <mergeCell ref="A49:B49"/>
    <mergeCell ref="D49:E49"/>
    <mergeCell ref="D53:E53"/>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2</vt:i4>
      </vt:variant>
    </vt:vector>
  </HeadingPairs>
  <TitlesOfParts>
    <vt:vector size="18" baseType="lpstr">
      <vt:lpstr>EFECTIVO</vt:lpstr>
      <vt:lpstr>LIBRO DE CAJA (2)</vt:lpstr>
      <vt:lpstr>Hoja1</vt:lpstr>
      <vt:lpstr>Arqueo Caja Ag Chaj 22-06-2026</vt:lpstr>
      <vt:lpstr>Arqueo Caja Ag Chaj 22-04-2026</vt:lpstr>
      <vt:lpstr>Arqueo Caja Ag Chaj 28-02-2026</vt:lpstr>
      <vt:lpstr>Arqueo Caja Ag Chaj 02-01-2026</vt:lpstr>
      <vt:lpstr>Arqueo Caja Ag Chaj 22-08-2025</vt:lpstr>
      <vt:lpstr>Arqueo Caja AG Chaj 24-04-2025</vt:lpstr>
      <vt:lpstr>Arqueo Caja AG Chaj 26-02-2025)</vt:lpstr>
      <vt:lpstr>Arqueo Caja AG Chaj 31-12-2024</vt:lpstr>
      <vt:lpstr>Hoja3</vt:lpstr>
      <vt:lpstr>Arqueo Caja AG Chaj 18-11-24</vt:lpstr>
      <vt:lpstr>Arqueo Caja AG Chaj 08-03-24</vt:lpstr>
      <vt:lpstr>Arqueo Caja AG Chaj 02-11-23</vt:lpstr>
      <vt:lpstr>Hoja2</vt:lpstr>
      <vt:lpstr>'LIBRO DE CAJA (2)'!Área_de_impresión</vt:lpstr>
      <vt:lpstr>'LIBRO DE CAJA (2)'!Títulos_a_imprimir</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INVERSION</dc:creator>
  <cp:lastModifiedBy>JULIANA LAYNEZ</cp:lastModifiedBy>
  <cp:lastPrinted>2026-07-22T00:39:17Z</cp:lastPrinted>
  <dcterms:created xsi:type="dcterms:W3CDTF">2009-07-29T14:39:56Z</dcterms:created>
  <dcterms:modified xsi:type="dcterms:W3CDTF">2026-08-15T17:43:51Z</dcterms:modified>
</cp:coreProperties>
</file>